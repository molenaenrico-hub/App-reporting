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civismartcloud.sharepoint.com/sites/Finance/FPA/Reporting/Esempio/Esempi/"/>
    </mc:Choice>
  </mc:AlternateContent>
  <xr:revisionPtr revIDLastSave="11" documentId="8_{650A6327-9B97-4F91-B4B6-71222F58BD9B}" xr6:coauthVersionLast="47" xr6:coauthVersionMax="47" xr10:uidLastSave="{4F08BFAE-3D12-4EC6-9CC7-4D3457AE1B6D}"/>
  <bookViews>
    <workbookView xWindow="-135" yWindow="-16320" windowWidth="29040" windowHeight="15720" activeTab="4" xr2:uid="{8DB9DED1-B957-4D61-9067-2711BBA1C750}"/>
  </bookViews>
  <sheets>
    <sheet name="CVS BU" sheetId="1" r:id="rId1"/>
    <sheet name="Capex" sheetId="2" r:id="rId2"/>
    <sheet name="BDV" sheetId="3" r:id="rId3"/>
    <sheet name="SGP" sheetId="4" r:id="rId4"/>
    <sheet name="Bridge CVS+Edg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4" i="4" l="1"/>
  <c r="H143" i="4"/>
  <c r="H142" i="4"/>
  <c r="H141" i="4"/>
  <c r="H140" i="4"/>
  <c r="H139" i="4"/>
  <c r="H138" i="4"/>
  <c r="H137" i="4"/>
  <c r="H136" i="4"/>
  <c r="H135" i="4"/>
  <c r="H134" i="4"/>
  <c r="H133" i="4"/>
  <c r="H132" i="4"/>
  <c r="H131" i="4"/>
  <c r="H130" i="4"/>
  <c r="H129" i="4"/>
  <c r="H128" i="4"/>
  <c r="H127" i="4"/>
  <c r="H126" i="4"/>
  <c r="H125" i="4"/>
  <c r="H124" i="4"/>
  <c r="H123" i="4"/>
  <c r="H122" i="4"/>
  <c r="H121" i="4"/>
  <c r="H120" i="4"/>
  <c r="H119" i="4"/>
  <c r="H118" i="4"/>
  <c r="H117" i="4"/>
  <c r="H116" i="4"/>
  <c r="H115" i="4"/>
  <c r="H114" i="4"/>
  <c r="H113" i="4"/>
  <c r="H112" i="4"/>
  <c r="H111" i="4"/>
  <c r="H110" i="4"/>
  <c r="H109" i="4"/>
  <c r="H108" i="4"/>
  <c r="H107" i="4"/>
  <c r="H106" i="4"/>
  <c r="H105" i="4"/>
  <c r="H104" i="4"/>
  <c r="H103" i="4"/>
  <c r="H102" i="4"/>
  <c r="H101" i="4"/>
  <c r="H100" i="4"/>
  <c r="H99" i="4"/>
  <c r="H98" i="4"/>
  <c r="H97" i="4"/>
  <c r="H96" i="4"/>
  <c r="H95" i="4"/>
  <c r="H94" i="4"/>
  <c r="H93" i="4"/>
  <c r="H90" i="4"/>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4" i="4"/>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N334" i="1"/>
  <c r="H334" i="1"/>
  <c r="H333" i="1"/>
  <c r="H332" i="1"/>
  <c r="H331" i="1"/>
  <c r="N330" i="1"/>
  <c r="H330" i="1"/>
  <c r="N329" i="1"/>
  <c r="H329" i="1"/>
  <c r="H328" i="1"/>
  <c r="H327" i="1"/>
  <c r="H326" i="1"/>
  <c r="H325" i="1"/>
  <c r="H324" i="1"/>
  <c r="H323" i="1"/>
  <c r="N322"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L123"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tc={831D4D6D-F7D8-4EEF-A9F8-F11B0D45BB92}</author>
  </authors>
  <commentList>
    <comment ref="H8" authorId="0" shapeId="0" xr:uid="{831D4D6D-F7D8-4EEF-A9F8-F11B0D45BB92}">
      <text>
        <t>[Threaded comment]
Your version of Excel allows you to read this threaded comment; however, any edits to it will get removed if the file is opened in a newer version of Excel. Learn more: https://go.microsoft.com/fwlink/?linkid=870924
Comment:
    +Diamond</t>
      </text>
    </comment>
  </commentList>
</comments>
</file>

<file path=xl/sharedStrings.xml><?xml version="1.0" encoding="utf-8"?>
<sst xmlns="http://schemas.openxmlformats.org/spreadsheetml/2006/main" count="19031" uniqueCount="3084">
  <si>
    <t>Inserire sì/no</t>
  </si>
  <si>
    <t>Seller</t>
  </si>
  <si>
    <t>Activity Code</t>
  </si>
  <si>
    <t>Project Name</t>
  </si>
  <si>
    <t>Project ID</t>
  </si>
  <si>
    <t>Comune</t>
  </si>
  <si>
    <t>Chiave</t>
  </si>
  <si>
    <t>BU</t>
  </si>
  <si>
    <t>Business Stream I</t>
  </si>
  <si>
    <t>Business Stream II</t>
  </si>
  <si>
    <t>Revenues</t>
  </si>
  <si>
    <t>Direct costs</t>
  </si>
  <si>
    <t>Direct Costs</t>
  </si>
  <si>
    <t>Organic</t>
  </si>
  <si>
    <t>OPERATIONAL</t>
  </si>
  <si>
    <t>Comune di Fisciano : FISCIANO ILLUMINAZIONE PUBBLICA</t>
  </si>
  <si>
    <t>PPP-IPU-D615-01</t>
  </si>
  <si>
    <t>Fisciano</t>
  </si>
  <si>
    <t>South</t>
  </si>
  <si>
    <t>Public Streetlighting</t>
  </si>
  <si>
    <t>PPP</t>
  </si>
  <si>
    <t>Comune di Ururi : URURI ILLUMINAZIONE PUBBLICA</t>
  </si>
  <si>
    <t>PPP-IPU-L505-01</t>
  </si>
  <si>
    <t>Ururi</t>
  </si>
  <si>
    <t>Centre</t>
  </si>
  <si>
    <t>COMUNE DI ORTELLE : ORTELLE ILLUMINAZIONE PUBBLICA</t>
  </si>
  <si>
    <t>PPP-IPU-G136-01</t>
  </si>
  <si>
    <t>Ortelle</t>
  </si>
  <si>
    <t>COMUNE DI NARDODIPACE : NARDODIPACE ILLUMINAZIONE PUBBLICA</t>
  </si>
  <si>
    <t>PPP-IPU-F843-01</t>
  </si>
  <si>
    <t>Nardodipace</t>
  </si>
  <si>
    <t>CONSORZIO ASI BRINDISI : ASI BRINDISI ILLUMINAZIONE PUBBLICA</t>
  </si>
  <si>
    <t>PPP-IPU-B180-01</t>
  </si>
  <si>
    <t>Asi Brindisi</t>
  </si>
  <si>
    <t>COMUNE DI MANDURIA : MANDURIA ILLUMINAZIONE PUBBLICA</t>
  </si>
  <si>
    <t>PPP-IPU-E882-01</t>
  </si>
  <si>
    <t>Manduria</t>
  </si>
  <si>
    <t>COMUNE DI CAMPI SALENTINA : CAMPI SALENTINA ILLUMINAZIONE PUBBLICA</t>
  </si>
  <si>
    <t>PPP-IPU-B506-01</t>
  </si>
  <si>
    <t>Campi Salentina</t>
  </si>
  <si>
    <t>Comune di Montescaglioso : MONTESCAGLIOSO ILLUMINAZIONE PUBBLICA</t>
  </si>
  <si>
    <t>PPP-IPU-F637-01</t>
  </si>
  <si>
    <t>Montescaglioso</t>
  </si>
  <si>
    <t>Comune di Lucera : LUCERA ILLUMINAZIONE PUBBLICA</t>
  </si>
  <si>
    <t>PPP-IPU-E716-01</t>
  </si>
  <si>
    <t>Lucera</t>
  </si>
  <si>
    <t>Comune di Lezzeno - Uff_eFatturaPA : LEZZENO ILLUMINAZIONE PUBBLICA</t>
  </si>
  <si>
    <t>PPP-IPU-E569-01</t>
  </si>
  <si>
    <t>Lezzeno</t>
  </si>
  <si>
    <t>North West</t>
  </si>
  <si>
    <t>COMUNE DI POGGIARDO : POGGIARDO ILLUMINAZIONE PUBBLICA</t>
  </si>
  <si>
    <t>PPP-IPU-G751-01</t>
  </si>
  <si>
    <t>Poggiardo</t>
  </si>
  <si>
    <t>Comune di Pozzoleone : POZZOLEONE ILLUMINAZIONE PUBBLICA</t>
  </si>
  <si>
    <t>PPP-IPU-G957-01</t>
  </si>
  <si>
    <t>Pozzoleone</t>
  </si>
  <si>
    <t>North East</t>
  </si>
  <si>
    <t>Comune di Vicopisano - Uff_eFatturaPA : VICOPISANO ILLUMINAZIONE PUBBLICA</t>
  </si>
  <si>
    <t>PPP-IPU-L850-01</t>
  </si>
  <si>
    <t>Vicopisano</t>
  </si>
  <si>
    <t>Comune di Alliste : ALLISTE ILLUMINAZIONE PUBBLICA</t>
  </si>
  <si>
    <t>PPP-IPU-A208-01</t>
  </si>
  <si>
    <t>Alliste</t>
  </si>
  <si>
    <t>Comune di Supino - Uff_eFatturaPA : SUPINO ILLUMINAZIONE PUBBLICA</t>
  </si>
  <si>
    <t>PPP-IPU-L009-01</t>
  </si>
  <si>
    <t>Supino</t>
  </si>
  <si>
    <t>Comune di Partinico : PARTINICO ILLUMINAZIONE PUBBLICA</t>
  </si>
  <si>
    <t>PPP-IPU-G348-01</t>
  </si>
  <si>
    <t>Partinico</t>
  </si>
  <si>
    <t>COMUNE DI GALLIPOLI : GALLIPOLI ILLUMINAZIONE PUBBLICA</t>
  </si>
  <si>
    <t>PPP-IPU-D883-01</t>
  </si>
  <si>
    <t>Gallipoli</t>
  </si>
  <si>
    <t>EXTRA LAVORI</t>
  </si>
  <si>
    <t>COMUNE DI GIUGGIANELLO : GIUGGIANELLO IP EXTRA LAVORI</t>
  </si>
  <si>
    <t>EPC-IPU-E053-02</t>
  </si>
  <si>
    <t>Giuggianello</t>
  </si>
  <si>
    <t>Extra Revenues</t>
  </si>
  <si>
    <t>Comune di Picciano - Uff_eFatturaPA : IMPIANTI COMUNE DI PICCIANO</t>
  </si>
  <si>
    <t>PPP-IPU-G589-01</t>
  </si>
  <si>
    <t>Picciano</t>
  </si>
  <si>
    <t>Comune di Poggio Imperiale : POGGIO IMPERIALE ILLUMINAZIONE PUBBLICA</t>
  </si>
  <si>
    <t>PPP-IPU-G761-01</t>
  </si>
  <si>
    <t>Poggio Imperiale</t>
  </si>
  <si>
    <t>COMUNE DI SCURCOLA MARSICANA : SCURCOLA MARSICANA ILLUMINAZIONE PUBBLICA</t>
  </si>
  <si>
    <t>PPP-IPU-I553-01</t>
  </si>
  <si>
    <t>Scurcola Marsicana</t>
  </si>
  <si>
    <t>Comune di Strà : IMPIANTI COMUNE DI STRA'</t>
  </si>
  <si>
    <t>PPP-IPU-I965-01</t>
  </si>
  <si>
    <t>Stra</t>
  </si>
  <si>
    <t>Comune di Solofra : IMPIANTI COMUNE DI SOLOFRA</t>
  </si>
  <si>
    <t>PPP-IPU-I805-01</t>
  </si>
  <si>
    <t>Solofra</t>
  </si>
  <si>
    <t>Scalea ILLUMINAZIONE PUBBLICA</t>
  </si>
  <si>
    <t>PPP-IPU-I489-01</t>
  </si>
  <si>
    <t>Scalea</t>
  </si>
  <si>
    <t>Comune di Rovellasca : RovellascaILLUMINAZIONE PUBBLICA</t>
  </si>
  <si>
    <t>CL3-IPU-H601-01</t>
  </si>
  <si>
    <t>Rovellasca</t>
  </si>
  <si>
    <t>CL3</t>
  </si>
  <si>
    <t>COMUNE DI SAN VITO CHIETINO : SAN VITO CHIETINO ILLUMINAZIONE PUBBLICA</t>
  </si>
  <si>
    <t>PPP-IPU-I394-01</t>
  </si>
  <si>
    <t>San Vito Chietino</t>
  </si>
  <si>
    <t>Comune Di San Salvatore Telesino : SAN SALVATORE TELESINO ILLUMINAZIONE PUBBLICA</t>
  </si>
  <si>
    <t>PPP-IPU-I145-01</t>
  </si>
  <si>
    <t>San Salvatore Telesino</t>
  </si>
  <si>
    <t>Comune di Canegrate : CanegrateILLUMINAZIONE PUBBLICA</t>
  </si>
  <si>
    <t>CL3-IPU-B593-01</t>
  </si>
  <si>
    <t>Canegrate</t>
  </si>
  <si>
    <t>CONSORZIO DI SVILUPPO IND.LE VALLI TRONTO, ASO E TESINO : PICENO CONSID ILLUMINAZIONE PUBBLICA</t>
  </si>
  <si>
    <t>PPP-IPU-A462-01</t>
  </si>
  <si>
    <t>Piceno Consind</t>
  </si>
  <si>
    <t>COMUNE DI RIONERO IN VULTURE : RIONERO IN VULTURE ILLUMINAZIONE PUBBLICA</t>
  </si>
  <si>
    <t>PPP-IPU-H307-01</t>
  </si>
  <si>
    <t>Santa Maria Del Cedro</t>
  </si>
  <si>
    <t>Comune di Fagnano Castello : FAGNANO CASTELLO ILLUMINAZIONE PUBBLICA</t>
  </si>
  <si>
    <t>PPP-IPU-D464-01</t>
  </si>
  <si>
    <t>Fagnano Castello</t>
  </si>
  <si>
    <t>COMUNE DI PINEROLO : IN ATI PINEROLO ILLUMINAZIONE PUBBLICA</t>
  </si>
  <si>
    <t>ATI-IPU-G674-01</t>
  </si>
  <si>
    <t>Pinerolo</t>
  </si>
  <si>
    <t>COMUNE DI CANTALUPA : IN ATI CANTALUPA ILLUMINAZIONE PUBBLICA</t>
  </si>
  <si>
    <t>ATI-IPU-B628-01</t>
  </si>
  <si>
    <t>Cantalupa</t>
  </si>
  <si>
    <t>Comune di Gallarate : GallarateILLUMINAZIONE PUBBLICA</t>
  </si>
  <si>
    <t>CL3-IPU-D869-01</t>
  </si>
  <si>
    <t>Gallarate</t>
  </si>
  <si>
    <t>Comune di Caponago : CaponagoILLUMINAZIONE PUBBLICA</t>
  </si>
  <si>
    <t>CL3-IPU-B671-01</t>
  </si>
  <si>
    <t>Caponago</t>
  </si>
  <si>
    <t>Comune di Folignano : FolignanoILLUMINAZIONE PUBBLICA</t>
  </si>
  <si>
    <t>CL3-IPU-D652-01</t>
  </si>
  <si>
    <t>Folignano</t>
  </si>
  <si>
    <t>Comune di Maratea : MARATEA ILLUMINAZIONE PUBBLICA</t>
  </si>
  <si>
    <t>PPP-IPU-E919-01</t>
  </si>
  <si>
    <t>Maratea</t>
  </si>
  <si>
    <t>COMUNE DI PRESICCE - ACQUARICA : PRESICCE-ACQUARICA (sussidiaria) ILL. PUBBLICA</t>
  </si>
  <si>
    <t>PPP-IPU-M428-02</t>
  </si>
  <si>
    <t>Presicce</t>
  </si>
  <si>
    <t>COMUNE DI ARADEO : ARADEO ILLUMINAZIONE PUBBLICA</t>
  </si>
  <si>
    <t>PPP-IPU-A350-01</t>
  </si>
  <si>
    <t>Aradeo</t>
  </si>
  <si>
    <t>Comune di Sasso di Castalda : SASSO DI CASTALDA ILLUMINAZIONE PUBBLICA</t>
  </si>
  <si>
    <t>PPP-IPU-I457-01</t>
  </si>
  <si>
    <t>Sasso Di Castalda</t>
  </si>
  <si>
    <t>COMUNE DI TRAMUTOLA : TRAMUTOLA ILLUMINAZIONE PUBBLICA</t>
  </si>
  <si>
    <t>PPP-IPU-L326-01</t>
  </si>
  <si>
    <t>Tramutola</t>
  </si>
  <si>
    <t>Comune di Bella : BELLA ILLUMINAZIONE PUBBLICA</t>
  </si>
  <si>
    <t>PPP-IPU-A743-01</t>
  </si>
  <si>
    <t>Bella</t>
  </si>
  <si>
    <t>Comune di Marsico Nuovo : MARSICO NUOVO ILLUMINAZIONE PUBBLICA</t>
  </si>
  <si>
    <t>PPP-IPU-E976-01</t>
  </si>
  <si>
    <t>Marsico Nuovo</t>
  </si>
  <si>
    <t>Comune di Arluno : ArlunoILLUMINAZIONE PUBBLICA</t>
  </si>
  <si>
    <t>CL3-IPU-A413-01</t>
  </si>
  <si>
    <t>Arluno</t>
  </si>
  <si>
    <t>Novara - Manut. Ord. e Str. Videosorveglianza 2023-25ILLUMINAZIONE PUBBLICA</t>
  </si>
  <si>
    <t>CL3-IPU-F952-02</t>
  </si>
  <si>
    <t>Novara</t>
  </si>
  <si>
    <t>Comune di Albinea : AlbineaILLUMINAZIONE PUBBLICA</t>
  </si>
  <si>
    <t>CL3-IPU-A162-01</t>
  </si>
  <si>
    <t>Albinea</t>
  </si>
  <si>
    <t>COMUNE DI MELISSANO : IN ATI MELISSANO ILLUMINAZIONE PUBBLICA</t>
  </si>
  <si>
    <t>ATI-IPU-F109-01</t>
  </si>
  <si>
    <t>Melissano</t>
  </si>
  <si>
    <t>Comune di Supersano : SUPERSANO ILLUMINAZIONE PUBBLICA</t>
  </si>
  <si>
    <t>PPP-IPU-L008-01</t>
  </si>
  <si>
    <t>Supersano</t>
  </si>
  <si>
    <t>Comune di Palombara Sabina - LAVORI PUBBLICI-URBANISTICA : PALOMBARA SABINA ILLUMINAZIONE PUBBLICA</t>
  </si>
  <si>
    <t>PPP-IPU-G293-01</t>
  </si>
  <si>
    <t>Palombara Sabina</t>
  </si>
  <si>
    <t>Carollo</t>
  </si>
  <si>
    <t>COMUNE DI CHIUPPANO : CHIUPPANO ILLUMINAZIONE PUBBLICO</t>
  </si>
  <si>
    <t>PPP-IPU-C650-01</t>
  </si>
  <si>
    <t>Chiuppano</t>
  </si>
  <si>
    <t>COMUNE DI CURSI : CURSI ILLUMINAZIONE PUBBLICA</t>
  </si>
  <si>
    <t>PPP-IPU-D223-01</t>
  </si>
  <si>
    <t>Cursi</t>
  </si>
  <si>
    <t>COMUNE DI PARABITA : IN ATI PARABITA ILLUMINAZIONE PUBBLICA</t>
  </si>
  <si>
    <t>ATI-IPU-G325-01</t>
  </si>
  <si>
    <t>Parabita</t>
  </si>
  <si>
    <t>COMUNE DI CELLINO SAN MARCO : CELLINO SAN MARCO ILLUMINAZIONE PUBBLICA</t>
  </si>
  <si>
    <t>PPP-IPU-C448-01</t>
  </si>
  <si>
    <t>Cellino San Marco</t>
  </si>
  <si>
    <t>COMUNE DI PIANEZZE : PIANEZZE ILLUMINAZIONE PUBBLICA</t>
  </si>
  <si>
    <t>PPP-IPU-G560-01</t>
  </si>
  <si>
    <t>Pianezze</t>
  </si>
  <si>
    <t>Comune di Trecate - Uff_eFatturaPA : TRECATE ILLUMINAZIONE PUBBLICA</t>
  </si>
  <si>
    <t>PPP-IPU-L356-01</t>
  </si>
  <si>
    <t>Trecate</t>
  </si>
  <si>
    <t>COMUNE DI NOVA SIRI : NOVA SIRI ILLUMINAZIONE PUBBLICA</t>
  </si>
  <si>
    <t>PPP-IPU-A942-01</t>
  </si>
  <si>
    <t>Nova Siri</t>
  </si>
  <si>
    <t>COMUNE DI POMARICO : POMARICO ILLUMINAZIONE PUBBLICA</t>
  </si>
  <si>
    <t>PPP-IPU-G806-01</t>
  </si>
  <si>
    <t>Pomarico</t>
  </si>
  <si>
    <t>Comune di Bussi sul Tirino - ufficio tecnico : BUSSI SUL TIRINO ILLUMINAZIONE PUBBLICA (CIV)</t>
  </si>
  <si>
    <t>PPP-IPU-B294-01</t>
  </si>
  <si>
    <t>Bussi Sul Tirino Pl</t>
  </si>
  <si>
    <t>Comune di Bussi sul Tirino - ufficio tecnico : BUSSI SUL TIRINO EFF.TO ENERGETICO EDIFICI</t>
  </si>
  <si>
    <t>PPP-EEE-B294-03</t>
  </si>
  <si>
    <t>Bussi Sul Tirino Hm</t>
  </si>
  <si>
    <t>Smart Buildings</t>
  </si>
  <si>
    <t>Comune di Citta' Sant'Angelo - Uff_eFatturaPA : Città Sant'Angelo</t>
  </si>
  <si>
    <t>SEC-IPU-C750-01</t>
  </si>
  <si>
    <t>Città Sant'Angelo Sec</t>
  </si>
  <si>
    <t>Comune di Scheggia e Pascelupo : Scheggia e PascelupoILLUMINAZIONE PUBBLICA</t>
  </si>
  <si>
    <t>CL3-IPU-I522-01</t>
  </si>
  <si>
    <t>Scheggia e Pascelupo</t>
  </si>
  <si>
    <t>COMUNE DI SANT'ARCANGELO : SANT'ARCANGELO ILLUMINAZIONE PUBBLICA</t>
  </si>
  <si>
    <t>PPP-IPU-I305-01</t>
  </si>
  <si>
    <t>Sant'Arcangelo</t>
  </si>
  <si>
    <t>COMUNE DI PIAZZOLA SUL BRENTA : PIAZZOLA SUL BRENTA ILLUMINAZIONE PUBBLICA</t>
  </si>
  <si>
    <t>PPP-IPU-G587-01</t>
  </si>
  <si>
    <t>Piazzola Sul Brenta</t>
  </si>
  <si>
    <t>COMUNE DI SAN GIULIANO MILANESE : San Giuliano MilaneseILLUMINAZIONE PUBBLICA</t>
  </si>
  <si>
    <t>CL3-IPU-H930-01</t>
  </si>
  <si>
    <t>San Giuliano Milanese</t>
  </si>
  <si>
    <t>COMUNE DI SPINOSO : SPINOSO ILLUMINAZIONE PUBBLICA</t>
  </si>
  <si>
    <t>PPP-IPU-I917-01</t>
  </si>
  <si>
    <t>Spinoso</t>
  </si>
  <si>
    <t>Comune di Morro D'Oro - Uff_eFatturaPA : MORRO D'ORO ILLUMINAZIONE PUBBLICA</t>
  </si>
  <si>
    <t>PPP-IPU-F747-01</t>
  </si>
  <si>
    <t>Morro D'Oro Pl</t>
  </si>
  <si>
    <t>Comune di Sant'Eufemia a Maiella - Uff_eFatturaPA : SANT'EUFEMIA A MAIELLA ILLUMINAZIONE PUBBLICA</t>
  </si>
  <si>
    <t>PPP-IPU-I332-01</t>
  </si>
  <si>
    <t>Sant'Eufemia A Maiella</t>
  </si>
  <si>
    <t>Comune di Fosso' : IMPIANTI COMUNE DI FOSSO'</t>
  </si>
  <si>
    <t>PPP-IPU-D748-01</t>
  </si>
  <si>
    <t>Fossò</t>
  </si>
  <si>
    <t>Comune Di Deliceto : DELICETO ILLUMINAZIONE PUBBLICA</t>
  </si>
  <si>
    <t>PPP-IPU-D269-01</t>
  </si>
  <si>
    <t>Deliceto</t>
  </si>
  <si>
    <t>Comune di Origgio : OriggioILLUMINAZIONE PUBBLICA</t>
  </si>
  <si>
    <t>CL3-IPU-G103-01</t>
  </si>
  <si>
    <t>Origgio</t>
  </si>
  <si>
    <t>Comune di Calciano : CALCIANO ILLUMINAZIONE PUBBLICA</t>
  </si>
  <si>
    <t>PPP-IPU-B391-01</t>
  </si>
  <si>
    <t>Calciano</t>
  </si>
  <si>
    <t>COMUNE DI GIUGGIANELLO : GIUGGIANELLO ILLUMINAZIONE PUBBLICA</t>
  </si>
  <si>
    <t>PPP-IPU-E053-01</t>
  </si>
  <si>
    <t>Comune di Rescaldina : RescaldinaILLUMINAZIONE PUBBLICA</t>
  </si>
  <si>
    <t>CL3-IPU-H240-01</t>
  </si>
  <si>
    <t>Rescaldina</t>
  </si>
  <si>
    <t>COMUNE DI POLESINE ZIBELLO : POLESINE ZIBELLO ILLUMINAZIONE PUBBLICA</t>
  </si>
  <si>
    <t>PPP-IPU-M367-01</t>
  </si>
  <si>
    <t>Polesine Zibello</t>
  </si>
  <si>
    <t>COMUNE DI ROLETTO : IN ATI ROLETTO ILLUMINAZIONE PUBBLICA</t>
  </si>
  <si>
    <t>ATI-IPU-H498-01</t>
  </si>
  <si>
    <t>Roletto</t>
  </si>
  <si>
    <t>Comune di Fermo : FermoILLUMINAZIONE PUBBLICA</t>
  </si>
  <si>
    <t>CL3-IPU-D542-01</t>
  </si>
  <si>
    <t>Fermo</t>
  </si>
  <si>
    <t>COMUNE DI PISCIOTTA : PISCIOTTA ILLUMINAZIONE PUBBLICA</t>
  </si>
  <si>
    <t>PPP-IPU-G707-01</t>
  </si>
  <si>
    <t>Pisciotta</t>
  </si>
  <si>
    <t>ROMA SERVIZI PER LA MOBILITA' SRL : Roma ServiziILLUMINAZIONE PUBBLICA</t>
  </si>
  <si>
    <t>PPP-IPU-H501-02</t>
  </si>
  <si>
    <t>Roma Servizi</t>
  </si>
  <si>
    <t>One Off Works</t>
  </si>
  <si>
    <t>COMUNE DI PONTIROLO NUOVO : Pontirolo Nuovo ILLUMINAZIONE PUBBLICA</t>
  </si>
  <si>
    <t>PPP-IPU-G867-01</t>
  </si>
  <si>
    <t>Pontirolo Nuovo</t>
  </si>
  <si>
    <t>COMUNE DI BICCARI : BICCARI ILLUMINAZIONE PUBBLICA</t>
  </si>
  <si>
    <t>PPP-IPU-A854-01</t>
  </si>
  <si>
    <t>Biccari</t>
  </si>
  <si>
    <t>COMUNE DI PIOVENE ROCCHETTE : PIOVENE ROCCHETTE ILLUMINAZIONE PUBBLICA</t>
  </si>
  <si>
    <t>PPP-IPU-G694-01</t>
  </si>
  <si>
    <t>Piovene Rocchette</t>
  </si>
  <si>
    <t>COMUNE DI POPOLI : POPOLI ILLUMINAZIONE PUBBLICA</t>
  </si>
  <si>
    <t>PPP-IPU-G878-01</t>
  </si>
  <si>
    <t>Popoli</t>
  </si>
  <si>
    <t>Comune di Ruoti : RUOTI ILLUMINAZIONE PUBBLICA</t>
  </si>
  <si>
    <t>PPP-IPU-H641-01</t>
  </si>
  <si>
    <t>Ruoti</t>
  </si>
  <si>
    <t>Comune di Accettura : ACCETTURA ILLUMINAZIONE PUBBLICA</t>
  </si>
  <si>
    <t>PPP-IPU-A017-01</t>
  </si>
  <si>
    <t>Accettura</t>
  </si>
  <si>
    <t>COMUNE DI VINOVO : VINOVO ILLUMINAZIONE PUBBLICA</t>
  </si>
  <si>
    <t>PPP-IPU-M060-01</t>
  </si>
  <si>
    <t>Vinovo</t>
  </si>
  <si>
    <t>Comune di Rovello Porro : Rovello PorroILLUMINAZIONE PUBBLICA</t>
  </si>
  <si>
    <t>CL3-IPU-H602-01</t>
  </si>
  <si>
    <t>Rovello Porro</t>
  </si>
  <si>
    <t>Comune di Settala : SettalaILLUMINAZIONE PUBBLICA</t>
  </si>
  <si>
    <t>CL3-IPU-I696-01</t>
  </si>
  <si>
    <t>Settala</t>
  </si>
  <si>
    <t>COMUNE DI BISIGNANO : IN ATI BISIGNANO ILLUMINAZIONE PUBBLICA</t>
  </si>
  <si>
    <t>ATI-IPU-A887-01</t>
  </si>
  <si>
    <t>Bisignano</t>
  </si>
  <si>
    <t>COMUNE DI MEZZAGO : Mezzago ILLUMINAZIONE PUBBLICA</t>
  </si>
  <si>
    <t>PPP-IPU-F165-01</t>
  </si>
  <si>
    <t>Mezzago</t>
  </si>
  <si>
    <t>Comune di Ginestra : GINESTRA ILLUMINAZIONE PUBBLICA</t>
  </si>
  <si>
    <t>PPP-IPU-E033-01</t>
  </si>
  <si>
    <t>Ginestra</t>
  </si>
  <si>
    <t>COMUNE DI PELLEZZANO : PELLEZZANO ILLUMINAZIONE PUBBLICA</t>
  </si>
  <si>
    <t>PPP-IPU-G426-01</t>
  </si>
  <si>
    <t>Pellezzano</t>
  </si>
  <si>
    <t>Comune di Gravellona Lomellina - Uff_eFatturaPA : GRAVELLONA LOMELLINA ILLUMINAZIONE PUBBLICA</t>
  </si>
  <si>
    <t>PPP-IPU-E152-01</t>
  </si>
  <si>
    <t>Gravellona Lomellina</t>
  </si>
  <si>
    <t>COMUNE DI SAVONA : IMPIANTI COMUNE DI SAVONA</t>
  </si>
  <si>
    <t>PPP-IPU-I480-02</t>
  </si>
  <si>
    <t>Savona</t>
  </si>
  <si>
    <t>Comune di Solesino - Uff_eFatturaPA : SOLESINO ILLUMINAZIONE PUBBLICA</t>
  </si>
  <si>
    <t>PPP-IPU-I799-01</t>
  </si>
  <si>
    <t>Solesino Pl</t>
  </si>
  <si>
    <t>COMUNE DI CAMPI SALENTINA : EFFICIENTAMENTO ENERGETICO EDIFICI LOTTO 4 E.L.EN.A.</t>
  </si>
  <si>
    <t>PPP-EEE-B506-04</t>
  </si>
  <si>
    <t>Comune di Pioraco : PioracoILLUMINAZIONE PUBBLICA</t>
  </si>
  <si>
    <t>CL3-IPU-G690-01</t>
  </si>
  <si>
    <t>Pioraco</t>
  </si>
  <si>
    <t>Comune di Petriano : PetrianoILLUMINAZIONE PUBBLICA</t>
  </si>
  <si>
    <t>CL3-IPU-G514-01</t>
  </si>
  <si>
    <t>Petriano</t>
  </si>
  <si>
    <t>COMUNE DI BARAGIANO : BARAGIANO ILLUMINAZIONE PUBBLICA</t>
  </si>
  <si>
    <t>PPP-IPU-A615-01</t>
  </si>
  <si>
    <t>Baragiano</t>
  </si>
  <si>
    <t>COMUNE DI CASELLE IN PITTARI : CASELLE IN PITTARI ILLUMINAZIONE PUBBLICA</t>
  </si>
  <si>
    <t>PPP-IPU-B959-01</t>
  </si>
  <si>
    <t>Caselle In Pittari</t>
  </si>
  <si>
    <t>Comune di Valva : VALVA ILLUMINAZIONE PUBBLICA</t>
  </si>
  <si>
    <t>PPP-IPU-L656-01</t>
  </si>
  <si>
    <t>Valva</t>
  </si>
  <si>
    <t>COMUNE DI VIBONATI : VIBONATI ILLUMINAZIONE PUBBLICA</t>
  </si>
  <si>
    <t>PPP-IPU-L835-01</t>
  </si>
  <si>
    <t>Vibonati</t>
  </si>
  <si>
    <t>Comune di Faenza : FaenzaILLUMINAZIONE PUBBLICA</t>
  </si>
  <si>
    <t>CL3-IPU-D458-01</t>
  </si>
  <si>
    <t>Faenza</t>
  </si>
  <si>
    <t>Comune di Mirano : IMPIANTI COMUNE DI MIRANO</t>
  </si>
  <si>
    <t>PPP-IPU-F241-01</t>
  </si>
  <si>
    <t>Mirano</t>
  </si>
  <si>
    <t>COMUNE DI RACALE : COMUNE DI RACALE ILLUMINAZIONE PUBBLICA</t>
  </si>
  <si>
    <t>PPP-IPU-H147-01</t>
  </si>
  <si>
    <t>Racale</t>
  </si>
  <si>
    <t>Comune di Olevano sul Tusciano : OLEVANO SUL TUSCIANO ILLUMINAZIONE PUBBLICA</t>
  </si>
  <si>
    <t>PPP-IPU-G023-01</t>
  </si>
  <si>
    <t>Olevano Sul Tusciano</t>
  </si>
  <si>
    <t>Comune di Acquaviva Picena - UFFICIO TECNICO URBANISTICA : ACQUAVIVA PICENA ILLUMINAZIONE PUBBLICA</t>
  </si>
  <si>
    <t>PPP-IPU-A047-01</t>
  </si>
  <si>
    <t>Acquaviva Picena</t>
  </si>
  <si>
    <t>Comune di San Chirico Nuovo : SAN CHIRICO NUOVO ILLUMINAZIONE PUBBLICA</t>
  </si>
  <si>
    <t>PPP-IPU-H795-01</t>
  </si>
  <si>
    <t>San Chirico Nuovo</t>
  </si>
  <si>
    <t>COMUNE DI COLCERESA : COLCERESA ILLUMINAZIONE PUBBLICA</t>
  </si>
  <si>
    <t>PPP-IPU-M426-01</t>
  </si>
  <si>
    <t>Colceresa</t>
  </si>
  <si>
    <t>Comune di Avigliano : AVIGLIANO ILLUMINAZIONE PUBBLICA</t>
  </si>
  <si>
    <t>PPP-IPU-A519-01</t>
  </si>
  <si>
    <t>Avigliano</t>
  </si>
  <si>
    <t>Comune di Senigallia : SenigalliaILLUMINAZIONE PUBBLICA</t>
  </si>
  <si>
    <t>CL3-IPU-I608-01</t>
  </si>
  <si>
    <t>Senigallia</t>
  </si>
  <si>
    <t>COMUNE DI FROSSASCO : IN ATI FROSSASCO ILLUMINAZIONE PUBBLICA</t>
  </si>
  <si>
    <t>ATI-IPU-D812-01</t>
  </si>
  <si>
    <t>Frossasco</t>
  </si>
  <si>
    <t>COMUNE DI COLOBRARO : COLOBRARO ILLUMINAZIONE PUBBLICA</t>
  </si>
  <si>
    <t>PPP-IPU-C888-01</t>
  </si>
  <si>
    <t>Colobraro</t>
  </si>
  <si>
    <t>Comune di Castelnuovo Cilento : CASTELNUOVO CILENTO ILLUMINAZIONE PUBBLICA</t>
  </si>
  <si>
    <t>PPP-IPU-C231-01</t>
  </si>
  <si>
    <t>Castelnuovo Cilento</t>
  </si>
  <si>
    <t>Comune di Torrevecchia : IMPIANTI COMUNE DI TORREVECCHIA PIA</t>
  </si>
  <si>
    <t>PPP-IPU-L285-01</t>
  </si>
  <si>
    <t>Torrevecchia Pia</t>
  </si>
  <si>
    <t>COMUNE DI SAN MARTINO IN PENSILIS : SAN MARTINO IN PENSILIS ILLUMINAZIONE PUBBLICA</t>
  </si>
  <si>
    <t>PPP-IPU-H990-01</t>
  </si>
  <si>
    <t>San Martino In Pensilis</t>
  </si>
  <si>
    <t>Comune di Tribiano : TribianoILLUMINAZIONE PUBBLICA</t>
  </si>
  <si>
    <t>CL3-IPU-L415-01</t>
  </si>
  <si>
    <t>Tribiano</t>
  </si>
  <si>
    <t>Comune di Cardano al Campo : Cardano al CampoILLUMINAZIONE PUBBLICA</t>
  </si>
  <si>
    <t>CL3-IPU-B754-01</t>
  </si>
  <si>
    <t>Cardano al Campo</t>
  </si>
  <si>
    <t>Comune di Mira : IMPIANTI COMUNE DI MIRA</t>
  </si>
  <si>
    <t>PPP-IPU-F229-01</t>
  </si>
  <si>
    <t>Mira</t>
  </si>
  <si>
    <t>Comune di Atri : ATRI EDIFICI ILLUMINAZIONE PUBBLICA</t>
  </si>
  <si>
    <t>PPP-IPU-A488-01</t>
  </si>
  <si>
    <t>Atri</t>
  </si>
  <si>
    <t>Comune di Novara : NovaraILLUMINAZIONE PUBBLICA</t>
  </si>
  <si>
    <t>CL3-IPU-F952-01</t>
  </si>
  <si>
    <t>VERITAS SPA : CHIOGGIA SERVIZI Chioggia Illuminazione e impianti tecnoILLUMINAZIONE PUBBLICA</t>
  </si>
  <si>
    <t>PPP-IPU-C638-01</t>
  </si>
  <si>
    <t>Chioggia</t>
  </si>
  <si>
    <t>Comune di Laviano : LAVIANO ILLUMINAZIONE PUBBLICA</t>
  </si>
  <si>
    <t>PPP-IPU-E498-01</t>
  </si>
  <si>
    <t>Laviano</t>
  </si>
  <si>
    <t>COMUNE DI SANTA MARIA DEL CEDRO : SANTA MARIA DEL CEDRO ILLUMINAZIONE PUBBLICA</t>
  </si>
  <si>
    <t>PPP-IPU-C717-01</t>
  </si>
  <si>
    <t>Comune di Carpineto Sinello - Uff. eFatturaPA : IMPIANTI COMUNE DI CARPINETO SINELLO</t>
  </si>
  <si>
    <t>PPP-IPU-B826-01</t>
  </si>
  <si>
    <t>Carpineto Sinello</t>
  </si>
  <si>
    <t>COMUNE DI SANT'ARSENIO : IN ATI SANT'ARSENIO ILLUMINAZIONE PUBBLICA</t>
  </si>
  <si>
    <t>ATI-IPU-I307-01</t>
  </si>
  <si>
    <t>Sant'Arsenio</t>
  </si>
  <si>
    <t>Comune di Castel Baronia : CASTEL BARONIA ILLUMINAZIONE PUBBLICA</t>
  </si>
  <si>
    <t>PPP-IPU-C058-01</t>
  </si>
  <si>
    <t>Castel Baronia</t>
  </si>
  <si>
    <t>Comune di Armento : ARMENTO ILLUMINAZIONE PUBBLICA</t>
  </si>
  <si>
    <t>PPP-IPU-A415-01</t>
  </si>
  <si>
    <t>Armento</t>
  </si>
  <si>
    <t>COMUNE DI MONTECORVINO ROVELLA : IN ATI MONTECORVINO ROVELLA ILLUMINAZIONE PUBBLICA</t>
  </si>
  <si>
    <t>ATI-IPU-F481-01</t>
  </si>
  <si>
    <t>Montecorvino Rovella</t>
  </si>
  <si>
    <t>COMUNE DI GAVOI : GAVOI ILLUMINAZIONE PUBBLICA</t>
  </si>
  <si>
    <t>PPP-IPU-D947-01</t>
  </si>
  <si>
    <t>Gavoi</t>
  </si>
  <si>
    <t>Comune di Cardano al Campo : Cardano al CampoEXTRA LAVORI</t>
  </si>
  <si>
    <t>EPC-IPU-B754-01</t>
  </si>
  <si>
    <t>Comune di Ostuni : OSTUNI ILLUMINAZIONE PUBBLICA</t>
  </si>
  <si>
    <t>PPP-IPU-G187-01</t>
  </si>
  <si>
    <t>Ostuni</t>
  </si>
  <si>
    <t>Comune di Barzago : BarzagoILLUMINAZIONE PUBBLICA</t>
  </si>
  <si>
    <t>CL3-IPU-A683-01</t>
  </si>
  <si>
    <t>Barzago</t>
  </si>
  <si>
    <t>Comune di Courmayeur : COURMAYEUR ILLUMINAZIONE PUBBLICA</t>
  </si>
  <si>
    <t>PPP-IPU-D012-01</t>
  </si>
  <si>
    <t>Courmayeur</t>
  </si>
  <si>
    <t>Comune di Baronissi : BARONISSI ILLUMINAZIONE PUBBLICA</t>
  </si>
  <si>
    <t>PPP-IPU-A674-01</t>
  </si>
  <si>
    <t>Baronissi</t>
  </si>
  <si>
    <t>COMUNE DI MONGRASSANO : MONGRASSANO ILLUMINAZIONE PUBBLICA</t>
  </si>
  <si>
    <t>PPP-IPU-F370-01</t>
  </si>
  <si>
    <t>Mongrassano</t>
  </si>
  <si>
    <t>Comune di Nerviano : IMPIANTI COMUNE DI NERVIANO</t>
  </si>
  <si>
    <t>PPP-IPU-F874-01</t>
  </si>
  <si>
    <t>Nerviano</t>
  </si>
  <si>
    <t>SPORT CLUB NUOVA CASALE : Sport Club Nuova Casalea.S.D</t>
  </si>
  <si>
    <t>SEC-IPU-B885-01</t>
  </si>
  <si>
    <t>Sport Club Nuova Casale</t>
  </si>
  <si>
    <t>COMUNE DI UGENTO : UGENTO ILLUMINAZIONE PUBBLICA</t>
  </si>
  <si>
    <t>PPP-IPU-L484-01</t>
  </si>
  <si>
    <t>Ugento</t>
  </si>
  <si>
    <t>Comune di Bracigliano : BRACIGLIANO ILLUMINAZIONE PUBBLICA</t>
  </si>
  <si>
    <t>PPP-IPU-B115-01</t>
  </si>
  <si>
    <t>Bracigliano</t>
  </si>
  <si>
    <t>Comune di Lettomanoppello - UFFICIO TECNICO : LETTOMANOPPELLO ILLUMINAZIONE PUBBLICA</t>
  </si>
  <si>
    <t>PPP-IPU-E558-01</t>
  </si>
  <si>
    <t>Lettomanoppello</t>
  </si>
  <si>
    <t>Comune di Mornago : MornagoILLUMINAZIONE PUBBLICA</t>
  </si>
  <si>
    <t>CL3-IPU-F736-01</t>
  </si>
  <si>
    <t>Mornago</t>
  </si>
  <si>
    <t>COMUNE DI ONIFAI : Onifai ILLUMINAZIONE PUBBLICA</t>
  </si>
  <si>
    <t>PPP-IPU-G070-01</t>
  </si>
  <si>
    <t>Onifai</t>
  </si>
  <si>
    <t>Comune di Mondolfo : MondolfoILLUMINAZIONE PUBBLICA</t>
  </si>
  <si>
    <t>CL3-IPU-F348-01</t>
  </si>
  <si>
    <t>Mondolfo</t>
  </si>
  <si>
    <t>VIER SCARL : VIER - Fotovoltaico Varitas Eco+Eco (Ecoricicli)FOTOVOLTAICO</t>
  </si>
  <si>
    <t>SEC-PHV-L736-01</t>
  </si>
  <si>
    <t>Eco+Eco srl</t>
  </si>
  <si>
    <t>Photovoltaic</t>
  </si>
  <si>
    <t>Comune di Mondolfo : Mondolfo - PPPILLUMINAZIONE PUBBLICA</t>
  </si>
  <si>
    <t>PPP-IPU-F348-01</t>
  </si>
  <si>
    <t>Comune di Pietragalla : IN ATI PIETRAGALLA ILLUMINAZIONE PUBBLICA</t>
  </si>
  <si>
    <t>ATI-IPU-G616-01</t>
  </si>
  <si>
    <t>Pietragalla</t>
  </si>
  <si>
    <t>COMUNE DI CHIOGGIA : Chioggia - Bando Sicurezza 2020VIDEOSORVEGLIANZA</t>
  </si>
  <si>
    <t>PPP-VS-C638-01</t>
  </si>
  <si>
    <t>Chioggia videosorveglianza</t>
  </si>
  <si>
    <t>Smart City</t>
  </si>
  <si>
    <t>Comune di Bresso : BressoILLUMINAZIONE PUBBLICA</t>
  </si>
  <si>
    <t>CL3-IPU-B162-01</t>
  </si>
  <si>
    <t>Bresso</t>
  </si>
  <si>
    <t>COMUNE DI CHIOGGIA : Chioggia - Bando Efficienza Edifici 2024EFFICIENTAMENTO ENERGETICO EDIFICI</t>
  </si>
  <si>
    <t>PPP-EEE-C638-01</t>
  </si>
  <si>
    <t>Comune di Arcisate : ArcisateILLUMINAZIONE PUBBLICA</t>
  </si>
  <si>
    <t>CL3-IPU-A371-01</t>
  </si>
  <si>
    <t>Arcisate</t>
  </si>
  <si>
    <t>FermignanoILLUMINAZIONE PUBBLICA</t>
  </si>
  <si>
    <t>AQ1-IPU-D541-01</t>
  </si>
  <si>
    <t>Fermignano</t>
  </si>
  <si>
    <t>AQ1</t>
  </si>
  <si>
    <t>Comune di Monteodorisio - Uff_eFatturaPA : MONTEODORISIO ILLUMINAZIONE PUBBLICA</t>
  </si>
  <si>
    <t>PPP-IPU-F582-01</t>
  </si>
  <si>
    <t>Monteodorisio</t>
  </si>
  <si>
    <t>COMUNE DI SAN GREGORIO MAGNO : IN ATI SAN GREGORIO MAGNO ILLUMINAZIONE PUBBLICA</t>
  </si>
  <si>
    <t>ATI-IPU-H943-01</t>
  </si>
  <si>
    <t>San Gregorio Magno</t>
  </si>
  <si>
    <t>Comune di Camerota : CAMEROTA ILLUMINAZIONE PUBBLICA</t>
  </si>
  <si>
    <t>PPP-IPU-B476-01</t>
  </si>
  <si>
    <t>Camerota</t>
  </si>
  <si>
    <t>COMUNE DI CASTRI DI LECCE : CASTRI DI LECCE ILLUMINAZIONE PUBBLICA</t>
  </si>
  <si>
    <t>PPP-IPU-C334-01</t>
  </si>
  <si>
    <t>Castri Di Lecce</t>
  </si>
  <si>
    <t>COMUNE DI PIANA DEGLI ALBANESI : PIANA DEGLI ALBANESI ILLUMINAZIONE PUBBLICA</t>
  </si>
  <si>
    <t>PPP-IPU-G543-01</t>
  </si>
  <si>
    <t>Albanesi</t>
  </si>
  <si>
    <t>Comune di Filiano : FILIANO ILLUMINAZIONE PUBBLICA</t>
  </si>
  <si>
    <t>PPP-IPU-D593-01</t>
  </si>
  <si>
    <t>Filiano</t>
  </si>
  <si>
    <t>COMUNE DI GIFFONI SEI CASALI : GIFFONI SEI CASALI ILLUMINAZIONE PUBBLICA</t>
  </si>
  <si>
    <t>PPP-IPU-E026-01</t>
  </si>
  <si>
    <t>Giffoni Sei Casali</t>
  </si>
  <si>
    <t>PAYANINI IMMOBILIARE S.R.L. : Payanini Center Rugby</t>
  </si>
  <si>
    <t>SEC-IPU-L781-01</t>
  </si>
  <si>
    <t>Payanini Immobiliare</t>
  </si>
  <si>
    <t>COMUNE DI SAN CESARIO DI LECCE : SAN CESARIO DI LECCE ILLUMINAZIONE PUBBLICA</t>
  </si>
  <si>
    <t>PPP-IPU-H793-01</t>
  </si>
  <si>
    <t>San Cesario Di Lecce</t>
  </si>
  <si>
    <t>COMUNE DI COGOLLO DEL CENGIO : COGOLLO DEL CENGIO ILLUMINAZIONE PUBBLICA</t>
  </si>
  <si>
    <t>PPP-IPU-C824-01</t>
  </si>
  <si>
    <t>Cogollo Del Cengio</t>
  </si>
  <si>
    <t>COMUNE DI PORTOCANNONE : PORTOCANNONE ILLUMINAZIONE PUBBLICA</t>
  </si>
  <si>
    <t>PPP-IPU-G910-01</t>
  </si>
  <si>
    <t>Portocannone</t>
  </si>
  <si>
    <t>Comune di Pretoro - SETTORE TECNICO MANUTENTIVO : PRETORO ILLUMINAZIONE PUBBLICA</t>
  </si>
  <si>
    <t>PPP-IPU-H052-01</t>
  </si>
  <si>
    <t>Pretoro</t>
  </si>
  <si>
    <t>COMUNE DI TAVIANO : COMUNE DI TAVIANO (SUSSIDIARIA) ILLUMINAZIONE PUBBLICA</t>
  </si>
  <si>
    <t>PPP-IPU-L074-01</t>
  </si>
  <si>
    <t>Taviano</t>
  </si>
  <si>
    <t>COMUNE DI ROSSANO VENETO : ROSSANO VENETO ILLUMINAZIONE PUBBLICA</t>
  </si>
  <si>
    <t>PPP-IPU-H580-01</t>
  </si>
  <si>
    <t>Rossano Veneto</t>
  </si>
  <si>
    <t>COMUNE DI PIEVE FOSCIANA : PIEVE FOSCIANA ILLUMINAZIONE PUBBLICA</t>
  </si>
  <si>
    <t>PPP-IPU-G648-01</t>
  </si>
  <si>
    <t>Pieve Fosciana</t>
  </si>
  <si>
    <t>Comune di Caravaggio : CaravaggioILLUMINAZIONE PUBBLICA</t>
  </si>
  <si>
    <t>CL3-IPU-B731-01</t>
  </si>
  <si>
    <t>Caravaggio</t>
  </si>
  <si>
    <t>Comune di Bellante - Uff_eFatturaPA : BELLANTE ILLUMINAZIONE PUBBLICA</t>
  </si>
  <si>
    <t>PPP-IPU-A746-01</t>
  </si>
  <si>
    <t>Bellante</t>
  </si>
  <si>
    <t>COMUNE DI PADULA : PADULA ILLUMINAZIONE PUBBLICA</t>
  </si>
  <si>
    <t>PPP-IPU-G226-01</t>
  </si>
  <si>
    <t>Padula</t>
  </si>
  <si>
    <t>Comune di Cerchio : CERCHIO ILLUMINAZIONE PUBBLICA</t>
  </si>
  <si>
    <t>PPP-IPU-C492-01</t>
  </si>
  <si>
    <t>Cerchio</t>
  </si>
  <si>
    <t>Comune di Picerno : PICERNO ILLUMINAZIONE PUBBLICA</t>
  </si>
  <si>
    <t>PPP-IPU-G590-01</t>
  </si>
  <si>
    <t>Picerno</t>
  </si>
  <si>
    <t>COMUNE DI SAN MARZANO SUL SARNO : SAN MARZANO SUL SARNO ILLUMINAZIONE PUBBLICA</t>
  </si>
  <si>
    <t>PPP-IPU-I019-01</t>
  </si>
  <si>
    <t>San Marzano Sul Sarno</t>
  </si>
  <si>
    <t>VERITASEFFICIENTAMENTO ENERGETICO EDIFICI</t>
  </si>
  <si>
    <t>PPP-EEE-C638-03</t>
  </si>
  <si>
    <t>Comune di Montemurro : MONTEMURRO</t>
  </si>
  <si>
    <t>SEC-IPU-F573-01</t>
  </si>
  <si>
    <t>Montemurro</t>
  </si>
  <si>
    <t>COMUNE DI VOLPIANO : IN ATI VOLPIANO ILLUMINAZIONE PUBBLICA</t>
  </si>
  <si>
    <t>ATI-IPU-M122-01</t>
  </si>
  <si>
    <t>Volpiano</t>
  </si>
  <si>
    <t>Comune di Petriano : PPP COMUNE DI PETRIANO</t>
  </si>
  <si>
    <t>PPP-IPU-G514-01</t>
  </si>
  <si>
    <t>Comune di Lanuvio - SET.1 Serv.2  PROGRAMMAZIONE, MANUTENZIONE PATRIMONIO, VERDE : LANUVIO ILLUMINAZIONE PUBBLICA</t>
  </si>
  <si>
    <t>PPP-IPU-C767-01</t>
  </si>
  <si>
    <t>Lanuvio</t>
  </si>
  <si>
    <t>COMUNE DI NOCIGLIA : Nociglia ILLUMINAZIONE PUBBLICA</t>
  </si>
  <si>
    <t>PPP-IPU-F916-01</t>
  </si>
  <si>
    <t>Nociglia</t>
  </si>
  <si>
    <t>COMUNE DI DRAGONI : DRAGONI ILLUMINAZIONE PUBBLICA</t>
  </si>
  <si>
    <t>PPP-IPU-D361-01</t>
  </si>
  <si>
    <t>Dragoni</t>
  </si>
  <si>
    <t>Comune di Civate : CivateILLUMINAZIONE PUBBLICA</t>
  </si>
  <si>
    <t>CL3-IPU-C752-01</t>
  </si>
  <si>
    <t>Civate</t>
  </si>
  <si>
    <t>COMUNE DI ASTI : ASTI ILLUMINAZIONE PUBBLICA</t>
  </si>
  <si>
    <t>PPP-IPU-A479-01</t>
  </si>
  <si>
    <t>Asti</t>
  </si>
  <si>
    <t>COMUNE DI TOLENTINO : Tolentino - Manutenzione IPILLUMINAZIONE PUBBLICA</t>
  </si>
  <si>
    <t>AQ1-IPU-L191-02</t>
  </si>
  <si>
    <t>Tolentino</t>
  </si>
  <si>
    <t>COMUNE DI BIANDRONNO : BiandronnoILLUMINAZIONE PUBBLICA</t>
  </si>
  <si>
    <t>AQ1-IPU-A845-01</t>
  </si>
  <si>
    <t>Biandronno</t>
  </si>
  <si>
    <t>COMUNE DI SALERNO : SalernoILLUMINAZIONE PUBBLICA</t>
  </si>
  <si>
    <t>CL4-IPU-H703-01</t>
  </si>
  <si>
    <t>Salerno</t>
  </si>
  <si>
    <t>CL4</t>
  </si>
  <si>
    <t>Comune di Saronno : SaronnoILLUMINAZIONE PUBBLICA</t>
  </si>
  <si>
    <t>CL3-IPU-I441-01</t>
  </si>
  <si>
    <t>Saronno</t>
  </si>
  <si>
    <t>COMUNE DI VENEZIA : Venezia PBEFFICIENTAMENTO ENERGETICO EDIFICI</t>
  </si>
  <si>
    <t>PPP-EEE-L736-01</t>
  </si>
  <si>
    <t>Venezia HM</t>
  </si>
  <si>
    <t>COMUNE DI TOLENTINO : TolentinoILLUMINAZIONE PUBBLICA</t>
  </si>
  <si>
    <t>AQ1-IPU-L191-01</t>
  </si>
  <si>
    <t>COMUNE DI TRIESTE : Trieste - PPPILLUMINAZIONE PUBBLICA</t>
  </si>
  <si>
    <t>PPP-IPU-L424-01</t>
  </si>
  <si>
    <t>Trieste</t>
  </si>
  <si>
    <t>COMUNE DI VENEZIA : Venezia PLILLUMINAZIONE PUBBLICA</t>
  </si>
  <si>
    <t>PPP-IPU-L736-02</t>
  </si>
  <si>
    <t>Venezia PL</t>
  </si>
  <si>
    <t>COMUNE DI GAVIRATE : GavirateILLUMINAZIONE PUBBLICA</t>
  </si>
  <si>
    <t>AQ1-IPU-D946-01</t>
  </si>
  <si>
    <t>Gavirate</t>
  </si>
  <si>
    <t>COMUNE DI PELLEZZANO : PELLEZZANO EXTRA LAVORI CIG: A008D7E429</t>
  </si>
  <si>
    <t>EPC-IPU-G426-02</t>
  </si>
  <si>
    <t>Comune di Fermo : FermoEXTRA LAVORI</t>
  </si>
  <si>
    <t>EPC-IPU-D542-01</t>
  </si>
  <si>
    <t>COMUNE DI VENEZIA : Venezia - Lavori per COVEDIEXTRA LAVORI</t>
  </si>
  <si>
    <t>EPC-IPU-L736-01</t>
  </si>
  <si>
    <t>Venezia</t>
  </si>
  <si>
    <t>Comune di Bresso : BRESSO EXTRA LAVORI AFF.DIRETTO SINTEL DET.925</t>
  </si>
  <si>
    <t>EPC-IPU-B162-03</t>
  </si>
  <si>
    <t>Comune di Tribiano : TribianoEXTRA LAVORI</t>
  </si>
  <si>
    <t>EPC-IPU-L415-01</t>
  </si>
  <si>
    <t>Comune di Falconara Marittima : Falconara MarittimaILLUMINAZIONE PUBBLICA</t>
  </si>
  <si>
    <t>CL3-IPU-D472-01</t>
  </si>
  <si>
    <t>Falconara Marittima</t>
  </si>
  <si>
    <t>Comune di Pietragalla : PIETRAGALLA IP EXTRA LAVORI</t>
  </si>
  <si>
    <t>EPC-IPU-G616-01</t>
  </si>
  <si>
    <t>Comune di Lanuvio - SET.1 Serv.2  PROGRAMMAZIONE, MANUTENZIONE PATRIMONIO, VERDE : LANUVIO EXTRA LAVORI</t>
  </si>
  <si>
    <t>EPC-IPU-C767-02</t>
  </si>
  <si>
    <t>COMUNE DI SANTA MARIA DEL CEDRO : SANTA MARIA DEL CEDRO IP EXTRA LAVORI</t>
  </si>
  <si>
    <t>EPC-IPU-C717-02</t>
  </si>
  <si>
    <t>Santa Maria del Cedro</t>
  </si>
  <si>
    <t>Comune di Settala : Città Metropolitana di Milano - Settala - Impianto IP SS 415EXTRA LAVORI</t>
  </si>
  <si>
    <t>EPC-IPU-I696-01</t>
  </si>
  <si>
    <t>Comune di Potenza Picena : Potenza PicenaILLUMINAZIONE PUBBLICA</t>
  </si>
  <si>
    <t>CL3-IPU-F632-01</t>
  </si>
  <si>
    <t>Potenza Picena</t>
  </si>
  <si>
    <t>Comune di Bresso : Bresso - Lavoro Privato 003 - Piazza Martiri della LiberazioneEXTRA LAVORI</t>
  </si>
  <si>
    <t>EPC-IPU-B162-01</t>
  </si>
  <si>
    <t>EXTRA LAVORI : Spot</t>
  </si>
  <si>
    <t>ILLEGNO S.R.L. : ILLEGNO SRL - LAVORI SPOT</t>
  </si>
  <si>
    <t>EPC-IPU-E951-04</t>
  </si>
  <si>
    <t>Illegno SRL</t>
  </si>
  <si>
    <t>Comune di Potenza Picena : Potenza Picena - Nuovi PL Centro Storico e P.zza MatteottiEXTRA LAVORI</t>
  </si>
  <si>
    <t>EPC-IPU-F632-02</t>
  </si>
  <si>
    <t>Comune di Gallarate : Gallarate - DUC Gallarate ShoppingEXTRA LAVORI</t>
  </si>
  <si>
    <t>EPC-IPU-D869-02</t>
  </si>
  <si>
    <t>Comune di Arluno : ARLUNO EXTRA LAVORI ROTATORIA VIA ADUA</t>
  </si>
  <si>
    <t>EPC-IPU-A413-06</t>
  </si>
  <si>
    <t>Comune di Bresso : BRESSO EXTRA LAVORI AFF.DIRETTO SINTEL DET. 382.</t>
  </si>
  <si>
    <t>EPC-IPU-B162-04</t>
  </si>
  <si>
    <t>AGORA S.R.L. : AGORA SRL-EXTRA LAVORI SPOT PISTA CICLO PED.</t>
  </si>
  <si>
    <t>EPC-IPU-F736-02</t>
  </si>
  <si>
    <t>Agora</t>
  </si>
  <si>
    <t>Comune di Montegranaro : MontegranaroILLUMINAZIONE PUBBLICA</t>
  </si>
  <si>
    <t>CL3-IPU-F522-01</t>
  </si>
  <si>
    <t>Montegranaro</t>
  </si>
  <si>
    <t>Comune di Mondolfo : Mondolfo - Ripristino Sostegni IncidentatiEXTRA LAVORI</t>
  </si>
  <si>
    <t>EPC-IPU-F348-04</t>
  </si>
  <si>
    <t>COMUNE DI MIGLIONICO : MIGLIONICO IP EXTRA CANONE</t>
  </si>
  <si>
    <t>EPC-IPU-F201-01</t>
  </si>
  <si>
    <t>Miglionico</t>
  </si>
  <si>
    <t>Comune di Saronno : Saronno - Bando ARESTEXTRA LAVORI</t>
  </si>
  <si>
    <t>EPC-IPU-I441-04</t>
  </si>
  <si>
    <t>COMUNE DI COLCERESA : COLCERESA IP EXTRA LAVORI</t>
  </si>
  <si>
    <t>EPC-IPU-M426-02</t>
  </si>
  <si>
    <t>COLCERESA</t>
  </si>
  <si>
    <t>Comune di Settala : Settala - Lavoro Privato 002 - Rotonda viale Delle industrieEXTRA LAVORI</t>
  </si>
  <si>
    <t>EPC-IPU-I696-02</t>
  </si>
  <si>
    <t>Comune di Mondolfo : Mondolfo - Man. straordinaria IP Ciclabile San GervasiEXTRA LAVORI</t>
  </si>
  <si>
    <t>EPC-IPU-F348-01</t>
  </si>
  <si>
    <t>Comune di Cagli : CagliILLUMINAZIONE PUBBLICA</t>
  </si>
  <si>
    <t>CL3-IPU-B352-01</t>
  </si>
  <si>
    <t>Cagli</t>
  </si>
  <si>
    <t>Comune di Novara : NOVARA IP EXTRA LAVORI CIG: B98ADA0C09</t>
  </si>
  <si>
    <t>EPC-IPU-F952-03</t>
  </si>
  <si>
    <t>Comune di Mariano Comense : MARIANO COMENSE EXTRA LAVORI</t>
  </si>
  <si>
    <t>EPC-IPU-E951-03</t>
  </si>
  <si>
    <t>Mariano Comense</t>
  </si>
  <si>
    <t>COMUNE DI PIANEZZE : PIANEZZE EXTRA LAVORI CIG: B9D06F6D07</t>
  </si>
  <si>
    <t>EPC-IPU-G560-03</t>
  </si>
  <si>
    <t>CHIOGGIA_SERVIZI Chioggia Illuminazione e impianti tecnoEXTRA LAVORI</t>
  </si>
  <si>
    <t>EPC-IPU-C638-01</t>
  </si>
  <si>
    <t>Comune di Montegranaro : MontegranaroEXTRA LAVORI</t>
  </si>
  <si>
    <t>EPC-IPU-F522-01</t>
  </si>
  <si>
    <t>Comune di Potenza Picena : Potenza PicenaEXTRA LAVORI</t>
  </si>
  <si>
    <t>EPC-IPU-F632-01</t>
  </si>
  <si>
    <t>Comune di Novara : NOVARA IP EXTRA LAVORI CIG: B9B66F401D</t>
  </si>
  <si>
    <t>EPC-IPU-F952-02</t>
  </si>
  <si>
    <t>COMUNE DI CHIOGGIA : CHIOGGIA SERVIZI Chioggia Illuminazione e impiantiEXTRA LAVORI</t>
  </si>
  <si>
    <t>EPC-EEE-C638-01</t>
  </si>
  <si>
    <t>COMUNE DI ORTELLE : CigB302BDD4FA ORTELLE IP EXTRA LAVORI</t>
  </si>
  <si>
    <t>EPC-IPU-G136-01</t>
  </si>
  <si>
    <t>Comune di Maratea : MARATEA IP EXTRA LAVORI</t>
  </si>
  <si>
    <t>EPC-IPU-E919-02</t>
  </si>
  <si>
    <t>Comune di Senigallia : Senigallia - Varchi VideosorveglianzaEXTRA LAVORI</t>
  </si>
  <si>
    <t>EPC-IPU-I608-04</t>
  </si>
  <si>
    <t>Comune di Faenza : FaenzaEXTRA LAVORI</t>
  </si>
  <si>
    <t>EPC-IPU-D458-01</t>
  </si>
  <si>
    <t>BEL GUARDO SRL : BEL GUARDO SRL-EXTRA LAVORI SPOT PISTA CICLO PED.</t>
  </si>
  <si>
    <t>EPC-IPU-F736-03</t>
  </si>
  <si>
    <t>Bel Guardo</t>
  </si>
  <si>
    <t>Comune di Mariano Comense : Mariano ComenseILLUMINAZIONE PUBBLICA</t>
  </si>
  <si>
    <t>CL3-IPU-E951-01</t>
  </si>
  <si>
    <t>Comune di Novara : Novara - Realizzazione Att. Pedonali per non vedentiEXTRA LAVORI</t>
  </si>
  <si>
    <t>EPC-IPU-F952-01</t>
  </si>
  <si>
    <t>- No Activity Code -</t>
  </si>
  <si>
    <t>SINISTRI</t>
  </si>
  <si>
    <t>overheads</t>
  </si>
  <si>
    <t>Other</t>
  </si>
  <si>
    <t>Overheads</t>
  </si>
  <si>
    <t>STRUTTURA BU NORD</t>
  </si>
  <si>
    <t>Comune di Filiano : Servizi Cimiteriali_Filiano</t>
  </si>
  <si>
    <t>SEC-CIM-D593-01</t>
  </si>
  <si>
    <t>Filiano PV</t>
  </si>
  <si>
    <t>Cemetary Services</t>
  </si>
  <si>
    <t>CABLAGGIO MLS</t>
  </si>
  <si>
    <t>Comune di Filiano : Fotovoltaico Filiano</t>
  </si>
  <si>
    <t>SEC-PHV-D593-01</t>
  </si>
  <si>
    <t>STRUTTURA</t>
  </si>
  <si>
    <t>Comune di Avigliano : Servizi Cimiteriali_Avigliano</t>
  </si>
  <si>
    <t>SEC-CIM-A519-01</t>
  </si>
  <si>
    <t>Avigliano PV</t>
  </si>
  <si>
    <t>Comune di Ginestra : Servizi Cimiteriali_Ginestra</t>
  </si>
  <si>
    <t>SEC-CIM-E033-01</t>
  </si>
  <si>
    <t>PREVENTIVI SELETTRA</t>
  </si>
  <si>
    <t>STRUTTURA BU CENTRO</t>
  </si>
  <si>
    <t>STRUTTURA BU SUD</t>
  </si>
  <si>
    <t>Manutenzione Mezzi Aziendali SELETTRA IP</t>
  </si>
  <si>
    <t>MANUTENZIONE MEZZI AZIENDALI</t>
  </si>
  <si>
    <t>CONSUMABILI</t>
  </si>
  <si>
    <t>STRUTTURA BU NORD OVEST</t>
  </si>
  <si>
    <t>Comune di Avigliano : Fotovoltaico Avigliano Deposito Via D. Minzoni</t>
  </si>
  <si>
    <t>SEC-PHV-A519-06</t>
  </si>
  <si>
    <t>Comune di Montalto delle Marche : Impianti Fotovoltaici Montalto delle Marche</t>
  </si>
  <si>
    <t>SEC-PHV-F415-01</t>
  </si>
  <si>
    <t>Montalto Delle Marche PV</t>
  </si>
  <si>
    <t>Comune di Paterno : Fotovoltaico Paterno</t>
  </si>
  <si>
    <t>SEC-PHV-M269-01</t>
  </si>
  <si>
    <t>Paterno PV</t>
  </si>
  <si>
    <t>Comune di Paterno : Fotovoltaico Paterno B02I275502507</t>
  </si>
  <si>
    <t>SEC-PHV-M269-03</t>
  </si>
  <si>
    <t>L104 PERMESSI</t>
  </si>
  <si>
    <t>COMUNE DI CHIOGGIA : CHIOGGIA SERVIZI Illuminazione e impianti EFFICIENTAMENTO ENERGETICO EDIFICI</t>
  </si>
  <si>
    <t>PPP-EEE-C638-02</t>
  </si>
  <si>
    <t>Comune di Sasso di Castalda : Fotovoltaico Sasso di Castalda</t>
  </si>
  <si>
    <t>SEC-PHV-I457-01</t>
  </si>
  <si>
    <t>Sasso di Castalda PV</t>
  </si>
  <si>
    <t>COMUNE DI SAN FELICE A CANCELLO : SAN FELICE A CANCELLO ILLUMINAZIONE PUBBLICA</t>
  </si>
  <si>
    <t>PPP-IPU-H834-01</t>
  </si>
  <si>
    <t>San Felice a Cancello</t>
  </si>
  <si>
    <t>Comune di Ceraso : CERASO ILLUMINAZIONE PUBBLICA</t>
  </si>
  <si>
    <t>PPP-IPU-C485-01</t>
  </si>
  <si>
    <t>Ceraso</t>
  </si>
  <si>
    <t>Comune di Avigliano : Fotovoltaico Avigliano Cimitero</t>
  </si>
  <si>
    <t>SEC-PHV-A519-05</t>
  </si>
  <si>
    <t>NUMERO VERDE</t>
  </si>
  <si>
    <t>Comune di Senigallia : Senigallia - Project 2031ILLUMINAZIONE PUBBLICA</t>
  </si>
  <si>
    <t>PPP-IPU-I608-01</t>
  </si>
  <si>
    <t>STRUTTURA BU NORD EST</t>
  </si>
  <si>
    <t>Comune di Avigliano : Fotovoltaico Avigliano B02H376389507</t>
  </si>
  <si>
    <t>SEC-PHV-A519-01</t>
  </si>
  <si>
    <t>MALATTIA</t>
  </si>
  <si>
    <t>ELETTROSYSTEM S.R.L. : ELETTROSYSTEM SRL-EXTRA LAVORI SPOT</t>
  </si>
  <si>
    <t>EPC-IPU-A683-02</t>
  </si>
  <si>
    <t>Elettrosystem</t>
  </si>
  <si>
    <t>EQUIPE S.R.L. : EQUIPE SRL-EXTRA LAVORI SPOT-MARIANO C.</t>
  </si>
  <si>
    <t>EPC-IPU-E951-08</t>
  </si>
  <si>
    <t>Equipe srl</t>
  </si>
  <si>
    <t>COMUNE DI TERZIGNO : TerzignoILLUMINAZIONE PUBBLICA</t>
  </si>
  <si>
    <t>CL4-IPU-L142-01</t>
  </si>
  <si>
    <t>Terzigno</t>
  </si>
  <si>
    <t>COMUNE DI CASAVATORE : CasavatoreILLUMINAZIONE PUBBLICA</t>
  </si>
  <si>
    <t>CL4-IPU-B946-01</t>
  </si>
  <si>
    <t>Casavatore</t>
  </si>
  <si>
    <t>COMUNE DI SAN MARCO IN LAMIS : San Marco in LamisILLUMINAZIONE PUBBLICA</t>
  </si>
  <si>
    <t>CL4-IPU-H985-01</t>
  </si>
  <si>
    <t>San Marco in Lamis</t>
  </si>
  <si>
    <t>COMUNE DI MANFREDONIA : ManfredoniaILLUMINAZIONE PUBBLICA</t>
  </si>
  <si>
    <t>CL4-IPU-E885-01</t>
  </si>
  <si>
    <t>Manfredonia</t>
  </si>
  <si>
    <t>COMUNE DI SAN NICANDRO GARGANICO : San Nicandro GarganicoILLUMINAZIONE PUBBLICA</t>
  </si>
  <si>
    <t>CL4-IPU-I054-01</t>
  </si>
  <si>
    <t>San Nicandro Garganico</t>
  </si>
  <si>
    <t>COMUNE DI SCISCIANO : SciscianoILLUMINAZIONE PUBBLICA</t>
  </si>
  <si>
    <t>CL4-IPU-I540-01</t>
  </si>
  <si>
    <t>Scisciano</t>
  </si>
  <si>
    <t>COMUNE DI CRISPANO : CrispanoILLUMINAZIONE PUBBLICA</t>
  </si>
  <si>
    <t>CL4-IPU-D170-01</t>
  </si>
  <si>
    <t>Crispano</t>
  </si>
  <si>
    <t>COMUNE DI VOLLA : VollaILLUMINAZIONE PUBBLICA</t>
  </si>
  <si>
    <t>CL4-IPU-M115-01</t>
  </si>
  <si>
    <t>Volla</t>
  </si>
  <si>
    <t>COMUNE DI MARIGLIANO : MariglianoILLUMINAZIONE PUBBLICA</t>
  </si>
  <si>
    <t>CL4-IPU-E955-01</t>
  </si>
  <si>
    <t>Marigliano</t>
  </si>
  <si>
    <t>COMUNE DI MIGLIONICO : MIGLIONICO ILLUMINAZIONE PUBBLICA</t>
  </si>
  <si>
    <t>PPP-IPU-F201-01</t>
  </si>
  <si>
    <t>COMUNE DI ACERRA : AcerraILLUMINAZIONE PUBBLICA</t>
  </si>
  <si>
    <t>CL4-IPU-A024-01</t>
  </si>
  <si>
    <t>Acerra</t>
  </si>
  <si>
    <t>Comune di Calitri : CALITRI ILLUMINAZIONE PUBBLICA</t>
  </si>
  <si>
    <t>PPP-IPU-B415-01</t>
  </si>
  <si>
    <t>Calitri</t>
  </si>
  <si>
    <t>Comune di Foggia : FoggiaILLUMINAZIONE PUBBLICA</t>
  </si>
  <si>
    <t>CL4-IPU-D643-01</t>
  </si>
  <si>
    <t>Foggia</t>
  </si>
  <si>
    <t>COMUNE DI CASANDRINO : CasandrinoILLUMINAZIONE PUBBLICA</t>
  </si>
  <si>
    <t>CL4-IPU-B925-01</t>
  </si>
  <si>
    <t>Casandrino</t>
  </si>
  <si>
    <t>COMUNE DI POGGIOMARINO : PoggiomarinoILLUMINAZIONE PUBBLICA</t>
  </si>
  <si>
    <t>CL4-IPU-G762-01</t>
  </si>
  <si>
    <t>Poggiomarino</t>
  </si>
  <si>
    <t>COMUNE DI PALMA CAMPANIA : Palma CampaniaILLUMINAZIONE PUBBLICA</t>
  </si>
  <si>
    <t>CL4-IPU-G283-01</t>
  </si>
  <si>
    <t>Palma Campania</t>
  </si>
  <si>
    <t>Comune di Macerata : MacerataILLUMINAZIONE PUBBLICA</t>
  </si>
  <si>
    <t>CL3-IPU-E783-01</t>
  </si>
  <si>
    <t>Macerata</t>
  </si>
  <si>
    <t>ASILO INFANTILE E. GIANTURCO : FV ASILO INFANTILE LAVORI SPOT</t>
  </si>
  <si>
    <t>EPC-IPU-A519-04</t>
  </si>
  <si>
    <t>E. GIANTURCO</t>
  </si>
  <si>
    <t>VIER SCARL : Fotovoltaico Prog. Hydrogen ValleyOne off Works</t>
  </si>
  <si>
    <t>EPC-PHV-L736-03</t>
  </si>
  <si>
    <t>PV H2 ex- Alcoa</t>
  </si>
  <si>
    <t>COMUNE DI BUGUGGIATE : Buguggiate LAVORI SPOT</t>
  </si>
  <si>
    <t>EPC-IPU-B258-01</t>
  </si>
  <si>
    <t>Buguggiate</t>
  </si>
  <si>
    <t>COMUNE DI TRECCHINA : TRECCHINA LAVORI SPOT</t>
  </si>
  <si>
    <t>EPC-IPU-L357-01</t>
  </si>
  <si>
    <t>Trecchina</t>
  </si>
  <si>
    <t>Comune di Paterno : PATERNO LAVORI SPOT</t>
  </si>
  <si>
    <t>EPC-IPU-M269-04</t>
  </si>
  <si>
    <t>Paterno</t>
  </si>
  <si>
    <t>COSTRUZIONI ACOCELLA  S.R.L. : COSTRUZIONI ACOCELLA LAVORI SPOT</t>
  </si>
  <si>
    <t>EPC-IPU-C058-01</t>
  </si>
  <si>
    <t>Costruzioni Acocella</t>
  </si>
  <si>
    <t>VERITAS SPA : Sacca San BiagioOne off Works</t>
  </si>
  <si>
    <t>EPC-EEE-L736-01</t>
  </si>
  <si>
    <t>Sacca San Biagio</t>
  </si>
  <si>
    <t>PROVINCIA DI MONZA E BRIANZA : Provincia di MB - Servizi e Provviste IT e IP (2° Contratto Attuativo)Oneoff Works</t>
  </si>
  <si>
    <t>EPC-IPU-F704-03</t>
  </si>
  <si>
    <t>Provincia di Monza e Brianza</t>
  </si>
  <si>
    <t>COMUNE DI SAUZE DI CESANA : Comune di Sauze di Cesana EXTRA LAVORI SPOT</t>
  </si>
  <si>
    <t>EPC-IPU-I465-01</t>
  </si>
  <si>
    <t>Sauze Di Cesana</t>
  </si>
  <si>
    <t>ICG SRL : ICG SRL LAVORI SPOT</t>
  </si>
  <si>
    <t>EPC-IPU-E716-05</t>
  </si>
  <si>
    <t>ICG srl</t>
  </si>
  <si>
    <t>Comune di Pisticci : PISTICCI LAVORI SPOT</t>
  </si>
  <si>
    <t>EPC-IPU-G712-01</t>
  </si>
  <si>
    <t>Pisticci</t>
  </si>
  <si>
    <t>IMPRESA FAJO S.R.L. : IMPRESA FAJO SRL - LAVORI SPOT</t>
  </si>
  <si>
    <t>EPC-IPU-E951-05</t>
  </si>
  <si>
    <t>Fajo</t>
  </si>
  <si>
    <t>AGRATE BRIANZA SMART CITY SRL : AGRATE BRIANZA LAVORI SPOT</t>
  </si>
  <si>
    <t>SEC-IPU-A087-01</t>
  </si>
  <si>
    <t>Agrate Brianza</t>
  </si>
  <si>
    <t>COMUNE DI BASIANO : BASIANO LAVORI SPOT</t>
  </si>
  <si>
    <t>EPC-IPU-A697-02</t>
  </si>
  <si>
    <t>Basiano</t>
  </si>
  <si>
    <t>VIER SCARL : Fotovoltaico VIER Cà SolaroOne off Works</t>
  </si>
  <si>
    <t>EPC-PHV-L736-02</t>
  </si>
  <si>
    <t>Vier (Ca' Solaro)</t>
  </si>
  <si>
    <t>EPC-IPU-F704-04</t>
  </si>
  <si>
    <t>LA FENICE GROUP S.R.L. : LA FENICE GROUP SRL - LAVORI SPOT</t>
  </si>
  <si>
    <t>EPC-IPU-A512-01</t>
  </si>
  <si>
    <t>La Fenice</t>
  </si>
  <si>
    <t>IMPRESA COSTRUZIONI ING. E. PASQUALUCCI SRL : IMPRESA COSTRUZIONI ING. E.PASQUALUCCI SRL</t>
  </si>
  <si>
    <t>EPC-IPU-B162-02</t>
  </si>
  <si>
    <t>COSTRUZIONI ING. E. PASQUALUCCI SRL</t>
  </si>
  <si>
    <t>COMUNE DI GUARDIA PERTICARA : GUARDIA PERTICARA IP EXTRA LAVORI SPOT CIG: B748D21257</t>
  </si>
  <si>
    <t>EPC-IPU-E246-03</t>
  </si>
  <si>
    <t>GUARDIA PERTICARA</t>
  </si>
  <si>
    <t>DELTA IMPIANTI SRL : DELTA IMPIANTI SRL - LAVORI SPOT</t>
  </si>
  <si>
    <t>EPC-IPU-E906-01</t>
  </si>
  <si>
    <t>Delta Impianti srl</t>
  </si>
  <si>
    <t>Comune di Nerviano : COMUNE DI NERVIANO EXTRA LAVORI SPOT</t>
  </si>
  <si>
    <t>EPC-IPU-F874-01</t>
  </si>
  <si>
    <t>COMUNE DI PAGANI : PAGANI LAVORI SPOT</t>
  </si>
  <si>
    <t>PPP-IPU-G230-02</t>
  </si>
  <si>
    <t>Pagani</t>
  </si>
  <si>
    <t>DANILO CONSONNI : CONSONNI DANILO - LAVORI SPOT</t>
  </si>
  <si>
    <t>EPC-IPU-B731-02</t>
  </si>
  <si>
    <t>Danilo Consonni</t>
  </si>
  <si>
    <t>Genera</t>
  </si>
  <si>
    <t>SPEZZANO ALBANESE SMART CITY S.R.L. : SPEZZANO ALBANESE LAVORI SPOT</t>
  </si>
  <si>
    <t>SEC-IPU-I895-01</t>
  </si>
  <si>
    <t>Spezzano Albanese</t>
  </si>
  <si>
    <t>LOGIODICE SRL : LOGIODICE SRL EXTRA LAVORI SPOT</t>
  </si>
  <si>
    <t>EPC-IPU-D010-01</t>
  </si>
  <si>
    <t>Logidice srl</t>
  </si>
  <si>
    <t>Comune di Claviere - Uff_eFatturaPA : CLAVIERE EXTRA LAVORI SPOT</t>
  </si>
  <si>
    <t>EPC-IPU-C793-01</t>
  </si>
  <si>
    <t>Claviere</t>
  </si>
  <si>
    <t>COMUNE DI CRISPIANO : CRISPIANO ILLUMINAZIONE PUBBLICA</t>
  </si>
  <si>
    <t>PPP-IPU-D171-01</t>
  </si>
  <si>
    <t>Crispiano</t>
  </si>
  <si>
    <t>Comune di Lizzano : LIZZANO ILLUMINAZIONE PUBBLICA</t>
  </si>
  <si>
    <t>PPP-IPU-E630-01</t>
  </si>
  <si>
    <t>Lizzano</t>
  </si>
  <si>
    <t>COMUNE DI SPEZZANO ALBANESE : SPEZZANO ILLUMINAZIONE PUBBLICA</t>
  </si>
  <si>
    <t>PPP-IPU-I895-01</t>
  </si>
  <si>
    <t>COMUNE DI CROSIA : CROSIA ILLUMINAZIONE PUBBLICA</t>
  </si>
  <si>
    <t>PPP-IPU-D184-01</t>
  </si>
  <si>
    <t>Crosia</t>
  </si>
  <si>
    <t>Future Service</t>
  </si>
  <si>
    <t>COMUNE DI PULSANO : PULSANO (SUSSIDIARIA) ILLUMINAZIONE PUBBLICA</t>
  </si>
  <si>
    <t>PPP-IPU-H090-01</t>
  </si>
  <si>
    <t>Pulsano</t>
  </si>
  <si>
    <t>VERITAS SPA : CHIOGGIA VERITAS</t>
  </si>
  <si>
    <t>PPP-IPU-C638-05</t>
  </si>
  <si>
    <t>Comune di Tribiano : TRIBIANO EXTRA LAV.-VIA PAPA GIOVANNO XXIII</t>
  </si>
  <si>
    <t>EPC-IPU-L415-04</t>
  </si>
  <si>
    <t>Comune di Pietragalla : PIETRAGALLA ILLUMINAZIONE PUBBLICA</t>
  </si>
  <si>
    <t>PPP-IPU-G616-01</t>
  </si>
  <si>
    <t>COMUNE DI PRESICCE - ACQUARICA : PRESICCE-ACQUARICA ILLUMINAZIONE PUBBLICA</t>
  </si>
  <si>
    <t>PPP-IPU-M428-01</t>
  </si>
  <si>
    <t>Comune di Fiesso d'Artico : IMPIANTI COMUNE DI FIESSO</t>
  </si>
  <si>
    <t>PPP-IPU-D578-01</t>
  </si>
  <si>
    <t>Fiesso d'Artico</t>
  </si>
  <si>
    <t>CITTA' METROPOLITANA DI VENEZIA I SMART CITY S.R.L. : Impianti Citta Metropolitana di VeneziaILLUMINAZIONE PUBBLICA</t>
  </si>
  <si>
    <t>PPP-IPU-L736-01</t>
  </si>
  <si>
    <t>COMUNE DI MELISSANO : COMUNE DI MELISSANO CigB295F38818 ILLUMINAZIONE PUBBLICA</t>
  </si>
  <si>
    <t>PPP-IPU-F109-01</t>
  </si>
  <si>
    <t>COMUNE DI SAN GIULIANO MILANESE : SAN GIULIANO MILANESE ILLUMINAZIONE PUBBLICA</t>
  </si>
  <si>
    <t>PPP-IPU-H930-01</t>
  </si>
  <si>
    <t>COMUNE DI MEOLO : MEOLO ILLUMINAZIONE PUBBLICA</t>
  </si>
  <si>
    <t>PPP-IPU-F130-01</t>
  </si>
  <si>
    <t>Meolo</t>
  </si>
  <si>
    <t>NO ACTIVITY CODE</t>
  </si>
  <si>
    <t>COMUNE DI PULSANO : PULSANO ILLUMINAZIONE PUBBLICA</t>
  </si>
  <si>
    <t>EPC-IPU-H090-01</t>
  </si>
  <si>
    <t>COMUNE DI TOLENTINO : Tolentino - Manutenzione IPEXTRA LAVORI</t>
  </si>
  <si>
    <t>EPC-IPU-L191-01</t>
  </si>
  <si>
    <t>COMUNE DI BRINDISI DI MONTAGNA : BRINDISI DI MONTAGNA ILLUMINAZIONE PUBBLICA</t>
  </si>
  <si>
    <t>PPP-IPU-B181-01</t>
  </si>
  <si>
    <t>Brindisi di Montagna</t>
  </si>
  <si>
    <t>Comune di Canegrate : CANEGRATE ILLUMINAZIONE PUBBLICA</t>
  </si>
  <si>
    <t>PPP-IPU-B593-01</t>
  </si>
  <si>
    <t>COMUNE DI SAN DONA' DI PIAVE : SAN DONA' DI PIAVE ILLUMINAZIONE PUBBLICA</t>
  </si>
  <si>
    <t>PPP-IPU-H823-01</t>
  </si>
  <si>
    <t>San Donà di Piave</t>
  </si>
  <si>
    <t>COMUNE DI FOSSALTA DI PIAVE : FOSSALTA DI PIAVE ILLUMINAZIONE PUBBLICA</t>
  </si>
  <si>
    <t>PPP-IPU-D740-01</t>
  </si>
  <si>
    <t>Fossalta di Piave</t>
  </si>
  <si>
    <t>Comune di Rescaldina : RescaldinaEXTRA LAVORI</t>
  </si>
  <si>
    <t>EPC-IPU-H240-01</t>
  </si>
  <si>
    <t>Comune di Tribiano : TRIBIANO EXTRA LAV.DET 152 CIG BABDFC1085 I.P.</t>
  </si>
  <si>
    <t>EPC-IPU-L415-05</t>
  </si>
  <si>
    <t>Comune di Alliste : EFFICIENTAMENTO ENERGETICO ALLISTE</t>
  </si>
  <si>
    <t>PPP-EEE-A208-02</t>
  </si>
  <si>
    <t>COMUNE DI CEGGIA : CEGGIA ILLUMINAZIONE PUBBLICA</t>
  </si>
  <si>
    <t>PPP-IPU-C422-01</t>
  </si>
  <si>
    <t>Ceggia</t>
  </si>
  <si>
    <t>Comune di Arluno : Arluno - Lavoro Privato 002 - Tigros Pista CiclabileEXTRA LAVORI</t>
  </si>
  <si>
    <t>EPC-IPU-A413-03</t>
  </si>
  <si>
    <t>Comune di Mondolfo : MONDOLFO EXTRA LAVORI CIG: BA1E91D593</t>
  </si>
  <si>
    <t>EPC-IPU-F348-05</t>
  </si>
  <si>
    <t>Comune di Arluno : ARLUNO EXTRA LAVORI CIG: B95104AF85</t>
  </si>
  <si>
    <t>EPC-IPU-A413-05</t>
  </si>
  <si>
    <t>COMUNE DI SAN GIULIANO MILANESE : SAN GIULIANO-EXTRA LAV-ADEG. TECNICO DEGLI IMPIANTI DI P.I.</t>
  </si>
  <si>
    <t>EPC-IPU-H930-02</t>
  </si>
  <si>
    <t>Comune di Tribiano : Comune di Tribiano - IP Ciclopedonale Canale Addetta</t>
  </si>
  <si>
    <t>EPC-IPU-L415-02</t>
  </si>
  <si>
    <t>Comune di Mariano Comense : MARIANO COMENSE EXTRA LAVORI MAN.ORD E STR.</t>
  </si>
  <si>
    <t>EPC-IPU-E951-07</t>
  </si>
  <si>
    <t>Comune di Bella : BELLA EXTRA LAVORI</t>
  </si>
  <si>
    <t>EPC-IPU-A743-07</t>
  </si>
  <si>
    <t>COMUNE DI CRISPIANO : CRISPIANO EXTRA LAVORI CIG: B91930F18F</t>
  </si>
  <si>
    <t>EPC-IPU-D171-02</t>
  </si>
  <si>
    <t>COMUNE DI SAN GIULIANO MILANESE : SAN GIULIANO MILANESE-EXTRA LAVORI VIA DELLA PACE</t>
  </si>
  <si>
    <t>EPC-IPU-H930-03</t>
  </si>
  <si>
    <t>Comune di Tribiano : TRIBIANO-EXTRA LAVORI-AMPLIAMENTO RETE</t>
  </si>
  <si>
    <t>EPC-IPU-L415-03</t>
  </si>
  <si>
    <t>COMUNE DI PALMA CAMPANIA : Palma CampaniaEXTRA LAVORI</t>
  </si>
  <si>
    <t>EPC-IPU-G283-01</t>
  </si>
  <si>
    <t>GENERICO</t>
  </si>
  <si>
    <t>COMUNE DI MASATE : MASATE EXTRA LAVORI SPOT CIG: B926209EF9</t>
  </si>
  <si>
    <t>EPC-IPU-F003-01</t>
  </si>
  <si>
    <t>Masate</t>
  </si>
  <si>
    <t>VIER SCARL : VIER SCARL - ACCORDO QUADRO</t>
  </si>
  <si>
    <t>EPC-PHV-L736-04</t>
  </si>
  <si>
    <t>Comune di Mira : MIRA EXTRA LAVORI SPOT</t>
  </si>
  <si>
    <t>EPC-IPU-F229-01</t>
  </si>
  <si>
    <t>Comune di Fosso' : FOSSO' LAVORI SPOT CIG: B78D5BF75C</t>
  </si>
  <si>
    <t>EPC-IPU-D748-02</t>
  </si>
  <si>
    <t>Comune di Montemurro : CIGB42C05B373 MONTEMURRO LAVORI SPOT</t>
  </si>
  <si>
    <t>EPC-IPU-F573-07</t>
  </si>
  <si>
    <t>SILVANO RENATO : SMALTIMENTO SILVANO RENATO POTENZA LAVORI SPOT</t>
  </si>
  <si>
    <t>EPC-IPU-G942-02</t>
  </si>
  <si>
    <t>Silvano Renato</t>
  </si>
  <si>
    <t>Comune di Torrevecchia : TORREVECCHIA PIA EXTRA LAVORI SPOT CIG: B9520157EB</t>
  </si>
  <si>
    <t>EPC-IPU-L285-02</t>
  </si>
  <si>
    <t>Comune di Sant'Egidio del Monte Albino : SANT'EGIDIO DEL MONTE ALBINO LAVORI SPOT</t>
  </si>
  <si>
    <t>EPC-IPU-I317-02</t>
  </si>
  <si>
    <t>Sant'Egidio del Monte Albino</t>
  </si>
  <si>
    <t>EFFEBI COSTRUZIONI SRL : TOLENTINO EXTRA LAV.VIA BORGO FORO</t>
  </si>
  <si>
    <t>EPC-IPU-L191-05</t>
  </si>
  <si>
    <t>Comune di Arluno : Arluno - Ripristino impianto rotatoria Via Adua / per TurbigoEXTRA LAVORI</t>
  </si>
  <si>
    <t>EPC-IPU-A413-01</t>
  </si>
  <si>
    <t>STEFANO RUBETTI : ARLUNO EXTRA LAVORI - RUBETTI STEFANO</t>
  </si>
  <si>
    <t>EPC-IPU-A413-07</t>
  </si>
  <si>
    <t>FERIE</t>
  </si>
  <si>
    <t>MATERNITA'</t>
  </si>
  <si>
    <t>Comune di Filiano : Fotovoltaico Filiano B02H273751807</t>
  </si>
  <si>
    <t>SEC-PHV-D593-04</t>
  </si>
  <si>
    <t>CRUCIANELLI REST EDILE SRL : TOLENTINO EXTRA LAV.VIA MONTECAVALLO</t>
  </si>
  <si>
    <t>EPC-IPU-L191-07</t>
  </si>
  <si>
    <t>Comune di Filiano : Fotovoltaico Filiano B02H273756607</t>
  </si>
  <si>
    <t>SEC-PHV-D593-05</t>
  </si>
  <si>
    <t>Comune di Avigliano : Fotovoltaico Piano del Conte Deposito Comunale</t>
  </si>
  <si>
    <t>SEC-PHV-A519-07</t>
  </si>
  <si>
    <t>Comune di Avigliano : Fotovoltaico Asilo Nido Guido Rossa</t>
  </si>
  <si>
    <t>SEC-PHV-A519-08</t>
  </si>
  <si>
    <t>CRUCIANELLI REST EDILE SRL : TOLENTINO EXTRA LAV.VIA VALPORRO</t>
  </si>
  <si>
    <t>EPC-IPU-L191-06</t>
  </si>
  <si>
    <t>Chioggia - Bando Sicurezza 2020EXTRA LAVORI</t>
  </si>
  <si>
    <t>EPC-VS-C638-01</t>
  </si>
  <si>
    <t>COMUNE DI CAMPI SALENTINA : EFFICIENTAMENTO ENERGETICO EDIFICI LOTTO 1 E.L.EN.A.</t>
  </si>
  <si>
    <t>PPP-EEE-B506-01</t>
  </si>
  <si>
    <t>COVEDI SCARL : COVEDI EFFICIENTAMENTO ENERGETICO EDIFICI</t>
  </si>
  <si>
    <t>PPP-EEE-L736-02</t>
  </si>
  <si>
    <t>EPC-IPU-M428-01</t>
  </si>
  <si>
    <t>VERITAS SPA : Monitoraggio Fotovoltaico VeritasILLUMINAZIONE PUBBLICA</t>
  </si>
  <si>
    <t>PPP-IPU-C638-02</t>
  </si>
  <si>
    <t>COMUNE DI RACALE : COMUNE DI RACALE (SUSSIDIARIA) ILLUMINAZIONE PUBBLICA</t>
  </si>
  <si>
    <t>PPP-IPU-H147-02</t>
  </si>
  <si>
    <t>Comune di Francavilla Marittima : FRANCAVILLA MARITTIMA ILLUMINAZIONE PUBBLICA</t>
  </si>
  <si>
    <t>PPP-IPU-D764-01</t>
  </si>
  <si>
    <t>Francavilla Marittima</t>
  </si>
  <si>
    <t>Comune di Bella : CigB20B805DCA BELLA IP EXTRA LAVORI</t>
  </si>
  <si>
    <t>EPC-IPU-A743-04</t>
  </si>
  <si>
    <t>COMUNE DI TRIESTE : Trieste - EPCEXTRA LAVORI</t>
  </si>
  <si>
    <t>EPC-IPU-L424-01</t>
  </si>
  <si>
    <t>COMUNE DI SAN MARTINO IN PENSILIS : SAN MARTINO IN PENSILIS IP EXTRA LAVORI</t>
  </si>
  <si>
    <t>EPC-IPU-H990-01</t>
  </si>
  <si>
    <t>Comune di Petriano : Petriano - Manutenzione IP / 01.07.2025 - 30.06.2026EXTRA LAVORI</t>
  </si>
  <si>
    <t>EPC-IPU-G514-01</t>
  </si>
  <si>
    <t>COMUNE DI PULSANO : PULSANO (SUSSIDIARIA) EXTRA LAVORI</t>
  </si>
  <si>
    <t>EPC-IPU-H090-02</t>
  </si>
  <si>
    <t>Comune di Marsico Nuovo : MARSICO NUOVO IP EXTRA LAVORI</t>
  </si>
  <si>
    <t>EPC-IPU-E976-01</t>
  </si>
  <si>
    <t>COMUNE DI POGGIOMARINO : POGGIOMARINO EXTRA LAVORI MAN.STRAORD</t>
  </si>
  <si>
    <t>EPC-IPU-G762-01</t>
  </si>
  <si>
    <t>Comune di Bresso : BRESSO EXT LAV MAN STRAORD SINTEL DET.383 CIG B6EB628195</t>
  </si>
  <si>
    <t>EPC-IPU-B162-05</t>
  </si>
  <si>
    <t>COVEDI SCARL : COVEDI EXTRA LAVORI EFF ENERGETICO EDIFICI</t>
  </si>
  <si>
    <t>EPC-EEE-L736-02</t>
  </si>
  <si>
    <t>Comune di Mariano Comense : MARIANO COMENSE EXTRA LAVORI PARCHEGGIO E PARCO</t>
  </si>
  <si>
    <t>EPC-IPU-E951-06</t>
  </si>
  <si>
    <t>COMUNE DI GIUGGIANELLO : CigB30BEB313B GIUGGIANELLO IP EXTRA LAVORI</t>
  </si>
  <si>
    <t>EPC-IPU-E053-01</t>
  </si>
  <si>
    <t>Comune di Castelnuovo Cilento : CASTELNUOVO CILENTO IP EXTRA LAVORI</t>
  </si>
  <si>
    <t>EPC-IPU-C231-02</t>
  </si>
  <si>
    <t>Venezia - Lavori diretti per ComuneEXTRA LAVORI</t>
  </si>
  <si>
    <t>EPC-IPU-L736-02</t>
  </si>
  <si>
    <t>COMUNE DI TOLENTINO : Tolentino - Manutenzione IP (ricostruzione sisma 2016)EXTRA LAVORI</t>
  </si>
  <si>
    <t>EPC-IPU-L191-02</t>
  </si>
  <si>
    <t>Comune di Potenza Picena : POTENZA PICENA EXTRA LAVORI - DEFIBRILLATORI</t>
  </si>
  <si>
    <t>EPC-IPU-F632-03</t>
  </si>
  <si>
    <t>Comune di Origgio : ORIGGIO - EXTRA LAVORI - VIA OTTOLINI RIQUALIFICAZIONE</t>
  </si>
  <si>
    <t>EPC-IPU-G103-02</t>
  </si>
  <si>
    <t>Comune di Senigallia : SENIGALLIA EXTRA LAV DET.531 PALINA SEMAFORICA</t>
  </si>
  <si>
    <t>EPC-IPU-I608-05</t>
  </si>
  <si>
    <t>EPC-IPU-F704-02</t>
  </si>
  <si>
    <t>EDIL CONDOTTE SRL : EDIL CONDOTTE SRL EXTRA LAVORI SPOT</t>
  </si>
  <si>
    <t>EPC-IPU-L124-01</t>
  </si>
  <si>
    <t>Edil Condotte srl</t>
  </si>
  <si>
    <t>UBALDI LUCIANA : EXTRA LAVORI SPOT UBALDI LUCIANA</t>
  </si>
  <si>
    <t>EPC-IPU-M367-02</t>
  </si>
  <si>
    <t>Ubaldi Luciana</t>
  </si>
  <si>
    <t>Comune di Mondolfo : MONDOLFO EXTRA LAVORI CIG B8DFE2BD2C</t>
  </si>
  <si>
    <t>EPC-IPU-F348-06</t>
  </si>
  <si>
    <t>C.A. GROUP SRL : EXTRA LAVORI SPOT C.A GROUP SRL</t>
  </si>
  <si>
    <t>EPC-IPU-I332-02</t>
  </si>
  <si>
    <t>C.A. Group</t>
  </si>
  <si>
    <t>MENNEKES ELECTRIC ITALIA SRL : MENNEKES ELCTRIC ITALIA SRL LAVORI SPOT</t>
  </si>
  <si>
    <t>EPC-IPU-F205-01</t>
  </si>
  <si>
    <t>Mennekes Electric Italia Srl</t>
  </si>
  <si>
    <t>DE LUCA AMALIA : EXTRA LAVORI SPOT DE LUCA AMALIA</t>
  </si>
  <si>
    <t>EPC-IPU-G878-02</t>
  </si>
  <si>
    <t>De Luca Amalia</t>
  </si>
  <si>
    <t>SOREM FORNITURE SRL : SOREM FORNITURE SRL LAVORI SPOT</t>
  </si>
  <si>
    <t>EPC-IPU-I089-01</t>
  </si>
  <si>
    <t>Sorem Forniture</t>
  </si>
  <si>
    <t>DONDI COSTRUZIONI SRL : EXTRA LAVORO SPOT DONDI COSTRUZIONI SRL</t>
  </si>
  <si>
    <t>EPC-IPU-L285-01</t>
  </si>
  <si>
    <t>Dondi Costruzioni</t>
  </si>
  <si>
    <t>Comune di Avigliano : Fotovoltaico Avigliano SSP00283122</t>
  </si>
  <si>
    <t>SEC-PHV-A519-02</t>
  </si>
  <si>
    <t>Comune di Paterno : Fotovoltaico Paterno B02H275501907</t>
  </si>
  <si>
    <t>SEC-PHV-M269-02</t>
  </si>
  <si>
    <t>Comune di Filiano : Fotovoltaico Filiano B02H273719907</t>
  </si>
  <si>
    <t>SEC-PHV-D593-02</t>
  </si>
  <si>
    <t>COMUNE DI VENEZIA : COVEDI EXTRA LAVORI EFF ENERGETICO ILL PUB</t>
  </si>
  <si>
    <t>Comune di Potenza Picena : POTENZA PICENA EXTRA LAV. DET.04/92 CIG BBA46C821C</t>
  </si>
  <si>
    <t>EPC-IPU-F632-06</t>
  </si>
  <si>
    <t>COMUNE DI MUSILE DI PIAVE : MUSILE DI PIAVE ILLUMINAZIONE PUBBLICA</t>
  </si>
  <si>
    <t>PPP-IPU-F826-01</t>
  </si>
  <si>
    <t>Musile di Piave</t>
  </si>
  <si>
    <t>AMARCORD SNC DI ARISTIDE E TELESCA : AMARCORD ARISTIDE E TELESCA LAVORI SPOT</t>
  </si>
  <si>
    <t>EPC-IPU-G942-10</t>
  </si>
  <si>
    <t>Amarcord</t>
  </si>
  <si>
    <t>COMUNE DI BASIANO : BASIANO EXTRA LAVORI SPOT CIG:BA23A0CF6C</t>
  </si>
  <si>
    <t>EPC-IPU-A697-03</t>
  </si>
  <si>
    <t>DANIELE POSCA : EXTRA LAVORI SPOT LEZZENO POSCA DANIELE</t>
  </si>
  <si>
    <t>EPC-IPU-E569-04</t>
  </si>
  <si>
    <t>Damniele Posca</t>
  </si>
  <si>
    <t>METAPLAST GRT SRL : SMALTIMENTO METAPLAST GRT SRL LAVORI SPOT</t>
  </si>
  <si>
    <t>EPC-IPU-I457-01</t>
  </si>
  <si>
    <t>Metaplast</t>
  </si>
  <si>
    <t>IREN GREEN GENERATION TECH SRL : IREN GREEN GENERATION TECH SRL EXTRA LAVORI SPOT</t>
  </si>
  <si>
    <t>EPC-IPU-L219-01</t>
  </si>
  <si>
    <t>Iren Green Generation</t>
  </si>
  <si>
    <t>MARIA AULICINO : AULICINO MARIA LAVORI SPOT</t>
  </si>
  <si>
    <t>EPC-IPU-C717-03</t>
  </si>
  <si>
    <t>Maria Aulicino</t>
  </si>
  <si>
    <t>EDILGORNATI SRL : ARLUNO EXTRA LAV.SPOT VIA CASTIGLIONI</t>
  </si>
  <si>
    <t>EPC-IPU-A413-08</t>
  </si>
  <si>
    <t>Edilgornati</t>
  </si>
  <si>
    <t>EDILGIFA DI FABI ANNALISA : EDILGIFA DI FABI ANNALISA EXTRA LAVORI SPOT</t>
  </si>
  <si>
    <t>EPC-IPU-E976-08</t>
  </si>
  <si>
    <t>Edilgifa</t>
  </si>
  <si>
    <t>COMITATO FESTA SANTA REPARATA : EXTRA LAVORI SPOT COMITATO S.REPARATA</t>
  </si>
  <si>
    <t>EPC-IPU-A488-02</t>
  </si>
  <si>
    <t>Santa reparata</t>
  </si>
  <si>
    <t>DRV Group Construction S.r.l. : ROVELLO PORRO EX. LAV.PIANO ATTUATIVO VIA VERDI</t>
  </si>
  <si>
    <t>EPC-IPU-H602-02</t>
  </si>
  <si>
    <t>DRV</t>
  </si>
  <si>
    <t>PROVINCIA DI MONZA E BRIANZA : Provincia di Monza Brianza - Servizi e Provviste IT e IP</t>
  </si>
  <si>
    <t>EPC-IPU-F704-01</t>
  </si>
  <si>
    <t>Comune di Potenza Picena : POTENZA PICENA EXTRA LAVORI DET.199</t>
  </si>
  <si>
    <t>EPC-IPU-F632-04</t>
  </si>
  <si>
    <t>Comune di Gallarate : GALLARATE EXTRA LAVORI DET.320 VIA ALEARDI</t>
  </si>
  <si>
    <t>EPC-IPU-D869-03</t>
  </si>
  <si>
    <t>Comune di Novara : NOVARA EXTRA LAVORI DET.143 CIG B8A917D7AF</t>
  </si>
  <si>
    <t>EPC-IPU-F952-04</t>
  </si>
  <si>
    <t>Comune di Lucera : LUCERA EXTRA LAVORI VIDEOSORVEGLIANZA</t>
  </si>
  <si>
    <t>EPC-IPU-E716-06</t>
  </si>
  <si>
    <t>Comune di Mondolfo : MONDOLFO EX.LAV.VIA MONTECIAPELLANO E VIA SALVEMINI CIG:BB2B172795</t>
  </si>
  <si>
    <t>EPC-IPU-F348-07</t>
  </si>
  <si>
    <t>COMUNE DI SAN GIULIANO MILANESE : S.GIULIANO MILANESE EX. LAV.DET.936 POD VOLTURATI E CESSATI</t>
  </si>
  <si>
    <t>EPC-IPU-H930-04</t>
  </si>
  <si>
    <t>Comune di Potenza Picena : POTENZA PICENA EXTRA LAVORI DET.256</t>
  </si>
  <si>
    <t>EPC-IPU-F632-05</t>
  </si>
  <si>
    <t>COMUNE DI COLOBRARO : COLOBRARO IP EXTRA LAVORI</t>
  </si>
  <si>
    <t>EPC-IPU-C888-02</t>
  </si>
  <si>
    <t>COMUNE DI SAN MARZANO DI SAN GIUSEPPE : SAN MARZANO DI SAN GIUSEPPE ILLUMINAZIONE PUBBLICA</t>
  </si>
  <si>
    <t>PPP-IPU-I018-01</t>
  </si>
  <si>
    <t>San Marzano di San Giuseppe</t>
  </si>
  <si>
    <t>COMUNE DI RIVOLI : RIVOLI ILLUMINAZIONE PUBBLICA</t>
  </si>
  <si>
    <t>PPP-IPU-H355-01</t>
  </si>
  <si>
    <t>Rivoli</t>
  </si>
  <si>
    <t>COMUNE DI COPERTINO : FOTOVOLTAICO COPERTINO 1</t>
  </si>
  <si>
    <t>SEC-PHV-C978-01</t>
  </si>
  <si>
    <t>Copertino 1</t>
  </si>
  <si>
    <t>Comune di Saronno : SARONNO ILLUMINAZIONE PUBBLICA</t>
  </si>
  <si>
    <t>PPP-IPU-I441-01</t>
  </si>
  <si>
    <t>Comune di Falconara Marittima : Falconara MarittimaEXTRA LAVORI</t>
  </si>
  <si>
    <t>EPC-IPU-D472-01</t>
  </si>
  <si>
    <t>Falconara Marittima Consip</t>
  </si>
  <si>
    <t>COMUNE DI FRANCAVILLA AL MARE : Francavilla al Mare ILLUMINAZIONE PUBBLICA</t>
  </si>
  <si>
    <t>PPP-IPU-D763-01</t>
  </si>
  <si>
    <t>Francavilla al Mare</t>
  </si>
  <si>
    <t>Comune di Caravaggio : CaravaggioEXTRA LAVORI</t>
  </si>
  <si>
    <t>EPC-IPU-B731-01</t>
  </si>
  <si>
    <t>COMUNE DI MONTORIO AL VOMANO : FOTOVOLTAICO MONTORIO AL VOMANO 3</t>
  </si>
  <si>
    <t>SEC-PHV-F690-02</t>
  </si>
  <si>
    <t>Montorio 3</t>
  </si>
  <si>
    <t>COVEDI SCARL : COVEDI MANUTENZIONE ILLUMINAZIONE PUBBLICA</t>
  </si>
  <si>
    <t>PPP-IPU-L736-03</t>
  </si>
  <si>
    <t>CHIOGGIA SERVIZI SOC. CONS. ARL : CHIOGGIA_SERVIZI Chioggia Ill. e impianti tecnoEXTRA LAVORI</t>
  </si>
  <si>
    <t>HYPO VORARLBERG IMMO ITALIA S.R.L. : HYPO VORARLBERG IMMO ITALIA S.R.L. LAVORI SPOT</t>
  </si>
  <si>
    <t>EPC-IPU-A952-01</t>
  </si>
  <si>
    <t>HYPO VORARLBERG IMMO ITALIA S.R.L.</t>
  </si>
  <si>
    <t>SANTUARIO DIOCESANO DI S. RITA : EXTRA LAVORI SPOT SANTUARIO S.RITA ATRI</t>
  </si>
  <si>
    <t>EPC-IPU-A488-03</t>
  </si>
  <si>
    <t>COMUNE DI GUARDIA PERTICARA : GUARDIA PERTICARA IP EXTRA LAVORI SPOT CIG: BACF5E149D</t>
  </si>
  <si>
    <t>EPC-IPU-E246-04</t>
  </si>
  <si>
    <t>Guardia Perticara</t>
  </si>
  <si>
    <t>CONSORZIO URBANIZZAZIONE ANNUNZIATA : CONSORZIO URBANIZZAZIONE ANNUNZIATA LAVORI SPOT</t>
  </si>
  <si>
    <t>EPC-IPU-G023-04</t>
  </si>
  <si>
    <t>Olevano sul Tusciano</t>
  </si>
  <si>
    <t>F.lli Di Carlo S.r.l. : F.lli di Carlo S.r.l. LAVORI SPOT</t>
  </si>
  <si>
    <t>EPC-IPU-E716-03</t>
  </si>
  <si>
    <t>COMUNE DI VIBONATI : VIBONATI IP EXTRA LAVORI</t>
  </si>
  <si>
    <t>EPC-IPU-L835-02</t>
  </si>
  <si>
    <t>COMUNE DI SAN MARZANO SUL SARNO : SAN MARZANO SUL SARNO ILLUMINAZIONE PUBBLICA EXTRA</t>
  </si>
  <si>
    <t>EPC-IPU-I019-02</t>
  </si>
  <si>
    <t>San Marzano sul Sarno</t>
  </si>
  <si>
    <t>COMUNE DI COGOLLO DEL CENGIO : COGOLLO DEL CENGIO IP EXTRA LAVORI</t>
  </si>
  <si>
    <t>EPC-IPU-C824-02</t>
  </si>
  <si>
    <t>Cogollo del Cengio</t>
  </si>
  <si>
    <t>COMUNE DI NOVA SIRI : NOVA SIRI EXTRA LAVORO CIG:BBE70F5824</t>
  </si>
  <si>
    <t>EPC-IPU-A942-03</t>
  </si>
  <si>
    <t>Comune di Gallarate : GALLARATE EXTRA LAVORI VIA PIETRO DA GALLARATE</t>
  </si>
  <si>
    <t>EPC-IPU-D869-05</t>
  </si>
  <si>
    <t>COMUNE DI TRIBIANO : TRIBIANO EXTRA LAVORI DET 634</t>
  </si>
  <si>
    <t>EPC-IPU-L415-08</t>
  </si>
  <si>
    <t>COMUNE DI COLOBRARO : COLOBRARO IP EXTRA LAVORI CASTELLO E CONVENTO</t>
  </si>
  <si>
    <t>EPC-IPU-C888-03</t>
  </si>
  <si>
    <t>Comune di Sasso di Castalda : SASSO DI CASTALDA IP EXTRA LAVORI CIG: BBDF25E10C</t>
  </si>
  <si>
    <t>EPC-IPU-I457-05</t>
  </si>
  <si>
    <t>Sasso di Castalda</t>
  </si>
  <si>
    <t>Comune di Avigliano : AVIGLIANO EXTRA LAVORI</t>
  </si>
  <si>
    <t>EPC-IPU-A519-05</t>
  </si>
  <si>
    <t>COMUNE DI TRIBIANO : TRIBIANO EXTRA LAVORI DET.346</t>
  </si>
  <si>
    <t>EPC-IPU-L415-07</t>
  </si>
  <si>
    <t>COMUNE DI SANT'ARCANGELO : SANT'ARCANGELO IP EXTRA LAVORI CIG: BB6FF6C8D1</t>
  </si>
  <si>
    <t>EPC-IPU-I305-03</t>
  </si>
  <si>
    <t>Comune di Gallarate : GALLARATE EXTRA LAVORI VIA BERTACCHI</t>
  </si>
  <si>
    <t>EPC-IPU-D869-04</t>
  </si>
  <si>
    <t>BRESSO EXTRA LAV MANUT IMP ILL DET.344</t>
  </si>
  <si>
    <t>EPC-IPU-B162-06</t>
  </si>
  <si>
    <t>Comune di Fermo : FERMO EXTRA LAV DET.1197 CIG B9D1D0D7B0</t>
  </si>
  <si>
    <t>EPC-IPU-D542-02</t>
  </si>
  <si>
    <t>Comune di Senigallia : Senigallia - Nuovi PL zone varieEXTRA LAVORI</t>
  </si>
  <si>
    <t>EPC-IPU-I608-01</t>
  </si>
  <si>
    <t>COMUNE DI TRIBIANO : TRIBIANO EXTRA LAVORI DET.203</t>
  </si>
  <si>
    <t>EPC-IPU-L415-06</t>
  </si>
  <si>
    <t>Comune di Filiano : Fotovoltaico Filiano B02H273755807</t>
  </si>
  <si>
    <t>SEC-PHV-D593-06</t>
  </si>
  <si>
    <t>Comune di Filiano : Fotovoltaico Filiano B02H273882507</t>
  </si>
  <si>
    <t>SEC-PHV-D593-07</t>
  </si>
  <si>
    <t>Comune di Filiano : Fotovoltaico Filiano B02H273886307</t>
  </si>
  <si>
    <t>SEC-PHV-D593-08</t>
  </si>
  <si>
    <t>COMUNE DI COLOBRARO : Cig927222849A COLOBRARO IP EXTRA LAVORI</t>
  </si>
  <si>
    <t>EPC-IPU-C888-01</t>
  </si>
  <si>
    <t>San Cesario di Lecce (Pj Elena)</t>
  </si>
  <si>
    <t>Comune di Sasso di Castalda : SASSO DI CASTALDA IP EXTRA LAVORI</t>
  </si>
  <si>
    <t>EPC-IPU-I457-02</t>
  </si>
  <si>
    <t>Chioggia 2020</t>
  </si>
  <si>
    <t>Operation &amp; Maintenance</t>
  </si>
  <si>
    <t>Unknown</t>
  </si>
  <si>
    <t>Spot</t>
  </si>
  <si>
    <t>Comune di Barzago : BARZAGO EXTRA LAV. DET. 39 CIG 7190617CDA</t>
  </si>
  <si>
    <t>EPC-IPU-A683-03</t>
  </si>
  <si>
    <t>Samsic</t>
  </si>
  <si>
    <t>COMUNE DI SECUGNAGO : SECUGNAGO ILLUMINAZIONE PUBBLICA</t>
  </si>
  <si>
    <t>PPP-IPU-I561-01</t>
  </si>
  <si>
    <t>Secugnago</t>
  </si>
  <si>
    <t>Associazione Culturale LDS Liberi di Suonare : ASSOCIAZIONE CULTURALE LDS LANUVIO</t>
  </si>
  <si>
    <t>EPC-IPU-C767-04</t>
  </si>
  <si>
    <t>Associazione Culturale Lds Liberi di Suonare</t>
  </si>
  <si>
    <t>TIGROS SERVIZI IMMOBILIARI SRL : ARLUNO EXTRA LAVORI SPOT - TIGROS</t>
  </si>
  <si>
    <t>EPC-IPU-A413-09</t>
  </si>
  <si>
    <t>Tigros Servizi Immobiliari Srl</t>
  </si>
  <si>
    <t>COMUNE DI AVEZZANO : FOTOVOLTAICO AVEZZANO 4</t>
  </si>
  <si>
    <t>SEC-PHV-A515-02</t>
  </si>
  <si>
    <t>Avezzano</t>
  </si>
  <si>
    <t>INNOVA APS : INNOVA APS LANUVIO spot</t>
  </si>
  <si>
    <t>EPC-IPU-C767-03</t>
  </si>
  <si>
    <t>Innova Aps</t>
  </si>
  <si>
    <t>COMUNE DI CALVANICO : CALVANICO ILLUMINAZIONE PUBBLICA</t>
  </si>
  <si>
    <t>PPP-IPU-B437-01</t>
  </si>
  <si>
    <t>Calvanico</t>
  </si>
  <si>
    <t>CHIOGGIA SERVIZI SOC. CONS. ARL : CHIOGGIA - SPESE GESTIONE - CHIOGGIA SERVIZI</t>
  </si>
  <si>
    <t>EPC-IPU-C638-02</t>
  </si>
  <si>
    <t>Chioggia Servizi Soc. Cons. Arl</t>
  </si>
  <si>
    <t>TROIANO S.A.S DI TROIANO FELICIANO &amp; C : TROIANO S.A.S DI TROIANO FELICIANO &amp; C LAVORI SPOT</t>
  </si>
  <si>
    <t>EPC-IPU-H641-02</t>
  </si>
  <si>
    <t>Troiano S.a.s di Troiano Feliciano &amp; C</t>
  </si>
  <si>
    <t>Comune di Senigallia : SENIGALLIA EX.LAVORI DET 292 SS ADRIATICA</t>
  </si>
  <si>
    <t>EPC-IPU-I608-06</t>
  </si>
  <si>
    <t>COMUNE DI SANT'ARCANGELO : SANT'ARCANGELO IP EXTRA LAVORI CIG: BBDBBCFB1A</t>
  </si>
  <si>
    <t>EPC-IPU-I305-05</t>
  </si>
  <si>
    <t>COMUNE DI SANT'ARSENIO : SANT'ARSENIO EXTRA LAVORI CIG: BC1463DD84</t>
  </si>
  <si>
    <t>EPC-IPU-I307-05</t>
  </si>
  <si>
    <t>Sant'arsenio</t>
  </si>
  <si>
    <t>Comune di Albinea : AlbineaEXTRA LAVORI</t>
  </si>
  <si>
    <t>EPC-IPU-A162-01</t>
  </si>
  <si>
    <t>COMUNE DI BORGOROSE : FOTOVOLTAICO BORGOROSE</t>
  </si>
  <si>
    <t>SEC-PHV-B008-01</t>
  </si>
  <si>
    <t>Borgorose</t>
  </si>
  <si>
    <t>Comune di Pisticci : PISTICCI ILLUMINAZIONE PUBBLICA</t>
  </si>
  <si>
    <t>PPP-IPU-G712-01</t>
  </si>
  <si>
    <t>CHIOGGIA SERVIZI SOC. CONS. ARL : CHIOGGIA SERVIZI EFF.ENERGETICO EDIFICI</t>
  </si>
  <si>
    <t>PPP-EEE-C638-04</t>
  </si>
  <si>
    <t>COMUNE DI SANTO STEFANO LODIGIANO : SANTO STEFANO LODIGIANO ILLUMINAZIONE PUBBLICA</t>
  </si>
  <si>
    <t>PPP-IPU-I362-01</t>
  </si>
  <si>
    <t>Santo Stefano Lodigiano</t>
  </si>
  <si>
    <t>GUFFANTI A. SPA : ROVELLASCA EXTRA LAVORI SPOT - GUFFANTI A. SPA</t>
  </si>
  <si>
    <t>EPC-IPU-H601-02</t>
  </si>
  <si>
    <t>Guffanti A. Spa</t>
  </si>
  <si>
    <t>COMUNE DI PORTOCANNONE : PORTOCANNONE IP EXTRA LAVORI</t>
  </si>
  <si>
    <t>EPC-IPU-G910-01</t>
  </si>
  <si>
    <t>Comune di Santa Maria di Sala : IMPIANTI COMUNE DI SANTA MARIA DI SALA</t>
  </si>
  <si>
    <t>PPP-IPU-I242-01</t>
  </si>
  <si>
    <t>Santa Maria di Sala</t>
  </si>
  <si>
    <t>COMUNE DI GUARDIA PERTICARA : GUARDIA PERTICARA IP LAVORI SPOT CIG: BC5C763938</t>
  </si>
  <si>
    <t>EPC-IPU-E246-05</t>
  </si>
  <si>
    <t>COMUNE DI TRECCHINA : TRECCHINA LAVORI SPOT CIG: BCA9953041</t>
  </si>
  <si>
    <t>EPC-IPU-L357-02</t>
  </si>
  <si>
    <t>Comune di Fermo : FERMO EXTRA LAVORI DET.647 CIG BC4845A580</t>
  </si>
  <si>
    <t>EPC-IPU-D542-04</t>
  </si>
  <si>
    <t>Comune di Bresso : BRESSO EX.LAV. DET 534 IP P.ZA MARTIRI FOSSE ARDEATINE</t>
  </si>
  <si>
    <t>EPC-IPU-B162-08</t>
  </si>
  <si>
    <t>Comune di Spotorno : SPOTORNO ILLUMINAZIONE PUBBLICA</t>
  </si>
  <si>
    <t>PPP-IPU-I926-01</t>
  </si>
  <si>
    <t>Spotorno</t>
  </si>
  <si>
    <t>COMUNE DI ROMAGNANO SESIA : ROMAGNANO SESIA ILLUMINAZIONE PUBBLICA</t>
  </si>
  <si>
    <t>PPP-IPU-H502-01</t>
  </si>
  <si>
    <t>Romagnano Sesia</t>
  </si>
  <si>
    <t>PPP-IPU-D269-02</t>
  </si>
  <si>
    <t>Comune di Paterno : PATERNO ILLUMINAZIONE PUBBLICA</t>
  </si>
  <si>
    <t>PPP-IPU-M269-01</t>
  </si>
  <si>
    <t>COMUNE DI SANT'ARSENIO : SANT'ARSENIO EXTRA LAVORI CIG: BBF81320A2</t>
  </si>
  <si>
    <t>EPC-IPU-I307-04</t>
  </si>
  <si>
    <t>Comune di Avigliano : Fotovoltaico Avigliano FER006229</t>
  </si>
  <si>
    <t>SEC-PHV-A519-04</t>
  </si>
  <si>
    <t>COMUNE DI VENEZIA - VIDEOSORVEGLIANZA</t>
  </si>
  <si>
    <t>EPC-VS-L736-01</t>
  </si>
  <si>
    <t>Venezia - Videosorveglianza</t>
  </si>
  <si>
    <t>COMUNE DI LORO CIUFFENNA : LORO CIUFFENNA ILLUMINAZIONE PUBBLICA</t>
  </si>
  <si>
    <t>PPP-IPU-E693-01</t>
  </si>
  <si>
    <t>Loro Ciuffenna</t>
  </si>
  <si>
    <t>COMUNE DI RIVA ROSSA : RIVAROSSA ILLUMINAZIONE PUBBLICA</t>
  </si>
  <si>
    <t>PPP-IPU-H344-01</t>
  </si>
  <si>
    <t>Rivarossa</t>
  </si>
  <si>
    <t>COMUNE DI SANT'ARCANGELO : SANT'ARCANGELO IP EXTRA LAVORI CIG: BC5213BB66</t>
  </si>
  <si>
    <t>EPC-IPU-I305-04</t>
  </si>
  <si>
    <t>COMUNE DI TAVIANO : TAVIANO ILLUMINAZIONE PUBBLICA</t>
  </si>
  <si>
    <t>EPC-IPU-L074-01</t>
  </si>
  <si>
    <t>Comune di Vedano Olona : Vedano Olona - Installazione PL per APL Via per VenegonoEXTRA LAVORI</t>
  </si>
  <si>
    <t>EPC-IPU-L703-01</t>
  </si>
  <si>
    <t>Vedano Olona</t>
  </si>
  <si>
    <t>Comune di Novara : NOVARA EXTRA LAVORI EX ENEL SOLE</t>
  </si>
  <si>
    <t>EPC-IPU-F952-05</t>
  </si>
  <si>
    <t>REGIONE MARCHE GIUNTA REGIONALE : REGIONE MARCHE  - EXTRA LAVORI</t>
  </si>
  <si>
    <t>EPC-IPU-A271-01</t>
  </si>
  <si>
    <t>Regione Marche Giunta Regionale</t>
  </si>
  <si>
    <t>COMUNE DI CHIOGGIA : CHIOGGIA PALAZZO GRANAIO INFINITY CIG.BC46FCDFF9</t>
  </si>
  <si>
    <t>EPC-EEE-C638-02</t>
  </si>
  <si>
    <t>Comune di Montemurro : MONTEMURRO LAVORI SPOT CIG: BC5FBBBB3F</t>
  </si>
  <si>
    <t>EPC-IPU-F573-08</t>
  </si>
  <si>
    <t>Comune di Bussi sul Tirino - ufficio tecnico : BUSSI SUL TIRINO EXTRA LAVORI cig BA72B01F91</t>
  </si>
  <si>
    <t>EPC-EEE-B294-05</t>
  </si>
  <si>
    <t>Bussi sul Tirino - Ufficio Tecnico</t>
  </si>
  <si>
    <t>COMUNE DI SANTA MARIA DEL CEDRO : SANTA MARIA DEL CEDRO EXTRA LAVORI CIG: BC329BBB0E</t>
  </si>
  <si>
    <t>EPC-IPU-C717-04</t>
  </si>
  <si>
    <t>PROVINCIA DI MONZA E BRIANZA : PROVINCIA MB EX.LAV RIPRISTINO IMP.ELT. CIG BC1AF535C2</t>
  </si>
  <si>
    <t>EPC-IPU-F704-05</t>
  </si>
  <si>
    <t>Comune di Sasso di Castalda : SASSO DI CASTALDA IP EXTRA LAVORI CIG: BC4986D656</t>
  </si>
  <si>
    <t>EPC-IPU-I457-06</t>
  </si>
  <si>
    <t>COMUNE DI TORRE D'ISOLA : TORRE D'ISOLA ILLUMINAZIONE PUBBLICA</t>
  </si>
  <si>
    <t>PPP-IPU-L269-01</t>
  </si>
  <si>
    <t>Torre D'isola</t>
  </si>
  <si>
    <t>Comune di Senigallia : SENIGALLIA EXTRA LAVORI INCIDENTE VIA PO</t>
  </si>
  <si>
    <t>EPC-IPU-I608-08</t>
  </si>
  <si>
    <t>Condominio Pian Fiorito : PINEROLO EX.LAV SPOT CONDOMINIO PIAN FIORITO</t>
  </si>
  <si>
    <t>EPC-IPU-G674-02</t>
  </si>
  <si>
    <t>Condominio Pian Fiorito</t>
  </si>
  <si>
    <t>COMUNE DI RIONERO IN VULTURE : IP EXTRA LAVORI RIONERO IN VOLTURE IP EXTRA LAVORI</t>
  </si>
  <si>
    <t>EPC-IPU-H307-01</t>
  </si>
  <si>
    <t>Rionero in Vulture</t>
  </si>
  <si>
    <t>Alfano Luce</t>
  </si>
  <si>
    <t>COMUNE DI SOMMA VESUVIANA : SOMMA VESUVIANA EXTRA LAVORI</t>
  </si>
  <si>
    <t>EPC-IPU-I820-01</t>
  </si>
  <si>
    <t>Somma Vesuviana</t>
  </si>
  <si>
    <t>NUOVA ATLANTIDE-PICCOLA SOC. COOP.A R.L. : NUOVA ATLANTIDE-PICCOLA SOC. COOP.A R.L. LAVORI SPOT</t>
  </si>
  <si>
    <t>EPC-IPU-A017-02</t>
  </si>
  <si>
    <t>Nuova Atlantide-Piccola Soc. Coop.a R.l.</t>
  </si>
  <si>
    <t>Comune di Senigallia : SENIGALLIA EXTRA LAVORI INCIDENTE VIA LEOPARDI</t>
  </si>
  <si>
    <t>EPC-IPU-I608-07</t>
  </si>
  <si>
    <t>Comune di Acquaviva Picena - UFFICIO TECNICO URBANISTICA : ACQUAVIVA PICENA EXTRA LAVORI</t>
  </si>
  <si>
    <t>EPC-IPU-A047-01</t>
  </si>
  <si>
    <t>Acquaviva Picena - Ufficio Tecnico Urbanistica</t>
  </si>
  <si>
    <t>COMUNE DI SANT'ARSENIO : SANT'ARSENIO EXTRA LAVORI CIG: B6CD7C38F5</t>
  </si>
  <si>
    <t>EPC-IPU-I307-02</t>
  </si>
  <si>
    <t>COMUNE DI MASSALENGO : MASSALENGO ILLUMINAZIONE PUBBLICA</t>
  </si>
  <si>
    <t>PPP-IPU-F028-01</t>
  </si>
  <si>
    <t>Massalengo</t>
  </si>
  <si>
    <t>Construction</t>
  </si>
  <si>
    <t>Construction &amp; Operational</t>
  </si>
  <si>
    <t>Sì/No</t>
  </si>
  <si>
    <t>Type of service</t>
  </si>
  <si>
    <t>Type of Contract</t>
  </si>
  <si>
    <t>Dettaglio commessa</t>
  </si>
  <si>
    <t>04 - Materiali</t>
  </si>
  <si>
    <t>02 - Servizi</t>
  </si>
  <si>
    <t>03 - Manodopera</t>
  </si>
  <si>
    <t>01 - Oneri</t>
  </si>
  <si>
    <t>Totale</t>
  </si>
  <si>
    <t>% ATI</t>
  </si>
  <si>
    <t>Capitalizzazioni</t>
  </si>
  <si>
    <t>Capitalizzazione + Costi indiretti</t>
  </si>
  <si>
    <t>Società</t>
  </si>
  <si>
    <t>già Presente</t>
  </si>
  <si>
    <t>SGP</t>
  </si>
  <si>
    <t>SEC-PHV-A515-01</t>
  </si>
  <si>
    <t>diretti</t>
  </si>
  <si>
    <t>COMUNE DI AVEZZANO : FOTOVOLTAICO AVEZZANO 3</t>
  </si>
  <si>
    <t>Sinergia</t>
  </si>
  <si>
    <t>SEC-PHV-A515-03</t>
  </si>
  <si>
    <t>COMUNE DI AVEZZANO : FOTOVOLTAICO AVEZZANO 5</t>
  </si>
  <si>
    <t>SEC-PHV-B506-05</t>
  </si>
  <si>
    <t>COMUNE DI CAMPI SALENTINA : FOTOVOLTAICO CAMPI SALENTINA 1</t>
  </si>
  <si>
    <t>SEC-PHV-B792-01</t>
  </si>
  <si>
    <t>Carmiano</t>
  </si>
  <si>
    <t>COMUNE DI CARMIANO : FOTOVOLTAICO CARMIANO</t>
  </si>
  <si>
    <t>SEC-PHV-C844-01</t>
  </si>
  <si>
    <t>Collarmele</t>
  </si>
  <si>
    <t>COMUNE DI COLLARMELE : FOTOVOLTAICO COLLARMELE</t>
  </si>
  <si>
    <t>Copertino</t>
  </si>
  <si>
    <t>SEC-PHV-C978-02</t>
  </si>
  <si>
    <t>COMUNE DI COPERTINO : FOTOVOLTAICO COPERTINO 2</t>
  </si>
  <si>
    <t>SEC-PHV-C999-01</t>
  </si>
  <si>
    <t>Corfinio</t>
  </si>
  <si>
    <t>COMUNE DI CORFINIO : FOTOVOLTAICO CORFINIO</t>
  </si>
  <si>
    <t>SEC-PHV-E058-01</t>
  </si>
  <si>
    <t>Giulianova</t>
  </si>
  <si>
    <t>COMUNE DI GIULIANOVA : FOTOVOLTAICO GIULIANOVA</t>
  </si>
  <si>
    <t>SEC-PHV-F690-01</t>
  </si>
  <si>
    <t>Montorio al Vomano</t>
  </si>
  <si>
    <t>COMUNE DI MONTORIO AL VOMANO : FOTOVOLTAICO MONTORIO AL VOMANO 1</t>
  </si>
  <si>
    <t>SEC-PHV-F690-03</t>
  </si>
  <si>
    <t>COMUNE DI MONTORIO AL VOMANO : FOTOVOLTAICO MONTORIO AL VOMANO 4</t>
  </si>
  <si>
    <t>SEC-PHV-I553-02</t>
  </si>
  <si>
    <t>COMUNE DI SCURCOLA MARSICANA : FOTOVOLTAICO SCURCOLA 1</t>
  </si>
  <si>
    <t>SEC-PHV-L074-02</t>
  </si>
  <si>
    <t>COMUNE DI TAVIANO : FOTOVOLTAICO TAVIANO 2</t>
  </si>
  <si>
    <t>SEC-PHV-H166-01</t>
  </si>
  <si>
    <t>Raiano</t>
  </si>
  <si>
    <t>COMUNE DI RAIANO : FOTOVOLTAICO RAIANO 1</t>
  </si>
  <si>
    <t>SEC-PHV-H166-02</t>
  </si>
  <si>
    <t>COMUNE DI RAIANO : FOTOVOLTAICO RAIANO 2</t>
  </si>
  <si>
    <t>SEC-PHV-L419-01</t>
  </si>
  <si>
    <t>Tricase</t>
  </si>
  <si>
    <t>COMUNE DI TRICASE : FOTOVOLTAICO TRICASE</t>
  </si>
  <si>
    <t>SEC-PHV-F158-02</t>
  </si>
  <si>
    <t>MESSINA</t>
  </si>
  <si>
    <t>COMUNE DI MESSINA : FOTOVOLTAICO MESSINA</t>
  </si>
  <si>
    <t>SEC-PHV-H882-01</t>
  </si>
  <si>
    <t>San Giorgio Ionico</t>
  </si>
  <si>
    <t>COMUNE DI SAN GIORGIO IONICO : FOTOVOLTAICO SAN GIORGIO IONICO</t>
  </si>
  <si>
    <t>SEC-PHV-D593-09</t>
  </si>
  <si>
    <t>Comune di Filiano : Fotovoltaico Filiano SSP00071973</t>
  </si>
  <si>
    <t>indiretti</t>
  </si>
  <si>
    <t>PPP-IPU-B357-01</t>
  </si>
  <si>
    <t xml:space="preserve">CAGNANO VARANO </t>
  </si>
  <si>
    <t>VARANO</t>
  </si>
  <si>
    <t xml:space="preserve"> CAGNANO VARANO ILLUMINAZIONE PUBBLICA</t>
  </si>
  <si>
    <t>PREPARATION</t>
  </si>
  <si>
    <t>Civismart</t>
  </si>
  <si>
    <t>PPP-IPU-A122-01</t>
  </si>
  <si>
    <t xml:space="preserve">COMUNE DI ALASSIO </t>
  </si>
  <si>
    <t>Alassio</t>
  </si>
  <si>
    <t xml:space="preserve"> ALASSIO ILLUMINAZIONE PUBBLICA</t>
  </si>
  <si>
    <t xml:space="preserve">Comune di Avigliano </t>
  </si>
  <si>
    <t xml:space="preserve"> AVIGLIANO ILLUMINAZIONE PUBBLICA</t>
  </si>
  <si>
    <t>CONSTRUCTION</t>
  </si>
  <si>
    <t>Selettra</t>
  </si>
  <si>
    <t xml:space="preserve">Comune di Baronissi </t>
  </si>
  <si>
    <t xml:space="preserve"> BARONISSI ILLUMINAZIONE PUBBLICA</t>
  </si>
  <si>
    <t>CONSTRUCTION : Construction &amp; Operational</t>
  </si>
  <si>
    <t xml:space="preserve">Comune di Bellante - Uff_eFatturaPA </t>
  </si>
  <si>
    <t xml:space="preserve"> BELLANTE ILLUMINAZIONE PUBBLICA</t>
  </si>
  <si>
    <t>Ottima</t>
  </si>
  <si>
    <t>PPP-IPU-A991-01</t>
  </si>
  <si>
    <t xml:space="preserve">COMUNE DI BORGETTO </t>
  </si>
  <si>
    <t>Borgetto</t>
  </si>
  <si>
    <t xml:space="preserve"> Borgetto ILLUMINAZIONE PUBBLICA</t>
  </si>
  <si>
    <t>PPP-IPU-B429-01</t>
  </si>
  <si>
    <t xml:space="preserve">COMUNE DI CALTANISSETTA </t>
  </si>
  <si>
    <t>Caltanissetta</t>
  </si>
  <si>
    <t xml:space="preserve"> CALTANISSETTA ILLUMINAZIONE PUBBLICA</t>
  </si>
  <si>
    <t xml:space="preserve">COMUNE DI CALVANICO </t>
  </si>
  <si>
    <t>CALVANICO</t>
  </si>
  <si>
    <t xml:space="preserve"> CALVANICO ILLUMINAZIONE PUBBLICA</t>
  </si>
  <si>
    <t>PPP-EEE-B506-02</t>
  </si>
  <si>
    <t xml:space="preserve">COMUNE DI CAMPI SALENTINA </t>
  </si>
  <si>
    <t>CAMPI SALENTINA</t>
  </si>
  <si>
    <t xml:space="preserve"> EFFICIENTAMENTO ENERGETICO EDIFICI LOTTO 2 E.L.EN.A.</t>
  </si>
  <si>
    <t>CONSTRUCTION : Construction</t>
  </si>
  <si>
    <t xml:space="preserve"> CAMPI SALENTINA ILLUMINAZIONE PUBBLICA</t>
  </si>
  <si>
    <t xml:space="preserve"> EFFICIENTAMENTO ENERGETICO EDIFICI LOTTO 4 E.L.EN.A.</t>
  </si>
  <si>
    <t>PPP-EEE-B506-03</t>
  </si>
  <si>
    <t xml:space="preserve"> EFFICIENTAMENTO ENERGETICO EDIFICI LOTTO 3 E.L.EN.A.</t>
  </si>
  <si>
    <t xml:space="preserve"> EFFICIENTAMENTO ENERGETICO EDIFICI LOTTO 1 E.L.EN.A.</t>
  </si>
  <si>
    <t>PPP-IPU-B521-01</t>
  </si>
  <si>
    <t xml:space="preserve">COMUNE DI CAMPOBELLO DI MAZARA </t>
  </si>
  <si>
    <t>CAMPOBELLO DI MAZARA</t>
  </si>
  <si>
    <t xml:space="preserve"> CAMPOBELLO DI MAZARA ILLUMINAZIONE PUBBLICA</t>
  </si>
  <si>
    <t xml:space="preserve">Comune di Canegrate </t>
  </si>
  <si>
    <t xml:space="preserve"> CANEGRATE ILLUMINAZIONE PUBBLICA</t>
  </si>
  <si>
    <t>PPP-IPU-B619-01</t>
  </si>
  <si>
    <t xml:space="preserve">COMUNE DI CANOSA DI PUGLIA </t>
  </si>
  <si>
    <t>Canosa Di Puglia</t>
  </si>
  <si>
    <t xml:space="preserve"> CANOSA DI PUGLIA ILLUMINAZIONE PUBBLICA</t>
  </si>
  <si>
    <t xml:space="preserve">COMUNE DI CANTALUPA </t>
  </si>
  <si>
    <t xml:space="preserve"> IN ATI CANTALUPA ILLUMINAZIONE PUBBLICA</t>
  </si>
  <si>
    <t xml:space="preserve">Comune di Carpineto Sinello - Uff. eFatturaPA </t>
  </si>
  <si>
    <t xml:space="preserve"> IMPIANTI COMUNE DI CARPINETO SINELLO</t>
  </si>
  <si>
    <t xml:space="preserve">COMUNE DI CASELLE IN PITTARI </t>
  </si>
  <si>
    <t>Caselle in Pittari</t>
  </si>
  <si>
    <t xml:space="preserve"> CASELLE IN PITTARI ILLUMINAZIONE PUBBLICA</t>
  </si>
  <si>
    <t>PPP-IPU-C130-01</t>
  </si>
  <si>
    <t xml:space="preserve">COMUNE DI CASTELLAMMARE DEL GOLFO </t>
  </si>
  <si>
    <t>CASTELLAMMARE DEL GOLFO</t>
  </si>
  <si>
    <t xml:space="preserve"> CASTELLAMMARE DEL GOLFO ILLUMINAZIONE PUBBLICA</t>
  </si>
  <si>
    <t xml:space="preserve">COMUNE DI CELLINO SAN MARCO </t>
  </si>
  <si>
    <t xml:space="preserve"> CELLINO SAN MARCO ILLUMINAZIONE PUBBLICA</t>
  </si>
  <si>
    <t xml:space="preserve">Comune di Cerchio </t>
  </si>
  <si>
    <t xml:space="preserve"> CERCHIO ILLUMINAZIONE PUBBLICA</t>
  </si>
  <si>
    <t xml:space="preserve">COMUNE DI COGOLLO DEL CENGIO </t>
  </si>
  <si>
    <t xml:space="preserve"> COGOLLO DEL CENGIO ILLUMINAZIONE PUBBLICA</t>
  </si>
  <si>
    <t xml:space="preserve">COMUNE DI COLCERESA </t>
  </si>
  <si>
    <t xml:space="preserve"> COLCERESA ILLUMINAZIONE PUBBLICA</t>
  </si>
  <si>
    <t xml:space="preserve">COMUNE DI CURSI </t>
  </si>
  <si>
    <t xml:space="preserve"> CURSI ILLUMINAZIONE PUBBLICA</t>
  </si>
  <si>
    <t>PPP-IPU-D234-01</t>
  </si>
  <si>
    <t xml:space="preserve">COMUNE DI CUSTONACI </t>
  </si>
  <si>
    <t>CUSTONACI</t>
  </si>
  <si>
    <t xml:space="preserve"> CUSTONACI ILLUMINAZIONE PUBBLICA</t>
  </si>
  <si>
    <t>PPP-IPU-D463-01</t>
  </si>
  <si>
    <t xml:space="preserve">COMUNE DI FAGGIANO </t>
  </si>
  <si>
    <t>FAGGIANO</t>
  </si>
  <si>
    <t xml:space="preserve"> FAGGIANO ILLUMINAZIONE PUBBLICA</t>
  </si>
  <si>
    <t xml:space="preserve">COMUNE DI FROSSASCO </t>
  </si>
  <si>
    <t xml:space="preserve"> IN ATI FROSSASCO ILLUMINAZIONE PUBBLICA</t>
  </si>
  <si>
    <t>PPP-IPU-D859-01</t>
  </si>
  <si>
    <t xml:space="preserve">COMUNE DI GAIRO </t>
  </si>
  <si>
    <t>Gairo</t>
  </si>
  <si>
    <t xml:space="preserve"> GAIRO ILLUMINAZIONE PUBBLICA</t>
  </si>
  <si>
    <t xml:space="preserve">COMUNE DI GALLIPOLI </t>
  </si>
  <si>
    <t>GALLIPOLI</t>
  </si>
  <si>
    <t xml:space="preserve"> GALLIPOLI ILLUMINAZIONE PUBBLICA</t>
  </si>
  <si>
    <t xml:space="preserve">COMUNE DI GAVIRATE </t>
  </si>
  <si>
    <t>C-AQ1</t>
  </si>
  <si>
    <t xml:space="preserve"> GavirateILLUMINAZIONE PUBBLICA</t>
  </si>
  <si>
    <t>Atlantic</t>
  </si>
  <si>
    <t>PPP-IPU-E050-01</t>
  </si>
  <si>
    <t xml:space="preserve">COMUNE DI GIRIFALCO </t>
  </si>
  <si>
    <t>Girifalco</t>
  </si>
  <si>
    <t xml:space="preserve"> GIRIFALCO ILLUMINAZIONE PUBBLICA</t>
  </si>
  <si>
    <t xml:space="preserve">Comune di Gravellona Lomellina - Uff_eFatturaPA </t>
  </si>
  <si>
    <t xml:space="preserve"> GRAVELLONA LOMELLINA ILLUMINAZIONE PUBBLICA</t>
  </si>
  <si>
    <t>PPP-IPU-E205-01</t>
  </si>
  <si>
    <t xml:space="preserve">COMUNE DI GROTTAGLIE </t>
  </si>
  <si>
    <t>GROTTAGLIE</t>
  </si>
  <si>
    <t xml:space="preserve"> GROTTAGLIE ILLUMINAZIONE PUBBLICA</t>
  </si>
  <si>
    <t>PPP-IPU-E246-01</t>
  </si>
  <si>
    <t xml:space="preserve">COMUNE DI GUARDIA PERTICARA </t>
  </si>
  <si>
    <t xml:space="preserve"> Guardia Perticara ILLUMINAZIONE PUBBLICA</t>
  </si>
  <si>
    <t>PPP-IPU-E397-01</t>
  </si>
  <si>
    <t xml:space="preserve">COMUNE DI LACEDONIA </t>
  </si>
  <si>
    <t>LACEDONIA</t>
  </si>
  <si>
    <t xml:space="preserve"> LACEDONIA ILLUMINAZIONE PUBBLICA</t>
  </si>
  <si>
    <t xml:space="preserve">Comune di Lanuvio - SET.1 Serv.2  PROGRAMMAZIONE, MANUTENZIONE PATRIMONIO, VERDE </t>
  </si>
  <si>
    <t xml:space="preserve"> LANUVIO ILLUMINAZIONE PUBBLICA</t>
  </si>
  <si>
    <t>PPP-IPU-E493-01</t>
  </si>
  <si>
    <t xml:space="preserve">COMUNE DI LAVELLO </t>
  </si>
  <si>
    <t>LAVELLO</t>
  </si>
  <si>
    <t xml:space="preserve"> LAVELLO ILLUMINAZIONE PUBBLICA</t>
  </si>
  <si>
    <t xml:space="preserve">Comune di Lettomanoppello - UFFICIO TECNICO </t>
  </si>
  <si>
    <t xml:space="preserve"> LETTOMANOPPELLO ILLUMINAZIONE PUBBLICA</t>
  </si>
  <si>
    <t xml:space="preserve">Comune di Lezzeno - Uff_eFatturaPA </t>
  </si>
  <si>
    <t xml:space="preserve"> LEZZENO ILLUMINAZIONE PUBBLICA</t>
  </si>
  <si>
    <t xml:space="preserve">Comune di Lucera </t>
  </si>
  <si>
    <t xml:space="preserve"> LUCERA ILLUMINAZIONE PUBBLICA</t>
  </si>
  <si>
    <t>PPP-IPU-E773-01</t>
  </si>
  <si>
    <t xml:space="preserve">Comune di Luzzi </t>
  </si>
  <si>
    <t>Luzzi</t>
  </si>
  <si>
    <t xml:space="preserve"> LUZZI ILLUMINAZIONE PUBBLICA</t>
  </si>
  <si>
    <t xml:space="preserve">COMUNE DI MANDURIA </t>
  </si>
  <si>
    <t xml:space="preserve"> MANDURIA ILLUMINAZIONE PUBBLICA</t>
  </si>
  <si>
    <t xml:space="preserve">Comune di Maratea </t>
  </si>
  <si>
    <t xml:space="preserve"> MARATEA ILLUMINAZIONE PUBBLICA</t>
  </si>
  <si>
    <t>PPP-IPU-E974-01</t>
  </si>
  <si>
    <t xml:space="preserve">COMUNE DI MARSALA </t>
  </si>
  <si>
    <t>MARSALA</t>
  </si>
  <si>
    <t xml:space="preserve"> MARSALA ILLUMINAZIONE PUBBLICA</t>
  </si>
  <si>
    <t>PPP-IPU-F065-01</t>
  </si>
  <si>
    <t xml:space="preserve">COMUNE DI MAZZARINO </t>
  </si>
  <si>
    <t>MAZZARINO</t>
  </si>
  <si>
    <t xml:space="preserve"> MAZZARINO ILLUMINAZIONE PUBBLICA</t>
  </si>
  <si>
    <t>PPP-IPU-F158-01</t>
  </si>
  <si>
    <t xml:space="preserve">COMUNE DI MESSINA </t>
  </si>
  <si>
    <t xml:space="preserve"> MESSINA ILLUMINAZIONE PUBBLICA</t>
  </si>
  <si>
    <t xml:space="preserve">COMUNE DI MEZZAGO </t>
  </si>
  <si>
    <t>MEZZAGO</t>
  </si>
  <si>
    <t xml:space="preserve"> Mezzago ILLUMINAZIONE PUBBLICA</t>
  </si>
  <si>
    <t>PPP-EEE-F201-03</t>
  </si>
  <si>
    <t xml:space="preserve">COMUNE DI MIGLIONICO </t>
  </si>
  <si>
    <t xml:space="preserve"> MIGLIONICO EFF.TO ENERGETICO EDIFICI</t>
  </si>
  <si>
    <t>PPP-IPU-F206-01</t>
  </si>
  <si>
    <t xml:space="preserve">COMUNE DI MILAZZO </t>
  </si>
  <si>
    <t>Milazzo</t>
  </si>
  <si>
    <t xml:space="preserve"> MILAZZO ILLUMINAZIONE PUBBLICA</t>
  </si>
  <si>
    <t xml:space="preserve">Comune di Mondolfo </t>
  </si>
  <si>
    <t xml:space="preserve"> Mondolfo - PPPILLUMINAZIONE PUBBLICA</t>
  </si>
  <si>
    <t xml:space="preserve">COMUNE DI MONGRASSANO </t>
  </si>
  <si>
    <t xml:space="preserve"> MONGRASSANO ILLUMINAZIONE PUBBLICA</t>
  </si>
  <si>
    <t xml:space="preserve">COMUNE DI MONTECORVINO ROVELLA </t>
  </si>
  <si>
    <t>MONTECORVINO ROVELLA</t>
  </si>
  <si>
    <t xml:space="preserve"> IN ATI MONTECORVINO ROVELLA ILLUMINAZIONE PUBBLICA</t>
  </si>
  <si>
    <t xml:space="preserve">Comune di Montescaglioso </t>
  </si>
  <si>
    <t xml:space="preserve"> MONTESCAGLIOSO ILLUMINAZIONE PUBBLICA</t>
  </si>
  <si>
    <t xml:space="preserve">Comune di Morro D'Oro - Uff_eFatturaPA </t>
  </si>
  <si>
    <t>Nichelino</t>
  </si>
  <si>
    <t xml:space="preserve"> MORRO D'ORO ILLUMINAZIONE PUBBLICA</t>
  </si>
  <si>
    <t xml:space="preserve">COMUNE DI MUSILE DI PIAVE </t>
  </si>
  <si>
    <t>Musile Di Piave</t>
  </si>
  <si>
    <t xml:space="preserve"> MUSILE DI PIAVE ILLUMINAZIONE PUBBLICA</t>
  </si>
  <si>
    <t xml:space="preserve">COMUNE DI NARDODIPACE </t>
  </si>
  <si>
    <t xml:space="preserve"> NARDODIPACE ILLUMINAZIONE PUBBLICA</t>
  </si>
  <si>
    <t xml:space="preserve">COMUNE DI NOCIGLIA </t>
  </si>
  <si>
    <t>NOCIGLIA</t>
  </si>
  <si>
    <t xml:space="preserve"> Nociglia ILLUMINAZIONE PUBBLICA</t>
  </si>
  <si>
    <t xml:space="preserve">COMUNE DI NOVA SIRI </t>
  </si>
  <si>
    <t xml:space="preserve"> NOVA SIRI ILLUMINAZIONE PUBBLICA</t>
  </si>
  <si>
    <t xml:space="preserve">COMUNE DI PARABITA </t>
  </si>
  <si>
    <t xml:space="preserve"> IN ATI PARABITA ILLUMINAZIONE PUBBLICA</t>
  </si>
  <si>
    <t xml:space="preserve">Comune di Paterno </t>
  </si>
  <si>
    <t xml:space="preserve"> PATERNO ILLUMINAZIONE PUBBLICA</t>
  </si>
  <si>
    <t>PPP-IPU-G376-01</t>
  </si>
  <si>
    <t xml:space="preserve">COMUNE DI PATTADA </t>
  </si>
  <si>
    <t>Pattada</t>
  </si>
  <si>
    <t xml:space="preserve"> PATTADA ILLUMINAZIONE PUBBLICA</t>
  </si>
  <si>
    <t>PPP-EEE-G426-03</t>
  </si>
  <si>
    <t xml:space="preserve">COMUNE DI PELLEZZANO </t>
  </si>
  <si>
    <t xml:space="preserve"> EFFICIENTAMENTO ENERGETICO EDIFICI PELLEZZANO</t>
  </si>
  <si>
    <t xml:space="preserve">COMUNE DI PIANA DEGLI ALBANESI </t>
  </si>
  <si>
    <t>PIANA DEGLI ALBANESI</t>
  </si>
  <si>
    <t xml:space="preserve"> PIANA DEGLI ALBANESI ILLUMINAZIONE PUBBLICA</t>
  </si>
  <si>
    <t>PPP-IPU-G568-01</t>
  </si>
  <si>
    <t xml:space="preserve">COMUNE DI PIANO DI SORRENTO </t>
  </si>
  <si>
    <t>PIANO DI SORRENTO</t>
  </si>
  <si>
    <t xml:space="preserve"> PIANO DI SORRENTO ILLUMINAZIONE PUBBLICA</t>
  </si>
  <si>
    <t xml:space="preserve">Comune di Picciano - Uff_eFatturaPA </t>
  </si>
  <si>
    <t xml:space="preserve"> IMPIANTI COMUNE DI PICCIANO</t>
  </si>
  <si>
    <t xml:space="preserve">Comune di Pietragalla </t>
  </si>
  <si>
    <t xml:space="preserve"> PIETRAGALLA ILLUMINAZIONE PUBBLICA</t>
  </si>
  <si>
    <t>PPP-IPU-G630-01</t>
  </si>
  <si>
    <t xml:space="preserve">COMUNE DI PIETRAVAIRANO </t>
  </si>
  <si>
    <t>PIETRAVAIRANO</t>
  </si>
  <si>
    <t xml:space="preserve"> PIETRAVAIRANO ILLUMINAZIONE PUBBLICA</t>
  </si>
  <si>
    <t>PPP-IPU-G663-01</t>
  </si>
  <si>
    <t xml:space="preserve">COMUNE DI PIGNOLA </t>
  </si>
  <si>
    <t>PIGNOLA</t>
  </si>
  <si>
    <t xml:space="preserve"> PIGNOLA ILLUMINAZIONE PUBBLICA</t>
  </si>
  <si>
    <t xml:space="preserve">COMUNE DI PINEROLO </t>
  </si>
  <si>
    <t xml:space="preserve"> IN ATI PINEROLO ILLUMINAZIONE PUBBLICA</t>
  </si>
  <si>
    <t xml:space="preserve">COMUNE DI POGGIARDO </t>
  </si>
  <si>
    <t>POGGIARDO</t>
  </si>
  <si>
    <t xml:space="preserve"> POGGIARDO ILLUMINAZIONE PUBBLICA</t>
  </si>
  <si>
    <t xml:space="preserve">COMUNE DI PONTIROLO NUOVO </t>
  </si>
  <si>
    <t>PONTIROLO NUOVO</t>
  </si>
  <si>
    <t xml:space="preserve"> Pontirolo Nuovo ILLUMINAZIONE PUBBLICA</t>
  </si>
  <si>
    <t xml:space="preserve">COMUNE DI POPOLI </t>
  </si>
  <si>
    <t xml:space="preserve"> POPOLI ILLUMINAZIONE PUBBLICA</t>
  </si>
  <si>
    <t xml:space="preserve">COMUNE DI PORTOCANNONE </t>
  </si>
  <si>
    <t xml:space="preserve"> PORTOCANNONE ILLUMINAZIONE PUBBLICA</t>
  </si>
  <si>
    <t xml:space="preserve">COMUNE DI RACALE </t>
  </si>
  <si>
    <t xml:space="preserve"> COMUNE DI RACALE ILLUMINAZIONE PUBBLICA</t>
  </si>
  <si>
    <t>PPP-IPU-H221-01</t>
  </si>
  <si>
    <t xml:space="preserve">Comune di Regalbuto </t>
  </si>
  <si>
    <t>REGALBUTO</t>
  </si>
  <si>
    <t xml:space="preserve"> REGALBUTO ILLUMINAZIONE PUBBLICA</t>
  </si>
  <si>
    <t>PPP-IPU-H281-01</t>
  </si>
  <si>
    <t xml:space="preserve">Comune di Riesi </t>
  </si>
  <si>
    <t>Riesi</t>
  </si>
  <si>
    <t xml:space="preserve"> RIESI ILLUMINAZIONE PUBBLICA</t>
  </si>
  <si>
    <t xml:space="preserve">COMUNE DI RIONERO IN VULTURE </t>
  </si>
  <si>
    <t xml:space="preserve"> RIONERO IN VULTURE ILLUMINAZIONE PUBBLICA</t>
  </si>
  <si>
    <t>PPP-IPU-H488-01</t>
  </si>
  <si>
    <t xml:space="preserve">COMUNE DI ROGGIANO GRAVINA </t>
  </si>
  <si>
    <t>Roggiano Gravina</t>
  </si>
  <si>
    <t xml:space="preserve"> ROGGIANO GRAVINA ILLUMINAZIONE PUBBLICA</t>
  </si>
  <si>
    <t xml:space="preserve">COMUNE DI ROLETTO </t>
  </si>
  <si>
    <t xml:space="preserve"> IN ATI ROLETTO ILLUMINAZIONE PUBBLICA</t>
  </si>
  <si>
    <t xml:space="preserve">COMUNE DI ROSSANO VENETO </t>
  </si>
  <si>
    <t xml:space="preserve"> ROSSANO VENETO ILLUMINAZIONE PUBBLICA</t>
  </si>
  <si>
    <t>PPP-EEE-H683-01</t>
  </si>
  <si>
    <t xml:space="preserve">COMUNE DI SALA CONSILINA </t>
  </si>
  <si>
    <t>Sala Consilina</t>
  </si>
  <si>
    <t xml:space="preserve"> EFFICIENTAMENTO ENERGETICO EDIFICI SALA CONSILINA</t>
  </si>
  <si>
    <t xml:space="preserve">COMUNE DI SAN CESARIO DI LECCE </t>
  </si>
  <si>
    <t>SAN CESARIO DI LECCE</t>
  </si>
  <si>
    <t xml:space="preserve"> SAN CESARIO DI LECCE ILLUMINAZIONE PUBBLICA</t>
  </si>
  <si>
    <t xml:space="preserve">COMUNE DI SAN FELICE A CANCELLO </t>
  </si>
  <si>
    <t>SAN FELICE A CANCELLO</t>
  </si>
  <si>
    <t xml:space="preserve"> SAN FELICE A CANCELLO ILLUMINAZIONE PUBBLICA</t>
  </si>
  <si>
    <t xml:space="preserve">COMUNE DI SAN GIULIANO MILANESE </t>
  </si>
  <si>
    <t>SAN GIULIANO MILANESE</t>
  </si>
  <si>
    <t xml:space="preserve"> SAN GIULIANO MILANESE ILLUMINAZIONE PUBBLICA</t>
  </si>
  <si>
    <t>PPP-IPU-H982-01</t>
  </si>
  <si>
    <t xml:space="preserve">COMUNE DI SAN MARCO D'ALUNZIO </t>
  </si>
  <si>
    <t>San Marco D'alunzio</t>
  </si>
  <si>
    <t xml:space="preserve"> SAN MARCO D'ALUNZIO ILLUMINAZIONE PUBBLICA</t>
  </si>
  <si>
    <t xml:space="preserve">COMUNE DI SAN MARZANO DI SAN GIUSEPPE </t>
  </si>
  <si>
    <t>SAN MARZANO DI SAN GIUSEPPE</t>
  </si>
  <si>
    <t xml:space="preserve"> SAN MARZANO DI SAN GIUSEPPE ILLUMINAZIONE PUBBLICA</t>
  </si>
  <si>
    <t>ATI-IPU-I060-01</t>
  </si>
  <si>
    <t xml:space="preserve">COMUNE DI SAN NICOLA ARCELLA </t>
  </si>
  <si>
    <t>SAN NICOLA ARCELLA</t>
  </si>
  <si>
    <t xml:space="preserve"> in ATI San Nicola Arcella ILLUMINAZIONE PUBBLICA</t>
  </si>
  <si>
    <t>PPP-IPU-I329-01</t>
  </si>
  <si>
    <t xml:space="preserve">COMUNE DI SAN TEODORO </t>
  </si>
  <si>
    <t>SAN TEODORO</t>
  </si>
  <si>
    <t xml:space="preserve"> SAN TEODORO ILLUMINAZIONE PUBBLICA</t>
  </si>
  <si>
    <t xml:space="preserve">COMUNE DI SAN VITO CHIETINO </t>
  </si>
  <si>
    <t xml:space="preserve"> SAN VITO CHIETINO ILLUMINAZIONE PUBBLICA</t>
  </si>
  <si>
    <t>PPP-IPU-I393-01</t>
  </si>
  <si>
    <t xml:space="preserve">COMUNE DI SAN VITO SULLO IONIO </t>
  </si>
  <si>
    <t>SAN VITO SULLO IONIO</t>
  </si>
  <si>
    <t xml:space="preserve"> SAN VITO SULLO IONIO ILLUMINAZIONE PUBBLICA</t>
  </si>
  <si>
    <t>PPP-IPU-I288-01</t>
  </si>
  <si>
    <t xml:space="preserve">Comune di Sant'Angelo Le Fratte </t>
  </si>
  <si>
    <t>SANT'ANGELO LE FRATTE</t>
  </si>
  <si>
    <t xml:space="preserve"> SANT'ANGELO LE FRATTE ILLUMINAZIONE PUBBLICA</t>
  </si>
  <si>
    <t xml:space="preserve">COMUNE DI SANT'ARSENIO </t>
  </si>
  <si>
    <t>SANT'ARSENIO</t>
  </si>
  <si>
    <t xml:space="preserve"> IN ATI SANT'ARSENIO ILLUMINAZIONE PUBBLICA</t>
  </si>
  <si>
    <t xml:space="preserve">Comune di Sant'Eufemia a Maiella - Uff_eFatturaPA </t>
  </si>
  <si>
    <t>Sant'Eufemia a Maiella</t>
  </si>
  <si>
    <t xml:space="preserve"> SANT'EUFEMIA A MAIELLA ILLUMINAZIONE PUBBLICA</t>
  </si>
  <si>
    <t xml:space="preserve">COMUNE DI SAVONA </t>
  </si>
  <si>
    <t xml:space="preserve"> IMPIANTI COMUNE DI SAVONA</t>
  </si>
  <si>
    <t>CONSTRUCTION : Executive Project</t>
  </si>
  <si>
    <t>PPP-IPU-M256-01</t>
  </si>
  <si>
    <t xml:space="preserve">Comune di Scanzano Jonico </t>
  </si>
  <si>
    <t>Scanzano Jonico</t>
  </si>
  <si>
    <t xml:space="preserve"> SCANZANO JONICO ILLUMINAZIONE PUBBLICA</t>
  </si>
  <si>
    <t>PPP-IPU-I548-01</t>
  </si>
  <si>
    <t xml:space="preserve">Comune di Scordia </t>
  </si>
  <si>
    <t>Scordia</t>
  </si>
  <si>
    <t xml:space="preserve"> SCORDIA ILLUMINAZIONE PUBBLICA</t>
  </si>
  <si>
    <t xml:space="preserve">COMUNE DI SCURCOLA MARSICANA </t>
  </si>
  <si>
    <t xml:space="preserve"> SCURCOLA MARSICANA ILLUMINAZIONE PUBBLICA</t>
  </si>
  <si>
    <t>PPP-IPU-I824-01</t>
  </si>
  <si>
    <t xml:space="preserve">Comune di Sommatino </t>
  </si>
  <si>
    <t>SOMMATINO</t>
  </si>
  <si>
    <t xml:space="preserve"> SOMMATINO ILLUMINAZIONE PUBBLICA</t>
  </si>
  <si>
    <t xml:space="preserve">COMUNE DI SPINOSO </t>
  </si>
  <si>
    <t xml:space="preserve"> SPINOSO ILLUMINAZIONE PUBBLICA</t>
  </si>
  <si>
    <t xml:space="preserve">Comune di Spotorno </t>
  </si>
  <si>
    <t xml:space="preserve"> SPOTORNO ILLUMINAZIONE PUBBLICA</t>
  </si>
  <si>
    <t xml:space="preserve">COMUNE DI TRAMUTOLA </t>
  </si>
  <si>
    <t>TRAMUTOLA</t>
  </si>
  <si>
    <t xml:space="preserve"> TRAMUTOLA ILLUMINAZIONE PUBBLICA</t>
  </si>
  <si>
    <t xml:space="preserve">COMUNE DI UGENTO </t>
  </si>
  <si>
    <t xml:space="preserve"> UGENTO ILLUMINAZIONE PUBBLICA</t>
  </si>
  <si>
    <t xml:space="preserve">Comune di Valva </t>
  </si>
  <si>
    <t xml:space="preserve"> VALVA ILLUMINAZIONE PUBBLICA</t>
  </si>
  <si>
    <t xml:space="preserve">COMUNE DI VIBONATI </t>
  </si>
  <si>
    <t xml:space="preserve"> VIBONATI ILLUMINAZIONE PUBBLICA</t>
  </si>
  <si>
    <t xml:space="preserve">Comune di Vicopisano - Uff_eFatturaPA </t>
  </si>
  <si>
    <t xml:space="preserve"> VICOPISANO ILLUMINAZIONE PUBBLICA</t>
  </si>
  <si>
    <t xml:space="preserve">COMUNE DI VINOVO </t>
  </si>
  <si>
    <t xml:space="preserve"> VINOVO ILLUMINAZIONE PUBBLICA</t>
  </si>
  <si>
    <t xml:space="preserve">CONSORZIO DI SVILUPPO IND.LE VALLI TRONTO, ASO E TESINO </t>
  </si>
  <si>
    <t xml:space="preserve"> PICENO CONSID ILLUMINAZIONE PUBBLICA</t>
  </si>
  <si>
    <t>PPP-IPU-E242-01</t>
  </si>
  <si>
    <t xml:space="preserve">GUARDIA PIEMONTESE </t>
  </si>
  <si>
    <t>GUARDIA PIEMONTESE</t>
  </si>
  <si>
    <t xml:space="preserve"> GUARDIA PIEMONTESE ILLUMINAZIONE PUBBLICA</t>
  </si>
  <si>
    <t xml:space="preserve">COMUNE DI TAVIANO </t>
  </si>
  <si>
    <t xml:space="preserve"> COMUNE DI TAVIANO (SUSSIDIARIA) ILLUMINAZIONE PUBBLICA</t>
  </si>
  <si>
    <t xml:space="preserve">Comune di Solofra </t>
  </si>
  <si>
    <t xml:space="preserve"> IMPIANTI COMUNE DI SOLOFRA</t>
  </si>
  <si>
    <t xml:space="preserve">Comune di Strà </t>
  </si>
  <si>
    <t xml:space="preserve"> IMPIANTI COMUNE DI STRA'</t>
  </si>
  <si>
    <t xml:space="preserve">COMUNE DI PRESICCE - ACQUARICA </t>
  </si>
  <si>
    <t xml:space="preserve"> PRESICCE-ACQUARICA ILLUMINAZIONE PUBBLICA</t>
  </si>
  <si>
    <t xml:space="preserve">Comune di Alliste </t>
  </si>
  <si>
    <t xml:space="preserve"> EFFICIENTAMENTO ENERGETICO ALLISTE</t>
  </si>
  <si>
    <t>PPP-IPU-B111-01</t>
  </si>
  <si>
    <t xml:space="preserve">COMUNE DI BRA </t>
  </si>
  <si>
    <t>Bra</t>
  </si>
  <si>
    <t xml:space="preserve"> BRA ILLUMINAZIONE PUBBLICA</t>
  </si>
  <si>
    <t>PPP-IPU-B266-01</t>
  </si>
  <si>
    <t xml:space="preserve">COMUNE DI BUONABITACOLO </t>
  </si>
  <si>
    <t>Buonabitacolo</t>
  </si>
  <si>
    <t xml:space="preserve"> BUONABITACOLO ILLUMINAZIONE PUBBLICA</t>
  </si>
  <si>
    <t xml:space="preserve">Comune di Bussi sul Tirino - ufficio tecnico </t>
  </si>
  <si>
    <t>Bussi sul Tirino</t>
  </si>
  <si>
    <t xml:space="preserve"> BUSSI SUL TIRINO ILLUMINAZIONE PUBBLICA (CIV)</t>
  </si>
  <si>
    <t>PPP-IPU-B758-01</t>
  </si>
  <si>
    <t xml:space="preserve">Comune di Cardinale </t>
  </si>
  <si>
    <t>Cardinale</t>
  </si>
  <si>
    <t xml:space="preserve"> CARDINALE ILLUMINAZIONE PUBBLICA</t>
  </si>
  <si>
    <t>PPP-IPU-D054-01</t>
  </si>
  <si>
    <t xml:space="preserve">COMUNE DI CORTE BRUGNATELLA </t>
  </si>
  <si>
    <t>Corte Brugnatella</t>
  </si>
  <si>
    <t xml:space="preserve"> CORTE BRUGNATELLA ILLUMINAZIONE PUBBLICA</t>
  </si>
  <si>
    <t>PPP-IPU-D150-01</t>
  </si>
  <si>
    <t xml:space="preserve">COMUNE DI CREMONA </t>
  </si>
  <si>
    <t>Cremona</t>
  </si>
  <si>
    <t xml:space="preserve"> CREMONA ILLUMINAZIONE PUBBLICA</t>
  </si>
  <si>
    <t>PPP-IPU-D228-01</t>
  </si>
  <si>
    <t xml:space="preserve">COMUNE DI CURTI </t>
  </si>
  <si>
    <t>Curti</t>
  </si>
  <si>
    <t xml:space="preserve"> CURTI ILLUMINAZIONE PUBBLICA</t>
  </si>
  <si>
    <t>PPP-IPU-E339-01</t>
  </si>
  <si>
    <t xml:space="preserve">COMUNE DI ISOLA DI CAPO RIZZUTO </t>
  </si>
  <si>
    <t>Isola Di Capo Rizzuto</t>
  </si>
  <si>
    <t xml:space="preserve"> ISOLA DI CAPO RIZZUTO ILLUMINAZIONE PUBBLICA</t>
  </si>
  <si>
    <t>PPP-IPU-G813-01</t>
  </si>
  <si>
    <t xml:space="preserve">Comune di Pompei </t>
  </si>
  <si>
    <t>Pompei</t>
  </si>
  <si>
    <t xml:space="preserve"> POMPEI ILLUMINAZIONE PUBBLICA</t>
  </si>
  <si>
    <t xml:space="preserve">COMUNE DI RIVOLI </t>
  </si>
  <si>
    <t xml:space="preserve"> RIVOLI ILLUMINAZIONE PUBBLICA</t>
  </si>
  <si>
    <t>PPP-IPU-H480-01</t>
  </si>
  <si>
    <t xml:space="preserve">COMUNE DI RODI GARGANICO </t>
  </si>
  <si>
    <t>Rodi Garganico</t>
  </si>
  <si>
    <t xml:space="preserve"> RODI GARGANICO ILLUMINAZIONE PUBBLICA</t>
  </si>
  <si>
    <t>PPP-IPU-H657-01</t>
  </si>
  <si>
    <t xml:space="preserve">COMUNE DI SACILE </t>
  </si>
  <si>
    <t>Sacile</t>
  </si>
  <si>
    <t xml:space="preserve"> SACILE ILLUMINAZIONE PUBBLICA</t>
  </si>
  <si>
    <t>PPP-IPU-H800-01</t>
  </si>
  <si>
    <t xml:space="preserve">COMUNE DI SAN CIPRIANO PICENTINO </t>
  </si>
  <si>
    <t>San Cipriano Picentino</t>
  </si>
  <si>
    <t xml:space="preserve"> SAN CIPRIANO PICENTINO ILLUMINAZIONE PUBBLICA</t>
  </si>
  <si>
    <t xml:space="preserve">Comune di Saronno </t>
  </si>
  <si>
    <t xml:space="preserve"> SARONNO ILLUMINAZIONE PUBBLICA</t>
  </si>
  <si>
    <t>PPP-IPU-I549-01</t>
  </si>
  <si>
    <t xml:space="preserve">COMUNE DI SCORRANO </t>
  </si>
  <si>
    <t>Scorrano</t>
  </si>
  <si>
    <t xml:space="preserve"> SCORRANO ILLUMINAZIONE PUBBLICA</t>
  </si>
  <si>
    <t xml:space="preserve">COMUNE DI TRIESTE </t>
  </si>
  <si>
    <t xml:space="preserve"> Trieste - PPPILLUMINAZIONE PUBBLICA</t>
  </si>
  <si>
    <t xml:space="preserve">Comune di Ururi </t>
  </si>
  <si>
    <t xml:space="preserve"> URURI ILLUMINAZIONE PUBBLICA</t>
  </si>
  <si>
    <t>PPP-IPU-L540-01</t>
  </si>
  <si>
    <t xml:space="preserve">COMUNE DI VAIRANO PATENORA </t>
  </si>
  <si>
    <t>Vairano Patenora</t>
  </si>
  <si>
    <t xml:space="preserve"> VAIRANO PATENORA ILLUMINAZIONE PUBBLICA</t>
  </si>
  <si>
    <t xml:space="preserve">COMUNE DI VENEZIA </t>
  </si>
  <si>
    <t xml:space="preserve"> Venezia PLILLUMINAZIONE PUBBLICA</t>
  </si>
  <si>
    <t xml:space="preserve"> Venezia PBEFFICIENTAMENTO ENERGETICO EDIFICI</t>
  </si>
  <si>
    <t>PPP-EEE-L868-01</t>
  </si>
  <si>
    <t xml:space="preserve">COMUNE DI VIGARANO MAINARDA </t>
  </si>
  <si>
    <t>Vigarano Mainarda</t>
  </si>
  <si>
    <t xml:space="preserve"> VIGARANO MAINARDA EFFICIENTAMENTO ENERGETICO EDIFICI</t>
  </si>
  <si>
    <t xml:space="preserve">COMUNE DI PULSANO </t>
  </si>
  <si>
    <t xml:space="preserve"> PULSANO (SUSSIDIARIA) ILLUMINAZIONE PUBBLICA</t>
  </si>
  <si>
    <t xml:space="preserve">COMUNE DI CROSIA </t>
  </si>
  <si>
    <t xml:space="preserve"> CROSIA ILLUMINAZIONE PUBBLICA</t>
  </si>
  <si>
    <t>Bussi Sul Tirino</t>
  </si>
  <si>
    <t>centre</t>
  </si>
  <si>
    <t xml:space="preserve"> BUSSI SUL TIRINO EFF.TO ENERGETICO EDIFICI</t>
  </si>
  <si>
    <t xml:space="preserve">COMUNE DI BIANDRONNO </t>
  </si>
  <si>
    <t xml:space="preserve"> BiandronnoILLUMINAZIONE PUBBLICA</t>
  </si>
  <si>
    <t>PPP-IPU-D600-01</t>
  </si>
  <si>
    <t xml:space="preserve">Comune di Finale Ligure </t>
  </si>
  <si>
    <t>Finale Ligure</t>
  </si>
  <si>
    <t xml:space="preserve"> FINALE LIGURE ILLUMINAZIONE PUBBLICA</t>
  </si>
  <si>
    <t xml:space="preserve">COMUNE DI GAVOI </t>
  </si>
  <si>
    <t xml:space="preserve"> GAVOI ILLUMINAZIONE PUBBLICA</t>
  </si>
  <si>
    <t xml:space="preserve">COMUNE DI ONIFAI </t>
  </si>
  <si>
    <t xml:space="preserve"> Onifai ILLUMINAZIONE PUBBLICA</t>
  </si>
  <si>
    <t xml:space="preserve">Comune di Partinico </t>
  </si>
  <si>
    <t xml:space="preserve"> PARTINICO ILLUMINAZIONE PUBBLICA</t>
  </si>
  <si>
    <t xml:space="preserve"> PELLEZZANO ILLUMINAZIONE PUBBLICA</t>
  </si>
  <si>
    <t xml:space="preserve">COMUNE DI PIAZZOLA SUL BRENTA </t>
  </si>
  <si>
    <t xml:space="preserve"> PIAZZOLA SUL BRENTA ILLUMINAZIONE PUBBLICA</t>
  </si>
  <si>
    <t xml:space="preserve">Comune di Ruoti </t>
  </si>
  <si>
    <t xml:space="preserve"> RUOTI ILLUMINAZIONE PUBBLICA</t>
  </si>
  <si>
    <t xml:space="preserve">COMUNE DI SANT'ARCANGELO </t>
  </si>
  <si>
    <t>Sant'arcangelo</t>
  </si>
  <si>
    <t xml:space="preserve"> SANT'ARCANGELO ILLUMINAZIONE PUBBLICA</t>
  </si>
  <si>
    <t xml:space="preserve">COMUNE DI TOLENTINO </t>
  </si>
  <si>
    <t xml:space="preserve"> TolentinoILLUMINAZIONE PUBBLICA</t>
  </si>
  <si>
    <t xml:space="preserve">CONSORZIO ASI BRINDISI </t>
  </si>
  <si>
    <t>Brindisi</t>
  </si>
  <si>
    <t xml:space="preserve"> ASI BRINDISI ILLUMINAZIONE PUBBLICA</t>
  </si>
  <si>
    <t xml:space="preserve">Comune di Mira </t>
  </si>
  <si>
    <t xml:space="preserve"> IMPIANTI COMUNE DI MIRA</t>
  </si>
  <si>
    <t xml:space="preserve">Comune di Mirano </t>
  </si>
  <si>
    <t xml:space="preserve"> IMPIANTI COMUNE DI MIRANO</t>
  </si>
  <si>
    <t>PPP-IPU-A053-01</t>
  </si>
  <si>
    <t xml:space="preserve">COMUNE DI ACRI </t>
  </si>
  <si>
    <t>Acri</t>
  </si>
  <si>
    <t xml:space="preserve"> ACRI ILLUMINAZIONE PUBBLICA</t>
  </si>
  <si>
    <t>PPP-IPU-A449-01</t>
  </si>
  <si>
    <t xml:space="preserve">COMUNE DI ARTENA </t>
  </si>
  <si>
    <t>Artena</t>
  </si>
  <si>
    <t xml:space="preserve"> ARTENA ILLUMINAZIONE PUBBLICA</t>
  </si>
  <si>
    <t xml:space="preserve">COMUNE DI BARAGIANO </t>
  </si>
  <si>
    <t xml:space="preserve"> BARAGIANO ILLUMINAZIONE PUBBLICA</t>
  </si>
  <si>
    <t>PPP-EEE-A746-02</t>
  </si>
  <si>
    <t xml:space="preserve"> COMUNE DI BELLANTE EFFICIENTAMENTO ENERGETICO EDIFICI</t>
  </si>
  <si>
    <t>PPP-IPU-B275-01</t>
  </si>
  <si>
    <t xml:space="preserve">COMUNE DI BURGIO </t>
  </si>
  <si>
    <t>Burgio</t>
  </si>
  <si>
    <t xml:space="preserve"> BURGIO ILLUMINAZIONE PUBBLICA</t>
  </si>
  <si>
    <t xml:space="preserve">Comune di Calitri </t>
  </si>
  <si>
    <t xml:space="preserve"> CALITRI ILLUMINAZIONE PUBBLICA</t>
  </si>
  <si>
    <t xml:space="preserve">COMUNE DI CASTRI DI LECCE </t>
  </si>
  <si>
    <t xml:space="preserve"> CASTRI DI LECCE ILLUMINAZIONE PUBBLICA</t>
  </si>
  <si>
    <t>CONSTRUCTION ?</t>
  </si>
  <si>
    <t>PPP-IPU-C543-01</t>
  </si>
  <si>
    <t xml:space="preserve">COMUNE DI CERVARA DI ROMA </t>
  </si>
  <si>
    <t>Cervara di Roma</t>
  </si>
  <si>
    <t xml:space="preserve"> CERVARA DI ROMA ILLUMINAZIONE PUBBLICA</t>
  </si>
  <si>
    <t xml:space="preserve">Comune di Courmayeur </t>
  </si>
  <si>
    <t xml:space="preserve"> COURMAYEUR ILLUMINAZIONE PUBBLICA</t>
  </si>
  <si>
    <t xml:space="preserve">COMUNE DI FRANCAVILLA AL MARE </t>
  </si>
  <si>
    <t xml:space="preserve"> Francavilla al Mare ILLUMINAZIONE PUBBLICA</t>
  </si>
  <si>
    <t>PPP-IPU-A561-01</t>
  </si>
  <si>
    <t xml:space="preserve">COMUNE DI MONTECATINI TERME </t>
  </si>
  <si>
    <t>Montecatini Terme</t>
  </si>
  <si>
    <t xml:space="preserve"> MONTECATINI TERME ILLUMINAZIONE PUBBLICA</t>
  </si>
  <si>
    <t>PPP-IPU-F740-01</t>
  </si>
  <si>
    <t xml:space="preserve">COMUNE DI MOROLO </t>
  </si>
  <si>
    <t>Morolo</t>
  </si>
  <si>
    <t xml:space="preserve"> MOROLO ILLUMINAZIONE PUBBLICA</t>
  </si>
  <si>
    <t xml:space="preserve">Comune di Palombara Sabina - LAVORI PUBBLICI-URBANISTICA </t>
  </si>
  <si>
    <t xml:space="preserve"> PALOMBARA SABINA ILLUMINAZIONE PUBBLICA</t>
  </si>
  <si>
    <t>PPP-IPU-G518-01</t>
  </si>
  <si>
    <t xml:space="preserve">COMUNE DI PETRONA' </t>
  </si>
  <si>
    <t>Petrona'</t>
  </si>
  <si>
    <t xml:space="preserve"> PETRONA' ILLUMINAZIONE PUBBLICA</t>
  </si>
  <si>
    <t>PPP-IPU-H688-01</t>
  </si>
  <si>
    <t xml:space="preserve">COMUNE DI SALAPARUTA </t>
  </si>
  <si>
    <t>Salaparuta</t>
  </si>
  <si>
    <t xml:space="preserve"> SALAPARUTA ILLUMINAZIONE PUBBLICA</t>
  </si>
  <si>
    <t>PPP-EEE-H882-02</t>
  </si>
  <si>
    <t xml:space="preserve">COMUNE DI SAN GIORGIO IONICO </t>
  </si>
  <si>
    <t xml:space="preserve"> SAN GIORGIO IONICO EFFICIENTAMENTO EDIFICI</t>
  </si>
  <si>
    <t xml:space="preserve">Comune di Sasso di Castalda </t>
  </si>
  <si>
    <t xml:space="preserve"> SASSO DI CASTALDA ILLUMINAZIONE PUBBLICA</t>
  </si>
  <si>
    <t xml:space="preserve">Comune di Senigallia </t>
  </si>
  <si>
    <t xml:space="preserve"> Senigallia - Project 2031ILLUMINAZIONE PUBBLICA</t>
  </si>
  <si>
    <t>PPP-IPU-I669-01</t>
  </si>
  <si>
    <t xml:space="preserve">COMUNE DI SERRONE </t>
  </si>
  <si>
    <t>Serrone</t>
  </si>
  <si>
    <t xml:space="preserve"> SERRONE ILLUMINAZIONE PUBBLICA</t>
  </si>
  <si>
    <t>PPP-IPU-I852-01</t>
  </si>
  <si>
    <t xml:space="preserve">COMUNE DI SORI </t>
  </si>
  <si>
    <t>Sori</t>
  </si>
  <si>
    <t xml:space="preserve"> SORI ILLUMINAZIONE PUBBLICA</t>
  </si>
  <si>
    <t>PPP-IPU-I982-01</t>
  </si>
  <si>
    <t xml:space="preserve">COMUNE DI STRONGOLI </t>
  </si>
  <si>
    <t>Strongoli</t>
  </si>
  <si>
    <t xml:space="preserve"> STRONGOLI ILLUMINAZIONE PUBBLICA</t>
  </si>
  <si>
    <t>PPP-IPU-L492-01</t>
  </si>
  <si>
    <t xml:space="preserve">COMUNE DI UMBRIATICO </t>
  </si>
  <si>
    <t>Umbriatico</t>
  </si>
  <si>
    <t xml:space="preserve"> UMBRIATICO ILLUMINAZIONE PUBBLICA</t>
  </si>
  <si>
    <t>PPP-IPU-L658-01</t>
  </si>
  <si>
    <t xml:space="preserve">COMUNE DI VALVERDE </t>
  </si>
  <si>
    <t>Valverde</t>
  </si>
  <si>
    <t xml:space="preserve"> VALVERDE ILLUMINAZIONE PUBBLICA</t>
  </si>
  <si>
    <t xml:space="preserve">COMUNE DI SPEZZANO ALBANESE </t>
  </si>
  <si>
    <t xml:space="preserve"> SPEZZANO ILLUMINAZIONE PUBBLICA</t>
  </si>
  <si>
    <t xml:space="preserve">Comune di Nerviano </t>
  </si>
  <si>
    <t xml:space="preserve"> IMPIANTI COMUNE DI NERVIANO</t>
  </si>
  <si>
    <t>Comune di San Donà di Piave</t>
  </si>
  <si>
    <t>PPP-IPU-D415-01</t>
  </si>
  <si>
    <t>Comune di Eraclea</t>
  </si>
  <si>
    <t>Eraclea</t>
  </si>
  <si>
    <t>COMUNE DI ERACLEA : ERACLEA ILLUMINAZIONE PUBBLICA</t>
  </si>
  <si>
    <t>PPP-IPU-C388-01</t>
  </si>
  <si>
    <t>Comune di Jesolo</t>
  </si>
  <si>
    <t>Jesolo</t>
  </si>
  <si>
    <t>COMUNE DI JESOLO : JESOLO ILLUMINAZIONE PUBBLICA</t>
  </si>
  <si>
    <t>Comune di Castelnuovo Cilento</t>
  </si>
  <si>
    <t>Comune di Olevano sul Tusciano</t>
  </si>
  <si>
    <t>Comune di Santa Maria del Cedro</t>
  </si>
  <si>
    <t>Comune di Aradeo</t>
  </si>
  <si>
    <t>PPP-EEE-G616-02</t>
  </si>
  <si>
    <t>Comune di Pietragalla</t>
  </si>
  <si>
    <t>Comune di Pietragalla : PIETRAGALLA EFFICIENTAMENTO EDIFICI</t>
  </si>
  <si>
    <t>PPP-IPU-L998-01</t>
  </si>
  <si>
    <t>Comune di Villaputzu</t>
  </si>
  <si>
    <t>Villaputzu</t>
  </si>
  <si>
    <t>COMUNE DI VILLAPUTZU : VILLAPUTZU ILLUMINAZIONE PUBBLICA</t>
  </si>
  <si>
    <t>PPP-IPU-H971-01</t>
  </si>
  <si>
    <t>Comune di San Lucido</t>
  </si>
  <si>
    <t>San Lucido</t>
  </si>
  <si>
    <t>COMUNE DI SAN LUCIDO : SAN LUCIDO ILLUMINAZIONE PUBBLICA</t>
  </si>
  <si>
    <t>PPP-IPU-A482-01</t>
  </si>
  <si>
    <t>Comune di Atella</t>
  </si>
  <si>
    <t>Atella</t>
  </si>
  <si>
    <t>COMUNE DI ATELLA : ATELLA ILLUMINAZIONE PUBBLICA</t>
  </si>
  <si>
    <t>PPP-IPU-M281-01</t>
  </si>
  <si>
    <t>Comune di Petrosino</t>
  </si>
  <si>
    <t>Petrosino</t>
  </si>
  <si>
    <t>COMUNE DI PETROSINO : PETROSINO ILLUMINAZIONE PUBBLICA</t>
  </si>
  <si>
    <t>Comune di Pieve Fosciana</t>
  </si>
  <si>
    <t>PPP-IPU-E133-01</t>
  </si>
  <si>
    <t>Comune di Grammichele</t>
  </si>
  <si>
    <t>Grammichele</t>
  </si>
  <si>
    <t>COMUNE DI GRAMMICHELE : GRAMMICHELE ILLUMINAZIONE PUBBLICA</t>
  </si>
  <si>
    <t>PPP-IPU-F889-01</t>
  </si>
  <si>
    <t>Comune di Nichelino</t>
  </si>
  <si>
    <t>COMUNE DI NICHELINO : NICHELINO ILLUMINAZIONE PUBBLICA</t>
  </si>
  <si>
    <t>PPP-IPU-E271-01</t>
  </si>
  <si>
    <t>Comune di Gussago</t>
  </si>
  <si>
    <t>Gussago</t>
  </si>
  <si>
    <t>COMUNE DI GUSSAGO : GUSSAGO ILLUMINAZIONE PUBBLICA</t>
  </si>
  <si>
    <t>PPP-EEE-G786-01</t>
  </si>
  <si>
    <t>Comune di Policoro</t>
  </si>
  <si>
    <t>Policoro</t>
  </si>
  <si>
    <t>COMUNE DI POLICORO : POLICORO EFFICIENTAMENTO EDIFICI</t>
  </si>
  <si>
    <t>PPP-IPU-L357-01</t>
  </si>
  <si>
    <t>Comune di Trecchina</t>
  </si>
  <si>
    <t>COMUNE DI TRECCHINA : TRECCHINA ILLUMINAZIONE PUBBLICA</t>
  </si>
  <si>
    <t>PPP-IPU-F004-01</t>
  </si>
  <si>
    <t>Comune di Mascali</t>
  </si>
  <si>
    <t>Mascali</t>
  </si>
  <si>
    <t>COMUNE DI MASCALI : MASCALI ILLUMINAZIONE PUBBLICA</t>
  </si>
  <si>
    <t>PPP-IPU-F913-01</t>
  </si>
  <si>
    <t>Comune di Nocera Superiore</t>
  </si>
  <si>
    <t>Nocera Superiore</t>
  </si>
  <si>
    <t>COMUNE DI NOCERA SUPERIORE : NOCERA SUPERIORE ILLUMINAZIONE PUBBLICA</t>
  </si>
  <si>
    <t>Comune di Giffoni Sei Casali</t>
  </si>
  <si>
    <t>Comune di Cardano al Campo</t>
  </si>
  <si>
    <t>C-Luce 3</t>
  </si>
  <si>
    <t>Comune di Camerota</t>
  </si>
  <si>
    <t>Comune di Alliste</t>
  </si>
  <si>
    <t>Comune di Presicce-Acquarica</t>
  </si>
  <si>
    <t>Presicce-Acquarica</t>
  </si>
  <si>
    <t>Comune di San Marzano sul Sarno</t>
  </si>
  <si>
    <t>Comune di Trecate</t>
  </si>
  <si>
    <t>PPP-IPU-E227-01</t>
  </si>
  <si>
    <t>Comune di Guagnano</t>
  </si>
  <si>
    <t>Guagnano</t>
  </si>
  <si>
    <t>COMUNE DI GUAGNANO : GUAGNANO ILLUMINAZIONE PUBBLICA</t>
  </si>
  <si>
    <t>PREPARATION : Preparation / RPF</t>
  </si>
  <si>
    <t>PPP-IPU-I480-01</t>
  </si>
  <si>
    <t xml:space="preserve">PROVINCIA DI SAVONA </t>
  </si>
  <si>
    <t>PROVINCIA DI SAVONA : IMPIANTI PROVINCIA DI SAVONA</t>
  </si>
  <si>
    <t xml:space="preserve">COMUNE DI BICCARI </t>
  </si>
  <si>
    <t xml:space="preserve"> BICCARI ILLUMINAZIONE PUBBLICA</t>
  </si>
  <si>
    <t>PPP-IPU-E402-01</t>
  </si>
  <si>
    <t xml:space="preserve">COMUNE DI LAGANADI </t>
  </si>
  <si>
    <t>Laganadi</t>
  </si>
  <si>
    <t xml:space="preserve"> LAGANADI ILLUMINAZIONE PUBBLICA</t>
  </si>
  <si>
    <t>Pipeline</t>
  </si>
  <si>
    <t xml:space="preserve">CITTA' METROPOLITANA DI VENEZIA I SMART CITY S.R.L. </t>
  </si>
  <si>
    <t xml:space="preserve"> Impianti Citta Metropolitana di VeneziaILLUMINAZIONE PUBBLICA</t>
  </si>
  <si>
    <t xml:space="preserve">Comune di Ginestra </t>
  </si>
  <si>
    <t xml:space="preserve"> GINESTRA ILLUMINAZIONE PUBBLICA</t>
  </si>
  <si>
    <t xml:space="preserve">Comune di Atri </t>
  </si>
  <si>
    <t xml:space="preserve"> ATRI EDIFICI ILLUMINAZIONE PUBBLICA</t>
  </si>
  <si>
    <t xml:space="preserve">VERITAS SPA </t>
  </si>
  <si>
    <t xml:space="preserve"> Monitoraggio Fotovoltaico VeritasILLUMINAZIONE PUBBLICA</t>
  </si>
  <si>
    <t>PPP-BUS-C638-01</t>
  </si>
  <si>
    <t xml:space="preserve">COMUNE DI CHIOGGIA </t>
  </si>
  <si>
    <t>Chioggia BUS</t>
  </si>
  <si>
    <t>Public Fleet Electrification</t>
  </si>
  <si>
    <t xml:space="preserve"> CHIOGGIA TRASPORTO PUBBLICO LOCALE</t>
  </si>
  <si>
    <t>PPP-IPU-D440-01</t>
  </si>
  <si>
    <t xml:space="preserve">COMUNE DI ESPERIA </t>
  </si>
  <si>
    <t>Esperia</t>
  </si>
  <si>
    <t xml:space="preserve"> ESPERIA ILLUMINAZIONE PUBBLICA</t>
  </si>
  <si>
    <t xml:space="preserve">COMUNE DI PIANEZZE </t>
  </si>
  <si>
    <t xml:space="preserve"> PIANEZZE ILLUMINAZIONE PUBBLICA</t>
  </si>
  <si>
    <t>PPP-IPU-M018-01</t>
  </si>
  <si>
    <t xml:space="preserve">COMUNE VILLA SAN GIOVANNI </t>
  </si>
  <si>
    <t>Comune Villa San Giovanni</t>
  </si>
  <si>
    <t xml:space="preserve"> VILLA SAN GIOVANNI ILLUMINAZIONE PUBBLICA</t>
  </si>
  <si>
    <t xml:space="preserve"> Servizi Cimiteriali_Avigliano</t>
  </si>
  <si>
    <t>Scouting</t>
  </si>
  <si>
    <t xml:space="preserve">Comune di Filiano </t>
  </si>
  <si>
    <t xml:space="preserve"> Servizi Cimiteriali_Filiano</t>
  </si>
  <si>
    <t xml:space="preserve">Comune di Pisticci </t>
  </si>
  <si>
    <t xml:space="preserve"> PISTICCI ILLUMINAZIONE PUBBLICA</t>
  </si>
  <si>
    <t xml:space="preserve">Comune di Foggia </t>
  </si>
  <si>
    <t>C-Luce 4</t>
  </si>
  <si>
    <t xml:space="preserve"> FoggiaILLUMINAZIONE PUBBLICA</t>
  </si>
  <si>
    <t>PPP-IPU-B098-01</t>
  </si>
  <si>
    <t xml:space="preserve">Comune di Bovalino </t>
  </si>
  <si>
    <t>Bovalino</t>
  </si>
  <si>
    <t xml:space="preserve"> BOVALINO ILLUMINAZIONE PUBBLICA</t>
  </si>
  <si>
    <t xml:space="preserve">Comune di Torrevecchia </t>
  </si>
  <si>
    <t xml:space="preserve"> IMPIANTI COMUNE DI TORREVECCHIA PIA</t>
  </si>
  <si>
    <t xml:space="preserve">COMUNE DI CRISPIANO </t>
  </si>
  <si>
    <t xml:space="preserve"> CRISPIANO ILLUMINAZIONE PUBBLICA</t>
  </si>
  <si>
    <t xml:space="preserve"> FILIANO ILLUMINAZIONE PUBBLICA</t>
  </si>
  <si>
    <t>PPP-IPU-C616-01</t>
  </si>
  <si>
    <t xml:space="preserve">COMUNE DI CHIARAVALLE CENTRALE </t>
  </si>
  <si>
    <t>Chiaravalle Centrale</t>
  </si>
  <si>
    <t xml:space="preserve"> CHIARAVALLE CENTRALE ILLUMINAZIONE PUBBLICA</t>
  </si>
  <si>
    <t xml:space="preserve">COMUNE DI COLOBRARO </t>
  </si>
  <si>
    <t xml:space="preserve"> COLOBRARO ILLUMINAZIONE PUBBLICA</t>
  </si>
  <si>
    <t>PPP-IPU-E407-01</t>
  </si>
  <si>
    <t xml:space="preserve">COMUNE DI LAGO </t>
  </si>
  <si>
    <t>Lago</t>
  </si>
  <si>
    <t xml:space="preserve"> LAGO ILLUMINAZIONE PUBBLICA</t>
  </si>
  <si>
    <t xml:space="preserve"> SenigalliaILLUMINAZIONE PUBBLICA</t>
  </si>
  <si>
    <t>AQ1-IPU-F957-01</t>
  </si>
  <si>
    <t xml:space="preserve">COMUNE DI NOVE (VI) </t>
  </si>
  <si>
    <t>Nove (vi)</t>
  </si>
  <si>
    <t xml:space="preserve"> NOVE ILLUMINAZIONE PUBBLICA</t>
  </si>
  <si>
    <t>PPP-IPU-L905-01</t>
  </si>
  <si>
    <t xml:space="preserve">COMUNE DI VILLA SANTA LUCIA </t>
  </si>
  <si>
    <t>Villa Santa Lucia</t>
  </si>
  <si>
    <t xml:space="preserve"> VILLA SANTA LUCIA ILLUMINAZIONE PUBBLICA</t>
  </si>
  <si>
    <t>PPP-IPU-B516-01</t>
  </si>
  <si>
    <t xml:space="preserve">COMUNE DI CAMPO CALABRO </t>
  </si>
  <si>
    <t>Campo Calabro</t>
  </si>
  <si>
    <t xml:space="preserve"> CAMPO CALABRO ILLUMINAZIONE PUBBLICA</t>
  </si>
  <si>
    <t>PPP-IPU-G722-01</t>
  </si>
  <si>
    <t xml:space="preserve">COMUNE DI PIZZO CALABRO </t>
  </si>
  <si>
    <t>Pizzo Calabro</t>
  </si>
  <si>
    <t xml:space="preserve"> PIZZO CALABRO ILLUMINAZIONE PUBBLICA</t>
  </si>
  <si>
    <t>PPP-IPU-L294-01</t>
  </si>
  <si>
    <t xml:space="preserve">COMUNE DI TORRICELLA </t>
  </si>
  <si>
    <t>Torricella</t>
  </si>
  <si>
    <t xml:space="preserve"> TORRICELLA ILLUMINAZIONE PUBBLICA</t>
  </si>
  <si>
    <t>PPP-IPU-M273-01</t>
  </si>
  <si>
    <t xml:space="preserve">COMUNE DI SANTA MARIA LA CARITA' </t>
  </si>
  <si>
    <t>Santa Maria la Carita'</t>
  </si>
  <si>
    <t xml:space="preserve"> SANTA MARIA LA CARITA' ILLUMINAZIONE PUBBLICA</t>
  </si>
  <si>
    <t>PPP-IPU-I293-01</t>
  </si>
  <si>
    <t xml:space="preserve">COMUNE DI SANT' ANTIMO </t>
  </si>
  <si>
    <t>Sant' Antimo</t>
  </si>
  <si>
    <t xml:space="preserve"> SANT'ANTIMO ILLUMINAZIONE PUBBLICA</t>
  </si>
  <si>
    <t>BUS-SMC-B157-01</t>
  </si>
  <si>
    <t xml:space="preserve">BRESCIA MOBILITA' S.P.A. </t>
  </si>
  <si>
    <t>Brescia Mobilita' S.p.a.</t>
  </si>
  <si>
    <t xml:space="preserve"> BRESCIA MOBILITA' SPA TRASPORTO ELETTRICO</t>
  </si>
  <si>
    <t>PPP-IPU-F541-01</t>
  </si>
  <si>
    <t xml:space="preserve">COMUNE DI MONTELEONE SABINO </t>
  </si>
  <si>
    <t>Monteleone Sabino</t>
  </si>
  <si>
    <t xml:space="preserve"> MONTELEONE SABINO ILLUMINAZIONE PUBBLICA</t>
  </si>
  <si>
    <t>PPP-IPU-E156-01</t>
  </si>
  <si>
    <t xml:space="preserve">COMUNE DI GRAVINA DI CATANIA </t>
  </si>
  <si>
    <t>Gravina di Catania</t>
  </si>
  <si>
    <t xml:space="preserve"> GRAVINA DI CATANIA ILLUMINAZIONE PUBBLICA</t>
  </si>
  <si>
    <t>Quadro</t>
  </si>
  <si>
    <t>Altro</t>
  </si>
  <si>
    <t>Ricla MG esteso</t>
  </si>
  <si>
    <t>Codice Conto</t>
  </si>
  <si>
    <t>Conto COGE</t>
  </si>
  <si>
    <t>Cluster II</t>
  </si>
  <si>
    <t>Conto COGE I livello</t>
  </si>
  <si>
    <t>Conto COGE II livello</t>
  </si>
  <si>
    <t>CVS</t>
  </si>
  <si>
    <t>SP</t>
  </si>
  <si>
    <t>Intangible Assets</t>
  </si>
  <si>
    <t>Costi Di Impianto E Ampliamento</t>
  </si>
  <si>
    <t>Impianto e ampliamento</t>
  </si>
  <si>
    <t>Immobilizzazioni Immateriali</t>
  </si>
  <si>
    <t>Bl.1 - costi di impianto e di ampliamento</t>
  </si>
  <si>
    <t>Software</t>
  </si>
  <si>
    <t>BI.4 - concessioni, licenze, marchi e diritti simili</t>
  </si>
  <si>
    <t>Avviamento</t>
  </si>
  <si>
    <t>BI.5 - avviamento</t>
  </si>
  <si>
    <t>Lavori Straor. Su Beni Di Terzi</t>
  </si>
  <si>
    <t>Lavori su beni di terzi</t>
  </si>
  <si>
    <t>BI.7 - altre immobilizzazioni immateriali</t>
  </si>
  <si>
    <t>Lavori Straor. Su Beni Di Terzi In Corso</t>
  </si>
  <si>
    <t>Lavori su beni di terzi in corso</t>
  </si>
  <si>
    <t>Reclass-2</t>
  </si>
  <si>
    <t>Immobilizzazioni Genera &amp; Pulsano 31.12.25</t>
  </si>
  <si>
    <t>TBD</t>
  </si>
  <si>
    <t>Reclass-1</t>
  </si>
  <si>
    <t>Lavori su beni di terzi in corso ufficio Milano</t>
  </si>
  <si>
    <t>Costi Di Ricerca E Sviluppo</t>
  </si>
  <si>
    <t>Costi di ricerca e sviluppo</t>
  </si>
  <si>
    <t>BI.2 - costi di sviluppo</t>
  </si>
  <si>
    <t>Concessioni, Licenze E Marchi</t>
  </si>
  <si>
    <t>Concessioni licenze e marchi</t>
  </si>
  <si>
    <t>Altri Costi Ad Util. Plur. Da Amm.</t>
  </si>
  <si>
    <t>Other intangible</t>
  </si>
  <si>
    <t>F/Amm. Costi Impianto</t>
  </si>
  <si>
    <t>F/Amm Software</t>
  </si>
  <si>
    <t>F/Amm Avviamento</t>
  </si>
  <si>
    <t>F/Amm Concessioni, Licenze E Marchi</t>
  </si>
  <si>
    <t>F/Amm Ricerca E Sviluppo</t>
  </si>
  <si>
    <t>F/Amm. Lav. Str. Su Beni Di Terzi</t>
  </si>
  <si>
    <t>F/Amm. Alt. Cost. Ad Ut. Plu. Amm.</t>
  </si>
  <si>
    <t>Spese Di Costituzione</t>
  </si>
  <si>
    <t>F/Amm. Spese Di Costituzione</t>
  </si>
  <si>
    <t>Tangible Assets</t>
  </si>
  <si>
    <t>Terreni</t>
  </si>
  <si>
    <t>Terreni e fabbricati</t>
  </si>
  <si>
    <t>Immobilizzazioni Materiali</t>
  </si>
  <si>
    <t>Bll.1 - terreni e fabbricati</t>
  </si>
  <si>
    <t>Beni Inferiori Ai 516,46 Euro</t>
  </si>
  <si>
    <t>Other tangible</t>
  </si>
  <si>
    <t>BII. 4 - altri beni</t>
  </si>
  <si>
    <t>Fabbricati Ind.Li E Comm. Li</t>
  </si>
  <si>
    <t>Costruzioni Leggere</t>
  </si>
  <si>
    <t>Attrezzature Industriali E  Commerciali</t>
  </si>
  <si>
    <t>Attrezzature industriali e commerciali</t>
  </si>
  <si>
    <t>BIL.3 - attrezzature industriali e commerciali</t>
  </si>
  <si>
    <t>Attrezzatura Varia E Minuta</t>
  </si>
  <si>
    <t>Impianti Generici</t>
  </si>
  <si>
    <t>Impianti e macchinari</t>
  </si>
  <si>
    <t>BII.2 - impianti e macchinario</t>
  </si>
  <si>
    <t>Impianti Specifici</t>
  </si>
  <si>
    <t>Mobili E Macchine Ordinarie D'ufficio</t>
  </si>
  <si>
    <t>Ufficio</t>
  </si>
  <si>
    <t>Macchine Elettromeccaniche D'ufficio</t>
  </si>
  <si>
    <t>Autoveicoli E Autocarri</t>
  </si>
  <si>
    <t>Veicoli</t>
  </si>
  <si>
    <t>Autovetture</t>
  </si>
  <si>
    <t>F/Amm Fabbricati Ind.Li E Comm. Li</t>
  </si>
  <si>
    <t>F/Amm Costruzioni Leggere</t>
  </si>
  <si>
    <t>F/Amm Macchinari</t>
  </si>
  <si>
    <t>F/Amm Attrezzatura Industriali E  Commerciali</t>
  </si>
  <si>
    <t>F/Amm Attrezzatura Varia E Minuta</t>
  </si>
  <si>
    <t>F/Amm Impianti Generici</t>
  </si>
  <si>
    <t>F/Amm Impianti Specifici</t>
  </si>
  <si>
    <t>F/Amm Mobili E Macchine Ordinarie D'ufficio</t>
  </si>
  <si>
    <t>F/Amm Macchine Elettromeccaniche D'ufficio</t>
  </si>
  <si>
    <t>F/Amm Autoveicoli E Autocarri</t>
  </si>
  <si>
    <t>F/Amm Autovetture</t>
  </si>
  <si>
    <t>Arredamento</t>
  </si>
  <si>
    <t>F/Amm Arredamento</t>
  </si>
  <si>
    <t>FV</t>
  </si>
  <si>
    <t>Immobiliazioni Materiali In Corso - FV Lizzano</t>
  </si>
  <si>
    <t>Fotovoltaico in corso</t>
  </si>
  <si>
    <t>BII.5 - immobilizzazioni in corso e acconti</t>
  </si>
  <si>
    <t>Fornitori Imm. Materiali c/acconti - FV Mucca Nera</t>
  </si>
  <si>
    <t>Fornitori Imm. Materiali c/acconti</t>
  </si>
  <si>
    <t>Immobilizzazioni in corso</t>
  </si>
  <si>
    <t>Fabbricati Ind.Li e Comm. Li (MiniPia)</t>
  </si>
  <si>
    <t>F/Amm Fabbricati Ind.Li E Comm. Li (MiniPia)</t>
  </si>
  <si>
    <t>F/Amm. Beni Inferiori Ai 516,46 Euro</t>
  </si>
  <si>
    <t>Financial Assets</t>
  </si>
  <si>
    <t>Partecipazioni Imp. Controllate</t>
  </si>
  <si>
    <t>Partecipazioni imprese controllate</t>
  </si>
  <si>
    <t>Immobilizzazioni Finanziarie</t>
  </si>
  <si>
    <t>BlII. 1a- Partecipazioni in imprese controllate</t>
  </si>
  <si>
    <t>Partecipazioni Imp. Altre Imprese</t>
  </si>
  <si>
    <t>Partecipazioni altre imprese</t>
  </si>
  <si>
    <t>BlII. 1d-bis - Partecipazioni in altre imprese</t>
  </si>
  <si>
    <t>Other Credit</t>
  </si>
  <si>
    <t>Crediti Vs. Imp. Controllate</t>
  </si>
  <si>
    <t>BlII.2a - verso imprese controllate</t>
  </si>
  <si>
    <t>Crediti Vs. Imp. Collegate</t>
  </si>
  <si>
    <t>N/A_Conti Infrannuali</t>
  </si>
  <si>
    <t>N/A_conti infrannuali</t>
  </si>
  <si>
    <t>Crediti Vs. Imp. Altre Imprese</t>
  </si>
  <si>
    <t>Crediti Vs. Altri</t>
  </si>
  <si>
    <t>BlII.2d-bis - verso altri</t>
  </si>
  <si>
    <t>Depositi Cauzioniari Commerciali</t>
  </si>
  <si>
    <t>Other Reserves</t>
  </si>
  <si>
    <t>Soci c/sottoscrizione</t>
  </si>
  <si>
    <t>Inventory</t>
  </si>
  <si>
    <t>Materie Prime, Sussidiarie E Consumo Finali</t>
  </si>
  <si>
    <t>Rimanenze</t>
  </si>
  <si>
    <t>CI.1 - materie prime, sussidiarie e di consumo</t>
  </si>
  <si>
    <t>Trade Receivables</t>
  </si>
  <si>
    <t>Crediti Vs Clienti Nazionali</t>
  </si>
  <si>
    <t>Crediti Verso Clienti</t>
  </si>
  <si>
    <t>CII.1 - verso clienti</t>
  </si>
  <si>
    <t>Fondo Svalutazione Crediti</t>
  </si>
  <si>
    <t>Credito v/GSE (conto termico)</t>
  </si>
  <si>
    <t>ClI.5-quater - verso altri</t>
  </si>
  <si>
    <t>Credito v/Regione Basilicata</t>
  </si>
  <si>
    <t>Tax Credit</t>
  </si>
  <si>
    <t>Crediti v/imprese controllanti per consolidato fiscale</t>
  </si>
  <si>
    <t>Crediti Vs Clienti Esteri</t>
  </si>
  <si>
    <t>Crediti Intercompany</t>
  </si>
  <si>
    <t>Altri Titoli</t>
  </si>
  <si>
    <t>Attività Finanziarie Che Non Costituiscono Imm.</t>
  </si>
  <si>
    <t>CIII.6 - Altri titoli</t>
  </si>
  <si>
    <t>Fatture Da Emettere</t>
  </si>
  <si>
    <t>Crediti verso Altri</t>
  </si>
  <si>
    <t>Trade Payables</t>
  </si>
  <si>
    <t>Note di Credito Da Ricevere</t>
  </si>
  <si>
    <t>Debiti Vs Fornitori</t>
  </si>
  <si>
    <t>D.7 - debiti verso fornitori</t>
  </si>
  <si>
    <t>Erario C/Iva Compensazione</t>
  </si>
  <si>
    <t>Crediti Tributari</t>
  </si>
  <si>
    <t>CII.5-bis - crediti tributari</t>
  </si>
  <si>
    <t>Erario C/Iva Rimborso</t>
  </si>
  <si>
    <t>Erario C/Rit. Subite</t>
  </si>
  <si>
    <t>Crediti Per Imposte Anticipate</t>
  </si>
  <si>
    <t>CII.5-ter - imposte anticipate</t>
  </si>
  <si>
    <t>Credito D'imposta</t>
  </si>
  <si>
    <t>Cash &amp; Cash Equivalent</t>
  </si>
  <si>
    <t>Cassa</t>
  </si>
  <si>
    <t>Disponibilità Liquide</t>
  </si>
  <si>
    <t>CIV.3 - danaro e valori in cassa</t>
  </si>
  <si>
    <t>Banca Intesa C/C 655</t>
  </si>
  <si>
    <t>CIV.1 - depositi bancari e postali</t>
  </si>
  <si>
    <t>Banca Pop. Emilia C/C 392</t>
  </si>
  <si>
    <t>Banca Intesa C/C 5054</t>
  </si>
  <si>
    <t>Banca Intesa C/C 3830</t>
  </si>
  <si>
    <t>Banca Intesa C/C 5970</t>
  </si>
  <si>
    <t>Banca Intesa C/C 5971</t>
  </si>
  <si>
    <t>Banca C.Agricole C/C 8142</t>
  </si>
  <si>
    <t>Banca Bpm C/C 1419</t>
  </si>
  <si>
    <t>Debiti Vs Banche</t>
  </si>
  <si>
    <t>D.4 - debiti verso banche</t>
  </si>
  <si>
    <t>Banca Bper-Carige C/C 8323</t>
  </si>
  <si>
    <t>Banca Emilbanca C/C 0348</t>
  </si>
  <si>
    <t>Banca MPS C/C</t>
  </si>
  <si>
    <t>Banca Pop. Emilia C/C 203</t>
  </si>
  <si>
    <t>Banca Unicredit C/C 5305</t>
  </si>
  <si>
    <t>Banco Posta C/C 522</t>
  </si>
  <si>
    <t>Carta Bper 5745</t>
  </si>
  <si>
    <t>Carta Prepagata Intesa 2203</t>
  </si>
  <si>
    <t>Carta Prepagata Intesa 4805</t>
  </si>
  <si>
    <t>Carta Prepagata Intesa 0903</t>
  </si>
  <si>
    <t>BPM c/c 3269</t>
  </si>
  <si>
    <t>Igea c/c 2293 (ex Racale)</t>
  </si>
  <si>
    <t>BPM c/c 4945</t>
  </si>
  <si>
    <t>BPM c/c 3502</t>
  </si>
  <si>
    <t>BPM c/c 4499</t>
  </si>
  <si>
    <t>BPM c/c 3080</t>
  </si>
  <si>
    <t>Banca Biver (Asti)</t>
  </si>
  <si>
    <t>Gross Debt</t>
  </si>
  <si>
    <t>Carta Banca Popolare Emilia</t>
  </si>
  <si>
    <t>Debiti Verso Banche</t>
  </si>
  <si>
    <t>Carta Banca Intesa</t>
  </si>
  <si>
    <t>Carta MPS</t>
  </si>
  <si>
    <t>Banca Unicredit C/C 6783</t>
  </si>
  <si>
    <t>BPM C/C 0526</t>
  </si>
  <si>
    <t>Banco Posta C/C 294</t>
  </si>
  <si>
    <t>Other Liabilities</t>
  </si>
  <si>
    <t>Risconti Passivi</t>
  </si>
  <si>
    <t>Ratei E Risconti Passivi</t>
  </si>
  <si>
    <t>E - RATEI E RISCONTI PASSIVI</t>
  </si>
  <si>
    <t>Share Capital</t>
  </si>
  <si>
    <t>Capitale Sociale</t>
  </si>
  <si>
    <t>Capitale</t>
  </si>
  <si>
    <t>Al - capitale</t>
  </si>
  <si>
    <t>Legal Reserve</t>
  </si>
  <si>
    <t>Riserva Legale</t>
  </si>
  <si>
    <t xml:space="preserve">Riserva Legale </t>
  </si>
  <si>
    <t>A/V - riserva legale</t>
  </si>
  <si>
    <t>Riserva Staordinaria</t>
  </si>
  <si>
    <t>Ris. Per Operaz. Di Copertura Dei  Flussi Finanz. Attesi</t>
  </si>
  <si>
    <t>Varie Altre Riserve</t>
  </si>
  <si>
    <t>AVII - riserva per operazioni di copertura dei flussi finanziari attesi</t>
  </si>
  <si>
    <t>Capital Call</t>
  </si>
  <si>
    <t>Riserva C/Aumento Capitale</t>
  </si>
  <si>
    <t>AVI - altre riserve distintamente indicate</t>
  </si>
  <si>
    <t>Retained Earnings</t>
  </si>
  <si>
    <t>Perdite/Utili A Nuovo</t>
  </si>
  <si>
    <t>Utili (Perdita) Portati A Nuovo</t>
  </si>
  <si>
    <t>AVIII - utile (perdita) portati a nuovo</t>
  </si>
  <si>
    <t>Perdite/Utili Esercizio Precedente</t>
  </si>
  <si>
    <t>Perdita/Utile d'Esercizio</t>
  </si>
  <si>
    <t>IX - Utile (perdita) dell'esercizio</t>
  </si>
  <si>
    <t>Avanzo di Fusione</t>
  </si>
  <si>
    <t>Avanzo di Concambio</t>
  </si>
  <si>
    <t>Risk Provisions</t>
  </si>
  <si>
    <t>Fondo Rischi</t>
  </si>
  <si>
    <t>Fondo Per Rischi E Oneri</t>
  </si>
  <si>
    <t>B.4 - altri</t>
  </si>
  <si>
    <t>Deferred Tax</t>
  </si>
  <si>
    <t>Fondo Imposte Differite</t>
  </si>
  <si>
    <t>B.2 - per imposte anche differite</t>
  </si>
  <si>
    <t>TFR and Other Provision</t>
  </si>
  <si>
    <t>Fondi Trattamento Quiescienza Ed Obblighi  Simili</t>
  </si>
  <si>
    <t>Fondo Rischi Altri accantonamenti</t>
  </si>
  <si>
    <t>Fondo Strumenti Finanziari Derivati Passivi</t>
  </si>
  <si>
    <t>B.3 - Strumenti finanziari passivi</t>
  </si>
  <si>
    <t>Fondo TFR</t>
  </si>
  <si>
    <t>Trattamento Di Fine Rapporto</t>
  </si>
  <si>
    <t>C - TRATTAMENTO DI FINE RAPPORTO DI LAVORO SUBORDINATO</t>
  </si>
  <si>
    <t>Finanziamento Bper Linea Revolving</t>
  </si>
  <si>
    <t>Finanziamento Bper Linea Senior</t>
  </si>
  <si>
    <t>Mutuo FIN-0492</t>
  </si>
  <si>
    <t>Mutuo Comune di San Vito</t>
  </si>
  <si>
    <t>Mutuo Comune di Sant'Eufemia Maiella</t>
  </si>
  <si>
    <t>Mutuo FIN-1185</t>
  </si>
  <si>
    <t>Mutuo Comune di Lanuvio</t>
  </si>
  <si>
    <t>Mutuo FIN-6355</t>
  </si>
  <si>
    <t>Mutuo FIN-9235</t>
  </si>
  <si>
    <t>Mutuo FIN-9266</t>
  </si>
  <si>
    <t>Mutuo Comune di Polesine Zibello</t>
  </si>
  <si>
    <t>Mutuo FIN-8029</t>
  </si>
  <si>
    <t>Mutuo Comune di Palombara Sabina</t>
  </si>
  <si>
    <t>Mutuo FIN-7024</t>
  </si>
  <si>
    <t>Mutuo Comune di Bellante</t>
  </si>
  <si>
    <t>Mutuo INV-401</t>
  </si>
  <si>
    <t>Mutuo INV-925</t>
  </si>
  <si>
    <t>Mutui CARIGE FIN-2595</t>
  </si>
  <si>
    <t>Mutui CREVAL FIN-8028</t>
  </si>
  <si>
    <t>Mutui INTESA S.PAOLO FIN-6875</t>
  </si>
  <si>
    <t>Mutui CARIGE 94734/003</t>
  </si>
  <si>
    <t>Mutuo FIN-9866</t>
  </si>
  <si>
    <t>Finanziamento Volkswagen Bank</t>
  </si>
  <si>
    <t>Altri Debiti Finanziari</t>
  </si>
  <si>
    <t>D.5 - debiti verso altri finanziatori</t>
  </si>
  <si>
    <t>Shareholder Financing</t>
  </si>
  <si>
    <t>Fornitori C/Spese Anticipate</t>
  </si>
  <si>
    <t>Debiti Verso Fornitori</t>
  </si>
  <si>
    <t>Fornitori Nazionali</t>
  </si>
  <si>
    <t>Fornitori Esteri</t>
  </si>
  <si>
    <t>Soci C/Utili</t>
  </si>
  <si>
    <t>Debiti Vs. Collegate, Controllate E Altre</t>
  </si>
  <si>
    <t>D.11 - debiti verso imprese controllanti</t>
  </si>
  <si>
    <t>Debiti Vs. Imp. Controllate</t>
  </si>
  <si>
    <t>Debiti Vs. Controllante</t>
  </si>
  <si>
    <t>Tax Debit</t>
  </si>
  <si>
    <t>Erario C/Imposta Sost. Riv. Tfr</t>
  </si>
  <si>
    <t>Erario C/Ires</t>
  </si>
  <si>
    <t>Debiti Tributari</t>
  </si>
  <si>
    <t>D.12 - debiti tributari</t>
  </si>
  <si>
    <t>Regioni C/Irap</t>
  </si>
  <si>
    <t>Erario C/Iva</t>
  </si>
  <si>
    <t>Other Debiti Tributari</t>
  </si>
  <si>
    <t>Iva su Vendite</t>
  </si>
  <si>
    <t>Erario Rit.Acc.Su Prest.Prof.</t>
  </si>
  <si>
    <t>Debiti Verso Istituti Di Previdenza</t>
  </si>
  <si>
    <t>Erario C/Rit. Lavoro Dipendente</t>
  </si>
  <si>
    <t>Debiti V/Fondi Prev.</t>
  </si>
  <si>
    <t>D.13 - debiti verso istituti di previdenza e di sicurezza sociale</t>
  </si>
  <si>
    <t>I.N.P.S. Dipendenti Carico Ditta</t>
  </si>
  <si>
    <t>I.N.A.I.L.</t>
  </si>
  <si>
    <t>Dipendenti C/Retribuzione</t>
  </si>
  <si>
    <t>Altri Debiti</t>
  </si>
  <si>
    <t>D.14 - altri debiti</t>
  </si>
  <si>
    <t>Soci C/Finanziamenti</t>
  </si>
  <si>
    <t>Fatture da Ricevere</t>
  </si>
  <si>
    <t>Clienti c/anticipi</t>
  </si>
  <si>
    <t>Debiti v/Dipendenti CO.CO.CO</t>
  </si>
  <si>
    <t>Note Di Credito Da Emettere</t>
  </si>
  <si>
    <t>Debiti Vs Altri</t>
  </si>
  <si>
    <t>Debiti Per Ferie Maturate E Non Godute</t>
  </si>
  <si>
    <t>Debiti Per Contributi Su Ferie Maturate</t>
  </si>
  <si>
    <t>Debiti V/Cessionari Stipendio</t>
  </si>
  <si>
    <t>Risconti Attivi</t>
  </si>
  <si>
    <t>Ratei E Risconti Attivi</t>
  </si>
  <si>
    <t>D - RATEI E RISCONTI ATTIVI</t>
  </si>
  <si>
    <t>Ratei Passivi</t>
  </si>
  <si>
    <t>CE</t>
  </si>
  <si>
    <t>R</t>
  </si>
  <si>
    <t>Costruzioni Interne</t>
  </si>
  <si>
    <t>Capit. Costi di Imm. Immat.</t>
  </si>
  <si>
    <t>Incrementi Di Immobilizzazioni Per Lavori Interni</t>
  </si>
  <si>
    <t>A4 - incrementi di immobilizzazioni per lavori interni</t>
  </si>
  <si>
    <t>Other Revenues</t>
  </si>
  <si>
    <t>Sconti, Ribassi e Abbuoni Attivi</t>
  </si>
  <si>
    <t>Altri Ricavi</t>
  </si>
  <si>
    <t>- altri</t>
  </si>
  <si>
    <t>Altri Ricavi E Proventi Vari</t>
  </si>
  <si>
    <t>C</t>
  </si>
  <si>
    <t>Financial Income</t>
  </si>
  <si>
    <t>Differenze Di Cambio Attive</t>
  </si>
  <si>
    <t>C. 17.bis - (utili) / perdite su cambi</t>
  </si>
  <si>
    <t>Rimborso spese da bolletini postali</t>
  </si>
  <si>
    <t>Plusvalenze</t>
  </si>
  <si>
    <t>Extraordinary Item (Attive)</t>
  </si>
  <si>
    <t>Sopravvenienze Attive</t>
  </si>
  <si>
    <t>Sopravvenienze Attive Ord. Inded.</t>
  </si>
  <si>
    <t>Contributi In C/Esercizio</t>
  </si>
  <si>
    <t>contributi in conto esercizio</t>
  </si>
  <si>
    <t>Costi Diretti</t>
  </si>
  <si>
    <t>Merci C/Acquisti Nazionali</t>
  </si>
  <si>
    <t>Costi Per Materie Prime</t>
  </si>
  <si>
    <t>B6 - per materie prime, sussidiarie, di consumo e di merci</t>
  </si>
  <si>
    <t>Merci C/Acquisti Extra Ue</t>
  </si>
  <si>
    <t>Canone</t>
  </si>
  <si>
    <t>Beni Inferiori A 516,46 Euro</t>
  </si>
  <si>
    <t>Carburante</t>
  </si>
  <si>
    <t>Carburante Parz. Ded.</t>
  </si>
  <si>
    <t>Lavoraz. Di Terzi P/Prod. Beni</t>
  </si>
  <si>
    <t>Costi Per Servizi</t>
  </si>
  <si>
    <t>B7 - per servizi</t>
  </si>
  <si>
    <t>Lavoraz. Di Terzi P/Prod. Servizi</t>
  </si>
  <si>
    <t>Manut. E Rip. Su Beni Di Prop.</t>
  </si>
  <si>
    <t>Manut. E Rip. Su Beni Di Prop. Parz. Ded.</t>
  </si>
  <si>
    <t>Manut. E Rip. Autocarri</t>
  </si>
  <si>
    <t>Manut. E Rip. Autovetture Deduc.</t>
  </si>
  <si>
    <t>Manut. E Rip. Ord. Beni Di Terzi</t>
  </si>
  <si>
    <t>Manut. E Rip. Straord. Beni Di Terzi</t>
  </si>
  <si>
    <t>Personnel Costs</t>
  </si>
  <si>
    <t>Compensi A Collaboratori Co.Co.Co.</t>
  </si>
  <si>
    <t>Comp. Prof. Attinenti  Attivita' Senza Rit.</t>
  </si>
  <si>
    <t>Comp. Prof. Attinenti  Attivita' C/Rit.</t>
  </si>
  <si>
    <t>Comp. Prof. Attinenti Attivita'</t>
  </si>
  <si>
    <t>Contributi Inps Collaboratori Co.Co.Co</t>
  </si>
  <si>
    <t>Spesa Energia Commesse</t>
  </si>
  <si>
    <t>Commissioni Bancarie</t>
  </si>
  <si>
    <t>Cancelleria</t>
  </si>
  <si>
    <t>Acqua</t>
  </si>
  <si>
    <t>Servizi Di Gestione Immobili</t>
  </si>
  <si>
    <t>Pedaggi Autostradali</t>
  </si>
  <si>
    <t>Pedaggi Autostradali  Parz. Ded.</t>
  </si>
  <si>
    <t>Spese Per Trasferte</t>
  </si>
  <si>
    <t>Contributi Ad Assoc. Sindacali</t>
  </si>
  <si>
    <t>Altre Spese Generali</t>
  </si>
  <si>
    <t>Abbonamenti Riviste, Giornali</t>
  </si>
  <si>
    <t>Trasporti Su Acquisti</t>
  </si>
  <si>
    <t>Trasporti Su Vendite</t>
  </si>
  <si>
    <t>Spese Doganali</t>
  </si>
  <si>
    <t>Provvigioni A Intermediari</t>
  </si>
  <si>
    <t>Spese Di Rappresentanza Non Ded.</t>
  </si>
  <si>
    <t>Spese Di Rappresentanza Ded.</t>
  </si>
  <si>
    <t>Pubb. E Markt</t>
  </si>
  <si>
    <t>Contributi Inps Amministratori</t>
  </si>
  <si>
    <t>Revisione Contabile</t>
  </si>
  <si>
    <t>Spese Di Consulenza</t>
  </si>
  <si>
    <t>Tenuta Paghe</t>
  </si>
  <si>
    <t>Spese Telefoniche</t>
  </si>
  <si>
    <t>Spese Telefoniche - Numero Verde</t>
  </si>
  <si>
    <t>Canoni Software, Licenze E Simili</t>
  </si>
  <si>
    <t>Assicurazioni</t>
  </si>
  <si>
    <t>Assicurazioni R.C.</t>
  </si>
  <si>
    <t>Assicurazioni R.C.A. Parz. Deduc.</t>
  </si>
  <si>
    <t>Altre Assicurazioni</t>
  </si>
  <si>
    <t>Fitti Passivi</t>
  </si>
  <si>
    <t>Costi Per Godimento Beni Di Terzi</t>
  </si>
  <si>
    <t>B8 - per godimento di beni di terzi</t>
  </si>
  <si>
    <t>Noleggi Operativi</t>
  </si>
  <si>
    <t>Noleggi Deducibili</t>
  </si>
  <si>
    <t>Altri Noleggi</t>
  </si>
  <si>
    <t>Canoni Leasing Operativo</t>
  </si>
  <si>
    <t>Salari E Stipendi - Operai</t>
  </si>
  <si>
    <t>Salari E Stipendi</t>
  </si>
  <si>
    <t>89a - salari e stipendi</t>
  </si>
  <si>
    <t>Salari E Stipendi - Impiegati</t>
  </si>
  <si>
    <t>Salari E Stipendi - Dirigenti</t>
  </si>
  <si>
    <t>Rimborsi Da Nota Spese</t>
  </si>
  <si>
    <t>Ferie Maturate E Non Godute</t>
  </si>
  <si>
    <t>Altri Costi</t>
  </si>
  <si>
    <t>Oneri Previdenziali I.N.P.S. - Operai</t>
  </si>
  <si>
    <t>Oneri Sociali</t>
  </si>
  <si>
    <t>89b - oneri sociali</t>
  </si>
  <si>
    <t>Contributi Fasi</t>
  </si>
  <si>
    <t>Contributi Previndai</t>
  </si>
  <si>
    <t>Oneri Previdenziali I.N.P.S. - Dirigenti</t>
  </si>
  <si>
    <t>Oneri Previdenziali I.N.P.S. - Impiegati</t>
  </si>
  <si>
    <t>Oneri Sociali Inail</t>
  </si>
  <si>
    <t>Oneri Sociali Ferie Maturate E Non Godute</t>
  </si>
  <si>
    <t>Tfr</t>
  </si>
  <si>
    <t>B9c - trattamento di fine rapporto</t>
  </si>
  <si>
    <t>Bonus</t>
  </si>
  <si>
    <t>Costi Del Personale</t>
  </si>
  <si>
    <t>Buoni Pasto</t>
  </si>
  <si>
    <t>Spese Cellulari</t>
  </si>
  <si>
    <t>Formazione Del Personale</t>
  </si>
  <si>
    <t>Head Hunter</t>
  </si>
  <si>
    <t>Trattamento Di Quiescenza E Simili - Operai</t>
  </si>
  <si>
    <t>Trattamento Di Quiescenza E Simili - Dirigenti</t>
  </si>
  <si>
    <t>Trattamento Di Quiescenza E Simili - Impiegati</t>
  </si>
  <si>
    <t>Depreciation and amortization</t>
  </si>
  <si>
    <t>Amm.To Lic. Uso Soft.</t>
  </si>
  <si>
    <t>Ammortamento Imm. Immateriali</t>
  </si>
  <si>
    <t>810a - ammortamento delle immobilizzazioni immateriali</t>
  </si>
  <si>
    <t>Amm.To Costi D'impianto</t>
  </si>
  <si>
    <t>Amm.To Lav. Straord. Beni Di Terzi</t>
  </si>
  <si>
    <t>Amm.To Avviamento</t>
  </si>
  <si>
    <t>Amm.To Ord. Fabb. Ind.Li E Comm.</t>
  </si>
  <si>
    <t>Ammortamento Imm. Materiali</t>
  </si>
  <si>
    <t>B10b - ammortamento delle immobilizzazioni materiali</t>
  </si>
  <si>
    <t>Amm.To Ord. Fabb. Ind.Li E Comm. (MiniPia)</t>
  </si>
  <si>
    <t>Amm.To Ord. Cost. Legg.</t>
  </si>
  <si>
    <t>Amm.To Ord. Imp. Gen.</t>
  </si>
  <si>
    <t>Amm.To Ord. Imp. Specifici</t>
  </si>
  <si>
    <t>Amm.To Ord. Macc.</t>
  </si>
  <si>
    <t>Amm.To Ord. Att. Ind.Li E Comm.</t>
  </si>
  <si>
    <t>Amm.To Ord. Mob.E Mac. Ord. Uff.</t>
  </si>
  <si>
    <t>Amm.To Ord. Macc. Elettrom. Uff.</t>
  </si>
  <si>
    <t>Amm.To Ord. Autocarri/Autovetture</t>
  </si>
  <si>
    <t>Amm.To Ord. Autovetture</t>
  </si>
  <si>
    <t>Amm.to Concessioni, Licenze, Marchi e Diritti Simili</t>
  </si>
  <si>
    <t>Amm.to Costi di ricerca e sviluppo</t>
  </si>
  <si>
    <t>Materie Prime C/Rim Finali</t>
  </si>
  <si>
    <t>Variazione Delle Rimanenze Materie Prime, Suss.</t>
  </si>
  <si>
    <t>B11 - variazioni delle rimanenze di materie prime, sussidiarie, di consumo e merci</t>
  </si>
  <si>
    <t>Materie Prime C/Rim Iniziali</t>
  </si>
  <si>
    <t>Bad debt and other provisions</t>
  </si>
  <si>
    <t>Acc.To Su Fond. Sval. Crediti</t>
  </si>
  <si>
    <t>Svalutazione Crediti</t>
  </si>
  <si>
    <t>B10d - svalutazioni dei crediti compresi nell'attivo circolante e delle disponibilità liquide</t>
  </si>
  <si>
    <t>Tassa Di Proprieta' Autoveicoli</t>
  </si>
  <si>
    <t>Oneri Diversi Di Gestione</t>
  </si>
  <si>
    <t>B14 - oneri diversi di gestione</t>
  </si>
  <si>
    <t>Tassa Prop.Veicoli Parz.Ded.</t>
  </si>
  <si>
    <t>Imposta di bollo</t>
  </si>
  <si>
    <t>Minusvalenze</t>
  </si>
  <si>
    <t>Sopravvenienze Passive</t>
  </si>
  <si>
    <t>Sopravvenienze Passive Ord. Inded.</t>
  </si>
  <si>
    <t>Differenze Di Cambio Passive</t>
  </si>
  <si>
    <t>Imposta Imu</t>
  </si>
  <si>
    <t>Tassa Sui Rifiuti</t>
  </si>
  <si>
    <t>Taxes overheads</t>
  </si>
  <si>
    <t>Altre Imposte E Tasse Ded.</t>
  </si>
  <si>
    <t>Altre Imposte E Tasse Inded.</t>
  </si>
  <si>
    <t>Tasse Di Concessione Governat.</t>
  </si>
  <si>
    <t>Diritti Camerali</t>
  </si>
  <si>
    <t>Omaggi Passivi</t>
  </si>
  <si>
    <t>Sconti, Ribassi E  Abbuoni Passivi</t>
  </si>
  <si>
    <t>Multe E Ammende</t>
  </si>
  <si>
    <t>Multe E Ammende Indeducibili</t>
  </si>
  <si>
    <t>Erog. Liberali Ded.</t>
  </si>
  <si>
    <t>Differenziale Derivati Di Copertura</t>
  </si>
  <si>
    <t>Altri Proventi Finanziari</t>
  </si>
  <si>
    <t>C16.d - proventi diversi dai precedenti</t>
  </si>
  <si>
    <t>Interessi Attivi</t>
  </si>
  <si>
    <t>Financial Expenses</t>
  </si>
  <si>
    <t>Interessi Da Debiti Verso Banche</t>
  </si>
  <si>
    <t>Proventi E Oneri Finanziari</t>
  </si>
  <si>
    <t>C17e - verso altri</t>
  </si>
  <si>
    <t>Interessi Da Attualizzazione</t>
  </si>
  <si>
    <t>Interessi Da Altri Debiti</t>
  </si>
  <si>
    <t>Int. Passivi V/Fornitori</t>
  </si>
  <si>
    <t>Interessi Da Debiti Verso Banche_Linea Senior</t>
  </si>
  <si>
    <t>Interessi Da Debiti Verso Banche_Linea Revolving</t>
  </si>
  <si>
    <t>Taxes</t>
  </si>
  <si>
    <t>Acc.To Imp. Ires</t>
  </si>
  <si>
    <t>Imposte Correnti</t>
  </si>
  <si>
    <t>- imposte correnti</t>
  </si>
  <si>
    <t>Contributi In C/Impianti</t>
  </si>
  <si>
    <t>Acc.To Su Fond. Rischi</t>
  </si>
  <si>
    <t xml:space="preserve">Accantonamenti </t>
  </si>
  <si>
    <t xml:space="preserve">B12 - accantonamenti per rischi </t>
  </si>
  <si>
    <t>N/A</t>
  </si>
  <si>
    <t>Sbianciamento da allocare su fornitori</t>
  </si>
  <si>
    <t>T00008</t>
  </si>
  <si>
    <t>tained Earnings</t>
  </si>
  <si>
    <t>T00009</t>
  </si>
  <si>
    <t>ening Balance</t>
  </si>
  <si>
    <t>Disavanzo di Fusione</t>
  </si>
  <si>
    <t>Disavanzo di fusione</t>
  </si>
  <si>
    <t>Fornitori C/Acconti</t>
  </si>
  <si>
    <t>Dipendenti c/ant. su retribuzioni</t>
  </si>
  <si>
    <t>Iva su Acquisti</t>
  </si>
  <si>
    <t>Banca Pop. Emilia C/C 398</t>
  </si>
  <si>
    <t>Carta Bper 6467</t>
  </si>
  <si>
    <t>BPER Banca c/c 6637</t>
  </si>
  <si>
    <t>Carta Bper 5729</t>
  </si>
  <si>
    <t>Carta Bper 5737</t>
  </si>
  <si>
    <t>Carta Bper 5752</t>
  </si>
  <si>
    <t>Mps C/Anticipi</t>
  </si>
  <si>
    <t>Debiti Intercompany</t>
  </si>
  <si>
    <t>Erario c/Ritenute lavoratori autonomi</t>
  </si>
  <si>
    <t>Ricavi</t>
  </si>
  <si>
    <t>Ricavi Delle Vendite E Delle Prestazioni</t>
  </si>
  <si>
    <t>A1 - ricavi delle vendite e delle prestazioni</t>
  </si>
  <si>
    <t>Ricavi I/C</t>
  </si>
  <si>
    <t>- No Class -</t>
  </si>
  <si>
    <t>N/A_Riclassifica Gestionale</t>
  </si>
  <si>
    <t>N/A_riclassifica gestionale</t>
  </si>
  <si>
    <t>Energy Public Building No ATI</t>
  </si>
  <si>
    <t>One-Off</t>
  </si>
  <si>
    <t>One-Off No ATI</t>
  </si>
  <si>
    <t>Public Heat Management No ATI</t>
  </si>
  <si>
    <t>Public Streetlighting ATI</t>
  </si>
  <si>
    <t>Public Streetlighting No ATI</t>
  </si>
  <si>
    <t>Goods Sales</t>
  </si>
  <si>
    <t>Sales of Goods</t>
  </si>
  <si>
    <t>White Certificates</t>
  </si>
  <si>
    <t>Energy Public Building</t>
  </si>
  <si>
    <t>Energy Public Building ATI</t>
  </si>
  <si>
    <t>Photovoltaic ATI</t>
  </si>
  <si>
    <t>Compensi Sindaci</t>
  </si>
  <si>
    <t>Welfare</t>
  </si>
  <si>
    <t>Ammortamento Arredamento</t>
  </si>
  <si>
    <t>Amm.To Beni Inferiori Ai 516,46 Euro</t>
  </si>
  <si>
    <t>Irap Dell'esercizio</t>
  </si>
  <si>
    <t>Ires Dell'esercizio</t>
  </si>
  <si>
    <t>Imposte Anticipate</t>
  </si>
  <si>
    <t>Imposte Differite E Anticipate</t>
  </si>
  <si>
    <t>- imposte differite e anticipate</t>
  </si>
  <si>
    <t>307006-1</t>
  </si>
  <si>
    <t>f.do amm.to capitalizz.op.effi</t>
  </si>
  <si>
    <t>Efficientamento energetico ATL Dec24</t>
  </si>
  <si>
    <t>Altre immobilizzazioni immateriali</t>
  </si>
  <si>
    <t>307906-1</t>
  </si>
  <si>
    <t>Spesa Energia Struttura</t>
  </si>
  <si>
    <t>Gas</t>
  </si>
  <si>
    <t>Altri Proventi Da Crediti Da Altri</t>
  </si>
  <si>
    <t>Dipendenti C/Retribuzione 13ma</t>
  </si>
  <si>
    <t>Salari E Stipendi - 13ma Operai</t>
  </si>
  <si>
    <t>Salari E Stipendi - 13ma Impiegati</t>
  </si>
  <si>
    <t>Salari E Stipendi - 13ma Dirigenti</t>
  </si>
  <si>
    <t>Spese Anticipate</t>
  </si>
  <si>
    <t>Imposte Relative Esercizi Precedenti</t>
  </si>
  <si>
    <t>Banca Intesa C/C 6112</t>
  </si>
  <si>
    <t>Immobiliazioni Materiali In Corso - FV Avezzano 3</t>
  </si>
  <si>
    <t>Immobiliazioni Materiali In Corso - FV Montorio al Vomano 1</t>
  </si>
  <si>
    <t>Carta Bper 2384</t>
  </si>
  <si>
    <t>Iva su Vendite Split Payment</t>
  </si>
  <si>
    <t>Contributi Inail Amministratore</t>
  </si>
  <si>
    <t>Macchinari</t>
  </si>
  <si>
    <t>Appar. Radiomobili Detr. 80%</t>
  </si>
  <si>
    <t>F/Amm Appar. Radiomobili</t>
  </si>
  <si>
    <t>Immobiliazioni Materiali In Corso - FV Giulianova</t>
  </si>
  <si>
    <t>Immobiliazioni Materiali In Corso - FV Borgorose</t>
  </si>
  <si>
    <t>Immobiliazioni Materiali In Corso - FV Copertino 1</t>
  </si>
  <si>
    <t>Immobiliazioni Materiali In Corso - FV Corfinio</t>
  </si>
  <si>
    <t>Immobiliazioni Materiali In Corso - FV Avezzano 4</t>
  </si>
  <si>
    <t>Immobiliazioni Materiali In Corso - FV Montorio al Vomano 3</t>
  </si>
  <si>
    <t>Immobiliazioni Materiali In Corso - FV Montorio al Vomano 4</t>
  </si>
  <si>
    <t>Immobiliazioni Materiali In Corso - FV Collarmele</t>
  </si>
  <si>
    <t>Immobiliazioni Materiali In Corso - FV Campi Salentina 1</t>
  </si>
  <si>
    <t>Immobiliazioni Materiali In Corso - FV Copertino 2</t>
  </si>
  <si>
    <t>Partecipazioni Imp. Collegate</t>
  </si>
  <si>
    <t>Partecipazioni imprese collegate</t>
  </si>
  <si>
    <t>Crediti Vs. SPV Città Metropolitana Venezia II</t>
  </si>
  <si>
    <t>Acquisto Crediti Genera</t>
  </si>
  <si>
    <t>Crediti Vs. SPV Crosia Smart City</t>
  </si>
  <si>
    <t>Crediti Vs. SPV Spezzano Albanese Smart City</t>
  </si>
  <si>
    <t>Crediti per ritenuta a garanzia</t>
  </si>
  <si>
    <t>Crediti/Debiti v/Atlantico Spa</t>
  </si>
  <si>
    <t>Igea c/c 2293</t>
  </si>
  <si>
    <t>Banca Adria C/C 2544</t>
  </si>
  <si>
    <t>Banca Intesa San Paolo C/C 12616</t>
  </si>
  <si>
    <t>Carta Prepagata 8515860</t>
  </si>
  <si>
    <t>Carta Prepagata 4830630006208302 - Intesa</t>
  </si>
  <si>
    <t>Carta Intesa N 47</t>
  </si>
  <si>
    <t>Carta 8519873</t>
  </si>
  <si>
    <t>Carta 8519874</t>
  </si>
  <si>
    <t>Carta 8519875</t>
  </si>
  <si>
    <t>Nexi Carta 7371</t>
  </si>
  <si>
    <t>Nexi Carta 2803</t>
  </si>
  <si>
    <t>Nexi Carta 9856</t>
  </si>
  <si>
    <t>Banca Marca C/C 979452</t>
  </si>
  <si>
    <t>Nexi Carta 8636</t>
  </si>
  <si>
    <t>Riserva Sovrapprezzo Azioni</t>
  </si>
  <si>
    <t>Finanziamento Banca Marca 049/237181/01</t>
  </si>
  <si>
    <t>Debiti Vs. Imp. Altre Imprese</t>
  </si>
  <si>
    <t>F.A.S.I.</t>
  </si>
  <si>
    <t>Acquisti Vari</t>
  </si>
  <si>
    <t>Spese Accessorie Su Acquisti</t>
  </si>
  <si>
    <t>Contributi Ad Assoc. di Categoria</t>
  </si>
  <si>
    <t>Canoni Leasing Deducibile</t>
  </si>
  <si>
    <t>Altri Oneri Previdenziali</t>
  </si>
  <si>
    <t>Tfr Destinato A Fondo Pensione</t>
  </si>
  <si>
    <t>Altri Costi Del Personale</t>
  </si>
  <si>
    <t>Sval. Di Titoli Non  Partecipazioni</t>
  </si>
  <si>
    <t>Proventi Da Titoli In  Attivo Circolante Non  Partecipazioni</t>
  </si>
  <si>
    <t>Int. Att. Tit. Red. Fisso  No Imp. Sos.</t>
  </si>
  <si>
    <t>Altri Oneri Finanziari</t>
  </si>
  <si>
    <t>Crediti Vs. SPV Pulsano</t>
  </si>
  <si>
    <t>Crediti Vs. SPV Presicce Acquarica Smart City Srl</t>
  </si>
  <si>
    <t>Opening Balance</t>
  </si>
  <si>
    <t>Fondo Rischi Cause in Corso</t>
  </si>
  <si>
    <t>Retained earnings</t>
  </si>
  <si>
    <t>3000 -</t>
  </si>
  <si>
    <t>GST-001</t>
  </si>
  <si>
    <t>Inventory Asset (Gest.)</t>
  </si>
  <si>
    <t>GST-002</t>
  </si>
  <si>
    <t>Accrued Purchases (Gest.)</t>
  </si>
  <si>
    <t>GST-005</t>
  </si>
  <si>
    <t>Cost of Goods Sold (Gest.)</t>
  </si>
  <si>
    <t>GST-008</t>
  </si>
  <si>
    <t>Inventory In Transit (Gest.)</t>
  </si>
  <si>
    <t>GST-009</t>
  </si>
  <si>
    <t>Intercompany Clearing Account (Gest.)</t>
  </si>
  <si>
    <t>GST-012</t>
  </si>
  <si>
    <t xml:space="preserve"> Income Commesse (Gest.)</t>
  </si>
  <si>
    <t>GST-013</t>
  </si>
  <si>
    <t>Expense Commesse (Gest.)</t>
  </si>
  <si>
    <t>STD-005</t>
  </si>
  <si>
    <t>Accounts Payable</t>
  </si>
  <si>
    <t>Carta Intesa N 79</t>
  </si>
  <si>
    <t>Credito Acquisizione Alfano_Partecipazione TECS</t>
  </si>
  <si>
    <t>Acquisto Tecs (Alfano opportunity)</t>
  </si>
  <si>
    <t>Banca Pop. Emilia C/C 409</t>
  </si>
  <si>
    <t>Banca Pop. Emilia C/C 735</t>
  </si>
  <si>
    <t>Carta 8570257</t>
  </si>
  <si>
    <t>Banca Intesa San Paolo C/C 258</t>
  </si>
  <si>
    <t>Amm.to Altri Costi Ad Util. Plur. Da Amm.</t>
  </si>
  <si>
    <t>Amm.To Appar. Radiomobili</t>
  </si>
  <si>
    <t>GST-007</t>
  </si>
  <si>
    <t>Rettifica Inventariale (Gest.)</t>
  </si>
  <si>
    <t>Interessi Attivi Da Attualizzazione</t>
  </si>
  <si>
    <t>Immobiliazioni Materiali In Corso - FV Carmiano</t>
  </si>
  <si>
    <t>Credito v/controllante</t>
  </si>
  <si>
    <t>Crediti V/Socio Sofein Da Richiamare</t>
  </si>
  <si>
    <t>Credito V/Sofein Accordo Transattivo</t>
  </si>
  <si>
    <t>Credito V/Estra Clima</t>
  </si>
  <si>
    <t>I.N.A.I.L. C/Acconti</t>
  </si>
  <si>
    <t>Banca Intesa San Paolo C/C 171</t>
  </si>
  <si>
    <t>Banca Intesa San Paolo C/C 176</t>
  </si>
  <si>
    <t>Debito V/Comune di Spezzano Albanese</t>
  </si>
  <si>
    <t>Acconto cliente Comune Di Meolo</t>
  </si>
  <si>
    <t>Acconto cliente Comune Di San Donà</t>
  </si>
  <si>
    <t>Capitalizzazioni costi di materie prime</t>
  </si>
  <si>
    <t>Capitalizzazioni costi per servizi</t>
  </si>
  <si>
    <t>Capitalizzazioni costi del personale</t>
  </si>
  <si>
    <t>Lista clienti</t>
  </si>
  <si>
    <t>F.do amm.to Lista clienti</t>
  </si>
  <si>
    <t>Immobiliazioni Materiali In Corso - FV Raiano 1</t>
  </si>
  <si>
    <t>Immobiliazioni Materiali In Corso - FV Raiano 2</t>
  </si>
  <si>
    <t>Immobiliazioni Materiali In Corso - FV Tricase</t>
  </si>
  <si>
    <t>Diritti D'uso</t>
  </si>
  <si>
    <t>Leasing</t>
  </si>
  <si>
    <t>Fondo amm.to diritti d'uso</t>
  </si>
  <si>
    <t>Crediti Vs Chioggia Servizi</t>
  </si>
  <si>
    <t>Riserva FTA</t>
  </si>
  <si>
    <t>Riserva OCI</t>
  </si>
  <si>
    <t>Passività correnti per diritto d'uso non correnti</t>
  </si>
  <si>
    <t>Passività correnti per diritto d'uso correnti</t>
  </si>
  <si>
    <t>Immobiliazioni Materiali In Corso - FV Avezzano 5</t>
  </si>
  <si>
    <t>Immobiliazioni Materiali In Corso - FV Taviano 2</t>
  </si>
  <si>
    <t>Immobiliazioni Materiali In Corso - FV Scurcola 1</t>
  </si>
  <si>
    <t>Ammortamenti Diritti D'uso</t>
  </si>
  <si>
    <t>Interessi passivi Diritti d'uso</t>
  </si>
  <si>
    <t>Amm.To lista clienti</t>
  </si>
  <si>
    <t>Banca c/c (RSEE)</t>
  </si>
  <si>
    <t>Riserva Statutaria</t>
  </si>
  <si>
    <t>Finanziamento BPM</t>
  </si>
  <si>
    <t>Finanziamento Credit Agricole</t>
  </si>
  <si>
    <t>Generico</t>
  </si>
  <si>
    <t>Immobiliazioni Materiali In Corso - FV San Giorgio Ionico</t>
  </si>
  <si>
    <t>Anticipo Bolla Doganale</t>
  </si>
  <si>
    <t>Banca Unicredit c/c 3810</t>
  </si>
  <si>
    <t>Banca c/c RSEE BPM</t>
  </si>
  <si>
    <t>Banca Unicredit c/c 8410</t>
  </si>
  <si>
    <t>Banca Unicredit c/c 3254</t>
  </si>
  <si>
    <t>Finanziamento Banca Unicredit_Nuovo</t>
  </si>
  <si>
    <t>Erario c/ritenute su dividendi</t>
  </si>
  <si>
    <t>Servizi Di Lavoro In Somministrazione</t>
  </si>
  <si>
    <t>Oneri Contrattuali</t>
  </si>
  <si>
    <t>68/05/501</t>
  </si>
  <si>
    <t>SPESE PARTECIPAZIONE CONSORZIO</t>
  </si>
  <si>
    <t>24/05/002</t>
  </si>
  <si>
    <t>BANCA MPS C/C 1616312</t>
  </si>
  <si>
    <t>24/05/003</t>
  </si>
  <si>
    <t>BANCA INTESA - EX B.NAPOLI</t>
  </si>
  <si>
    <t>24/05/006</t>
  </si>
  <si>
    <t>CARTA PREPAGATA INTESA 50</t>
  </si>
  <si>
    <t>Materie Prime, Sussidiarie E Consumo Iniziali</t>
  </si>
  <si>
    <t>Lavori In Corso Su Ordinazione</t>
  </si>
  <si>
    <t>Perdite su Crediti</t>
  </si>
  <si>
    <t>Ago BdV</t>
  </si>
  <si>
    <t>GRUPPO SGP - STATO PATRIMONIALE AL 31/08/20266</t>
  </si>
  <si>
    <t>STATO PATRIMONIALE</t>
  </si>
  <si>
    <t>SPV</t>
  </si>
  <si>
    <t>AGGREGATO</t>
  </si>
  <si>
    <t>RETTIFICHE</t>
  </si>
  <si>
    <t>CONSOLIDATO</t>
  </si>
  <si>
    <t>ATTIVO</t>
  </si>
  <si>
    <t>Costi di costituzione e di modifiche statutarie</t>
  </si>
  <si>
    <t>(F.do amm.to costi di costit. e di modif. statut.)</t>
  </si>
  <si>
    <t>Costi di ricerca e sviluppo commerciali</t>
  </si>
  <si>
    <t>(F.do amm.to costi di ricerca e sviluppo commerc.)</t>
  </si>
  <si>
    <t>Programmi software</t>
  </si>
  <si>
    <t>(F.do amm.to Programmi software)</t>
  </si>
  <si>
    <t>(F.do amm.to avviam.)</t>
  </si>
  <si>
    <t>Altri oneri pluriennali</t>
  </si>
  <si>
    <t>Immobilizzazioni immateriali (SOA)</t>
  </si>
  <si>
    <t>Immobilizzazioni in corso (Pagani)</t>
  </si>
  <si>
    <t>(F.do amm.to imm.ni immateriali)</t>
  </si>
  <si>
    <t>Immobilizzazioni immateriali</t>
  </si>
  <si>
    <t>Attrezzatura varia</t>
  </si>
  <si>
    <t>(F.do amm.to attrezzatura varia)</t>
  </si>
  <si>
    <t>Mobili e macchine ordinarie d'ufficio</t>
  </si>
  <si>
    <t xml:space="preserve">Macchine d'ufficio elettromecc. ed elettroniche </t>
  </si>
  <si>
    <t>(F.do amm.to mobili e macchine d'ufficio)</t>
  </si>
  <si>
    <t>(F.do amm.to mastcc. ufficio elettrom. ed elettr.)</t>
  </si>
  <si>
    <t>Immobiliz. Materiali</t>
  </si>
  <si>
    <t>Immobilizzazioni materiali</t>
  </si>
  <si>
    <t>DELLED SRL 100%</t>
  </si>
  <si>
    <t>Pagani Smart City 99%</t>
  </si>
  <si>
    <t>S.G Plant Maroc Sarl 80%</t>
  </si>
  <si>
    <t>Go4Green Srl 50%</t>
  </si>
  <si>
    <t>F.do Svalutazione Go4Green</t>
  </si>
  <si>
    <t>Noci Smart City Srl 100%</t>
  </si>
  <si>
    <t>Basiano Masate Smart city 100%</t>
  </si>
  <si>
    <t>Cassano Efficiency Srl 100%</t>
  </si>
  <si>
    <t>Apricena Smart City 100%</t>
  </si>
  <si>
    <t>BRUINO SMART CITY SRL 100%</t>
  </si>
  <si>
    <t>Cons. Communitas 1 quota</t>
  </si>
  <si>
    <t>CONFIDICOOP MARCHE</t>
  </si>
  <si>
    <t>FIDIMPRESA MARCHE</t>
  </si>
  <si>
    <t>Crediti vs Go For Green per fin.e.o.e.s.</t>
  </si>
  <si>
    <t>F.do Svalutazione Crediti vs Go For Green</t>
  </si>
  <si>
    <t>Crediti vs Pagani Srl per fin. e.o.e.s.</t>
  </si>
  <si>
    <t>Crediti vs Delled Srl per fin. e.o.e.s.</t>
  </si>
  <si>
    <t>Crediti vs Noci Srl per fin. e.o.e.s.</t>
  </si>
  <si>
    <t>Crediti vs Cassano per fin. e.o.e.s.</t>
  </si>
  <si>
    <t>Crediti vs Apricena per fin. e.o.e.s.</t>
  </si>
  <si>
    <t xml:space="preserve">Crediti vs socio contr. per finanz. e.o.e.s. </t>
  </si>
  <si>
    <t>Depositi cauzionali</t>
  </si>
  <si>
    <t>Trattenute a garanzia</t>
  </si>
  <si>
    <t>Immobilizzazioni finanziarie</t>
  </si>
  <si>
    <t>Lavori in corso su ord. valut. corris. contr. Mat.</t>
  </si>
  <si>
    <t>Prodotti finiti</t>
  </si>
  <si>
    <t>Crediti vs clienti per fatture emesse</t>
  </si>
  <si>
    <t>Crediti vs SPV per fatture emesse</t>
  </si>
  <si>
    <t>Crediti vs SITIE per fatture emesse</t>
  </si>
  <si>
    <t>Crediti vs collegate (Go4Green) per fatture emesse</t>
  </si>
  <si>
    <t>Crediti vs per fatture da emettere</t>
  </si>
  <si>
    <t>Crediti per fatture da emettere da SGP Verso SPV</t>
  </si>
  <si>
    <t>(F.do svalutaz. crediti vs clienti)</t>
  </si>
  <si>
    <t>(F.do svalutaz. crediti vs controllanti)</t>
  </si>
  <si>
    <t>(F.do svalutaz. crediti vs collegate)</t>
  </si>
  <si>
    <t>Crediti commerciali vs SPV</t>
  </si>
  <si>
    <t>Crediti Commerciali vs Delled</t>
  </si>
  <si>
    <t>Crediti comm. vs il socio control. SGP</t>
  </si>
  <si>
    <t>Crediti Verso Società del gruppo SGP (SPV)</t>
  </si>
  <si>
    <t>Crediti vs CIVISMART consolidato fiscale</t>
  </si>
  <si>
    <t>Crediti vs imprese controllate consolidato fiscale</t>
  </si>
  <si>
    <t xml:space="preserve">Erario c/IVA </t>
  </si>
  <si>
    <t>Crediti per acconti IRES</t>
  </si>
  <si>
    <t>Erario c/ritenute d'acconto DPR 600/73</t>
  </si>
  <si>
    <t>Erario c/IRAP (da compensare e acconto)</t>
  </si>
  <si>
    <t>Erario c/IRPEF da compensare</t>
  </si>
  <si>
    <t>Erario c/imposte anticipate r.e.e.s. IRES</t>
  </si>
  <si>
    <t>Crediti diversi e.o.e.s.</t>
  </si>
  <si>
    <t>Crediti vs. SUSI per incassi</t>
  </si>
  <si>
    <t>Crediti vs dipendenti</t>
  </si>
  <si>
    <t>Crediti divresi</t>
  </si>
  <si>
    <t>Crediti dell'attivo circ.</t>
  </si>
  <si>
    <t>BANCA NAZIONALE DEL LAVORO</t>
  </si>
  <si>
    <t>UNICREDIT C/C 105436887</t>
  </si>
  <si>
    <t xml:space="preserve">UNICREDIT C/C </t>
  </si>
  <si>
    <t>INTESA SAN PAOLO C/C</t>
  </si>
  <si>
    <t>UBI BANCA</t>
  </si>
  <si>
    <t>Banca BPER</t>
  </si>
  <si>
    <t>Carte di credito</t>
  </si>
  <si>
    <t>Cassa sede</t>
  </si>
  <si>
    <t>Disponibilità liquide</t>
  </si>
  <si>
    <t>Risconti attivi</t>
  </si>
  <si>
    <t>Ratei e risconti</t>
  </si>
  <si>
    <t>TOT. ATTIVO</t>
  </si>
  <si>
    <t>PASSIVO</t>
  </si>
  <si>
    <t>Quote sociali</t>
  </si>
  <si>
    <t>Riserva legale</t>
  </si>
  <si>
    <t>Utili/Perdite portate a nuovo</t>
  </si>
  <si>
    <t>Altre riserve</t>
  </si>
  <si>
    <t>Differenza di consolidamento</t>
  </si>
  <si>
    <t>Risultato esercizio precedente</t>
  </si>
  <si>
    <t>Risultato d'esercizio</t>
  </si>
  <si>
    <t>Patrimonio netto</t>
  </si>
  <si>
    <t>F.do TFR operai - impiegati</t>
  </si>
  <si>
    <t>Trattamento di fine rapporto di lavoro subordinato</t>
  </si>
  <si>
    <t>Fondo imposte differite</t>
  </si>
  <si>
    <t>Finanziamenti infruttiferi dei soci e.o.e.s. (SGP)</t>
  </si>
  <si>
    <t>Finanziamenti infruttiferi dei soci CIVISMART</t>
  </si>
  <si>
    <t>Finanziamenti infruttiferi dei soci SCIF INDUSTRIES</t>
  </si>
  <si>
    <t>FINANZ. INTESA SAN PAOLO (ex UBI BANCA)</t>
  </si>
  <si>
    <t>UNICREDIT C/ANTICIPO FATTURE</t>
  </si>
  <si>
    <t>DEBITO VS FONDO SUSI</t>
  </si>
  <si>
    <t>Debiti vs fornitori Italiani fat. ric. e.e.e.s.</t>
  </si>
  <si>
    <t>Debiti vs SGP fat. ric. e.e.e.s.</t>
  </si>
  <si>
    <t>Debiti vs CIVISMART fat. ric. e.e.e.s.</t>
  </si>
  <si>
    <t>Debiti vs fornitori per fatture da ric. e.e.e.s.</t>
  </si>
  <si>
    <t>Debiti vs SGP per fatture da ric. e.e.e.s.</t>
  </si>
  <si>
    <t>Debiti vs CIVISMARTper fatture da ric. e.e.e.s.</t>
  </si>
  <si>
    <t>Debiti vs impr. contr. per finanz. Noci (SPV)</t>
  </si>
  <si>
    <t>Debiti vs impr. contr. per finanz. Basiano (SPV)</t>
  </si>
  <si>
    <t>Debiti vs impr. contr. per finanz. Cassano (SPV)</t>
  </si>
  <si>
    <t>Debiti vs impr. contr. per finanz. Bruino (SPV)</t>
  </si>
  <si>
    <t>Debiti vs impr. contr. per finanz. Apricena (SPV)</t>
  </si>
  <si>
    <t>Debiti commerciali vs impr. contr. Cassano (SPV)</t>
  </si>
  <si>
    <t>Debiti comm. vs impr. Gruppo SGP - (SPV)</t>
  </si>
  <si>
    <t>Debiti comm. vs impresa controllante (SITIE SPA-SGP)</t>
  </si>
  <si>
    <t>Debiti vs CIVISMART consolidato fiscale</t>
  </si>
  <si>
    <t>Debiti vs imp. controllate per consolidato fiscale</t>
  </si>
  <si>
    <t>Debiti Vs. Erario per IRAP e IRES</t>
  </si>
  <si>
    <t>Erario c/IVA</t>
  </si>
  <si>
    <t>Debiti Tributari (Cartella esattoriale rimb. rateale)</t>
  </si>
  <si>
    <t>Debiti erario imposta rival. TFR L.47/2000</t>
  </si>
  <si>
    <t>Debiti vs erario per ritenute acconto</t>
  </si>
  <si>
    <t>Debiti vs INPS per dipendenti e.e.e.s.</t>
  </si>
  <si>
    <t>Debiti vs INPS per lavoratori autonomi e.e.e.s.</t>
  </si>
  <si>
    <t>Debiti vs INAIL</t>
  </si>
  <si>
    <t>Debiti Contributivi ferie non godute</t>
  </si>
  <si>
    <t>Altri debiti verso il personale</t>
  </si>
  <si>
    <t>Debiti per salari e stipendi</t>
  </si>
  <si>
    <t>Debiti per mensilità aggiuntive e ferie maturate</t>
  </si>
  <si>
    <t>Debiti diversi e.e.e.s.</t>
  </si>
  <si>
    <t>Debiti</t>
  </si>
  <si>
    <t>Ratei passivi</t>
  </si>
  <si>
    <t>Risconti passivi</t>
  </si>
  <si>
    <t>TOT. PASSIVO</t>
  </si>
  <si>
    <t>GRUPPO SGP - CONTO ECONOMICO AL 31/08/2026</t>
  </si>
  <si>
    <t>ECONOMICO</t>
  </si>
  <si>
    <t>RICAVI E PROVENTI</t>
  </si>
  <si>
    <t>Prestazioni di servizi Italia</t>
  </si>
  <si>
    <t>Variazione LIC</t>
  </si>
  <si>
    <t>Prestazioni SGP verso SPV (prestazioni diverse)</t>
  </si>
  <si>
    <t>Prestazioni SGP verso SPV (canone annuo di gestione)</t>
  </si>
  <si>
    <t xml:space="preserve">Variazione dei lavori in corso su ordinazione </t>
  </si>
  <si>
    <t>Variazione delle rimanenze</t>
  </si>
  <si>
    <t>13b</t>
  </si>
  <si>
    <t>Incrementi delle immobilizzazioni per lavori interni</t>
  </si>
  <si>
    <t>Contributi c/esercizio</t>
  </si>
  <si>
    <t xml:space="preserve">Arrotondamenti e abbuoni attivi </t>
  </si>
  <si>
    <t>COSTI ED ONERI</t>
  </si>
  <si>
    <t xml:space="preserve">Acquisti di materiali di consumo </t>
  </si>
  <si>
    <t>Acquisti di merci (FORNITURE)</t>
  </si>
  <si>
    <t>Acquisti di carbur./lubrif. per autov. inter. ded.</t>
  </si>
  <si>
    <t>Acquisti di materiale di cancelleria</t>
  </si>
  <si>
    <t>Costi m.p., sussidiarie, di consumo e merci</t>
  </si>
  <si>
    <t>Energia elettrica</t>
  </si>
  <si>
    <t>Spese di trasporto</t>
  </si>
  <si>
    <t>Prestazioni esterne - subappalti</t>
  </si>
  <si>
    <t>Prestazioni SGP fatturate</t>
  </si>
  <si>
    <t>Prestazioni SGP da fatturare</t>
  </si>
  <si>
    <t>Assicurazioni varie</t>
  </si>
  <si>
    <t>Spese di man. e ripar. beni di terzi</t>
  </si>
  <si>
    <t>Costi per servizi</t>
  </si>
  <si>
    <t>MARGINE DI CONTRIBUZIONE</t>
  </si>
  <si>
    <t>Riscaldamento</t>
  </si>
  <si>
    <t>Spese telefonia fissa e mobile (20%)</t>
  </si>
  <si>
    <t>Spese viaggi e trasferte vitto e all.</t>
  </si>
  <si>
    <t>Rimborsi km. auto dipendenti</t>
  </si>
  <si>
    <t>Spese di rappresentanza parzialmente deducibili</t>
  </si>
  <si>
    <t>Spese di rappresentanza/ristoranti/alberghi/promozionali</t>
  </si>
  <si>
    <t>Compensi Amministratori</t>
  </si>
  <si>
    <t>Compensi a collaboratori esterni</t>
  </si>
  <si>
    <t>Compensi a collaboratori</t>
  </si>
  <si>
    <t>Spese legali e di consulenza</t>
  </si>
  <si>
    <t>Compenso revisore legale</t>
  </si>
  <si>
    <t xml:space="preserve">Consulenze e prestaz tecniche </t>
  </si>
  <si>
    <t>Consulenze fiscali e elaborazione dati</t>
  </si>
  <si>
    <t>Altre assicurazioni generali e amm.</t>
  </si>
  <si>
    <t>Costi per spese generali</t>
  </si>
  <si>
    <t xml:space="preserve">Noleggi </t>
  </si>
  <si>
    <t>Corrispettivi periodici per licenze software</t>
  </si>
  <si>
    <t>Locazioni - uffici - spogliatoi - bagni</t>
  </si>
  <si>
    <t>Corrisp. periodici  beni mobili/immobili</t>
  </si>
  <si>
    <t>Spese per pulizia</t>
  </si>
  <si>
    <t>Spese di vigilanza</t>
  </si>
  <si>
    <t>Costi per godimento di beni di terzi</t>
  </si>
  <si>
    <t>Salari e stipendi</t>
  </si>
  <si>
    <t>Oneri sociali dipendenti</t>
  </si>
  <si>
    <t>Contributo INAIL</t>
  </si>
  <si>
    <t>TFR trattamento di fine rapporto</t>
  </si>
  <si>
    <t>Contributi a forme pensionistiche complementari</t>
  </si>
  <si>
    <t>Altri costi del personale</t>
  </si>
  <si>
    <t>Costi per il personale</t>
  </si>
  <si>
    <t>Tasse per bollatura libri</t>
  </si>
  <si>
    <t>Tassa raccolta rifiuti</t>
  </si>
  <si>
    <t>Pedaggi autostradali</t>
  </si>
  <si>
    <t>Libri, riviste, giornali</t>
  </si>
  <si>
    <t>Altre imposte ded.</t>
  </si>
  <si>
    <t>Altre imposte indenducibili (cartelle)</t>
  </si>
  <si>
    <t xml:space="preserve">Arrotondamenti e abbuoni passivi </t>
  </si>
  <si>
    <t>Valori bollati</t>
  </si>
  <si>
    <t>Diritto esazione annuale C.C.I.A.A.</t>
  </si>
  <si>
    <t>Corsi formazione e altri costi amministrativi</t>
  </si>
  <si>
    <t>Ammende, multe, e oblazioni</t>
  </si>
  <si>
    <t>Oneri bancari</t>
  </si>
  <si>
    <t>Altri servizi</t>
  </si>
  <si>
    <t>Oneri diversi di gestione</t>
  </si>
  <si>
    <t>COSTI DI STRUTTURA E GENERALI</t>
  </si>
  <si>
    <t>EBITDA</t>
  </si>
  <si>
    <t>Amm.to avviamento</t>
  </si>
  <si>
    <t>Amm.to costi di ricerca e sviluppo</t>
  </si>
  <si>
    <t xml:space="preserve">Amm.to altri costi pluriennali </t>
  </si>
  <si>
    <t>Amm.to attrezzatura varia</t>
  </si>
  <si>
    <t>Ammortamento mobili e macchine ordinarie d'ufficio</t>
  </si>
  <si>
    <t xml:space="preserve">Ammortamento macchine d'ufficio elettromeccaniche </t>
  </si>
  <si>
    <t xml:space="preserve">Accantonamento f.do svalut. crediti </t>
  </si>
  <si>
    <t>Accantonamento f.do svalut. partecipazioni</t>
  </si>
  <si>
    <t>Accantonamento f.do svalut. Immobilizz. Finanziarie</t>
  </si>
  <si>
    <t>Ammortamenti e svalutazioni</t>
  </si>
  <si>
    <t>EBIT</t>
  </si>
  <si>
    <t>Interessi attivi da clienti (Costo ammortizzato)</t>
  </si>
  <si>
    <t>Interessi passivi da depositi bancari</t>
  </si>
  <si>
    <t>Interessi passivi indenducibili</t>
  </si>
  <si>
    <t>Proventi/Oneri finanziari</t>
  </si>
  <si>
    <t>Interessi Quota UBI/Fondo Susi</t>
  </si>
  <si>
    <t>Interessi ed oneri finanziari</t>
  </si>
  <si>
    <t>Altri interessi passivi</t>
  </si>
  <si>
    <t>Oneri finanziari</t>
  </si>
  <si>
    <t>GESTIONE FINANZIARIA</t>
  </si>
  <si>
    <t xml:space="preserve">Sopravvenienze attive </t>
  </si>
  <si>
    <t xml:space="preserve">Sopravvenienze passive </t>
  </si>
  <si>
    <t>GESTIONE STRAORDINARIA</t>
  </si>
  <si>
    <t>RISULTATO DI  ESERCIZIO LORDO</t>
  </si>
  <si>
    <t>Gestione Fiscale IRES (Consolidato Fiscale)</t>
  </si>
  <si>
    <t>Gestione Fiscale IRAP (No Consolidato Fiscale)</t>
  </si>
  <si>
    <t>RISULTATO DI  ESERCIZIO NETTO</t>
  </si>
  <si>
    <t>Differenza SP-CE</t>
  </si>
  <si>
    <t>GESTIONE FISCALE SGP</t>
  </si>
  <si>
    <t>IRES</t>
  </si>
  <si>
    <t>VARIAZIONI IN AUMENTO</t>
  </si>
  <si>
    <t>Ammortamento avviamento</t>
  </si>
  <si>
    <t>TOTALE VARIAZIONI IN AUMENTO</t>
  </si>
  <si>
    <t>VARIAZIONI IN DIMINUZIONE</t>
  </si>
  <si>
    <t>Irap Personale</t>
  </si>
  <si>
    <t>ACE + Eccedenza pregressa ACE</t>
  </si>
  <si>
    <t>Contributi non tassati</t>
  </si>
  <si>
    <t>Accantonamento f.do svalutazione (DEDUCIBILE 0,5%)</t>
  </si>
  <si>
    <t>TOTALE VARIAZIONI IN DIMINUZIONE</t>
  </si>
  <si>
    <t>IMPONIBILE IRES</t>
  </si>
  <si>
    <t>IRAP</t>
  </si>
  <si>
    <t>EBIT + (Gest. Straordinaria)</t>
  </si>
  <si>
    <t>VARIAZIONI</t>
  </si>
  <si>
    <t xml:space="preserve">Deduzioni dipendenti </t>
  </si>
  <si>
    <t>Compensi Amministratore</t>
  </si>
  <si>
    <t>Rimborsi chilometrici Amministratore</t>
  </si>
  <si>
    <t>Compensi Co.co.co</t>
  </si>
  <si>
    <t>IMPONIBILE IRAP</t>
  </si>
  <si>
    <t>IRAP se inferiore a 0 allora 0</t>
  </si>
  <si>
    <t>da Aggiungere</t>
  </si>
  <si>
    <t>Società (B)</t>
  </si>
  <si>
    <t>Quadro (C)</t>
  </si>
  <si>
    <t>Altro (D)</t>
  </si>
  <si>
    <t>Ricla MG esteso (E)</t>
  </si>
  <si>
    <t>Codice Conto (F)</t>
  </si>
  <si>
    <t>Conto COGE (G)</t>
  </si>
  <si>
    <t>Cluster II (H)</t>
  </si>
  <si>
    <t>Conto COGE I livello (I)</t>
  </si>
  <si>
    <t>Conto COGE II livello (J)</t>
  </si>
  <si>
    <t>Valore mese € — CVS</t>
  </si>
  <si>
    <t>Valore mese € — De Giorgi</t>
  </si>
  <si>
    <t>Stato</t>
  </si>
  <si>
    <t>Nota</t>
  </si>
  <si>
    <t>TOTALE</t>
  </si>
  <si>
    <t>Bilancio di Verifica</t>
  </si>
  <si>
    <t>assente nel grezzo → 0 (nessuna attività)</t>
  </si>
  <si>
    <t>spacchettato per classe sotto</t>
  </si>
  <si>
    <t>Revenue by class</t>
  </si>
  <si>
    <t>620201 Ricavi, per classe</t>
  </si>
  <si>
    <t>da rivedere</t>
  </si>
  <si>
    <t>conto presente nel piano dei conti ma non ancora nel BDV — classificazione proposta (simili: 120209): da confermare</t>
  </si>
  <si>
    <t>conto presente nel piano dei conti ma non ancora nel BDV — classificazione proposta (simili: 881001): da confermare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</si>
</sst>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2]\ #,##0.00;[Red]\-[$€-2]\ #,##0.00"/>
    <numFmt numFmtId="165" formatCode="#,##0;\(#,##0\);\-"/>
    <numFmt numFmtId="166" formatCode="_-* #,##0_-;\-* #,##0_-;_-* &quot;-&quot;??_-;_-@_-"/>
    <numFmt numFmtId="167" formatCode="_-* #,##0.00\ _€_-;\-* #,##0.00\ _€_-;_-* &quot;-&quot;??\ _€_-;_-@_-"/>
  </numFmts>
  <fonts count="22" x14ac:knownFonts="1">
    <font>
      <sz val="11"/>
      <color theme="1"/>
      <name val="Aptos Narrow"/>
      <family val="2"/>
      <scheme val="minor"/>
    </font>
    <font>
      <sz val="11"/>
      <color theme="1"/>
      <name val="Aptos Narrow"/>
      <family val="2"/>
      <scheme val="minor"/>
    </font>
    <font>
      <b/>
      <sz val="11"/>
      <color theme="0"/>
      <name val="Arial"/>
      <family val="2"/>
    </font>
    <font>
      <b/>
      <sz val="11"/>
      <color theme="1"/>
      <name val="Arial"/>
      <family val="2"/>
    </font>
    <font>
      <sz val="11"/>
      <color indexed="8"/>
      <name val="Aptos Narrow"/>
      <family val="2"/>
      <scheme val="minor"/>
    </font>
    <font>
      <sz val="11"/>
      <color indexed="8"/>
      <name val="Arial"/>
      <family val="2"/>
    </font>
    <font>
      <sz val="11"/>
      <color theme="1"/>
      <name val="Arial"/>
      <family val="2"/>
    </font>
    <font>
      <sz val="11"/>
      <name val="Arial"/>
      <family val="2"/>
    </font>
    <font>
      <sz val="11"/>
      <color theme="0"/>
      <name val="Arial"/>
      <family val="2"/>
    </font>
    <font>
      <sz val="10"/>
      <name val="Arial"/>
      <family val="2"/>
    </font>
    <font>
      <b/>
      <sz val="11"/>
      <color theme="0"/>
      <name val="Aptos Narrow"/>
      <family val="2"/>
      <scheme val="minor"/>
    </font>
    <font>
      <b/>
      <sz val="16"/>
      <color theme="0"/>
      <name val="Aptos Narrow"/>
      <family val="2"/>
      <scheme val="minor"/>
    </font>
    <font>
      <b/>
      <sz val="14"/>
      <color rgb="FF002060"/>
      <name val="Arial"/>
      <family val="2"/>
    </font>
    <font>
      <b/>
      <sz val="10"/>
      <color rgb="FF002060"/>
      <name val="Verdana"/>
      <family val="2"/>
    </font>
    <font>
      <b/>
      <sz val="10"/>
      <color rgb="FF002060"/>
      <name val="Arial"/>
      <family val="2"/>
    </font>
    <font>
      <sz val="11"/>
      <name val="Aptos Narrow"/>
      <family val="2"/>
      <scheme val="minor"/>
    </font>
    <font>
      <sz val="10"/>
      <name val="Verdana"/>
      <family val="2"/>
    </font>
    <font>
      <b/>
      <sz val="10"/>
      <name val="Arial"/>
      <family val="2"/>
    </font>
    <font>
      <sz val="10"/>
      <color rgb="FFFF0000"/>
      <name val="Arial"/>
      <family val="2"/>
    </font>
    <font>
      <i/>
      <sz val="11"/>
      <name val="Aptos Narrow"/>
      <family val="2"/>
      <scheme val="minor"/>
    </font>
    <font>
      <b/>
      <sz val="10"/>
      <color theme="0"/>
      <name val="Verdana"/>
      <family val="2"/>
    </font>
    <font>
      <sz val="10"/>
      <color theme="1"/>
      <name val="Arial"/>
      <family val="2"/>
    </font>
  </fonts>
  <fills count="19">
    <fill>
      <patternFill patternType="none"/>
    </fill>
    <fill>
      <patternFill patternType="gray125"/>
    </fill>
    <fill>
      <patternFill patternType="solid">
        <fgColor rgb="FF003760"/>
        <bgColor indexed="64"/>
      </patternFill>
    </fill>
    <fill>
      <patternFill patternType="solid">
        <fgColor rgb="FF98D8A1"/>
        <bgColor indexed="64"/>
      </patternFill>
    </fill>
    <fill>
      <patternFill patternType="solid">
        <fgColor rgb="FFFFFFCC"/>
        <bgColor indexed="64"/>
      </patternFill>
    </fill>
    <fill>
      <patternFill patternType="solid">
        <fgColor rgb="FF002060"/>
        <bgColor indexed="64"/>
      </patternFill>
    </fill>
    <fill>
      <patternFill patternType="solid">
        <fgColor theme="4" tint="0.59999389629810485"/>
        <bgColor indexed="64"/>
      </patternFill>
    </fill>
    <fill>
      <patternFill patternType="solid">
        <fgColor rgb="FF83CCEB"/>
        <bgColor indexed="64"/>
      </patternFill>
    </fill>
    <fill>
      <patternFill patternType="solid">
        <fgColor theme="0" tint="-0.14999847407452621"/>
        <bgColor indexed="64"/>
      </patternFill>
    </fill>
    <fill>
      <patternFill patternType="solid">
        <fgColor rgb="FFD9D9D9"/>
        <bgColor indexed="64"/>
      </patternFill>
    </fill>
    <fill>
      <patternFill patternType="solid">
        <fgColor rgb="FFC0E6F5"/>
        <bgColor indexed="64"/>
      </patternFill>
    </fill>
    <fill>
      <patternFill patternType="solid">
        <fgColor theme="4" tint="0.79998168889431442"/>
        <bgColor indexed="64"/>
      </patternFill>
    </fill>
    <fill>
      <patternFill patternType="solid">
        <fgColor rgb="FF808080"/>
        <bgColor indexed="64"/>
      </patternFill>
    </fill>
    <fill>
      <patternFill patternType="solid">
        <fgColor rgb="FFFFFF00"/>
        <bgColor indexed="64"/>
      </patternFill>
    </fill>
    <fill>
      <patternFill patternType="solid">
        <fgColor rgb="FFFFC000"/>
        <bgColor indexed="64"/>
      </patternFill>
    </fill>
    <fill>
      <patternFill patternType="solid">
        <fgColor rgb="FF44B3E1"/>
        <bgColor indexed="64"/>
      </patternFill>
    </fill>
    <fill>
      <patternFill patternType="solid">
        <fgColor theme="0" tint="-4.9989318521683403E-2"/>
        <bgColor indexed="64"/>
      </patternFill>
    </fill>
    <fill>
      <patternFill patternType="solid">
        <fgColor theme="2"/>
        <bgColor indexed="64"/>
      </patternFill>
    </fill>
    <fill>
      <patternFill patternType="solid">
        <fgColor theme="9" tint="-0.249977111117893"/>
        <bgColor indexed="64"/>
      </patternFill>
    </fill>
  </fills>
  <borders count="14">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auto="1"/>
      </right>
      <top/>
      <bottom/>
      <diagonal/>
    </border>
    <border>
      <left style="thin">
        <color auto="1"/>
      </left>
      <right/>
      <top/>
      <bottom/>
      <diagonal/>
    </border>
    <border>
      <left style="medium">
        <color rgb="FF002060"/>
      </left>
      <right/>
      <top style="medium">
        <color rgb="FF002060"/>
      </top>
      <bottom style="medium">
        <color rgb="FF002060"/>
      </bottom>
      <diagonal/>
    </border>
    <border>
      <left/>
      <right/>
      <top style="medium">
        <color rgb="FF002060"/>
      </top>
      <bottom style="medium">
        <color rgb="FF002060"/>
      </bottom>
      <diagonal/>
    </border>
    <border>
      <left/>
      <right/>
      <top style="thin">
        <color rgb="FF002060"/>
      </top>
      <bottom/>
      <diagonal/>
    </border>
    <border>
      <left/>
      <right/>
      <top/>
      <bottom style="thin">
        <color rgb="FF002060"/>
      </bottom>
      <diagonal/>
    </border>
    <border>
      <left/>
      <right/>
      <top style="thin">
        <color indexed="64"/>
      </top>
      <bottom/>
      <diagonal/>
    </border>
    <border>
      <left/>
      <right/>
      <top style="thin">
        <color rgb="FF002060"/>
      </top>
      <bottom style="thin">
        <color rgb="FF002060"/>
      </bottom>
      <diagonal/>
    </border>
    <border>
      <left/>
      <right/>
      <top style="medium">
        <color rgb="FF002060"/>
      </top>
      <bottom/>
      <diagonal/>
    </border>
    <border>
      <left/>
      <right/>
      <top style="medium">
        <color rgb="FF002060"/>
      </top>
      <bottom style="thin">
        <color rgb="FF002060"/>
      </bottom>
      <diagonal/>
    </border>
    <border>
      <left/>
      <right/>
      <top/>
      <bottom style="medium">
        <color rgb="FF002060"/>
      </bottom>
      <diagonal/>
    </border>
  </borders>
  <cellStyleXfs count="7">
    <xf numFmtId="0" fontId="0" fillId="0" borderId="0"/>
    <xf numFmtId="43" fontId="1" fillId="0" borderId="0" applyFont="0" applyFill="0" applyBorder="0" applyAlignment="0" applyProtection="0"/>
    <xf numFmtId="0" fontId="4" fillId="0" borderId="0"/>
    <xf numFmtId="9" fontId="9"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9" fillId="0" borderId="0"/>
  </cellStyleXfs>
  <cellXfs count="127">
    <xf numFmtId="0" fontId="0" fillId="0" borderId="0" xfId="0"/>
    <xf numFmtId="0" fontId="2" fillId="2" borderId="1" xfId="0" applyFont="1" applyFill="1" applyBorder="1"/>
    <xf numFmtId="43" fontId="2" fillId="2" borderId="1" xfId="1" applyFont="1" applyFill="1" applyBorder="1"/>
    <xf numFmtId="0" fontId="3" fillId="3" borderId="1" xfId="0" applyFont="1" applyFill="1" applyBorder="1"/>
    <xf numFmtId="0" fontId="3" fillId="3" borderId="2" xfId="0" applyFont="1" applyFill="1" applyBorder="1"/>
    <xf numFmtId="0" fontId="5" fillId="0" borderId="0" xfId="2" applyFont="1"/>
    <xf numFmtId="0" fontId="5" fillId="4" borderId="0" xfId="2" applyFont="1" applyFill="1"/>
    <xf numFmtId="43" fontId="6" fillId="0" borderId="0" xfId="1" applyFont="1" applyFill="1"/>
    <xf numFmtId="0" fontId="7" fillId="0" borderId="0" xfId="2" applyFont="1" applyAlignment="1">
      <alignment horizontal="left" vertical="top"/>
    </xf>
    <xf numFmtId="43" fontId="6" fillId="4" borderId="0" xfId="1" applyFont="1" applyFill="1"/>
    <xf numFmtId="164" fontId="6" fillId="4" borderId="0" xfId="1" applyNumberFormat="1" applyFont="1" applyFill="1"/>
    <xf numFmtId="0" fontId="7" fillId="4" borderId="0" xfId="0" applyFont="1" applyFill="1" applyAlignment="1">
      <alignment vertical="top"/>
    </xf>
    <xf numFmtId="0" fontId="6" fillId="4" borderId="0" xfId="0" applyFont="1" applyFill="1"/>
    <xf numFmtId="0" fontId="7" fillId="4" borderId="0" xfId="0" applyFont="1" applyFill="1" applyAlignment="1">
      <alignment horizontal="left" vertical="top"/>
    </xf>
    <xf numFmtId="0" fontId="8" fillId="5" borderId="0" xfId="0" applyFont="1" applyFill="1" applyAlignment="1">
      <alignment horizontal="center" vertical="center"/>
    </xf>
    <xf numFmtId="0" fontId="8" fillId="5" borderId="0" xfId="0" applyFont="1" applyFill="1" applyAlignment="1">
      <alignment horizontal="center" vertical="center" wrapText="1"/>
    </xf>
    <xf numFmtId="0" fontId="8" fillId="6" borderId="0" xfId="0" applyFont="1" applyFill="1" applyAlignment="1">
      <alignment horizontal="center" vertical="center" wrapText="1"/>
    </xf>
    <xf numFmtId="0" fontId="8" fillId="7" borderId="0" xfId="0" applyFont="1" applyFill="1" applyAlignment="1">
      <alignment horizontal="center" vertical="center" wrapText="1"/>
    </xf>
    <xf numFmtId="165" fontId="8" fillId="5" borderId="0" xfId="0" applyNumberFormat="1" applyFont="1" applyFill="1" applyAlignment="1">
      <alignment horizontal="left" vertical="center" wrapText="1"/>
    </xf>
    <xf numFmtId="9" fontId="8" fillId="5" borderId="0" xfId="3" applyFont="1" applyFill="1" applyAlignment="1">
      <alignment horizontal="center" vertical="center" wrapText="1"/>
    </xf>
    <xf numFmtId="165" fontId="8" fillId="5" borderId="0" xfId="4" applyNumberFormat="1" applyFont="1" applyFill="1" applyAlignment="1">
      <alignment horizontal="center" vertical="center" wrapText="1"/>
    </xf>
    <xf numFmtId="43" fontId="8" fillId="5" borderId="0" xfId="4" applyFont="1" applyFill="1" applyAlignment="1">
      <alignment horizontal="center" vertical="center" wrapText="1"/>
    </xf>
    <xf numFmtId="165" fontId="6" fillId="0" borderId="0" xfId="0" applyNumberFormat="1" applyFont="1"/>
    <xf numFmtId="0" fontId="6" fillId="8" borderId="0" xfId="0" applyFont="1" applyFill="1"/>
    <xf numFmtId="0" fontId="6" fillId="9" borderId="0" xfId="0" applyFont="1" applyFill="1"/>
    <xf numFmtId="0" fontId="7" fillId="8" borderId="0" xfId="0" applyFont="1" applyFill="1" applyAlignment="1">
      <alignment horizontal="left" vertical="top"/>
    </xf>
    <xf numFmtId="165" fontId="6" fillId="9" borderId="0" xfId="0" applyNumberFormat="1" applyFont="1" applyFill="1"/>
    <xf numFmtId="0" fontId="7" fillId="9" borderId="0" xfId="0" applyFont="1" applyFill="1" applyAlignment="1">
      <alignment horizontal="left" vertical="top"/>
    </xf>
    <xf numFmtId="165" fontId="6" fillId="8" borderId="0" xfId="0" applyNumberFormat="1" applyFont="1" applyFill="1"/>
    <xf numFmtId="166" fontId="6" fillId="9" borderId="0" xfId="1" applyNumberFormat="1" applyFont="1" applyFill="1"/>
    <xf numFmtId="165" fontId="6" fillId="4" borderId="0" xfId="0" applyNumberFormat="1" applyFont="1" applyFill="1"/>
    <xf numFmtId="166" fontId="6" fillId="4" borderId="0" xfId="1" applyNumberFormat="1" applyFont="1" applyFill="1"/>
    <xf numFmtId="0" fontId="6" fillId="10" borderId="0" xfId="0" applyFont="1" applyFill="1"/>
    <xf numFmtId="0" fontId="6" fillId="11" borderId="0" xfId="0" applyFont="1" applyFill="1"/>
    <xf numFmtId="0" fontId="7" fillId="11" borderId="0" xfId="0" applyFont="1" applyFill="1" applyAlignment="1">
      <alignment horizontal="left" vertical="top"/>
    </xf>
    <xf numFmtId="165" fontId="6" fillId="11" borderId="0" xfId="0" applyNumberFormat="1" applyFont="1" applyFill="1"/>
    <xf numFmtId="165" fontId="6" fillId="10" borderId="0" xfId="0" applyNumberFormat="1" applyFont="1" applyFill="1"/>
    <xf numFmtId="166" fontId="6" fillId="10" borderId="0" xfId="1" applyNumberFormat="1" applyFont="1" applyFill="1"/>
    <xf numFmtId="0" fontId="7" fillId="0" borderId="0" xfId="0" applyFont="1" applyAlignment="1">
      <alignment horizontal="left" vertical="top"/>
    </xf>
    <xf numFmtId="0" fontId="6" fillId="0" borderId="0" xfId="0" applyFont="1"/>
    <xf numFmtId="0" fontId="7" fillId="0" borderId="0" xfId="0" applyFont="1" applyAlignment="1">
      <alignment vertical="top"/>
    </xf>
    <xf numFmtId="49" fontId="2" fillId="12" borderId="0" xfId="0" applyNumberFormat="1" applyFont="1" applyFill="1" applyAlignment="1">
      <alignment vertical="center"/>
    </xf>
    <xf numFmtId="49" fontId="2" fillId="12" borderId="3" xfId="0" applyNumberFormat="1" applyFont="1" applyFill="1" applyBorder="1" applyAlignment="1">
      <alignment vertical="center"/>
    </xf>
    <xf numFmtId="0" fontId="7" fillId="0" borderId="0" xfId="0" applyFont="1" applyAlignment="1">
      <alignment vertical="center"/>
    </xf>
    <xf numFmtId="0" fontId="7" fillId="0" borderId="0" xfId="0" applyFont="1" applyAlignment="1">
      <alignment horizontal="right" vertical="center"/>
    </xf>
    <xf numFmtId="0" fontId="7" fillId="0" borderId="3" xfId="0" applyFont="1" applyBorder="1" applyAlignment="1">
      <alignment vertical="center"/>
    </xf>
    <xf numFmtId="0" fontId="7" fillId="13" borderId="3" xfId="0" applyFont="1" applyFill="1" applyBorder="1" applyAlignment="1">
      <alignment vertical="center"/>
    </xf>
    <xf numFmtId="0" fontId="7" fillId="14" borderId="0" xfId="0" applyFont="1" applyFill="1" applyAlignment="1">
      <alignment horizontal="right" vertical="center"/>
    </xf>
    <xf numFmtId="0" fontId="7" fillId="14" borderId="0" xfId="0" applyFont="1" applyFill="1" applyAlignment="1">
      <alignment vertical="center"/>
    </xf>
    <xf numFmtId="0" fontId="7" fillId="13" borderId="0" xfId="0" applyFont="1" applyFill="1" applyAlignment="1">
      <alignment vertical="center"/>
    </xf>
    <xf numFmtId="49" fontId="7" fillId="0" borderId="0" xfId="0" applyNumberFormat="1" applyFont="1" applyAlignment="1">
      <alignment horizontal="right" vertical="center"/>
    </xf>
    <xf numFmtId="17" fontId="2" fillId="15" borderId="4" xfId="0" applyNumberFormat="1" applyFont="1" applyFill="1" applyBorder="1" applyAlignment="1">
      <alignment horizontal="center" vertical="center"/>
    </xf>
    <xf numFmtId="165" fontId="7" fillId="0" borderId="4" xfId="1" applyNumberFormat="1" applyFont="1" applyFill="1" applyBorder="1" applyAlignment="1">
      <alignment vertical="center"/>
    </xf>
    <xf numFmtId="43" fontId="0" fillId="0" borderId="0" xfId="5" applyFont="1" applyAlignment="1">
      <alignment horizontal="center" vertical="center"/>
    </xf>
    <xf numFmtId="0" fontId="11" fillId="5" borderId="5" xfId="6" applyFont="1" applyFill="1" applyBorder="1" applyAlignment="1">
      <alignment horizontal="center" vertical="center"/>
    </xf>
    <xf numFmtId="0" fontId="12" fillId="0" borderId="6" xfId="6" applyFont="1" applyBorder="1" applyAlignment="1">
      <alignment horizontal="center" vertical="center"/>
    </xf>
    <xf numFmtId="0" fontId="9" fillId="0" borderId="0" xfId="6" applyAlignment="1">
      <alignment horizontal="center" vertical="center"/>
    </xf>
    <xf numFmtId="0" fontId="13" fillId="0" borderId="0" xfId="6" applyFont="1" applyAlignment="1">
      <alignment horizontal="left" vertical="center"/>
    </xf>
    <xf numFmtId="4" fontId="14" fillId="0" borderId="0" xfId="6" applyNumberFormat="1" applyFont="1" applyAlignment="1">
      <alignment horizontal="right" vertical="center"/>
    </xf>
    <xf numFmtId="4" fontId="14" fillId="8" borderId="0" xfId="6" applyNumberFormat="1" applyFont="1" applyFill="1" applyAlignment="1">
      <alignment horizontal="right" vertical="center"/>
    </xf>
    <xf numFmtId="4" fontId="9" fillId="0" borderId="0" xfId="6" applyNumberFormat="1" applyAlignment="1">
      <alignment horizontal="right" vertical="center"/>
    </xf>
    <xf numFmtId="0" fontId="9" fillId="8" borderId="0" xfId="6" applyFill="1" applyAlignment="1">
      <alignment horizontal="center" vertical="center"/>
    </xf>
    <xf numFmtId="0" fontId="15" fillId="0" borderId="0" xfId="6" applyFont="1" applyAlignment="1">
      <alignment horizontal="left"/>
    </xf>
    <xf numFmtId="4" fontId="9" fillId="8" borderId="0" xfId="6" applyNumberFormat="1" applyFill="1" applyAlignment="1">
      <alignment horizontal="right" vertical="center"/>
    </xf>
    <xf numFmtId="43" fontId="0" fillId="0" borderId="0" xfId="5" applyFont="1" applyFill="1" applyAlignment="1">
      <alignment horizontal="center" vertical="center"/>
    </xf>
    <xf numFmtId="0" fontId="16" fillId="0" borderId="0" xfId="6" applyFont="1" applyAlignment="1">
      <alignment horizontal="left" vertical="center"/>
    </xf>
    <xf numFmtId="0" fontId="13" fillId="0" borderId="6" xfId="6" applyFont="1" applyBorder="1" applyAlignment="1">
      <alignment horizontal="left" vertical="center"/>
    </xf>
    <xf numFmtId="4" fontId="14" fillId="0" borderId="6" xfId="6" applyNumberFormat="1" applyFont="1" applyBorder="1" applyAlignment="1">
      <alignment horizontal="right" vertical="center"/>
    </xf>
    <xf numFmtId="4" fontId="14" fillId="8" borderId="6" xfId="6" applyNumberFormat="1" applyFont="1" applyFill="1" applyBorder="1" applyAlignment="1">
      <alignment horizontal="right" vertical="center"/>
    </xf>
    <xf numFmtId="0" fontId="16" fillId="16" borderId="7" xfId="6" applyFont="1" applyFill="1" applyBorder="1" applyAlignment="1">
      <alignment horizontal="left" vertical="center"/>
    </xf>
    <xf numFmtId="4" fontId="9" fillId="16" borderId="7" xfId="6" applyNumberFormat="1" applyFill="1" applyBorder="1" applyAlignment="1">
      <alignment horizontal="right" vertical="center"/>
    </xf>
    <xf numFmtId="0" fontId="16" fillId="16" borderId="0" xfId="6" applyFont="1" applyFill="1" applyAlignment="1">
      <alignment horizontal="left" vertical="center"/>
    </xf>
    <xf numFmtId="4" fontId="9" fillId="16" borderId="0" xfId="6" applyNumberFormat="1" applyFill="1" applyAlignment="1">
      <alignment horizontal="right" vertical="center"/>
    </xf>
    <xf numFmtId="0" fontId="15" fillId="16" borderId="8" xfId="6" applyFont="1" applyFill="1" applyBorder="1" applyAlignment="1">
      <alignment horizontal="left"/>
    </xf>
    <xf numFmtId="4" fontId="9" fillId="16" borderId="8" xfId="6" applyNumberFormat="1" applyFill="1" applyBorder="1" applyAlignment="1">
      <alignment horizontal="right" vertical="center"/>
    </xf>
    <xf numFmtId="0" fontId="15" fillId="16" borderId="9" xfId="6" applyFont="1" applyFill="1" applyBorder="1" applyAlignment="1">
      <alignment horizontal="left"/>
    </xf>
    <xf numFmtId="4" fontId="9" fillId="16" borderId="9" xfId="6" applyNumberFormat="1" applyFill="1" applyBorder="1" applyAlignment="1">
      <alignment horizontal="right" vertical="center"/>
    </xf>
    <xf numFmtId="4" fontId="9" fillId="0" borderId="0" xfId="6" applyNumberFormat="1" applyAlignment="1">
      <alignment horizontal="center" vertical="center"/>
    </xf>
    <xf numFmtId="14" fontId="17" fillId="0" borderId="0" xfId="6" applyNumberFormat="1" applyFont="1" applyAlignment="1">
      <alignment horizontal="center" vertical="center"/>
    </xf>
    <xf numFmtId="0" fontId="16" fillId="16" borderId="10" xfId="6" applyFont="1" applyFill="1" applyBorder="1" applyAlignment="1">
      <alignment horizontal="left" vertical="center"/>
    </xf>
    <xf numFmtId="4" fontId="9" fillId="16" borderId="10" xfId="6" applyNumberFormat="1" applyFill="1" applyBorder="1" applyAlignment="1">
      <alignment horizontal="right" vertical="center"/>
    </xf>
    <xf numFmtId="167" fontId="9" fillId="0" borderId="0" xfId="6" applyNumberFormat="1" applyAlignment="1">
      <alignment horizontal="center" vertical="center"/>
    </xf>
    <xf numFmtId="4" fontId="18" fillId="0" borderId="0" xfId="6" applyNumberFormat="1" applyFont="1" applyAlignment="1">
      <alignment horizontal="right" vertical="center"/>
    </xf>
    <xf numFmtId="4" fontId="9" fillId="0" borderId="10" xfId="6" applyNumberFormat="1" applyBorder="1" applyAlignment="1">
      <alignment horizontal="right" vertical="center"/>
    </xf>
    <xf numFmtId="0" fontId="16" fillId="16" borderId="8" xfId="6" applyFont="1" applyFill="1" applyBorder="1" applyAlignment="1">
      <alignment horizontal="left" vertical="center"/>
    </xf>
    <xf numFmtId="167" fontId="17" fillId="0" borderId="0" xfId="6" applyNumberFormat="1" applyFont="1" applyAlignment="1">
      <alignment horizontal="center" vertical="center"/>
    </xf>
    <xf numFmtId="0" fontId="10" fillId="5" borderId="0" xfId="6" applyFont="1" applyFill="1" applyAlignment="1">
      <alignment horizontal="left" vertical="center"/>
    </xf>
    <xf numFmtId="4" fontId="10" fillId="5" borderId="0" xfId="5" applyNumberFormat="1" applyFont="1" applyFill="1" applyAlignment="1">
      <alignment horizontal="right" vertical="center"/>
    </xf>
    <xf numFmtId="0" fontId="13" fillId="0" borderId="11" xfId="6" applyFont="1" applyBorder="1" applyAlignment="1">
      <alignment horizontal="left" vertical="center"/>
    </xf>
    <xf numFmtId="4" fontId="14" fillId="0" borderId="11" xfId="6" applyNumberFormat="1" applyFont="1" applyBorder="1" applyAlignment="1">
      <alignment horizontal="right" vertical="center"/>
    </xf>
    <xf numFmtId="0" fontId="16" fillId="16" borderId="12" xfId="6" applyFont="1" applyFill="1" applyBorder="1" applyAlignment="1">
      <alignment horizontal="left" vertical="center"/>
    </xf>
    <xf numFmtId="4" fontId="9" fillId="16" borderId="12" xfId="6" applyNumberFormat="1" applyFill="1" applyBorder="1" applyAlignment="1">
      <alignment horizontal="right" vertical="center"/>
    </xf>
    <xf numFmtId="0" fontId="15" fillId="0" borderId="0" xfId="6" applyFont="1" applyAlignment="1">
      <alignment horizontal="left" vertical="center"/>
    </xf>
    <xf numFmtId="14" fontId="0" fillId="0" borderId="0" xfId="5" applyNumberFormat="1" applyFont="1" applyAlignment="1">
      <alignment horizontal="center" vertical="center"/>
    </xf>
    <xf numFmtId="43" fontId="9" fillId="0" borderId="0" xfId="1" applyFont="1" applyAlignment="1">
      <alignment horizontal="center" vertical="center"/>
    </xf>
    <xf numFmtId="0" fontId="19" fillId="0" borderId="0" xfId="6" applyFont="1" applyAlignment="1">
      <alignment horizontal="left"/>
    </xf>
    <xf numFmtId="0" fontId="16" fillId="17" borderId="0" xfId="6" applyFont="1" applyFill="1" applyAlignment="1">
      <alignment horizontal="left" vertical="center"/>
    </xf>
    <xf numFmtId="4" fontId="9" fillId="17" borderId="0" xfId="6" applyNumberFormat="1" applyFill="1" applyAlignment="1">
      <alignment horizontal="right" vertical="center"/>
    </xf>
    <xf numFmtId="43" fontId="9" fillId="0" borderId="0" xfId="5" applyFont="1" applyAlignment="1">
      <alignment horizontal="center" vertical="center"/>
    </xf>
    <xf numFmtId="43" fontId="0" fillId="0" borderId="0" xfId="5" applyFont="1" applyAlignment="1">
      <alignment horizontal="right" vertical="center"/>
    </xf>
    <xf numFmtId="14" fontId="0" fillId="0" borderId="0" xfId="5" applyNumberFormat="1" applyFont="1" applyAlignment="1">
      <alignment horizontal="right" vertical="center"/>
    </xf>
    <xf numFmtId="16" fontId="9" fillId="0" borderId="0" xfId="6" applyNumberFormat="1" applyAlignment="1">
      <alignment horizontal="center" vertical="center"/>
    </xf>
    <xf numFmtId="43" fontId="17" fillId="0" borderId="0" xfId="5" applyFont="1" applyAlignment="1">
      <alignment horizontal="right" vertical="center"/>
    </xf>
    <xf numFmtId="0" fontId="20" fillId="5" borderId="0" xfId="6" applyFont="1" applyFill="1" applyAlignment="1">
      <alignment horizontal="left" vertical="center"/>
    </xf>
    <xf numFmtId="13" fontId="17" fillId="0" borderId="0" xfId="5" applyNumberFormat="1" applyFont="1" applyAlignment="1">
      <alignment horizontal="right" vertical="center"/>
    </xf>
    <xf numFmtId="0" fontId="16" fillId="0" borderId="13" xfId="6" applyFont="1" applyBorder="1" applyAlignment="1">
      <alignment horizontal="left" vertical="center"/>
    </xf>
    <xf numFmtId="4" fontId="9" fillId="0" borderId="13" xfId="6" applyNumberFormat="1" applyBorder="1" applyAlignment="1">
      <alignment horizontal="right" vertical="center"/>
    </xf>
    <xf numFmtId="4" fontId="9" fillId="8" borderId="13" xfId="6" applyNumberFormat="1" applyFill="1" applyBorder="1" applyAlignment="1">
      <alignment horizontal="right" vertical="center"/>
    </xf>
    <xf numFmtId="0" fontId="15" fillId="8" borderId="0" xfId="6" applyFont="1" applyFill="1" applyAlignment="1">
      <alignment horizontal="left"/>
    </xf>
    <xf numFmtId="4" fontId="10" fillId="5" borderId="0" xfId="1" applyNumberFormat="1" applyFont="1" applyFill="1" applyAlignment="1">
      <alignment horizontal="right" vertical="center"/>
    </xf>
    <xf numFmtId="0" fontId="9" fillId="0" borderId="0" xfId="6" applyAlignment="1">
      <alignment horizontal="left" vertical="center"/>
    </xf>
    <xf numFmtId="0" fontId="9" fillId="0" borderId="0" xfId="6" applyAlignment="1">
      <alignment vertical="center"/>
    </xf>
    <xf numFmtId="0" fontId="9" fillId="16" borderId="0" xfId="6" applyFill="1" applyAlignment="1">
      <alignment vertical="center"/>
    </xf>
    <xf numFmtId="0" fontId="21" fillId="16" borderId="0" xfId="6" applyFont="1" applyFill="1" applyAlignment="1">
      <alignment vertical="center"/>
    </xf>
    <xf numFmtId="0" fontId="21" fillId="0" borderId="0" xfId="6" applyFont="1" applyAlignment="1">
      <alignment vertical="center"/>
    </xf>
    <xf numFmtId="4" fontId="21" fillId="0" borderId="0" xfId="6" applyNumberFormat="1" applyFont="1" applyAlignment="1">
      <alignment horizontal="right" vertical="center"/>
    </xf>
    <xf numFmtId="4" fontId="21" fillId="16" borderId="0" xfId="6" applyNumberFormat="1" applyFont="1" applyFill="1" applyAlignment="1">
      <alignment vertical="center"/>
    </xf>
    <xf numFmtId="4" fontId="21" fillId="16" borderId="0" xfId="6" applyNumberFormat="1" applyFont="1" applyFill="1" applyAlignment="1">
      <alignment horizontal="right" vertical="center"/>
    </xf>
    <xf numFmtId="4" fontId="9" fillId="16" borderId="0" xfId="6" applyNumberFormat="1" applyFill="1" applyAlignment="1">
      <alignment vertical="center"/>
    </xf>
    <xf numFmtId="0" fontId="10" fillId="18" borderId="6" xfId="6" applyFont="1" applyFill="1" applyBorder="1" applyAlignment="1">
      <alignment horizontal="left" vertical="center"/>
    </xf>
    <xf numFmtId="4" fontId="10" fillId="18" borderId="6" xfId="5" applyNumberFormat="1" applyFont="1" applyFill="1" applyBorder="1" applyAlignment="1">
      <alignment horizontal="right" vertical="center"/>
    </xf>
    <xf numFmtId="0" fontId="13" fillId="0" borderId="13" xfId="6" applyFont="1" applyBorder="1" applyAlignment="1">
      <alignment horizontal="left" vertical="center"/>
    </xf>
    <xf numFmtId="0" fontId="9" fillId="16" borderId="0" xfId="6" applyFill="1" applyAlignment="1">
      <alignment horizontal="left" vertical="center"/>
    </xf>
    <xf numFmtId="0" fontId="10" fillId="18" borderId="0" xfId="6" applyFont="1" applyFill="1" applyAlignment="1">
      <alignment horizontal="left" vertical="center"/>
    </xf>
    <xf numFmtId="4" fontId="10" fillId="18" borderId="0" xfId="5" applyNumberFormat="1" applyFont="1" applyFill="1" applyAlignment="1">
      <alignment horizontal="right" vertical="center"/>
    </xf>
    <xf numFmtId="4" fontId="0" fillId="0" borderId="0" xfId="0" applyNumberFormat="1"/>
    <xf numFmtId="3" fontId="0" fillId="0" borderId="0" xfId="0" applyNumberFormat="1"/>
  </cellXfs>
  <cellStyles count="7">
    <cellStyle name="Comma" xfId="1" builtinId="3"/>
    <cellStyle name="Comma 3" xfId="4" xr:uid="{2E76DF8D-C0C6-4906-A910-E5FF2867BF25}"/>
    <cellStyle name="Migliaia 3 3" xfId="5" xr:uid="{9B8361C4-4726-497F-B66E-66915D112A97}"/>
    <cellStyle name="Normal" xfId="0" builtinId="0"/>
    <cellStyle name="Normal 3" xfId="2" xr:uid="{0CDFC9E8-1645-49EC-87AD-8A77A17EECED}"/>
    <cellStyle name="Normale 2 2" xfId="6" xr:uid="{A15919BC-4909-4F2E-8FF4-7EDE196FF0F3}"/>
    <cellStyle name="Percentuale 2" xfId="3" xr:uid="{151A1A8E-5F14-4298-BF0A-4FC0E839C87F}"/>
  </cellStyles>
  <dxfs count="29">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CC"/>
        </patternFill>
      </fill>
    </dxf>
    <dxf>
      <fill>
        <patternFill>
          <bgColor rgb="FFFF0000"/>
        </patternFill>
      </fill>
    </dxf>
    <dxf>
      <fill>
        <patternFill>
          <bgColor rgb="FFFF0000"/>
        </patternFill>
      </fill>
    </dxf>
    <dxf>
      <fill>
        <patternFill>
          <bgColor rgb="FFFF0000"/>
        </patternFill>
      </fill>
    </dxf>
    <dxf>
      <fill>
        <patternFill>
          <bgColor rgb="FFFFFFCC"/>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CC"/>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Chiara Azzimonti" id="{44820A03-435D-4DC2-B3C0-23AC8F81F3AF}" userId="S::chiara.azzimonti@civismart.eu::e5261396-6fec-4d33-9d95-341e38f065f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8" dT="2026-09-11T16:38:36.51" personId="{44820A03-435D-4DC2-B3C0-23AC8F81F3AF}" id="{831D4D6D-F7D8-4EEF-A9F8-F11B0D45BB92}">
    <text>+Diamond</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7ED4F-A55C-4661-9FC2-31E04DA6A2FD}">
  <dimension ref="B1:AI932"/>
  <sheetViews>
    <sheetView showGridLines="0" topLeftCell="A2" workbookViewId="0">
      <selection activeCell="B2" sqref="B2"/>
    </sheetView>
  </sheetViews>
  <sheetFormatPr defaultRowHeight="14.4" x14ac:dyDescent="0.3"/>
  <sheetData>
    <row r="1" spans="2:35" ht="14.4" hidden="1" customHeight="1" x14ac:dyDescent="0.3"/>
    <row r="2" spans="2:35" x14ac:dyDescent="0.3">
      <c r="B2" s="1" t="s">
        <v>0</v>
      </c>
      <c r="C2" s="1" t="s">
        <v>1</v>
      </c>
      <c r="D2" s="1" t="s">
        <v>2</v>
      </c>
      <c r="E2" s="1" t="s">
        <v>3</v>
      </c>
      <c r="F2" s="1" t="s">
        <v>4</v>
      </c>
      <c r="G2" s="1" t="s">
        <v>5</v>
      </c>
      <c r="H2" s="1" t="s">
        <v>6</v>
      </c>
      <c r="I2" s="1" t="s">
        <v>7</v>
      </c>
      <c r="J2" s="1" t="s">
        <v>8</v>
      </c>
      <c r="K2" s="1" t="s">
        <v>9</v>
      </c>
      <c r="L2" s="2" t="s">
        <v>10</v>
      </c>
      <c r="M2" s="1" t="s">
        <v>11</v>
      </c>
      <c r="N2" s="2" t="s">
        <v>10</v>
      </c>
      <c r="O2" s="1" t="s">
        <v>11</v>
      </c>
      <c r="P2" s="2" t="s">
        <v>10</v>
      </c>
      <c r="Q2" s="1" t="s">
        <v>11</v>
      </c>
      <c r="R2" s="2" t="s">
        <v>10</v>
      </c>
      <c r="S2" s="1" t="s">
        <v>11</v>
      </c>
      <c r="T2" s="2" t="s">
        <v>10</v>
      </c>
      <c r="U2" s="1" t="s">
        <v>11</v>
      </c>
      <c r="V2" s="1" t="s">
        <v>10</v>
      </c>
      <c r="W2" s="1" t="s">
        <v>11</v>
      </c>
      <c r="X2" s="1" t="s">
        <v>10</v>
      </c>
      <c r="Y2" s="1" t="s">
        <v>11</v>
      </c>
      <c r="Z2" s="1" t="s">
        <v>10</v>
      </c>
      <c r="AA2" s="1" t="s">
        <v>11</v>
      </c>
      <c r="AB2" s="1" t="s">
        <v>10</v>
      </c>
      <c r="AC2" s="1" t="s">
        <v>11</v>
      </c>
      <c r="AD2" s="1" t="s">
        <v>10</v>
      </c>
      <c r="AE2" s="1" t="s">
        <v>11</v>
      </c>
      <c r="AF2" s="1" t="s">
        <v>10</v>
      </c>
      <c r="AG2" s="1" t="s">
        <v>11</v>
      </c>
      <c r="AH2" s="3" t="s">
        <v>10</v>
      </c>
      <c r="AI2" s="4" t="s">
        <v>12</v>
      </c>
    </row>
    <row r="3" spans="2:35" x14ac:dyDescent="0.3">
      <c r="B3" s="5" t="s">
        <v>3061</v>
      </c>
      <c r="C3" s="5" t="s">
        <v>13</v>
      </c>
      <c r="D3" s="6" t="s">
        <v>14</v>
      </c>
      <c r="E3" s="6" t="s">
        <v>15</v>
      </c>
      <c r="F3" s="6" t="s">
        <v>16</v>
      </c>
      <c r="G3" s="6" t="s">
        <v>17</v>
      </c>
      <c r="H3" s="7" t="str">
        <f t="shared" ref="H3:H66" si="0">+F3&amp;D3</f>
        <v>PPP-IPU-D615-01OPERATIONAL</v>
      </c>
      <c r="I3" s="8" t="s">
        <v>18</v>
      </c>
      <c r="J3" s="8" t="s">
        <v>19</v>
      </c>
      <c r="K3" s="8" t="s">
        <v>20</v>
      </c>
      <c r="L3" s="9">
        <v>75747.14</v>
      </c>
      <c r="M3" s="9">
        <v>18585.27</v>
      </c>
      <c r="N3" s="9">
        <v>113620.71</v>
      </c>
      <c r="O3" s="9">
        <v>31214.84</v>
      </c>
      <c r="P3" s="9">
        <v>151494.28</v>
      </c>
      <c r="Q3" s="9">
        <v>45470.33</v>
      </c>
      <c r="R3" s="9">
        <v>189367.85</v>
      </c>
      <c r="S3" s="9">
        <v>58692.28</v>
      </c>
      <c r="T3" s="9">
        <v>227241.42</v>
      </c>
      <c r="U3" s="9">
        <v>60299.4</v>
      </c>
      <c r="V3" s="9"/>
      <c r="W3" s="9"/>
      <c r="X3" s="9">
        <v>265114.99</v>
      </c>
      <c r="Y3" s="9">
        <v>79917</v>
      </c>
      <c r="Z3" s="9"/>
      <c r="AA3" s="9"/>
      <c r="AB3" s="9"/>
      <c r="AC3" s="9"/>
      <c r="AD3" s="9"/>
      <c r="AE3" s="9"/>
      <c r="AF3" s="9"/>
      <c r="AG3" s="9"/>
      <c r="AH3" s="7">
        <v>265114.99</v>
      </c>
      <c r="AI3" s="7">
        <v>79917</v>
      </c>
    </row>
    <row r="4" spans="2:35" x14ac:dyDescent="0.3">
      <c r="B4" s="5" t="s">
        <v>3061</v>
      </c>
      <c r="C4" s="5" t="s">
        <v>13</v>
      </c>
      <c r="D4" s="6" t="s">
        <v>14</v>
      </c>
      <c r="E4" s="6" t="s">
        <v>21</v>
      </c>
      <c r="F4" s="6" t="s">
        <v>22</v>
      </c>
      <c r="G4" s="6" t="s">
        <v>23</v>
      </c>
      <c r="H4" s="7" t="str">
        <f t="shared" si="0"/>
        <v>PPP-IPU-L505-01OPERATIONAL</v>
      </c>
      <c r="I4" s="8" t="s">
        <v>24</v>
      </c>
      <c r="J4" s="8" t="s">
        <v>19</v>
      </c>
      <c r="K4" s="8" t="s">
        <v>20</v>
      </c>
      <c r="L4" s="9">
        <v>23311</v>
      </c>
      <c r="M4" s="9">
        <v>7238.5199999999995</v>
      </c>
      <c r="N4" s="9">
        <v>34966.5</v>
      </c>
      <c r="O4" s="9">
        <v>11146.630000000001</v>
      </c>
      <c r="P4" s="9">
        <v>46195.3</v>
      </c>
      <c r="Q4" s="9">
        <v>16246.630000000001</v>
      </c>
      <c r="R4" s="9">
        <v>57424.1</v>
      </c>
      <c r="S4" s="9">
        <v>24316.6</v>
      </c>
      <c r="T4" s="9">
        <v>68652.899999999994</v>
      </c>
      <c r="U4" s="9">
        <v>28155.01</v>
      </c>
      <c r="V4" s="9"/>
      <c r="W4" s="9"/>
      <c r="X4" s="9">
        <v>34966.5</v>
      </c>
      <c r="Y4" s="9">
        <v>25232.080000000002</v>
      </c>
      <c r="Z4" s="9"/>
      <c r="AA4" s="9"/>
      <c r="AB4" s="9"/>
      <c r="AC4" s="9"/>
      <c r="AD4" s="9"/>
      <c r="AE4" s="9"/>
      <c r="AF4" s="9"/>
      <c r="AG4" s="9"/>
      <c r="AH4" s="7">
        <v>34966.5</v>
      </c>
      <c r="AI4" s="7">
        <v>25232.080000000002</v>
      </c>
    </row>
    <row r="5" spans="2:35" x14ac:dyDescent="0.3">
      <c r="B5" s="5" t="s">
        <v>3061</v>
      </c>
      <c r="C5" s="5" t="s">
        <v>13</v>
      </c>
      <c r="D5" s="6" t="s">
        <v>14</v>
      </c>
      <c r="E5" s="6" t="s">
        <v>25</v>
      </c>
      <c r="F5" s="6" t="s">
        <v>26</v>
      </c>
      <c r="G5" s="6" t="s">
        <v>27</v>
      </c>
      <c r="H5" s="7" t="str">
        <f t="shared" si="0"/>
        <v>PPP-IPU-G136-01OPERATIONAL</v>
      </c>
      <c r="I5" s="8" t="s">
        <v>18</v>
      </c>
      <c r="J5" s="8" t="s">
        <v>19</v>
      </c>
      <c r="K5" s="8" t="s">
        <v>20</v>
      </c>
      <c r="L5" s="9">
        <v>24516.28</v>
      </c>
      <c r="M5" s="9">
        <v>5387.98</v>
      </c>
      <c r="N5" s="9">
        <v>36774.42</v>
      </c>
      <c r="O5" s="9">
        <v>10589.42</v>
      </c>
      <c r="P5" s="9">
        <v>49032.56</v>
      </c>
      <c r="Q5" s="9">
        <v>15697.640000000001</v>
      </c>
      <c r="R5" s="9">
        <v>61290.7</v>
      </c>
      <c r="S5" s="9">
        <v>19717.12</v>
      </c>
      <c r="T5" s="9">
        <v>73548.84</v>
      </c>
      <c r="U5" s="9">
        <v>23730.37</v>
      </c>
      <c r="V5" s="9"/>
      <c r="W5" s="9"/>
      <c r="X5" s="9">
        <v>85806.98</v>
      </c>
      <c r="Y5" s="9">
        <v>27175.06</v>
      </c>
      <c r="Z5" s="9"/>
      <c r="AA5" s="9"/>
      <c r="AB5" s="9"/>
      <c r="AC5" s="9"/>
      <c r="AD5" s="9"/>
      <c r="AE5" s="9"/>
      <c r="AF5" s="9"/>
      <c r="AG5" s="9"/>
      <c r="AH5" s="7">
        <v>85806.98</v>
      </c>
      <c r="AI5" s="7">
        <v>27175.06</v>
      </c>
    </row>
    <row r="6" spans="2:35" x14ac:dyDescent="0.3">
      <c r="B6" s="5" t="s">
        <v>3061</v>
      </c>
      <c r="C6" s="5" t="s">
        <v>13</v>
      </c>
      <c r="D6" s="6" t="s">
        <v>14</v>
      </c>
      <c r="E6" s="6" t="s">
        <v>28</v>
      </c>
      <c r="F6" s="6" t="s">
        <v>29</v>
      </c>
      <c r="G6" s="6" t="s">
        <v>30</v>
      </c>
      <c r="H6" s="7" t="str">
        <f t="shared" si="0"/>
        <v>PPP-IPU-F843-01OPERATIONAL</v>
      </c>
      <c r="I6" s="8" t="s">
        <v>18</v>
      </c>
      <c r="J6" s="8" t="s">
        <v>19</v>
      </c>
      <c r="K6" s="8" t="s">
        <v>20</v>
      </c>
      <c r="L6" s="9">
        <v>15997.04</v>
      </c>
      <c r="M6" s="9">
        <v>503.25</v>
      </c>
      <c r="N6" s="9">
        <v>23995.56</v>
      </c>
      <c r="O6" s="9">
        <v>1831.01</v>
      </c>
      <c r="P6" s="9">
        <v>31994.080000000002</v>
      </c>
      <c r="Q6" s="9">
        <v>5130.32</v>
      </c>
      <c r="R6" s="9">
        <v>39992.6</v>
      </c>
      <c r="S6" s="9">
        <v>6673.119999999999</v>
      </c>
      <c r="T6" s="9">
        <v>47991.12</v>
      </c>
      <c r="U6" s="9">
        <v>8393.98</v>
      </c>
      <c r="V6" s="9"/>
      <c r="W6" s="9"/>
      <c r="X6" s="9">
        <v>55989.64</v>
      </c>
      <c r="Y6" s="9">
        <v>9403.1200000000008</v>
      </c>
      <c r="Z6" s="9"/>
      <c r="AA6" s="9"/>
      <c r="AB6" s="9"/>
      <c r="AC6" s="9"/>
      <c r="AD6" s="9"/>
      <c r="AE6" s="9"/>
      <c r="AF6" s="9"/>
      <c r="AG6" s="9"/>
      <c r="AH6" s="7">
        <v>55989.64</v>
      </c>
      <c r="AI6" s="7">
        <v>9403.1200000000008</v>
      </c>
    </row>
    <row r="7" spans="2:35" x14ac:dyDescent="0.3">
      <c r="B7" s="5" t="s">
        <v>3061</v>
      </c>
      <c r="C7" s="5" t="s">
        <v>13</v>
      </c>
      <c r="D7" s="6" t="s">
        <v>14</v>
      </c>
      <c r="E7" s="6" t="s">
        <v>31</v>
      </c>
      <c r="F7" s="6" t="s">
        <v>32</v>
      </c>
      <c r="G7" s="6" t="s">
        <v>33</v>
      </c>
      <c r="H7" s="7" t="str">
        <f t="shared" si="0"/>
        <v>PPP-IPU-B180-01OPERATIONAL</v>
      </c>
      <c r="I7" s="8" t="s">
        <v>18</v>
      </c>
      <c r="J7" s="8" t="s">
        <v>19</v>
      </c>
      <c r="K7" s="8" t="s">
        <v>20</v>
      </c>
      <c r="L7" s="9">
        <v>12386.66</v>
      </c>
      <c r="M7" s="9">
        <v>0</v>
      </c>
      <c r="N7" s="9">
        <v>18579.990000000002</v>
      </c>
      <c r="O7" s="9">
        <v>5707.44</v>
      </c>
      <c r="P7" s="9">
        <v>24773.32</v>
      </c>
      <c r="Q7" s="9">
        <v>10004.11</v>
      </c>
      <c r="R7" s="9">
        <v>30966.65</v>
      </c>
      <c r="S7" s="9">
        <v>10267.450000000001</v>
      </c>
      <c r="T7" s="9">
        <v>37159.980000000003</v>
      </c>
      <c r="U7" s="9">
        <v>14091.69</v>
      </c>
      <c r="V7" s="9"/>
      <c r="W7" s="9"/>
      <c r="X7" s="9">
        <v>43353.31</v>
      </c>
      <c r="Y7" s="9">
        <v>20621.73</v>
      </c>
      <c r="Z7" s="9"/>
      <c r="AA7" s="9"/>
      <c r="AB7" s="9"/>
      <c r="AC7" s="9"/>
      <c r="AD7" s="9"/>
      <c r="AE7" s="9"/>
      <c r="AF7" s="9"/>
      <c r="AG7" s="9"/>
      <c r="AH7" s="7">
        <v>43353.31</v>
      </c>
      <c r="AI7" s="7">
        <v>20621.73</v>
      </c>
    </row>
    <row r="8" spans="2:35" x14ac:dyDescent="0.3">
      <c r="B8" s="5" t="s">
        <v>3061</v>
      </c>
      <c r="C8" s="5" t="s">
        <v>13</v>
      </c>
      <c r="D8" s="6" t="s">
        <v>14</v>
      </c>
      <c r="E8" s="6" t="s">
        <v>34</v>
      </c>
      <c r="F8" s="6" t="s">
        <v>35</v>
      </c>
      <c r="G8" s="6" t="s">
        <v>36</v>
      </c>
      <c r="H8" s="7" t="str">
        <f t="shared" si="0"/>
        <v>PPP-IPU-E882-01OPERATIONAL</v>
      </c>
      <c r="I8" s="8" t="s">
        <v>18</v>
      </c>
      <c r="J8" s="8" t="s">
        <v>19</v>
      </c>
      <c r="K8" s="8" t="s">
        <v>20</v>
      </c>
      <c r="L8" s="9">
        <v>72213.09</v>
      </c>
      <c r="M8" s="9">
        <v>29513.19</v>
      </c>
      <c r="N8" s="9">
        <v>90831.54</v>
      </c>
      <c r="O8" s="9">
        <v>80001.81</v>
      </c>
      <c r="P8" s="9">
        <v>125648.41</v>
      </c>
      <c r="Q8" s="9">
        <v>121149.59</v>
      </c>
      <c r="R8" s="9">
        <v>143837.16</v>
      </c>
      <c r="S8" s="9">
        <v>145669.27000000002</v>
      </c>
      <c r="T8" s="9">
        <v>193090.75</v>
      </c>
      <c r="U8" s="9">
        <v>169349.32</v>
      </c>
      <c r="V8" s="9"/>
      <c r="W8" s="9"/>
      <c r="X8" s="9">
        <v>155778.28</v>
      </c>
      <c r="Y8" s="9">
        <v>169450.13</v>
      </c>
      <c r="Z8" s="9"/>
      <c r="AA8" s="9"/>
      <c r="AB8" s="9"/>
      <c r="AC8" s="9"/>
      <c r="AD8" s="9"/>
      <c r="AE8" s="9"/>
      <c r="AF8" s="9"/>
      <c r="AG8" s="9"/>
      <c r="AH8" s="7">
        <v>155778.28</v>
      </c>
      <c r="AI8" s="7">
        <v>169450.13</v>
      </c>
    </row>
    <row r="9" spans="2:35" x14ac:dyDescent="0.3">
      <c r="B9" s="5" t="s">
        <v>3061</v>
      </c>
      <c r="C9" s="5" t="s">
        <v>13</v>
      </c>
      <c r="D9" s="6" t="s">
        <v>14</v>
      </c>
      <c r="E9" s="6" t="s">
        <v>37</v>
      </c>
      <c r="F9" s="6" t="s">
        <v>38</v>
      </c>
      <c r="G9" s="6" t="s">
        <v>39</v>
      </c>
      <c r="H9" s="7" t="str">
        <f t="shared" si="0"/>
        <v>PPP-IPU-B506-01OPERATIONAL</v>
      </c>
      <c r="I9" s="8" t="s">
        <v>18</v>
      </c>
      <c r="J9" s="8" t="s">
        <v>19</v>
      </c>
      <c r="K9" s="8" t="s">
        <v>20</v>
      </c>
      <c r="L9" s="9">
        <v>6566.66</v>
      </c>
      <c r="M9" s="9">
        <v>1602.42</v>
      </c>
      <c r="N9" s="9">
        <v>9849.99</v>
      </c>
      <c r="O9" s="9">
        <v>3274.67</v>
      </c>
      <c r="P9" s="9">
        <v>13133.32</v>
      </c>
      <c r="Q9" s="9">
        <v>2473.46</v>
      </c>
      <c r="R9" s="9">
        <v>16416.650000000001</v>
      </c>
      <c r="S9" s="9">
        <v>3812.03</v>
      </c>
      <c r="T9" s="9">
        <v>19699.98</v>
      </c>
      <c r="U9" s="9">
        <v>4613.24</v>
      </c>
      <c r="V9" s="9"/>
      <c r="W9" s="9"/>
      <c r="X9" s="9">
        <v>22983.31</v>
      </c>
      <c r="Y9" s="9">
        <v>4613.24</v>
      </c>
      <c r="Z9" s="9"/>
      <c r="AA9" s="9"/>
      <c r="AB9" s="9"/>
      <c r="AC9" s="9"/>
      <c r="AD9" s="9"/>
      <c r="AE9" s="9"/>
      <c r="AF9" s="9"/>
      <c r="AG9" s="9"/>
      <c r="AH9" s="7">
        <v>22983.31</v>
      </c>
      <c r="AI9" s="7">
        <v>4613.24</v>
      </c>
    </row>
    <row r="10" spans="2:35" x14ac:dyDescent="0.3">
      <c r="B10" s="5" t="s">
        <v>3061</v>
      </c>
      <c r="C10" s="5" t="s">
        <v>13</v>
      </c>
      <c r="D10" s="6" t="s">
        <v>14</v>
      </c>
      <c r="E10" s="6" t="s">
        <v>40</v>
      </c>
      <c r="F10" s="6" t="s">
        <v>41</v>
      </c>
      <c r="G10" s="6" t="s">
        <v>42</v>
      </c>
      <c r="H10" s="7" t="str">
        <f t="shared" si="0"/>
        <v>PPP-IPU-F637-01OPERATIONAL</v>
      </c>
      <c r="I10" s="8" t="s">
        <v>18</v>
      </c>
      <c r="J10" s="8" t="s">
        <v>19</v>
      </c>
      <c r="K10" s="8" t="s">
        <v>20</v>
      </c>
      <c r="L10" s="9">
        <v>51834.9</v>
      </c>
      <c r="M10" s="9">
        <v>11335.960000000001</v>
      </c>
      <c r="N10" s="9">
        <v>77752.350000000006</v>
      </c>
      <c r="O10" s="9">
        <v>20445.489999999998</v>
      </c>
      <c r="P10" s="9">
        <v>103669.8</v>
      </c>
      <c r="Q10" s="9">
        <v>17922.740000000002</v>
      </c>
      <c r="R10" s="9">
        <v>129587.25</v>
      </c>
      <c r="S10" s="9">
        <v>31714.720000000001</v>
      </c>
      <c r="T10" s="9">
        <v>158439.72</v>
      </c>
      <c r="U10" s="9">
        <v>38079.660000000003</v>
      </c>
      <c r="V10" s="9"/>
      <c r="W10" s="9"/>
      <c r="X10" s="9">
        <v>187292.19</v>
      </c>
      <c r="Y10" s="9">
        <v>43267.37</v>
      </c>
      <c r="Z10" s="9"/>
      <c r="AA10" s="9"/>
      <c r="AB10" s="9"/>
      <c r="AC10" s="9"/>
      <c r="AD10" s="9"/>
      <c r="AE10" s="9"/>
      <c r="AF10" s="9"/>
      <c r="AG10" s="9"/>
      <c r="AH10" s="7">
        <v>187292.19</v>
      </c>
      <c r="AI10" s="7">
        <v>43267.37</v>
      </c>
    </row>
    <row r="11" spans="2:35" x14ac:dyDescent="0.3">
      <c r="B11" s="5" t="s">
        <v>3061</v>
      </c>
      <c r="C11" s="5" t="s">
        <v>13</v>
      </c>
      <c r="D11" s="6" t="s">
        <v>14</v>
      </c>
      <c r="E11" s="6" t="s">
        <v>43</v>
      </c>
      <c r="F11" s="6" t="s">
        <v>44</v>
      </c>
      <c r="G11" s="6" t="s">
        <v>45</v>
      </c>
      <c r="H11" s="7" t="str">
        <f t="shared" si="0"/>
        <v>PPP-IPU-E716-01OPERATIONAL</v>
      </c>
      <c r="I11" s="8" t="s">
        <v>18</v>
      </c>
      <c r="J11" s="8" t="s">
        <v>19</v>
      </c>
      <c r="K11" s="8" t="s">
        <v>20</v>
      </c>
      <c r="L11" s="9">
        <v>116250.86</v>
      </c>
      <c r="M11" s="9">
        <v>22246.49</v>
      </c>
      <c r="N11" s="9">
        <v>174376.29</v>
      </c>
      <c r="O11" s="9">
        <v>39334.560000000005</v>
      </c>
      <c r="P11" s="9">
        <v>232501.72</v>
      </c>
      <c r="Q11" s="9">
        <v>50762</v>
      </c>
      <c r="R11" s="9">
        <v>290627.15000000002</v>
      </c>
      <c r="S11" s="9">
        <v>65787.899999999994</v>
      </c>
      <c r="T11" s="9">
        <v>348752.58</v>
      </c>
      <c r="U11" s="9">
        <v>80443.61</v>
      </c>
      <c r="V11" s="9"/>
      <c r="W11" s="9"/>
      <c r="X11" s="9">
        <v>406878.01</v>
      </c>
      <c r="Y11" s="9">
        <v>93907.24</v>
      </c>
      <c r="Z11" s="9"/>
      <c r="AA11" s="9"/>
      <c r="AB11" s="9"/>
      <c r="AC11" s="9"/>
      <c r="AD11" s="9"/>
      <c r="AE11" s="9"/>
      <c r="AF11" s="9"/>
      <c r="AG11" s="9"/>
      <c r="AH11" s="7">
        <v>406878.01</v>
      </c>
      <c r="AI11" s="7">
        <v>93907.24</v>
      </c>
    </row>
    <row r="12" spans="2:35" x14ac:dyDescent="0.3">
      <c r="B12" s="5" t="s">
        <v>3061</v>
      </c>
      <c r="C12" s="5" t="s">
        <v>13</v>
      </c>
      <c r="D12" s="6" t="s">
        <v>14</v>
      </c>
      <c r="E12" s="6" t="s">
        <v>46</v>
      </c>
      <c r="F12" s="6" t="s">
        <v>47</v>
      </c>
      <c r="G12" s="6" t="s">
        <v>48</v>
      </c>
      <c r="H12" s="7" t="str">
        <f t="shared" si="0"/>
        <v>PPP-IPU-E569-01OPERATIONAL</v>
      </c>
      <c r="I12" s="8" t="s">
        <v>49</v>
      </c>
      <c r="J12" s="8" t="s">
        <v>19</v>
      </c>
      <c r="K12" s="8" t="s">
        <v>20</v>
      </c>
      <c r="L12" s="9">
        <v>8437.2999999999993</v>
      </c>
      <c r="M12" s="9">
        <v>2070.88</v>
      </c>
      <c r="N12" s="9">
        <v>16874.599999999999</v>
      </c>
      <c r="O12" s="9">
        <v>4845.63</v>
      </c>
      <c r="P12" s="9">
        <v>12655.95</v>
      </c>
      <c r="Q12" s="9">
        <v>5859.5099999999993</v>
      </c>
      <c r="R12" s="9">
        <v>21093.25</v>
      </c>
      <c r="S12" s="9">
        <v>8043.33</v>
      </c>
      <c r="T12" s="9">
        <v>25311.9</v>
      </c>
      <c r="U12" s="9">
        <v>9042.7900000000009</v>
      </c>
      <c r="V12" s="9"/>
      <c r="W12" s="9"/>
      <c r="X12" s="9">
        <v>8437.2999999999993</v>
      </c>
      <c r="Y12" s="9">
        <v>11364.3</v>
      </c>
      <c r="Z12" s="9"/>
      <c r="AA12" s="9"/>
      <c r="AB12" s="9"/>
      <c r="AC12" s="9"/>
      <c r="AD12" s="9"/>
      <c r="AE12" s="9"/>
      <c r="AF12" s="9"/>
      <c r="AG12" s="9"/>
      <c r="AH12" s="7">
        <v>8437.2999999999993</v>
      </c>
      <c r="AI12" s="7">
        <v>11364.3</v>
      </c>
    </row>
    <row r="13" spans="2:35" x14ac:dyDescent="0.3">
      <c r="B13" s="5" t="s">
        <v>3061</v>
      </c>
      <c r="C13" s="5" t="s">
        <v>13</v>
      </c>
      <c r="D13" s="6" t="s">
        <v>14</v>
      </c>
      <c r="E13" s="6" t="s">
        <v>50</v>
      </c>
      <c r="F13" s="6" t="s">
        <v>51</v>
      </c>
      <c r="G13" s="6" t="s">
        <v>52</v>
      </c>
      <c r="H13" s="7" t="str">
        <f t="shared" si="0"/>
        <v>PPP-IPU-G751-01OPERATIONAL</v>
      </c>
      <c r="I13" s="8" t="s">
        <v>18</v>
      </c>
      <c r="J13" s="8" t="s">
        <v>19</v>
      </c>
      <c r="K13" s="8" t="s">
        <v>20</v>
      </c>
      <c r="L13" s="9">
        <v>43456.34</v>
      </c>
      <c r="M13" s="9">
        <v>10449.650000000001</v>
      </c>
      <c r="N13" s="9">
        <v>65184.51</v>
      </c>
      <c r="O13" s="9">
        <v>19829.150000000001</v>
      </c>
      <c r="P13" s="9">
        <v>86912.68</v>
      </c>
      <c r="Q13" s="9">
        <v>28912.639999999999</v>
      </c>
      <c r="R13" s="9">
        <v>108988.31</v>
      </c>
      <c r="S13" s="9">
        <v>29988.53</v>
      </c>
      <c r="T13" s="9">
        <v>132453.71</v>
      </c>
      <c r="U13" s="9">
        <v>43781.93</v>
      </c>
      <c r="V13" s="9"/>
      <c r="W13" s="9"/>
      <c r="X13" s="9">
        <v>132453.71</v>
      </c>
      <c r="Y13" s="9">
        <v>47273.18</v>
      </c>
      <c r="Z13" s="9"/>
      <c r="AA13" s="9"/>
      <c r="AB13" s="9"/>
      <c r="AC13" s="9"/>
      <c r="AD13" s="9"/>
      <c r="AE13" s="9"/>
      <c r="AF13" s="9"/>
      <c r="AG13" s="9"/>
      <c r="AH13" s="7">
        <v>132453.71</v>
      </c>
      <c r="AI13" s="7">
        <v>47273.18</v>
      </c>
    </row>
    <row r="14" spans="2:35" x14ac:dyDescent="0.3">
      <c r="B14" s="5" t="s">
        <v>3061</v>
      </c>
      <c r="C14" s="5" t="s">
        <v>13</v>
      </c>
      <c r="D14" s="6" t="s">
        <v>14</v>
      </c>
      <c r="E14" s="6" t="s">
        <v>53</v>
      </c>
      <c r="F14" s="6" t="s">
        <v>54</v>
      </c>
      <c r="G14" s="6" t="s">
        <v>55</v>
      </c>
      <c r="H14" s="7" t="str">
        <f t="shared" si="0"/>
        <v>PPP-IPU-G957-01OPERATIONAL</v>
      </c>
      <c r="I14" s="8" t="s">
        <v>56</v>
      </c>
      <c r="J14" s="8" t="s">
        <v>19</v>
      </c>
      <c r="K14" s="8" t="s">
        <v>20</v>
      </c>
      <c r="L14" s="9">
        <v>16434.009999999998</v>
      </c>
      <c r="M14" s="9">
        <v>3487.96</v>
      </c>
      <c r="N14" s="9">
        <v>24651.01</v>
      </c>
      <c r="O14" s="9">
        <v>5864.5</v>
      </c>
      <c r="P14" s="9">
        <v>32868.019999999997</v>
      </c>
      <c r="Q14" s="9">
        <v>8385.82</v>
      </c>
      <c r="R14" s="9">
        <v>38447.68</v>
      </c>
      <c r="S14" s="9">
        <v>10478.530000000001</v>
      </c>
      <c r="T14" s="9">
        <v>46137.22</v>
      </c>
      <c r="U14" s="9">
        <v>12467.86</v>
      </c>
      <c r="V14" s="9"/>
      <c r="W14" s="9"/>
      <c r="X14" s="9">
        <v>53826.75</v>
      </c>
      <c r="Y14" s="9">
        <v>14187.02</v>
      </c>
      <c r="Z14" s="9"/>
      <c r="AA14" s="9"/>
      <c r="AB14" s="9"/>
      <c r="AC14" s="9"/>
      <c r="AD14" s="9"/>
      <c r="AE14" s="9"/>
      <c r="AF14" s="9"/>
      <c r="AG14" s="9"/>
      <c r="AH14" s="7">
        <v>53826.75</v>
      </c>
      <c r="AI14" s="7">
        <v>14187.02</v>
      </c>
    </row>
    <row r="15" spans="2:35" x14ac:dyDescent="0.3">
      <c r="B15" s="5" t="s">
        <v>3061</v>
      </c>
      <c r="C15" s="5" t="s">
        <v>13</v>
      </c>
      <c r="D15" s="6" t="s">
        <v>14</v>
      </c>
      <c r="E15" s="6" t="s">
        <v>57</v>
      </c>
      <c r="F15" s="6" t="s">
        <v>58</v>
      </c>
      <c r="G15" s="6" t="s">
        <v>59</v>
      </c>
      <c r="H15" s="7" t="str">
        <f t="shared" si="0"/>
        <v>PPP-IPU-L850-01OPERATIONAL</v>
      </c>
      <c r="I15" s="8" t="s">
        <v>24</v>
      </c>
      <c r="J15" s="8" t="s">
        <v>19</v>
      </c>
      <c r="K15" s="8" t="s">
        <v>20</v>
      </c>
      <c r="L15" s="9">
        <v>30958.639999999999</v>
      </c>
      <c r="M15" s="9">
        <v>15533.45</v>
      </c>
      <c r="N15" s="9">
        <v>46000</v>
      </c>
      <c r="O15" s="9">
        <v>23683.57</v>
      </c>
      <c r="P15" s="9">
        <v>61267.28</v>
      </c>
      <c r="Q15" s="9">
        <v>33648.74</v>
      </c>
      <c r="R15" s="9">
        <v>76746.600000000006</v>
      </c>
      <c r="S15" s="9">
        <v>36093.24</v>
      </c>
      <c r="T15" s="9">
        <v>92225.919999999998</v>
      </c>
      <c r="U15" s="9">
        <v>55433</v>
      </c>
      <c r="V15" s="9"/>
      <c r="W15" s="9"/>
      <c r="X15" s="9">
        <v>92225.919999999998</v>
      </c>
      <c r="Y15" s="9">
        <v>60058.51</v>
      </c>
      <c r="Z15" s="9"/>
      <c r="AA15" s="9"/>
      <c r="AB15" s="9"/>
      <c r="AC15" s="9"/>
      <c r="AD15" s="9"/>
      <c r="AE15" s="9"/>
      <c r="AF15" s="9"/>
      <c r="AG15" s="9"/>
      <c r="AH15" s="7">
        <v>92225.919999999998</v>
      </c>
      <c r="AI15" s="7">
        <v>60058.51</v>
      </c>
    </row>
    <row r="16" spans="2:35" x14ac:dyDescent="0.3">
      <c r="B16" s="5" t="s">
        <v>3061</v>
      </c>
      <c r="C16" s="5" t="s">
        <v>13</v>
      </c>
      <c r="D16" s="6" t="s">
        <v>14</v>
      </c>
      <c r="E16" s="6" t="s">
        <v>60</v>
      </c>
      <c r="F16" s="6" t="s">
        <v>61</v>
      </c>
      <c r="G16" s="6" t="s">
        <v>62</v>
      </c>
      <c r="H16" s="7" t="str">
        <f t="shared" si="0"/>
        <v>PPP-IPU-A208-01OPERATIONAL</v>
      </c>
      <c r="I16" s="8" t="s">
        <v>18</v>
      </c>
      <c r="J16" s="8" t="s">
        <v>19</v>
      </c>
      <c r="K16" s="8" t="s">
        <v>20</v>
      </c>
      <c r="L16" s="9">
        <v>49693.7</v>
      </c>
      <c r="M16" s="9">
        <v>12781.58</v>
      </c>
      <c r="N16" s="9">
        <v>74540.55</v>
      </c>
      <c r="O16" s="9">
        <v>21926.240000000002</v>
      </c>
      <c r="P16" s="9">
        <v>101155.64</v>
      </c>
      <c r="Q16" s="9">
        <v>31188.05</v>
      </c>
      <c r="R16" s="9">
        <v>126445.3</v>
      </c>
      <c r="S16" s="9">
        <v>38386.050000000003</v>
      </c>
      <c r="T16" s="9">
        <v>151734.96</v>
      </c>
      <c r="U16" s="9">
        <v>45584.959999999999</v>
      </c>
      <c r="V16" s="9"/>
      <c r="W16" s="9"/>
      <c r="X16" s="9">
        <v>177024.62</v>
      </c>
      <c r="Y16" s="9">
        <v>52096.49</v>
      </c>
      <c r="Z16" s="9"/>
      <c r="AA16" s="9"/>
      <c r="AB16" s="9"/>
      <c r="AC16" s="9"/>
      <c r="AD16" s="9"/>
      <c r="AE16" s="9"/>
      <c r="AF16" s="9"/>
      <c r="AG16" s="9"/>
      <c r="AH16" s="7">
        <v>177024.62</v>
      </c>
      <c r="AI16" s="7">
        <v>52096.49</v>
      </c>
    </row>
    <row r="17" spans="2:35" x14ac:dyDescent="0.3">
      <c r="B17" s="5" t="s">
        <v>3061</v>
      </c>
      <c r="C17" s="5" t="s">
        <v>13</v>
      </c>
      <c r="D17" s="6" t="s">
        <v>14</v>
      </c>
      <c r="E17" s="6" t="s">
        <v>63</v>
      </c>
      <c r="F17" s="6" t="s">
        <v>64</v>
      </c>
      <c r="G17" s="6" t="s">
        <v>65</v>
      </c>
      <c r="H17" s="7" t="str">
        <f t="shared" si="0"/>
        <v>PPP-IPU-L009-01OPERATIONAL</v>
      </c>
      <c r="I17" s="8" t="s">
        <v>24</v>
      </c>
      <c r="J17" s="8" t="s">
        <v>19</v>
      </c>
      <c r="K17" s="8" t="s">
        <v>20</v>
      </c>
      <c r="L17" s="9">
        <v>24872.44</v>
      </c>
      <c r="M17" s="9">
        <v>8247.24</v>
      </c>
      <c r="N17" s="9">
        <v>39388.78</v>
      </c>
      <c r="O17" s="9">
        <v>14034.550000000001</v>
      </c>
      <c r="P17" s="9">
        <v>51825</v>
      </c>
      <c r="Q17" s="9">
        <v>17843.509999999998</v>
      </c>
      <c r="R17" s="9">
        <v>64261.22</v>
      </c>
      <c r="S17" s="9">
        <v>19309.739999999998</v>
      </c>
      <c r="T17" s="9">
        <v>76697.440000000002</v>
      </c>
      <c r="U17" s="9">
        <v>26629.859999999997</v>
      </c>
      <c r="V17" s="9"/>
      <c r="W17" s="9"/>
      <c r="X17" s="9">
        <v>39388.78</v>
      </c>
      <c r="Y17" s="9">
        <v>29389.05</v>
      </c>
      <c r="Z17" s="9"/>
      <c r="AA17" s="9"/>
      <c r="AB17" s="9"/>
      <c r="AC17" s="9"/>
      <c r="AD17" s="9"/>
      <c r="AE17" s="9"/>
      <c r="AF17" s="9"/>
      <c r="AG17" s="9"/>
      <c r="AH17" s="7">
        <v>39388.78</v>
      </c>
      <c r="AI17" s="7">
        <v>29389.05</v>
      </c>
    </row>
    <row r="18" spans="2:35" x14ac:dyDescent="0.3">
      <c r="B18" s="5" t="s">
        <v>3061</v>
      </c>
      <c r="C18" s="5" t="s">
        <v>13</v>
      </c>
      <c r="D18" s="6" t="s">
        <v>14</v>
      </c>
      <c r="E18" s="6" t="s">
        <v>66</v>
      </c>
      <c r="F18" s="6" t="s">
        <v>67</v>
      </c>
      <c r="G18" s="6" t="s">
        <v>68</v>
      </c>
      <c r="H18" s="7" t="str">
        <f t="shared" si="0"/>
        <v>PPP-IPU-G348-01OPERATIONAL</v>
      </c>
      <c r="I18" s="8" t="s">
        <v>18</v>
      </c>
      <c r="J18" s="8" t="s">
        <v>19</v>
      </c>
      <c r="K18" s="8" t="s">
        <v>20</v>
      </c>
      <c r="L18" s="9">
        <v>211980.15</v>
      </c>
      <c r="M18" s="9">
        <v>34269.840000000004</v>
      </c>
      <c r="N18" s="9">
        <v>305518.81</v>
      </c>
      <c r="O18" s="9">
        <v>53862.64</v>
      </c>
      <c r="P18" s="9">
        <v>437189.42</v>
      </c>
      <c r="Q18" s="9">
        <v>87813.58</v>
      </c>
      <c r="R18" s="9">
        <v>543179.5</v>
      </c>
      <c r="S18" s="9">
        <v>92149.49</v>
      </c>
      <c r="T18" s="9">
        <v>649169.56999999995</v>
      </c>
      <c r="U18" s="9">
        <v>129597.31</v>
      </c>
      <c r="V18" s="9"/>
      <c r="W18" s="9"/>
      <c r="X18" s="9">
        <v>225209.27</v>
      </c>
      <c r="Y18" s="9">
        <v>150246.79999999999</v>
      </c>
      <c r="Z18" s="9"/>
      <c r="AA18" s="9"/>
      <c r="AB18" s="9"/>
      <c r="AC18" s="9"/>
      <c r="AD18" s="9"/>
      <c r="AE18" s="9"/>
      <c r="AF18" s="9"/>
      <c r="AG18" s="9"/>
      <c r="AH18" s="7">
        <v>225209.27</v>
      </c>
      <c r="AI18" s="7">
        <v>150246.79999999999</v>
      </c>
    </row>
    <row r="19" spans="2:35" x14ac:dyDescent="0.3">
      <c r="B19" s="5" t="s">
        <v>3061</v>
      </c>
      <c r="C19" s="5" t="s">
        <v>13</v>
      </c>
      <c r="D19" s="6" t="s">
        <v>14</v>
      </c>
      <c r="E19" s="6" t="s">
        <v>69</v>
      </c>
      <c r="F19" s="6" t="s">
        <v>70</v>
      </c>
      <c r="G19" s="6" t="s">
        <v>71</v>
      </c>
      <c r="H19" s="7" t="str">
        <f t="shared" si="0"/>
        <v>PPP-IPU-D883-01OPERATIONAL</v>
      </c>
      <c r="I19" s="8" t="s">
        <v>18</v>
      </c>
      <c r="J19" s="8" t="s">
        <v>19</v>
      </c>
      <c r="K19" s="8" t="s">
        <v>20</v>
      </c>
      <c r="L19" s="9">
        <v>48854.05</v>
      </c>
      <c r="M19" s="9">
        <v>19380.54</v>
      </c>
      <c r="N19" s="9">
        <v>67361.02</v>
      </c>
      <c r="O19" s="9">
        <v>41386.5</v>
      </c>
      <c r="P19" s="9">
        <v>91863.91</v>
      </c>
      <c r="Q19" s="9">
        <v>62826.85</v>
      </c>
      <c r="R19" s="9">
        <v>107967.46</v>
      </c>
      <c r="S19" s="9">
        <v>64423.74</v>
      </c>
      <c r="T19" s="9">
        <v>131547.82</v>
      </c>
      <c r="U19" s="9">
        <v>98483.21</v>
      </c>
      <c r="V19" s="9"/>
      <c r="W19" s="9"/>
      <c r="X19" s="9">
        <v>102872.94</v>
      </c>
      <c r="Y19" s="9">
        <v>111561.86</v>
      </c>
      <c r="Z19" s="9"/>
      <c r="AA19" s="9"/>
      <c r="AB19" s="9"/>
      <c r="AC19" s="9"/>
      <c r="AD19" s="9"/>
      <c r="AE19" s="9"/>
      <c r="AF19" s="9"/>
      <c r="AG19" s="9"/>
      <c r="AH19" s="7">
        <v>102872.94</v>
      </c>
      <c r="AI19" s="7">
        <v>111561.86</v>
      </c>
    </row>
    <row r="20" spans="2:35" x14ac:dyDescent="0.3">
      <c r="B20" s="5" t="s">
        <v>3061</v>
      </c>
      <c r="C20" s="5" t="s">
        <v>13</v>
      </c>
      <c r="D20" s="6" t="s">
        <v>72</v>
      </c>
      <c r="E20" s="6" t="s">
        <v>73</v>
      </c>
      <c r="F20" s="6" t="s">
        <v>74</v>
      </c>
      <c r="G20" s="6" t="s">
        <v>75</v>
      </c>
      <c r="H20" s="7" t="str">
        <f t="shared" si="0"/>
        <v>EPC-IPU-E053-02EXTRA LAVORI</v>
      </c>
      <c r="I20" s="8" t="s">
        <v>18</v>
      </c>
      <c r="J20" s="8" t="s">
        <v>76</v>
      </c>
      <c r="K20" s="8" t="s">
        <v>76</v>
      </c>
      <c r="L20" s="9">
        <v>0</v>
      </c>
      <c r="M20" s="9">
        <v>161.19999999999999</v>
      </c>
      <c r="N20" s="9">
        <v>0</v>
      </c>
      <c r="O20" s="9">
        <v>0</v>
      </c>
      <c r="P20" s="9">
        <v>0</v>
      </c>
      <c r="Q20" s="9">
        <v>0</v>
      </c>
      <c r="R20" s="9">
        <v>0</v>
      </c>
      <c r="S20" s="9">
        <v>0</v>
      </c>
      <c r="T20" s="9">
        <v>0</v>
      </c>
      <c r="U20" s="9">
        <v>0</v>
      </c>
      <c r="V20" s="9"/>
      <c r="W20" s="9"/>
      <c r="X20" s="9">
        <v>0</v>
      </c>
      <c r="Y20" s="9">
        <v>0</v>
      </c>
      <c r="Z20" s="9"/>
      <c r="AA20" s="9"/>
      <c r="AB20" s="9"/>
      <c r="AC20" s="9"/>
      <c r="AD20" s="9"/>
      <c r="AE20" s="9"/>
      <c r="AF20" s="9"/>
      <c r="AG20" s="9"/>
      <c r="AH20" s="7">
        <v>0</v>
      </c>
      <c r="AI20" s="7">
        <v>0</v>
      </c>
    </row>
    <row r="21" spans="2:35" x14ac:dyDescent="0.3">
      <c r="B21" s="5" t="s">
        <v>3061</v>
      </c>
      <c r="C21" s="5" t="s">
        <v>13</v>
      </c>
      <c r="D21" s="6" t="s">
        <v>14</v>
      </c>
      <c r="E21" s="6" t="s">
        <v>77</v>
      </c>
      <c r="F21" s="6" t="s">
        <v>78</v>
      </c>
      <c r="G21" s="6" t="s">
        <v>79</v>
      </c>
      <c r="H21" s="7" t="str">
        <f t="shared" si="0"/>
        <v>PPP-IPU-G589-01OPERATIONAL</v>
      </c>
      <c r="I21" s="8" t="s">
        <v>24</v>
      </c>
      <c r="J21" s="8" t="s">
        <v>19</v>
      </c>
      <c r="K21" s="8" t="s">
        <v>20</v>
      </c>
      <c r="L21" s="9">
        <v>13478.8</v>
      </c>
      <c r="M21" s="9">
        <v>5878.36</v>
      </c>
      <c r="N21" s="9">
        <v>27206.68</v>
      </c>
      <c r="O21" s="9">
        <v>7882.14</v>
      </c>
      <c r="P21" s="9">
        <v>33946.080000000002</v>
      </c>
      <c r="Q21" s="9">
        <v>10119.689999999999</v>
      </c>
      <c r="R21" s="9">
        <v>40685.480000000003</v>
      </c>
      <c r="S21" s="9">
        <v>13841.060000000001</v>
      </c>
      <c r="T21" s="9">
        <v>47424.88</v>
      </c>
      <c r="U21" s="9">
        <v>15068.76</v>
      </c>
      <c r="V21" s="9"/>
      <c r="W21" s="9"/>
      <c r="X21" s="9">
        <v>54164.28</v>
      </c>
      <c r="Y21" s="9">
        <v>17111.29</v>
      </c>
      <c r="Z21" s="9"/>
      <c r="AA21" s="9"/>
      <c r="AB21" s="9"/>
      <c r="AC21" s="9"/>
      <c r="AD21" s="9"/>
      <c r="AE21" s="9"/>
      <c r="AF21" s="9"/>
      <c r="AG21" s="9"/>
      <c r="AH21" s="7">
        <v>54164.28</v>
      </c>
      <c r="AI21" s="7">
        <v>17111.29</v>
      </c>
    </row>
    <row r="22" spans="2:35" x14ac:dyDescent="0.3">
      <c r="B22" s="5" t="s">
        <v>3061</v>
      </c>
      <c r="C22" s="5" t="s">
        <v>13</v>
      </c>
      <c r="D22" s="6" t="s">
        <v>14</v>
      </c>
      <c r="E22" s="6" t="s">
        <v>80</v>
      </c>
      <c r="F22" s="6" t="s">
        <v>81</v>
      </c>
      <c r="G22" s="6" t="s">
        <v>82</v>
      </c>
      <c r="H22" s="7" t="str">
        <f t="shared" si="0"/>
        <v>PPP-IPU-G761-01OPERATIONAL</v>
      </c>
      <c r="I22" s="8" t="s">
        <v>18</v>
      </c>
      <c r="J22" s="8" t="s">
        <v>19</v>
      </c>
      <c r="K22" s="8" t="s">
        <v>20</v>
      </c>
      <c r="L22" s="9">
        <v>26387.14</v>
      </c>
      <c r="M22" s="9">
        <v>3977.9750000000004</v>
      </c>
      <c r="N22" s="9">
        <v>39580.71</v>
      </c>
      <c r="O22" s="9">
        <v>7424.6949999999997</v>
      </c>
      <c r="P22" s="9">
        <v>52774.28</v>
      </c>
      <c r="Q22" s="9">
        <v>10670.844999999999</v>
      </c>
      <c r="R22" s="9">
        <v>65967.850000000006</v>
      </c>
      <c r="S22" s="9">
        <v>10765.494999999999</v>
      </c>
      <c r="T22" s="9">
        <v>79161.42</v>
      </c>
      <c r="U22" s="9">
        <v>14917.355</v>
      </c>
      <c r="V22" s="9"/>
      <c r="W22" s="9"/>
      <c r="X22" s="9">
        <v>92354.99</v>
      </c>
      <c r="Y22" s="9">
        <v>16634.5</v>
      </c>
      <c r="Z22" s="9"/>
      <c r="AA22" s="9"/>
      <c r="AB22" s="9"/>
      <c r="AC22" s="9"/>
      <c r="AD22" s="9"/>
      <c r="AE22" s="9"/>
      <c r="AF22" s="9"/>
      <c r="AG22" s="9"/>
      <c r="AH22" s="7">
        <v>92354.99</v>
      </c>
      <c r="AI22" s="7">
        <v>16634.5</v>
      </c>
    </row>
    <row r="23" spans="2:35" x14ac:dyDescent="0.3">
      <c r="B23" s="5" t="s">
        <v>3061</v>
      </c>
      <c r="C23" s="5" t="s">
        <v>13</v>
      </c>
      <c r="D23" s="6" t="s">
        <v>14</v>
      </c>
      <c r="E23" s="6" t="s">
        <v>83</v>
      </c>
      <c r="F23" s="6" t="s">
        <v>84</v>
      </c>
      <c r="G23" s="6" t="s">
        <v>85</v>
      </c>
      <c r="H23" s="7" t="str">
        <f t="shared" si="0"/>
        <v>PPP-IPU-I553-01OPERATIONAL</v>
      </c>
      <c r="I23" s="8" t="s">
        <v>24</v>
      </c>
      <c r="J23" s="8" t="s">
        <v>19</v>
      </c>
      <c r="K23" s="8" t="s">
        <v>20</v>
      </c>
      <c r="L23" s="9">
        <v>16895.419999999998</v>
      </c>
      <c r="M23" s="9">
        <v>8585.59</v>
      </c>
      <c r="N23" s="9">
        <v>25343.13</v>
      </c>
      <c r="O23" s="9">
        <v>16753.190000000002</v>
      </c>
      <c r="P23" s="9">
        <v>33790.839999999997</v>
      </c>
      <c r="Q23" s="9">
        <v>25507.050000000003</v>
      </c>
      <c r="R23" s="9">
        <v>42238.55</v>
      </c>
      <c r="S23" s="9">
        <v>33098.79</v>
      </c>
      <c r="T23" s="9">
        <v>50686.26</v>
      </c>
      <c r="U23" s="9">
        <v>40844.71</v>
      </c>
      <c r="V23" s="9"/>
      <c r="W23" s="9"/>
      <c r="X23" s="9">
        <v>59133.97</v>
      </c>
      <c r="Y23" s="9">
        <v>48096.75</v>
      </c>
      <c r="Z23" s="9"/>
      <c r="AA23" s="9"/>
      <c r="AB23" s="9"/>
      <c r="AC23" s="9"/>
      <c r="AD23" s="9"/>
      <c r="AE23" s="9"/>
      <c r="AF23" s="9"/>
      <c r="AG23" s="9"/>
      <c r="AH23" s="7">
        <v>59133.97</v>
      </c>
      <c r="AI23" s="7">
        <v>48096.75</v>
      </c>
    </row>
    <row r="24" spans="2:35" x14ac:dyDescent="0.3">
      <c r="B24" s="5" t="s">
        <v>3061</v>
      </c>
      <c r="C24" s="5" t="s">
        <v>13</v>
      </c>
      <c r="D24" s="6" t="s">
        <v>14</v>
      </c>
      <c r="E24" s="6" t="s">
        <v>86</v>
      </c>
      <c r="F24" s="6" t="s">
        <v>87</v>
      </c>
      <c r="G24" s="6" t="s">
        <v>88</v>
      </c>
      <c r="H24" s="7" t="str">
        <f t="shared" si="0"/>
        <v>PPP-IPU-I965-01OPERATIONAL</v>
      </c>
      <c r="I24" s="8" t="s">
        <v>56</v>
      </c>
      <c r="J24" s="8" t="s">
        <v>19</v>
      </c>
      <c r="K24" s="8" t="s">
        <v>20</v>
      </c>
      <c r="L24" s="9">
        <v>0</v>
      </c>
      <c r="M24" s="9">
        <v>2706.66</v>
      </c>
      <c r="N24" s="9">
        <v>14961.69</v>
      </c>
      <c r="O24" s="9">
        <v>4135.6400000000003</v>
      </c>
      <c r="P24" s="9">
        <v>19948.919999999998</v>
      </c>
      <c r="Q24" s="9">
        <v>5564.62</v>
      </c>
      <c r="R24" s="9">
        <v>24936.15</v>
      </c>
      <c r="S24" s="9">
        <v>6917.95</v>
      </c>
      <c r="T24" s="9">
        <v>29923.4</v>
      </c>
      <c r="U24" s="9">
        <v>8346.93</v>
      </c>
      <c r="V24" s="9"/>
      <c r="W24" s="9"/>
      <c r="X24" s="9">
        <v>29923.4</v>
      </c>
      <c r="Y24" s="9">
        <v>8346.93</v>
      </c>
      <c r="Z24" s="9"/>
      <c r="AA24" s="9"/>
      <c r="AB24" s="9"/>
      <c r="AC24" s="9"/>
      <c r="AD24" s="9"/>
      <c r="AE24" s="9"/>
      <c r="AF24" s="9"/>
      <c r="AG24" s="9"/>
      <c r="AH24" s="7">
        <v>29923.4</v>
      </c>
      <c r="AI24" s="7">
        <v>8346.93</v>
      </c>
    </row>
    <row r="25" spans="2:35" x14ac:dyDescent="0.3">
      <c r="B25" s="5" t="s">
        <v>3061</v>
      </c>
      <c r="C25" s="5" t="s">
        <v>13</v>
      </c>
      <c r="D25" s="6" t="s">
        <v>14</v>
      </c>
      <c r="E25" s="6" t="s">
        <v>89</v>
      </c>
      <c r="F25" s="6" t="s">
        <v>90</v>
      </c>
      <c r="G25" s="6" t="s">
        <v>91</v>
      </c>
      <c r="H25" s="7" t="str">
        <f t="shared" si="0"/>
        <v>PPP-IPU-I805-01OPERATIONAL</v>
      </c>
      <c r="I25" s="8" t="s">
        <v>18</v>
      </c>
      <c r="J25" s="8" t="s">
        <v>19</v>
      </c>
      <c r="K25" s="8" t="s">
        <v>20</v>
      </c>
      <c r="L25" s="9">
        <v>54288.76</v>
      </c>
      <c r="M25" s="9">
        <v>9070.57</v>
      </c>
      <c r="N25" s="9">
        <v>81433.14</v>
      </c>
      <c r="O25" s="9">
        <v>19951.18</v>
      </c>
      <c r="P25" s="9">
        <v>115044.91</v>
      </c>
      <c r="Q25" s="9">
        <v>30639.279999999999</v>
      </c>
      <c r="R25" s="9">
        <v>143806.14000000001</v>
      </c>
      <c r="S25" s="9">
        <v>36264.89</v>
      </c>
      <c r="T25" s="9">
        <v>172567.37</v>
      </c>
      <c r="U25" s="9">
        <v>41583.68</v>
      </c>
      <c r="V25" s="9"/>
      <c r="W25" s="9"/>
      <c r="X25" s="9">
        <v>171683.96</v>
      </c>
      <c r="Y25" s="9">
        <v>53136.85</v>
      </c>
      <c r="Z25" s="9"/>
      <c r="AA25" s="9"/>
      <c r="AB25" s="9"/>
      <c r="AC25" s="9"/>
      <c r="AD25" s="9"/>
      <c r="AE25" s="9"/>
      <c r="AF25" s="9"/>
      <c r="AG25" s="9"/>
      <c r="AH25" s="7">
        <v>171683.96</v>
      </c>
      <c r="AI25" s="7">
        <v>53136.85</v>
      </c>
    </row>
    <row r="26" spans="2:35" x14ac:dyDescent="0.3">
      <c r="B26" s="5" t="s">
        <v>3061</v>
      </c>
      <c r="C26" s="5" t="s">
        <v>13</v>
      </c>
      <c r="D26" s="6" t="s">
        <v>14</v>
      </c>
      <c r="E26" s="6" t="s">
        <v>92</v>
      </c>
      <c r="F26" s="6" t="s">
        <v>93</v>
      </c>
      <c r="G26" s="6" t="s">
        <v>94</v>
      </c>
      <c r="H26" s="7" t="str">
        <f t="shared" si="0"/>
        <v>PPP-IPU-I489-01OPERATIONAL</v>
      </c>
      <c r="I26" s="8" t="s">
        <v>18</v>
      </c>
      <c r="J26" s="8" t="s">
        <v>19</v>
      </c>
      <c r="K26" s="8" t="s">
        <v>20</v>
      </c>
      <c r="L26" s="9">
        <v>0</v>
      </c>
      <c r="M26" s="9">
        <v>31</v>
      </c>
      <c r="N26" s="9">
        <v>0</v>
      </c>
      <c r="O26" s="9">
        <v>61.98</v>
      </c>
      <c r="P26" s="9">
        <v>0</v>
      </c>
      <c r="Q26" s="9">
        <v>135.47999999999999</v>
      </c>
      <c r="R26" s="9">
        <v>0</v>
      </c>
      <c r="S26" s="9">
        <v>135.47999999999999</v>
      </c>
      <c r="T26" s="9">
        <v>0</v>
      </c>
      <c r="U26" s="9">
        <v>135.47999999999999</v>
      </c>
      <c r="V26" s="9"/>
      <c r="W26" s="9"/>
      <c r="X26" s="9">
        <v>0</v>
      </c>
      <c r="Y26" s="9">
        <v>135.47999999999999</v>
      </c>
      <c r="Z26" s="9"/>
      <c r="AA26" s="9"/>
      <c r="AB26" s="9"/>
      <c r="AC26" s="9"/>
      <c r="AD26" s="9"/>
      <c r="AE26" s="9"/>
      <c r="AF26" s="9"/>
      <c r="AG26" s="9"/>
      <c r="AH26" s="7">
        <v>0</v>
      </c>
      <c r="AI26" s="7">
        <v>135.47999999999999</v>
      </c>
    </row>
    <row r="27" spans="2:35" x14ac:dyDescent="0.3">
      <c r="B27" s="5" t="s">
        <v>3061</v>
      </c>
      <c r="C27" s="5" t="s">
        <v>13</v>
      </c>
      <c r="D27" s="6" t="s">
        <v>14</v>
      </c>
      <c r="E27" s="6" t="s">
        <v>95</v>
      </c>
      <c r="F27" s="6" t="s">
        <v>96</v>
      </c>
      <c r="G27" s="6" t="s">
        <v>97</v>
      </c>
      <c r="H27" s="7" t="str">
        <f t="shared" si="0"/>
        <v>CL3-IPU-H601-01OPERATIONAL</v>
      </c>
      <c r="I27" s="8" t="s">
        <v>49</v>
      </c>
      <c r="J27" s="8" t="s">
        <v>19</v>
      </c>
      <c r="K27" s="8" t="s">
        <v>98</v>
      </c>
      <c r="L27" s="9">
        <v>29309.19</v>
      </c>
      <c r="M27" s="9">
        <v>12902.710000000001</v>
      </c>
      <c r="N27" s="9">
        <v>45252.7</v>
      </c>
      <c r="O27" s="9">
        <v>18078.769999999997</v>
      </c>
      <c r="P27" s="9">
        <v>58509.36</v>
      </c>
      <c r="Q27" s="9">
        <v>19915.419999999998</v>
      </c>
      <c r="R27" s="9">
        <v>74244.95</v>
      </c>
      <c r="S27" s="9">
        <v>23517.87</v>
      </c>
      <c r="T27" s="9">
        <v>89396.41</v>
      </c>
      <c r="U27" s="9">
        <v>27595.530000000002</v>
      </c>
      <c r="V27" s="9"/>
      <c r="W27" s="9"/>
      <c r="X27" s="9">
        <v>122644.81</v>
      </c>
      <c r="Y27" s="9">
        <v>30631.35</v>
      </c>
      <c r="Z27" s="9"/>
      <c r="AA27" s="9"/>
      <c r="AB27" s="9"/>
      <c r="AC27" s="9"/>
      <c r="AD27" s="9"/>
      <c r="AE27" s="9"/>
      <c r="AF27" s="9"/>
      <c r="AG27" s="9"/>
      <c r="AH27" s="7">
        <v>122644.81</v>
      </c>
      <c r="AI27" s="7">
        <v>30631.35</v>
      </c>
    </row>
    <row r="28" spans="2:35" x14ac:dyDescent="0.3">
      <c r="B28" s="5" t="s">
        <v>3061</v>
      </c>
      <c r="C28" s="5" t="s">
        <v>13</v>
      </c>
      <c r="D28" s="6" t="s">
        <v>14</v>
      </c>
      <c r="E28" s="6" t="s">
        <v>99</v>
      </c>
      <c r="F28" s="6" t="s">
        <v>100</v>
      </c>
      <c r="G28" s="6" t="s">
        <v>101</v>
      </c>
      <c r="H28" s="7" t="str">
        <f t="shared" si="0"/>
        <v>PPP-IPU-I394-01OPERATIONAL</v>
      </c>
      <c r="I28" s="8" t="s">
        <v>24</v>
      </c>
      <c r="J28" s="8" t="s">
        <v>19</v>
      </c>
      <c r="K28" s="8" t="s">
        <v>20</v>
      </c>
      <c r="L28" s="9">
        <v>46664.68</v>
      </c>
      <c r="M28" s="9">
        <v>12381.400000000001</v>
      </c>
      <c r="N28" s="9">
        <v>88930.77</v>
      </c>
      <c r="O28" s="9">
        <v>19333.870000000003</v>
      </c>
      <c r="P28" s="9">
        <v>112263.11</v>
      </c>
      <c r="Q28" s="9">
        <v>26297.34</v>
      </c>
      <c r="R28" s="9">
        <v>135595.45000000001</v>
      </c>
      <c r="S28" s="9">
        <v>26357.54</v>
      </c>
      <c r="T28" s="9">
        <v>158927.79</v>
      </c>
      <c r="U28" s="9">
        <v>36727.56</v>
      </c>
      <c r="V28" s="9"/>
      <c r="W28" s="9"/>
      <c r="X28" s="9">
        <v>158927.79</v>
      </c>
      <c r="Y28" s="9">
        <v>41545.4</v>
      </c>
      <c r="Z28" s="9"/>
      <c r="AA28" s="9"/>
      <c r="AB28" s="9"/>
      <c r="AC28" s="9"/>
      <c r="AD28" s="9"/>
      <c r="AE28" s="9"/>
      <c r="AF28" s="9"/>
      <c r="AG28" s="9"/>
      <c r="AH28" s="7">
        <v>158927.79</v>
      </c>
      <c r="AI28" s="7">
        <v>41545.4</v>
      </c>
    </row>
    <row r="29" spans="2:35" x14ac:dyDescent="0.3">
      <c r="B29" s="5" t="s">
        <v>3061</v>
      </c>
      <c r="C29" s="5" t="s">
        <v>13</v>
      </c>
      <c r="D29" s="6" t="s">
        <v>14</v>
      </c>
      <c r="E29" s="6" t="s">
        <v>102</v>
      </c>
      <c r="F29" s="6" t="s">
        <v>103</v>
      </c>
      <c r="G29" s="6" t="s">
        <v>104</v>
      </c>
      <c r="H29" s="7" t="str">
        <f t="shared" si="0"/>
        <v>PPP-IPU-I145-01OPERATIONAL</v>
      </c>
      <c r="I29" s="8" t="s">
        <v>18</v>
      </c>
      <c r="J29" s="8" t="s">
        <v>19</v>
      </c>
      <c r="K29" s="8" t="s">
        <v>20</v>
      </c>
      <c r="L29" s="9">
        <v>14290.6</v>
      </c>
      <c r="M29" s="9">
        <v>7354.24</v>
      </c>
      <c r="N29" s="9">
        <v>18785.22</v>
      </c>
      <c r="O29" s="9">
        <v>13148.86</v>
      </c>
      <c r="P29" s="9">
        <v>26074.94</v>
      </c>
      <c r="Q29" s="9">
        <v>19638.580000000002</v>
      </c>
      <c r="R29" s="9">
        <v>29765.35</v>
      </c>
      <c r="S29" s="9">
        <v>24828.99</v>
      </c>
      <c r="T29" s="9">
        <v>34590.71</v>
      </c>
      <c r="U29" s="9">
        <v>29754.35</v>
      </c>
      <c r="V29" s="9"/>
      <c r="W29" s="9"/>
      <c r="X29" s="9">
        <v>34330.089999999997</v>
      </c>
      <c r="Y29" s="9">
        <v>34393.730000000003</v>
      </c>
      <c r="Z29" s="9"/>
      <c r="AA29" s="9"/>
      <c r="AB29" s="9"/>
      <c r="AC29" s="9"/>
      <c r="AD29" s="9"/>
      <c r="AE29" s="9"/>
      <c r="AF29" s="9"/>
      <c r="AG29" s="9"/>
      <c r="AH29" s="7">
        <v>34330.089999999997</v>
      </c>
      <c r="AI29" s="7">
        <v>34393.730000000003</v>
      </c>
    </row>
    <row r="30" spans="2:35" x14ac:dyDescent="0.3">
      <c r="B30" s="5" t="s">
        <v>3061</v>
      </c>
      <c r="C30" s="5" t="s">
        <v>13</v>
      </c>
      <c r="D30" s="6" t="s">
        <v>14</v>
      </c>
      <c r="E30" s="6" t="s">
        <v>105</v>
      </c>
      <c r="F30" s="6" t="s">
        <v>106</v>
      </c>
      <c r="G30" s="6" t="s">
        <v>107</v>
      </c>
      <c r="H30" s="7" t="str">
        <f t="shared" si="0"/>
        <v>CL3-IPU-B593-01OPERATIONAL</v>
      </c>
      <c r="I30" s="8" t="s">
        <v>49</v>
      </c>
      <c r="J30" s="8" t="s">
        <v>19</v>
      </c>
      <c r="K30" s="8" t="s">
        <v>98</v>
      </c>
      <c r="L30" s="9">
        <v>55283.05</v>
      </c>
      <c r="M30" s="9">
        <v>15246.119999999999</v>
      </c>
      <c r="N30" s="9">
        <v>84635.57</v>
      </c>
      <c r="O30" s="9">
        <v>20424.5</v>
      </c>
      <c r="P30" s="9">
        <v>109399.91</v>
      </c>
      <c r="Q30" s="9">
        <v>47390.58</v>
      </c>
      <c r="R30" s="9">
        <v>140036.91</v>
      </c>
      <c r="S30" s="9">
        <v>58521.78</v>
      </c>
      <c r="T30" s="9">
        <v>167350.17000000001</v>
      </c>
      <c r="U30" s="9">
        <v>61965.440000000002</v>
      </c>
      <c r="V30" s="9"/>
      <c r="W30" s="9"/>
      <c r="X30" s="9">
        <v>230836.82</v>
      </c>
      <c r="Y30" s="9">
        <v>80292.25</v>
      </c>
      <c r="Z30" s="9"/>
      <c r="AA30" s="9"/>
      <c r="AB30" s="9"/>
      <c r="AC30" s="9"/>
      <c r="AD30" s="9"/>
      <c r="AE30" s="9"/>
      <c r="AF30" s="9"/>
      <c r="AG30" s="9"/>
      <c r="AH30" s="7">
        <v>230836.82</v>
      </c>
      <c r="AI30" s="7">
        <v>80292.25</v>
      </c>
    </row>
    <row r="31" spans="2:35" x14ac:dyDescent="0.3">
      <c r="B31" s="5" t="s">
        <v>3061</v>
      </c>
      <c r="C31" s="5" t="s">
        <v>13</v>
      </c>
      <c r="D31" s="6" t="s">
        <v>14</v>
      </c>
      <c r="E31" s="6" t="s">
        <v>108</v>
      </c>
      <c r="F31" s="6" t="s">
        <v>109</v>
      </c>
      <c r="G31" s="6" t="s">
        <v>110</v>
      </c>
      <c r="H31" s="7" t="str">
        <f t="shared" si="0"/>
        <v>PPP-IPU-A462-01OPERATIONAL</v>
      </c>
      <c r="I31" s="8" t="s">
        <v>24</v>
      </c>
      <c r="J31" s="8" t="s">
        <v>19</v>
      </c>
      <c r="K31" s="8" t="s">
        <v>20</v>
      </c>
      <c r="L31" s="9">
        <v>26815.200000000001</v>
      </c>
      <c r="M31" s="9">
        <v>4971.8900000000003</v>
      </c>
      <c r="N31" s="9">
        <v>45970.3</v>
      </c>
      <c r="O31" s="9">
        <v>9757.0199999999986</v>
      </c>
      <c r="P31" s="9">
        <v>59377.9</v>
      </c>
      <c r="Q31" s="9">
        <v>13354.87</v>
      </c>
      <c r="R31" s="9">
        <v>72785.5</v>
      </c>
      <c r="S31" s="9">
        <v>15717.830000000002</v>
      </c>
      <c r="T31" s="9">
        <v>86193.1</v>
      </c>
      <c r="U31" s="9">
        <v>16091.85</v>
      </c>
      <c r="V31" s="9"/>
      <c r="W31" s="9"/>
      <c r="X31" s="9">
        <v>45970.3</v>
      </c>
      <c r="Y31" s="9">
        <v>19641.73</v>
      </c>
      <c r="Z31" s="9"/>
      <c r="AA31" s="9"/>
      <c r="AB31" s="9"/>
      <c r="AC31" s="9"/>
      <c r="AD31" s="9"/>
      <c r="AE31" s="9"/>
      <c r="AF31" s="9"/>
      <c r="AG31" s="9"/>
      <c r="AH31" s="7">
        <v>45970.3</v>
      </c>
      <c r="AI31" s="7">
        <v>19641.73</v>
      </c>
    </row>
    <row r="32" spans="2:35" x14ac:dyDescent="0.3">
      <c r="B32" s="5" t="s">
        <v>3061</v>
      </c>
      <c r="C32" s="5" t="s">
        <v>13</v>
      </c>
      <c r="D32" s="6" t="s">
        <v>14</v>
      </c>
      <c r="E32" s="6" t="s">
        <v>111</v>
      </c>
      <c r="F32" s="6" t="s">
        <v>112</v>
      </c>
      <c r="G32" s="6" t="s">
        <v>113</v>
      </c>
      <c r="H32" s="7" t="str">
        <f t="shared" si="0"/>
        <v>PPP-IPU-H307-01OPERATIONAL</v>
      </c>
      <c r="I32" s="8" t="s">
        <v>18</v>
      </c>
      <c r="J32" s="8" t="s">
        <v>19</v>
      </c>
      <c r="K32" s="8" t="s">
        <v>20</v>
      </c>
      <c r="L32" s="9">
        <v>72199.399999999994</v>
      </c>
      <c r="M32" s="9">
        <v>-2737.7</v>
      </c>
      <c r="N32" s="9">
        <v>108299.1</v>
      </c>
      <c r="O32" s="9">
        <v>9427.7800000000007</v>
      </c>
      <c r="P32" s="9">
        <v>144398.79999999999</v>
      </c>
      <c r="Q32" s="9">
        <v>23454.1</v>
      </c>
      <c r="R32" s="9">
        <v>180498.5</v>
      </c>
      <c r="S32" s="9">
        <v>24927.23</v>
      </c>
      <c r="T32" s="9">
        <v>216598.2</v>
      </c>
      <c r="U32" s="9">
        <v>46495.07</v>
      </c>
      <c r="V32" s="9"/>
      <c r="W32" s="9"/>
      <c r="X32" s="9">
        <v>252697.9</v>
      </c>
      <c r="Y32" s="9">
        <v>55538.400000000001</v>
      </c>
      <c r="Z32" s="9"/>
      <c r="AA32" s="9"/>
      <c r="AB32" s="9"/>
      <c r="AC32" s="9"/>
      <c r="AD32" s="9"/>
      <c r="AE32" s="9"/>
      <c r="AF32" s="9"/>
      <c r="AG32" s="9"/>
      <c r="AH32" s="7">
        <v>252697.9</v>
      </c>
      <c r="AI32" s="7">
        <v>55538.400000000001</v>
      </c>
    </row>
    <row r="33" spans="2:35" x14ac:dyDescent="0.3">
      <c r="B33" s="5" t="s">
        <v>3061</v>
      </c>
      <c r="C33" s="5" t="s">
        <v>13</v>
      </c>
      <c r="D33" s="6" t="s">
        <v>14</v>
      </c>
      <c r="E33" s="6" t="s">
        <v>114</v>
      </c>
      <c r="F33" s="6" t="s">
        <v>115</v>
      </c>
      <c r="G33" s="6" t="s">
        <v>116</v>
      </c>
      <c r="H33" s="7" t="str">
        <f t="shared" si="0"/>
        <v>PPP-IPU-D464-01OPERATIONAL</v>
      </c>
      <c r="I33" s="8" t="s">
        <v>18</v>
      </c>
      <c r="J33" s="8" t="s">
        <v>19</v>
      </c>
      <c r="K33" s="8" t="s">
        <v>20</v>
      </c>
      <c r="L33" s="9">
        <v>27676.36</v>
      </c>
      <c r="M33" s="9">
        <v>7802.68</v>
      </c>
      <c r="N33" s="9">
        <v>41514.54</v>
      </c>
      <c r="O33" s="9">
        <v>13493.69</v>
      </c>
      <c r="P33" s="9">
        <v>55352.72</v>
      </c>
      <c r="Q33" s="9">
        <v>19160.060000000001</v>
      </c>
      <c r="R33" s="9">
        <v>69190.899999999994</v>
      </c>
      <c r="S33" s="9">
        <v>22678.78</v>
      </c>
      <c r="T33" s="9">
        <v>83029.08</v>
      </c>
      <c r="U33" s="9">
        <v>28892.690000000002</v>
      </c>
      <c r="V33" s="9"/>
      <c r="W33" s="9"/>
      <c r="X33" s="9">
        <v>96867.26</v>
      </c>
      <c r="Y33" s="9">
        <v>31957.42</v>
      </c>
      <c r="Z33" s="9"/>
      <c r="AA33" s="9"/>
      <c r="AB33" s="9"/>
      <c r="AC33" s="9"/>
      <c r="AD33" s="9"/>
      <c r="AE33" s="9"/>
      <c r="AF33" s="9"/>
      <c r="AG33" s="9"/>
      <c r="AH33" s="7">
        <v>96867.26</v>
      </c>
      <c r="AI33" s="7">
        <v>31957.42</v>
      </c>
    </row>
    <row r="34" spans="2:35" x14ac:dyDescent="0.3">
      <c r="B34" s="5" t="s">
        <v>3061</v>
      </c>
      <c r="C34" s="5" t="s">
        <v>13</v>
      </c>
      <c r="D34" s="6" t="s">
        <v>14</v>
      </c>
      <c r="E34" s="6" t="s">
        <v>117</v>
      </c>
      <c r="F34" s="6" t="s">
        <v>118</v>
      </c>
      <c r="G34" s="6" t="s">
        <v>119</v>
      </c>
      <c r="H34" s="7" t="str">
        <f t="shared" si="0"/>
        <v>ATI-IPU-G674-01OPERATIONAL</v>
      </c>
      <c r="I34" s="8" t="s">
        <v>49</v>
      </c>
      <c r="J34" s="8" t="s">
        <v>19</v>
      </c>
      <c r="K34" s="8" t="s">
        <v>20</v>
      </c>
      <c r="L34" s="9">
        <v>74384.31</v>
      </c>
      <c r="M34" s="9">
        <v>37992.33</v>
      </c>
      <c r="N34" s="9">
        <v>111576.47</v>
      </c>
      <c r="O34" s="9">
        <v>67529.409999999989</v>
      </c>
      <c r="P34" s="9">
        <v>148768.62</v>
      </c>
      <c r="Q34" s="9">
        <v>85490.14</v>
      </c>
      <c r="R34" s="9">
        <v>185960.78</v>
      </c>
      <c r="S34" s="9">
        <v>116280.26999999999</v>
      </c>
      <c r="T34" s="9">
        <v>223152.93</v>
      </c>
      <c r="U34" s="9">
        <v>144807.23000000001</v>
      </c>
      <c r="V34" s="9"/>
      <c r="W34" s="9"/>
      <c r="X34" s="9">
        <v>223152.93</v>
      </c>
      <c r="Y34" s="9">
        <v>185891</v>
      </c>
      <c r="Z34" s="9"/>
      <c r="AA34" s="9"/>
      <c r="AB34" s="9"/>
      <c r="AC34" s="9"/>
      <c r="AD34" s="9"/>
      <c r="AE34" s="9"/>
      <c r="AF34" s="9"/>
      <c r="AG34" s="9"/>
      <c r="AH34" s="7">
        <v>223152.93</v>
      </c>
      <c r="AI34" s="7">
        <v>185891</v>
      </c>
    </row>
    <row r="35" spans="2:35" x14ac:dyDescent="0.3">
      <c r="B35" s="5" t="s">
        <v>3061</v>
      </c>
      <c r="C35" s="5" t="s">
        <v>13</v>
      </c>
      <c r="D35" s="6" t="s">
        <v>14</v>
      </c>
      <c r="E35" s="6" t="s">
        <v>120</v>
      </c>
      <c r="F35" s="6" t="s">
        <v>121</v>
      </c>
      <c r="G35" s="6" t="s">
        <v>122</v>
      </c>
      <c r="H35" s="7" t="str">
        <f t="shared" si="0"/>
        <v>ATI-IPU-B628-01OPERATIONAL</v>
      </c>
      <c r="I35" s="8" t="s">
        <v>49</v>
      </c>
      <c r="J35" s="8" t="s">
        <v>19</v>
      </c>
      <c r="K35" s="8" t="s">
        <v>20</v>
      </c>
      <c r="L35" s="9">
        <v>5045.47</v>
      </c>
      <c r="M35" s="9">
        <v>2848.16</v>
      </c>
      <c r="N35" s="9">
        <v>7568.21</v>
      </c>
      <c r="O35" s="9">
        <v>4904.6000000000004</v>
      </c>
      <c r="P35" s="9">
        <v>10090.94</v>
      </c>
      <c r="Q35" s="9">
        <v>7282.9</v>
      </c>
      <c r="R35" s="9">
        <v>12613.68</v>
      </c>
      <c r="S35" s="9">
        <v>9380.68</v>
      </c>
      <c r="T35" s="9">
        <v>15136.41</v>
      </c>
      <c r="U35" s="9">
        <v>11402.68</v>
      </c>
      <c r="V35" s="9"/>
      <c r="W35" s="9"/>
      <c r="X35" s="9">
        <v>15136.41</v>
      </c>
      <c r="Y35" s="9">
        <v>13133.65</v>
      </c>
      <c r="Z35" s="9"/>
      <c r="AA35" s="9"/>
      <c r="AB35" s="9"/>
      <c r="AC35" s="9"/>
      <c r="AD35" s="9"/>
      <c r="AE35" s="9"/>
      <c r="AF35" s="9"/>
      <c r="AG35" s="9"/>
      <c r="AH35" s="7">
        <v>15136.41</v>
      </c>
      <c r="AI35" s="7">
        <v>13133.65</v>
      </c>
    </row>
    <row r="36" spans="2:35" x14ac:dyDescent="0.3">
      <c r="B36" s="5" t="s">
        <v>3061</v>
      </c>
      <c r="C36" s="5" t="s">
        <v>13</v>
      </c>
      <c r="D36" s="6" t="s">
        <v>14</v>
      </c>
      <c r="E36" s="6" t="s">
        <v>123</v>
      </c>
      <c r="F36" s="6" t="s">
        <v>124</v>
      </c>
      <c r="G36" s="6" t="s">
        <v>125</v>
      </c>
      <c r="H36" s="7" t="str">
        <f t="shared" si="0"/>
        <v>CL3-IPU-D869-01OPERATIONAL</v>
      </c>
      <c r="I36" s="8" t="s">
        <v>49</v>
      </c>
      <c r="J36" s="8" t="s">
        <v>19</v>
      </c>
      <c r="K36" s="8" t="s">
        <v>98</v>
      </c>
      <c r="L36" s="9">
        <v>132603.28</v>
      </c>
      <c r="M36" s="9">
        <v>39103.840000000004</v>
      </c>
      <c r="N36" s="9">
        <v>205066.4</v>
      </c>
      <c r="O36" s="9">
        <v>67984.149999999994</v>
      </c>
      <c r="P36" s="9">
        <v>272600.33</v>
      </c>
      <c r="Q36" s="9">
        <v>130417.86000000002</v>
      </c>
      <c r="R36" s="9">
        <v>344858.07</v>
      </c>
      <c r="S36" s="9">
        <v>192433.51</v>
      </c>
      <c r="T36" s="9">
        <v>413660.32</v>
      </c>
      <c r="U36" s="9">
        <v>212213.77000000002</v>
      </c>
      <c r="V36" s="9"/>
      <c r="W36" s="9"/>
      <c r="X36" s="9">
        <v>566705.52</v>
      </c>
      <c r="Y36" s="9">
        <v>238657.91</v>
      </c>
      <c r="Z36" s="9"/>
      <c r="AA36" s="9"/>
      <c r="AB36" s="9"/>
      <c r="AC36" s="9"/>
      <c r="AD36" s="9"/>
      <c r="AE36" s="9"/>
      <c r="AF36" s="9"/>
      <c r="AG36" s="9"/>
      <c r="AH36" s="7">
        <v>566705.52</v>
      </c>
      <c r="AI36" s="7">
        <v>238657.91</v>
      </c>
    </row>
    <row r="37" spans="2:35" x14ac:dyDescent="0.3">
      <c r="B37" s="5" t="s">
        <v>3061</v>
      </c>
      <c r="C37" s="5" t="s">
        <v>13</v>
      </c>
      <c r="D37" s="6" t="s">
        <v>14</v>
      </c>
      <c r="E37" s="6" t="s">
        <v>126</v>
      </c>
      <c r="F37" s="6" t="s">
        <v>127</v>
      </c>
      <c r="G37" s="6" t="s">
        <v>128</v>
      </c>
      <c r="H37" s="7" t="str">
        <f t="shared" si="0"/>
        <v>CL3-IPU-B671-01OPERATIONAL</v>
      </c>
      <c r="I37" s="8" t="s">
        <v>49</v>
      </c>
      <c r="J37" s="8" t="s">
        <v>19</v>
      </c>
      <c r="K37" s="8" t="s">
        <v>98</v>
      </c>
      <c r="L37" s="9">
        <v>22398.59</v>
      </c>
      <c r="M37" s="9">
        <v>8440.36</v>
      </c>
      <c r="N37" s="9">
        <v>33641.71</v>
      </c>
      <c r="O37" s="9">
        <v>13573.800000000001</v>
      </c>
      <c r="P37" s="9">
        <v>44743.71</v>
      </c>
      <c r="Q37" s="9">
        <v>19339.629999999997</v>
      </c>
      <c r="R37" s="9">
        <v>57814.85</v>
      </c>
      <c r="S37" s="9">
        <v>24209.34</v>
      </c>
      <c r="T37" s="9">
        <v>69855.22</v>
      </c>
      <c r="U37" s="9">
        <v>28665.46</v>
      </c>
      <c r="V37" s="9"/>
      <c r="W37" s="9"/>
      <c r="X37" s="9">
        <v>94774.13</v>
      </c>
      <c r="Y37" s="9">
        <v>32809.269999999997</v>
      </c>
      <c r="Z37" s="9"/>
      <c r="AA37" s="9"/>
      <c r="AB37" s="9"/>
      <c r="AC37" s="9"/>
      <c r="AD37" s="9"/>
      <c r="AE37" s="9"/>
      <c r="AF37" s="9"/>
      <c r="AG37" s="9"/>
      <c r="AH37" s="7">
        <v>94774.13</v>
      </c>
      <c r="AI37" s="7">
        <v>32809.269999999997</v>
      </c>
    </row>
    <row r="38" spans="2:35" x14ac:dyDescent="0.3">
      <c r="B38" s="5" t="s">
        <v>3061</v>
      </c>
      <c r="C38" s="5" t="s">
        <v>13</v>
      </c>
      <c r="D38" s="6" t="s">
        <v>14</v>
      </c>
      <c r="E38" s="6" t="s">
        <v>129</v>
      </c>
      <c r="F38" s="6" t="s">
        <v>130</v>
      </c>
      <c r="G38" s="6" t="s">
        <v>131</v>
      </c>
      <c r="H38" s="7" t="str">
        <f t="shared" si="0"/>
        <v>CL3-IPU-D652-01OPERATIONAL</v>
      </c>
      <c r="I38" s="8" t="s">
        <v>24</v>
      </c>
      <c r="J38" s="8" t="s">
        <v>19</v>
      </c>
      <c r="K38" s="8" t="s">
        <v>98</v>
      </c>
      <c r="L38" s="9">
        <v>0</v>
      </c>
      <c r="M38" s="9">
        <v>1796.97</v>
      </c>
      <c r="N38" s="9">
        <v>0</v>
      </c>
      <c r="O38" s="9">
        <v>2695.45</v>
      </c>
      <c r="P38" s="9">
        <v>0</v>
      </c>
      <c r="Q38" s="9">
        <v>3593.94</v>
      </c>
      <c r="R38" s="9">
        <v>0</v>
      </c>
      <c r="S38" s="9">
        <v>4492.42</v>
      </c>
      <c r="T38" s="9">
        <v>0</v>
      </c>
      <c r="U38" s="9">
        <v>5390.9</v>
      </c>
      <c r="V38" s="9"/>
      <c r="W38" s="9"/>
      <c r="X38" s="9">
        <v>0</v>
      </c>
      <c r="Y38" s="9">
        <v>7187.87</v>
      </c>
      <c r="Z38" s="9"/>
      <c r="AA38" s="9"/>
      <c r="AB38" s="9"/>
      <c r="AC38" s="9"/>
      <c r="AD38" s="9"/>
      <c r="AE38" s="9"/>
      <c r="AF38" s="9"/>
      <c r="AG38" s="9"/>
      <c r="AH38" s="7">
        <v>0</v>
      </c>
      <c r="AI38" s="7">
        <v>7187.87</v>
      </c>
    </row>
    <row r="39" spans="2:35" x14ac:dyDescent="0.3">
      <c r="B39" s="5" t="s">
        <v>3061</v>
      </c>
      <c r="C39" s="5" t="s">
        <v>13</v>
      </c>
      <c r="D39" s="6" t="s">
        <v>14</v>
      </c>
      <c r="E39" s="6" t="s">
        <v>132</v>
      </c>
      <c r="F39" s="6" t="s">
        <v>133</v>
      </c>
      <c r="G39" s="6" t="s">
        <v>134</v>
      </c>
      <c r="H39" s="7" t="str">
        <f t="shared" si="0"/>
        <v>PPP-IPU-E919-01OPERATIONAL</v>
      </c>
      <c r="I39" s="8" t="s">
        <v>18</v>
      </c>
      <c r="J39" s="8" t="s">
        <v>19</v>
      </c>
      <c r="K39" s="8" t="s">
        <v>20</v>
      </c>
      <c r="L39" s="9">
        <v>47609.13</v>
      </c>
      <c r="M39" s="9">
        <v>9547.9800000000014</v>
      </c>
      <c r="N39" s="9">
        <v>71413.7</v>
      </c>
      <c r="O39" s="9">
        <v>15575.09</v>
      </c>
      <c r="P39" s="9">
        <v>95218.26</v>
      </c>
      <c r="Q39" s="9">
        <v>22733.98</v>
      </c>
      <c r="R39" s="9">
        <v>119022.83</v>
      </c>
      <c r="S39" s="9">
        <v>28251.899999999998</v>
      </c>
      <c r="T39" s="9">
        <v>142827.39000000001</v>
      </c>
      <c r="U39" s="9">
        <v>33485.81</v>
      </c>
      <c r="V39" s="9"/>
      <c r="W39" s="9"/>
      <c r="X39" s="9">
        <v>142827.39000000001</v>
      </c>
      <c r="Y39" s="9">
        <v>38951.18</v>
      </c>
      <c r="Z39" s="9"/>
      <c r="AA39" s="9"/>
      <c r="AB39" s="9"/>
      <c r="AC39" s="9"/>
      <c r="AD39" s="9"/>
      <c r="AE39" s="9"/>
      <c r="AF39" s="9"/>
      <c r="AG39" s="9"/>
      <c r="AH39" s="7">
        <v>142827.39000000001</v>
      </c>
      <c r="AI39" s="7">
        <v>38951.18</v>
      </c>
    </row>
    <row r="40" spans="2:35" x14ac:dyDescent="0.3">
      <c r="B40" s="5" t="s">
        <v>3061</v>
      </c>
      <c r="C40" s="5" t="s">
        <v>13</v>
      </c>
      <c r="D40" s="6" t="s">
        <v>14</v>
      </c>
      <c r="E40" s="6" t="s">
        <v>135</v>
      </c>
      <c r="F40" s="6" t="s">
        <v>136</v>
      </c>
      <c r="G40" s="6" t="s">
        <v>137</v>
      </c>
      <c r="H40" s="7" t="str">
        <f t="shared" si="0"/>
        <v>PPP-IPU-M428-02OPERATIONAL</v>
      </c>
      <c r="I40" s="8" t="s">
        <v>18</v>
      </c>
      <c r="J40" s="8" t="s">
        <v>19</v>
      </c>
      <c r="K40" s="8" t="s">
        <v>20</v>
      </c>
      <c r="L40" s="9">
        <v>0</v>
      </c>
      <c r="M40" s="9">
        <v>1000</v>
      </c>
      <c r="N40" s="9">
        <v>0</v>
      </c>
      <c r="O40" s="9">
        <v>1000</v>
      </c>
      <c r="P40" s="9">
        <v>0</v>
      </c>
      <c r="Q40" s="9">
        <v>1000</v>
      </c>
      <c r="R40" s="9">
        <v>78376.41</v>
      </c>
      <c r="S40" s="9">
        <v>23401.35</v>
      </c>
      <c r="T40" s="9">
        <v>104501.88</v>
      </c>
      <c r="U40" s="9">
        <v>37471.29</v>
      </c>
      <c r="V40" s="9"/>
      <c r="W40" s="9"/>
      <c r="X40" s="9">
        <v>72144.25</v>
      </c>
      <c r="Y40" s="9">
        <v>44045.75</v>
      </c>
      <c r="Z40" s="9"/>
      <c r="AA40" s="9"/>
      <c r="AB40" s="9"/>
      <c r="AC40" s="9"/>
      <c r="AD40" s="9"/>
      <c r="AE40" s="9"/>
      <c r="AF40" s="9"/>
      <c r="AG40" s="9"/>
      <c r="AH40" s="7">
        <v>72144.25</v>
      </c>
      <c r="AI40" s="7">
        <v>44045.75</v>
      </c>
    </row>
    <row r="41" spans="2:35" x14ac:dyDescent="0.3">
      <c r="B41" s="5" t="s">
        <v>3061</v>
      </c>
      <c r="C41" s="5" t="s">
        <v>13</v>
      </c>
      <c r="D41" s="6" t="s">
        <v>14</v>
      </c>
      <c r="E41" s="6" t="s">
        <v>138</v>
      </c>
      <c r="F41" s="6" t="s">
        <v>139</v>
      </c>
      <c r="G41" s="6" t="s">
        <v>140</v>
      </c>
      <c r="H41" s="7" t="str">
        <f t="shared" si="0"/>
        <v>PPP-IPU-A350-01OPERATIONAL</v>
      </c>
      <c r="I41" s="8" t="s">
        <v>18</v>
      </c>
      <c r="J41" s="8" t="s">
        <v>19</v>
      </c>
      <c r="K41" s="8" t="s">
        <v>20</v>
      </c>
      <c r="L41" s="9">
        <v>19137.689999999999</v>
      </c>
      <c r="M41" s="9">
        <v>11441.67</v>
      </c>
      <c r="N41" s="9">
        <v>24202.43</v>
      </c>
      <c r="O41" s="9">
        <v>16546.14</v>
      </c>
      <c r="P41" s="9">
        <v>66681.08</v>
      </c>
      <c r="Q41" s="9">
        <v>21638.739999999998</v>
      </c>
      <c r="R41" s="9">
        <v>83351.350000000006</v>
      </c>
      <c r="S41" s="9">
        <v>29182.190000000002</v>
      </c>
      <c r="T41" s="9">
        <v>100021.62</v>
      </c>
      <c r="U41" s="9">
        <v>36413.26</v>
      </c>
      <c r="V41" s="9"/>
      <c r="W41" s="9"/>
      <c r="X41" s="9">
        <v>0</v>
      </c>
      <c r="Y41" s="9">
        <v>32390.85</v>
      </c>
      <c r="Z41" s="9"/>
      <c r="AA41" s="9"/>
      <c r="AB41" s="9"/>
      <c r="AC41" s="9"/>
      <c r="AD41" s="9"/>
      <c r="AE41" s="9"/>
      <c r="AF41" s="9"/>
      <c r="AG41" s="9"/>
      <c r="AH41" s="7">
        <v>0</v>
      </c>
      <c r="AI41" s="7">
        <v>32390.85</v>
      </c>
    </row>
    <row r="42" spans="2:35" x14ac:dyDescent="0.3">
      <c r="B42" s="5" t="s">
        <v>3061</v>
      </c>
      <c r="C42" s="5" t="s">
        <v>13</v>
      </c>
      <c r="D42" s="6" t="s">
        <v>14</v>
      </c>
      <c r="E42" s="6" t="s">
        <v>141</v>
      </c>
      <c r="F42" s="6" t="s">
        <v>142</v>
      </c>
      <c r="G42" s="6" t="s">
        <v>143</v>
      </c>
      <c r="H42" s="7" t="str">
        <f t="shared" si="0"/>
        <v>PPP-IPU-I457-01OPERATIONAL</v>
      </c>
      <c r="I42" s="8" t="s">
        <v>18</v>
      </c>
      <c r="J42" s="8" t="s">
        <v>19</v>
      </c>
      <c r="K42" s="8" t="s">
        <v>20</v>
      </c>
      <c r="L42" s="9">
        <v>8196.7199999999993</v>
      </c>
      <c r="M42" s="9">
        <v>2317.12</v>
      </c>
      <c r="N42" s="9">
        <v>12295.08</v>
      </c>
      <c r="O42" s="9">
        <v>4460.835</v>
      </c>
      <c r="P42" s="9">
        <v>15386.61</v>
      </c>
      <c r="Q42" s="9">
        <v>6425.11</v>
      </c>
      <c r="R42" s="9">
        <v>19233.27</v>
      </c>
      <c r="S42" s="9">
        <v>8134.0399999999991</v>
      </c>
      <c r="T42" s="9">
        <v>23079.919999999998</v>
      </c>
      <c r="U42" s="9">
        <v>9772.91</v>
      </c>
      <c r="V42" s="9"/>
      <c r="W42" s="9"/>
      <c r="X42" s="9">
        <v>23079.919999999998</v>
      </c>
      <c r="Y42" s="9">
        <v>11016.74</v>
      </c>
      <c r="Z42" s="9"/>
      <c r="AA42" s="9"/>
      <c r="AB42" s="9"/>
      <c r="AC42" s="9"/>
      <c r="AD42" s="9"/>
      <c r="AE42" s="9"/>
      <c r="AF42" s="9"/>
      <c r="AG42" s="9"/>
      <c r="AH42" s="7">
        <v>23079.919999999998</v>
      </c>
      <c r="AI42" s="7">
        <v>11016.74</v>
      </c>
    </row>
    <row r="43" spans="2:35" x14ac:dyDescent="0.3">
      <c r="B43" s="5" t="s">
        <v>3061</v>
      </c>
      <c r="C43" s="5" t="s">
        <v>13</v>
      </c>
      <c r="D43" s="6" t="s">
        <v>14</v>
      </c>
      <c r="E43" s="6" t="s">
        <v>144</v>
      </c>
      <c r="F43" s="6" t="s">
        <v>145</v>
      </c>
      <c r="G43" s="6" t="s">
        <v>146</v>
      </c>
      <c r="H43" s="7" t="str">
        <f t="shared" si="0"/>
        <v>PPP-IPU-L326-01OPERATIONAL</v>
      </c>
      <c r="I43" s="8" t="s">
        <v>18</v>
      </c>
      <c r="J43" s="8" t="s">
        <v>19</v>
      </c>
      <c r="K43" s="8" t="s">
        <v>20</v>
      </c>
      <c r="L43" s="9">
        <v>20748</v>
      </c>
      <c r="M43" s="9">
        <v>7585.83</v>
      </c>
      <c r="N43" s="9">
        <v>31122</v>
      </c>
      <c r="O43" s="9">
        <v>13125.900000000001</v>
      </c>
      <c r="P43" s="9">
        <v>41496</v>
      </c>
      <c r="Q43" s="9">
        <v>18151.560000000001</v>
      </c>
      <c r="R43" s="9">
        <v>51870</v>
      </c>
      <c r="S43" s="9">
        <v>22573.600000000002</v>
      </c>
      <c r="T43" s="9">
        <v>62244</v>
      </c>
      <c r="U43" s="9">
        <v>26414.639999999999</v>
      </c>
      <c r="V43" s="9"/>
      <c r="W43" s="9"/>
      <c r="X43" s="9">
        <v>72618</v>
      </c>
      <c r="Y43" s="9">
        <v>27129.24</v>
      </c>
      <c r="Z43" s="9"/>
      <c r="AA43" s="9"/>
      <c r="AB43" s="9"/>
      <c r="AC43" s="9"/>
      <c r="AD43" s="9"/>
      <c r="AE43" s="9"/>
      <c r="AF43" s="9"/>
      <c r="AG43" s="9"/>
      <c r="AH43" s="7">
        <v>72618</v>
      </c>
      <c r="AI43" s="7">
        <v>27129.24</v>
      </c>
    </row>
    <row r="44" spans="2:35" x14ac:dyDescent="0.3">
      <c r="B44" s="5" t="s">
        <v>3061</v>
      </c>
      <c r="C44" s="5" t="s">
        <v>13</v>
      </c>
      <c r="D44" s="6" t="s">
        <v>14</v>
      </c>
      <c r="E44" s="6" t="s">
        <v>147</v>
      </c>
      <c r="F44" s="6" t="s">
        <v>148</v>
      </c>
      <c r="G44" s="6" t="s">
        <v>149</v>
      </c>
      <c r="H44" s="7" t="str">
        <f t="shared" si="0"/>
        <v>PPP-IPU-A743-01OPERATIONAL</v>
      </c>
      <c r="I44" s="8" t="s">
        <v>18</v>
      </c>
      <c r="J44" s="8" t="s">
        <v>19</v>
      </c>
      <c r="K44" s="8" t="s">
        <v>20</v>
      </c>
      <c r="L44" s="9">
        <v>20858.099999999999</v>
      </c>
      <c r="M44" s="9">
        <v>7444.2449999999999</v>
      </c>
      <c r="N44" s="9">
        <v>31287.15</v>
      </c>
      <c r="O44" s="9">
        <v>13698.48</v>
      </c>
      <c r="P44" s="9">
        <v>41716.199999999997</v>
      </c>
      <c r="Q44" s="9">
        <v>19660.665000000001</v>
      </c>
      <c r="R44" s="9">
        <v>52145.25</v>
      </c>
      <c r="S44" s="9">
        <v>19894.684999999998</v>
      </c>
      <c r="T44" s="9">
        <v>62574.3</v>
      </c>
      <c r="U44" s="9">
        <v>28673.920000000002</v>
      </c>
      <c r="V44" s="9"/>
      <c r="W44" s="9"/>
      <c r="X44" s="9">
        <v>62574.3</v>
      </c>
      <c r="Y44" s="9">
        <v>32612.39</v>
      </c>
      <c r="Z44" s="9"/>
      <c r="AA44" s="9"/>
      <c r="AB44" s="9"/>
      <c r="AC44" s="9"/>
      <c r="AD44" s="9"/>
      <c r="AE44" s="9"/>
      <c r="AF44" s="9"/>
      <c r="AG44" s="9"/>
      <c r="AH44" s="7">
        <v>62574.3</v>
      </c>
      <c r="AI44" s="7">
        <v>32612.39</v>
      </c>
    </row>
    <row r="45" spans="2:35" x14ac:dyDescent="0.3">
      <c r="B45" s="5" t="s">
        <v>3061</v>
      </c>
      <c r="C45" s="5" t="s">
        <v>13</v>
      </c>
      <c r="D45" s="6" t="s">
        <v>14</v>
      </c>
      <c r="E45" s="6" t="s">
        <v>150</v>
      </c>
      <c r="F45" s="6" t="s">
        <v>151</v>
      </c>
      <c r="G45" s="6" t="s">
        <v>152</v>
      </c>
      <c r="H45" s="7" t="str">
        <f t="shared" si="0"/>
        <v>PPP-IPU-E976-01OPERATIONAL</v>
      </c>
      <c r="I45" s="8" t="s">
        <v>18</v>
      </c>
      <c r="J45" s="8" t="s">
        <v>19</v>
      </c>
      <c r="K45" s="8" t="s">
        <v>20</v>
      </c>
      <c r="L45" s="9">
        <v>55889.73</v>
      </c>
      <c r="M45" s="9">
        <v>11206.47</v>
      </c>
      <c r="N45" s="9">
        <v>84352.22</v>
      </c>
      <c r="O45" s="9">
        <v>19843.355</v>
      </c>
      <c r="P45" s="9">
        <v>113849.93</v>
      </c>
      <c r="Q45" s="9">
        <v>28587.075000000001</v>
      </c>
      <c r="R45" s="9">
        <v>142312.41</v>
      </c>
      <c r="S45" s="9">
        <v>36355.019999999997</v>
      </c>
      <c r="T45" s="9">
        <v>170774.9</v>
      </c>
      <c r="U45" s="9">
        <v>42744.89</v>
      </c>
      <c r="V45" s="9"/>
      <c r="W45" s="9"/>
      <c r="X45" s="9">
        <v>199237.38</v>
      </c>
      <c r="Y45" s="9">
        <v>48339.23</v>
      </c>
      <c r="Z45" s="9"/>
      <c r="AA45" s="9"/>
      <c r="AB45" s="9"/>
      <c r="AC45" s="9"/>
      <c r="AD45" s="9"/>
      <c r="AE45" s="9"/>
      <c r="AF45" s="9"/>
      <c r="AG45" s="9"/>
      <c r="AH45" s="7">
        <v>199237.38</v>
      </c>
      <c r="AI45" s="7">
        <v>48339.23</v>
      </c>
    </row>
    <row r="46" spans="2:35" x14ac:dyDescent="0.3">
      <c r="B46" s="5" t="s">
        <v>3061</v>
      </c>
      <c r="C46" s="5" t="s">
        <v>13</v>
      </c>
      <c r="D46" s="6" t="s">
        <v>14</v>
      </c>
      <c r="E46" s="6" t="s">
        <v>153</v>
      </c>
      <c r="F46" s="6" t="s">
        <v>154</v>
      </c>
      <c r="G46" s="6" t="s">
        <v>155</v>
      </c>
      <c r="H46" s="7" t="str">
        <f t="shared" si="0"/>
        <v>CL3-IPU-A413-01OPERATIONAL</v>
      </c>
      <c r="I46" s="8" t="s">
        <v>49</v>
      </c>
      <c r="J46" s="8" t="s">
        <v>19</v>
      </c>
      <c r="K46" s="8" t="s">
        <v>98</v>
      </c>
      <c r="L46" s="9">
        <v>53599.43</v>
      </c>
      <c r="M46" s="9">
        <v>13970.69</v>
      </c>
      <c r="N46" s="9">
        <v>82498.69</v>
      </c>
      <c r="O46" s="9">
        <v>24315.88</v>
      </c>
      <c r="P46" s="9">
        <v>126108.4</v>
      </c>
      <c r="Q46" s="9">
        <v>36818.57</v>
      </c>
      <c r="R46" s="9">
        <v>138647.07999999999</v>
      </c>
      <c r="S46" s="9">
        <v>72256.12</v>
      </c>
      <c r="T46" s="9">
        <v>166171.48000000001</v>
      </c>
      <c r="U46" s="9">
        <v>85994.55</v>
      </c>
      <c r="V46" s="9"/>
      <c r="W46" s="9"/>
      <c r="X46" s="9">
        <v>226998.93</v>
      </c>
      <c r="Y46" s="9">
        <v>95093.42</v>
      </c>
      <c r="Z46" s="9"/>
      <c r="AA46" s="9"/>
      <c r="AB46" s="9"/>
      <c r="AC46" s="9"/>
      <c r="AD46" s="9"/>
      <c r="AE46" s="9"/>
      <c r="AF46" s="9"/>
      <c r="AG46" s="9"/>
      <c r="AH46" s="7">
        <v>226998.93</v>
      </c>
      <c r="AI46" s="7">
        <v>95093.42</v>
      </c>
    </row>
    <row r="47" spans="2:35" x14ac:dyDescent="0.3">
      <c r="B47" s="5" t="s">
        <v>3061</v>
      </c>
      <c r="C47" s="5" t="s">
        <v>13</v>
      </c>
      <c r="D47" s="6" t="s">
        <v>14</v>
      </c>
      <c r="E47" s="6" t="s">
        <v>156</v>
      </c>
      <c r="F47" s="6" t="s">
        <v>157</v>
      </c>
      <c r="G47" s="6" t="s">
        <v>158</v>
      </c>
      <c r="H47" s="7" t="str">
        <f t="shared" si="0"/>
        <v>CL3-IPU-F952-02OPERATIONAL</v>
      </c>
      <c r="I47" s="8" t="s">
        <v>49</v>
      </c>
      <c r="J47" s="8" t="s">
        <v>19</v>
      </c>
      <c r="K47" s="8" t="s">
        <v>98</v>
      </c>
      <c r="L47" s="9">
        <v>0</v>
      </c>
      <c r="M47" s="9">
        <v>200.88</v>
      </c>
      <c r="N47" s="9">
        <v>0</v>
      </c>
      <c r="O47" s="9">
        <v>200.88</v>
      </c>
      <c r="P47" s="9">
        <v>0</v>
      </c>
      <c r="Q47" s="9">
        <v>200.88</v>
      </c>
      <c r="R47" s="9">
        <v>0</v>
      </c>
      <c r="S47" s="9">
        <v>200.88</v>
      </c>
      <c r="T47" s="9">
        <v>0</v>
      </c>
      <c r="U47" s="9">
        <v>200.88</v>
      </c>
      <c r="V47" s="9"/>
      <c r="W47" s="9"/>
      <c r="X47" s="9">
        <v>0</v>
      </c>
      <c r="Y47" s="9">
        <v>200.88</v>
      </c>
      <c r="Z47" s="9"/>
      <c r="AA47" s="9"/>
      <c r="AB47" s="9"/>
      <c r="AC47" s="9"/>
      <c r="AD47" s="9"/>
      <c r="AE47" s="9"/>
      <c r="AF47" s="9"/>
      <c r="AG47" s="9"/>
      <c r="AH47" s="7">
        <v>0</v>
      </c>
      <c r="AI47" s="7">
        <v>200.88</v>
      </c>
    </row>
    <row r="48" spans="2:35" x14ac:dyDescent="0.3">
      <c r="B48" s="5" t="s">
        <v>3061</v>
      </c>
      <c r="C48" s="5" t="s">
        <v>13</v>
      </c>
      <c r="D48" s="6" t="s">
        <v>14</v>
      </c>
      <c r="E48" s="6" t="s">
        <v>159</v>
      </c>
      <c r="F48" s="6" t="s">
        <v>160</v>
      </c>
      <c r="G48" s="6" t="s">
        <v>161</v>
      </c>
      <c r="H48" s="7" t="str">
        <f t="shared" si="0"/>
        <v>CL3-IPU-A162-01OPERATIONAL</v>
      </c>
      <c r="I48" s="8" t="s">
        <v>24</v>
      </c>
      <c r="J48" s="8" t="s">
        <v>19</v>
      </c>
      <c r="K48" s="8" t="s">
        <v>98</v>
      </c>
      <c r="L48" s="9">
        <v>52928.480000000003</v>
      </c>
      <c r="M48" s="9">
        <v>12209.01</v>
      </c>
      <c r="N48" s="9">
        <v>81369.740000000005</v>
      </c>
      <c r="O48" s="9">
        <v>19983.919999999998</v>
      </c>
      <c r="P48" s="9">
        <v>108192.69</v>
      </c>
      <c r="Q48" s="9">
        <v>28448.44</v>
      </c>
      <c r="R48" s="9">
        <v>137201.12</v>
      </c>
      <c r="S48" s="9">
        <v>35455.800000000003</v>
      </c>
      <c r="T48" s="9">
        <v>163966.20000000001</v>
      </c>
      <c r="U48" s="9">
        <v>41838.715000000004</v>
      </c>
      <c r="V48" s="9"/>
      <c r="W48" s="9"/>
      <c r="X48" s="9">
        <v>225114.99</v>
      </c>
      <c r="Y48" s="9">
        <v>48664.74</v>
      </c>
      <c r="Z48" s="9"/>
      <c r="AA48" s="9"/>
      <c r="AB48" s="9"/>
      <c r="AC48" s="9"/>
      <c r="AD48" s="9"/>
      <c r="AE48" s="9"/>
      <c r="AF48" s="9"/>
      <c r="AG48" s="9"/>
      <c r="AH48" s="7">
        <v>225114.99</v>
      </c>
      <c r="AI48" s="7">
        <v>48664.74</v>
      </c>
    </row>
    <row r="49" spans="2:35" x14ac:dyDescent="0.3">
      <c r="B49" s="5" t="s">
        <v>3061</v>
      </c>
      <c r="C49" s="5" t="s">
        <v>13</v>
      </c>
      <c r="D49" s="6" t="s">
        <v>14</v>
      </c>
      <c r="E49" s="6" t="s">
        <v>162</v>
      </c>
      <c r="F49" s="6" t="s">
        <v>163</v>
      </c>
      <c r="G49" s="6" t="s">
        <v>164</v>
      </c>
      <c r="H49" s="7" t="str">
        <f t="shared" si="0"/>
        <v>ATI-IPU-F109-01OPERATIONAL</v>
      </c>
      <c r="I49" s="8" t="s">
        <v>18</v>
      </c>
      <c r="J49" s="8" t="s">
        <v>19</v>
      </c>
      <c r="K49" s="8" t="s">
        <v>20</v>
      </c>
      <c r="L49" s="9">
        <v>5049.78</v>
      </c>
      <c r="M49" s="9">
        <v>855.34999999999991</v>
      </c>
      <c r="N49" s="9">
        <v>7668.36</v>
      </c>
      <c r="O49" s="9">
        <v>2439.98</v>
      </c>
      <c r="P49" s="9">
        <v>10224.48</v>
      </c>
      <c r="Q49" s="9">
        <v>2968.19</v>
      </c>
      <c r="R49" s="9">
        <v>12780.6</v>
      </c>
      <c r="S49" s="9">
        <v>3496.4</v>
      </c>
      <c r="T49" s="9">
        <v>15336.72</v>
      </c>
      <c r="U49" s="9">
        <v>4024.61</v>
      </c>
      <c r="V49" s="9"/>
      <c r="W49" s="9"/>
      <c r="X49" s="9">
        <v>17892.84</v>
      </c>
      <c r="Y49" s="9">
        <v>4024.61</v>
      </c>
      <c r="Z49" s="9"/>
      <c r="AA49" s="9"/>
      <c r="AB49" s="9"/>
      <c r="AC49" s="9"/>
      <c r="AD49" s="9"/>
      <c r="AE49" s="9"/>
      <c r="AF49" s="9"/>
      <c r="AG49" s="9"/>
      <c r="AH49" s="7">
        <v>17892.84</v>
      </c>
      <c r="AI49" s="7">
        <v>4024.61</v>
      </c>
    </row>
    <row r="50" spans="2:35" x14ac:dyDescent="0.3">
      <c r="B50" s="5" t="s">
        <v>3061</v>
      </c>
      <c r="C50" s="5" t="s">
        <v>13</v>
      </c>
      <c r="D50" s="6" t="s">
        <v>14</v>
      </c>
      <c r="E50" s="6" t="s">
        <v>165</v>
      </c>
      <c r="F50" s="6" t="s">
        <v>166</v>
      </c>
      <c r="G50" s="6" t="s">
        <v>167</v>
      </c>
      <c r="H50" s="7" t="str">
        <f t="shared" si="0"/>
        <v>PPP-IPU-L008-01OPERATIONAL</v>
      </c>
      <c r="I50" s="8" t="s">
        <v>18</v>
      </c>
      <c r="J50" s="8" t="s">
        <v>19</v>
      </c>
      <c r="K50" s="8" t="s">
        <v>20</v>
      </c>
      <c r="L50" s="9">
        <v>23995.02</v>
      </c>
      <c r="M50" s="9">
        <v>3162.28</v>
      </c>
      <c r="N50" s="9">
        <v>35992.53</v>
      </c>
      <c r="O50" s="9">
        <v>9746.57</v>
      </c>
      <c r="P50" s="9">
        <v>47990.04</v>
      </c>
      <c r="Q50" s="9">
        <v>10081.23</v>
      </c>
      <c r="R50" s="9">
        <v>50090.35</v>
      </c>
      <c r="S50" s="9">
        <v>17668.09</v>
      </c>
      <c r="T50" s="9">
        <v>60108.42</v>
      </c>
      <c r="U50" s="9">
        <v>21078.560000000001</v>
      </c>
      <c r="V50" s="9"/>
      <c r="W50" s="9"/>
      <c r="X50" s="9">
        <v>70126.490000000005</v>
      </c>
      <c r="Y50" s="9">
        <v>24369.1</v>
      </c>
      <c r="Z50" s="9"/>
      <c r="AA50" s="9"/>
      <c r="AB50" s="9"/>
      <c r="AC50" s="9"/>
      <c r="AD50" s="9"/>
      <c r="AE50" s="9"/>
      <c r="AF50" s="9"/>
      <c r="AG50" s="9"/>
      <c r="AH50" s="7">
        <v>70126.490000000005</v>
      </c>
      <c r="AI50" s="7">
        <v>24369.1</v>
      </c>
    </row>
    <row r="51" spans="2:35" x14ac:dyDescent="0.3">
      <c r="B51" s="5" t="s">
        <v>3061</v>
      </c>
      <c r="C51" s="5" t="s">
        <v>13</v>
      </c>
      <c r="D51" s="6" t="s">
        <v>14</v>
      </c>
      <c r="E51" s="6" t="s">
        <v>168</v>
      </c>
      <c r="F51" s="6" t="s">
        <v>169</v>
      </c>
      <c r="G51" s="6" t="s">
        <v>170</v>
      </c>
      <c r="H51" s="7" t="str">
        <f t="shared" si="0"/>
        <v>PPP-IPU-G293-01OPERATIONAL</v>
      </c>
      <c r="I51" s="8" t="s">
        <v>24</v>
      </c>
      <c r="J51" s="8" t="s">
        <v>19</v>
      </c>
      <c r="K51" s="8" t="s">
        <v>20</v>
      </c>
      <c r="L51" s="9">
        <v>44149.03</v>
      </c>
      <c r="M51" s="9">
        <v>3620.61</v>
      </c>
      <c r="N51" s="9">
        <v>66223.55</v>
      </c>
      <c r="O51" s="9">
        <v>11233.529999999999</v>
      </c>
      <c r="P51" s="9">
        <v>93699.12</v>
      </c>
      <c r="Q51" s="9">
        <v>18772.210000000003</v>
      </c>
      <c r="R51" s="9">
        <v>118474.17</v>
      </c>
      <c r="S51" s="9">
        <v>30914.28</v>
      </c>
      <c r="T51" s="9">
        <v>140548.68</v>
      </c>
      <c r="U51" s="9">
        <v>30699.170000000002</v>
      </c>
      <c r="V51" s="9"/>
      <c r="W51" s="9"/>
      <c r="X51" s="9">
        <v>140548.68</v>
      </c>
      <c r="Y51" s="9">
        <v>36036</v>
      </c>
      <c r="Z51" s="9"/>
      <c r="AA51" s="9"/>
      <c r="AB51" s="9"/>
      <c r="AC51" s="9"/>
      <c r="AD51" s="9"/>
      <c r="AE51" s="9"/>
      <c r="AF51" s="9"/>
      <c r="AG51" s="9"/>
      <c r="AH51" s="7">
        <v>140548.68</v>
      </c>
      <c r="AI51" s="7">
        <v>36036</v>
      </c>
    </row>
    <row r="52" spans="2:35" x14ac:dyDescent="0.3">
      <c r="B52" s="5" t="s">
        <v>3061</v>
      </c>
      <c r="C52" s="5" t="s">
        <v>171</v>
      </c>
      <c r="D52" s="6" t="s">
        <v>14</v>
      </c>
      <c r="E52" s="6" t="s">
        <v>172</v>
      </c>
      <c r="F52" s="6" t="s">
        <v>173</v>
      </c>
      <c r="G52" s="6" t="s">
        <v>174</v>
      </c>
      <c r="H52" s="7" t="str">
        <f t="shared" si="0"/>
        <v>PPP-IPU-C650-01OPERATIONAL</v>
      </c>
      <c r="I52" s="8" t="s">
        <v>56</v>
      </c>
      <c r="J52" s="8" t="s">
        <v>19</v>
      </c>
      <c r="K52" s="8" t="s">
        <v>20</v>
      </c>
      <c r="L52" s="9">
        <v>-10186.040000000001</v>
      </c>
      <c r="M52" s="9">
        <v>0</v>
      </c>
      <c r="N52" s="9">
        <v>-10186.040000000001</v>
      </c>
      <c r="O52" s="9">
        <v>0</v>
      </c>
      <c r="P52" s="9">
        <v>-10186.040000000001</v>
      </c>
      <c r="Q52" s="9">
        <v>2180.8000000000002</v>
      </c>
      <c r="R52" s="9">
        <v>-10186.040000000001</v>
      </c>
      <c r="S52" s="9">
        <v>2180.8000000000002</v>
      </c>
      <c r="T52" s="9">
        <v>-10186.040000000001</v>
      </c>
      <c r="U52" s="9">
        <v>2180.8000000000002</v>
      </c>
      <c r="V52" s="9"/>
      <c r="W52" s="9"/>
      <c r="X52" s="9">
        <v>-10186.040000000001</v>
      </c>
      <c r="Y52" s="9">
        <v>2180.8000000000002</v>
      </c>
      <c r="Z52" s="9"/>
      <c r="AA52" s="9"/>
      <c r="AB52" s="9"/>
      <c r="AC52" s="9"/>
      <c r="AD52" s="9"/>
      <c r="AE52" s="9"/>
      <c r="AF52" s="9"/>
      <c r="AG52" s="9"/>
      <c r="AH52" s="7">
        <v>-10186.040000000001</v>
      </c>
      <c r="AI52" s="7">
        <v>2180.8000000000002</v>
      </c>
    </row>
    <row r="53" spans="2:35" x14ac:dyDescent="0.3">
      <c r="B53" s="5" t="s">
        <v>3061</v>
      </c>
      <c r="C53" s="5" t="s">
        <v>13</v>
      </c>
      <c r="D53" s="6" t="s">
        <v>14</v>
      </c>
      <c r="E53" s="6" t="s">
        <v>175</v>
      </c>
      <c r="F53" s="6" t="s">
        <v>176</v>
      </c>
      <c r="G53" s="6" t="s">
        <v>177</v>
      </c>
      <c r="H53" s="7" t="str">
        <f t="shared" si="0"/>
        <v>PPP-IPU-D223-01OPERATIONAL</v>
      </c>
      <c r="I53" s="8" t="s">
        <v>18</v>
      </c>
      <c r="J53" s="8" t="s">
        <v>19</v>
      </c>
      <c r="K53" s="8" t="s">
        <v>20</v>
      </c>
      <c r="L53" s="9">
        <v>21220.7</v>
      </c>
      <c r="M53" s="9">
        <v>5749.74</v>
      </c>
      <c r="N53" s="9">
        <v>31831.05</v>
      </c>
      <c r="O53" s="9">
        <v>10702.23</v>
      </c>
      <c r="P53" s="9">
        <v>42441.4</v>
      </c>
      <c r="Q53" s="9">
        <v>15492.92</v>
      </c>
      <c r="R53" s="9">
        <v>54028.15</v>
      </c>
      <c r="S53" s="9">
        <v>19457.75</v>
      </c>
      <c r="T53" s="9">
        <v>64833.78</v>
      </c>
      <c r="U53" s="9">
        <v>23473.89</v>
      </c>
      <c r="V53" s="9"/>
      <c r="W53" s="9"/>
      <c r="X53" s="9">
        <v>75639.41</v>
      </c>
      <c r="Y53" s="9">
        <v>26614.68</v>
      </c>
      <c r="Z53" s="9"/>
      <c r="AA53" s="9"/>
      <c r="AB53" s="9"/>
      <c r="AC53" s="9"/>
      <c r="AD53" s="9"/>
      <c r="AE53" s="9"/>
      <c r="AF53" s="9"/>
      <c r="AG53" s="9"/>
      <c r="AH53" s="7">
        <v>75639.41</v>
      </c>
      <c r="AI53" s="7">
        <v>26614.68</v>
      </c>
    </row>
    <row r="54" spans="2:35" x14ac:dyDescent="0.3">
      <c r="B54" s="5" t="s">
        <v>3061</v>
      </c>
      <c r="C54" s="5" t="s">
        <v>13</v>
      </c>
      <c r="D54" s="6" t="s">
        <v>14</v>
      </c>
      <c r="E54" s="6" t="s">
        <v>178</v>
      </c>
      <c r="F54" s="6" t="s">
        <v>179</v>
      </c>
      <c r="G54" s="6" t="s">
        <v>180</v>
      </c>
      <c r="H54" s="7" t="str">
        <f t="shared" si="0"/>
        <v>ATI-IPU-G325-01OPERATIONAL</v>
      </c>
      <c r="I54" s="8" t="s">
        <v>18</v>
      </c>
      <c r="J54" s="8" t="s">
        <v>19</v>
      </c>
      <c r="K54" s="8" t="s">
        <v>20</v>
      </c>
      <c r="L54" s="9">
        <v>7649.26</v>
      </c>
      <c r="M54" s="9">
        <v>1256.5</v>
      </c>
      <c r="N54" s="9">
        <v>11881.83</v>
      </c>
      <c r="O54" s="9">
        <v>2342.67</v>
      </c>
      <c r="P54" s="9">
        <v>15782.44</v>
      </c>
      <c r="Q54" s="9">
        <v>2970.92</v>
      </c>
      <c r="R54" s="9">
        <v>19683.05</v>
      </c>
      <c r="S54" s="9">
        <v>3811.09</v>
      </c>
      <c r="T54" s="9">
        <v>23583.66</v>
      </c>
      <c r="U54" s="9">
        <v>4863.18</v>
      </c>
      <c r="V54" s="9"/>
      <c r="W54" s="9"/>
      <c r="X54" s="9">
        <v>27484.27</v>
      </c>
      <c r="Y54" s="9">
        <v>4863.18</v>
      </c>
      <c r="Z54" s="9"/>
      <c r="AA54" s="9"/>
      <c r="AB54" s="9"/>
      <c r="AC54" s="9"/>
      <c r="AD54" s="9"/>
      <c r="AE54" s="9"/>
      <c r="AF54" s="9"/>
      <c r="AG54" s="9"/>
      <c r="AH54" s="7">
        <v>27484.27</v>
      </c>
      <c r="AI54" s="7">
        <v>4863.18</v>
      </c>
    </row>
    <row r="55" spans="2:35" x14ac:dyDescent="0.3">
      <c r="B55" s="5" t="s">
        <v>3061</v>
      </c>
      <c r="C55" s="5" t="s">
        <v>13</v>
      </c>
      <c r="D55" s="6" t="s">
        <v>14</v>
      </c>
      <c r="E55" s="6" t="s">
        <v>181</v>
      </c>
      <c r="F55" s="6" t="s">
        <v>182</v>
      </c>
      <c r="G55" s="6" t="s">
        <v>183</v>
      </c>
      <c r="H55" s="7" t="str">
        <f t="shared" si="0"/>
        <v>PPP-IPU-C448-01OPERATIONAL</v>
      </c>
      <c r="I55" s="8" t="s">
        <v>18</v>
      </c>
      <c r="J55" s="8" t="s">
        <v>19</v>
      </c>
      <c r="K55" s="8" t="s">
        <v>20</v>
      </c>
      <c r="L55" s="9">
        <v>21270.87</v>
      </c>
      <c r="M55" s="9">
        <v>8320.8700000000008</v>
      </c>
      <c r="N55" s="9">
        <v>27922.26</v>
      </c>
      <c r="O55" s="9">
        <v>16101.02</v>
      </c>
      <c r="P55" s="9">
        <v>38358.639999999999</v>
      </c>
      <c r="Q55" s="9">
        <v>23596.98</v>
      </c>
      <c r="R55" s="9">
        <v>44996.800000000003</v>
      </c>
      <c r="S55" s="9">
        <v>29794.73</v>
      </c>
      <c r="T55" s="9">
        <v>52550.85</v>
      </c>
      <c r="U55" s="9">
        <v>30229.31</v>
      </c>
      <c r="V55" s="9"/>
      <c r="W55" s="9"/>
      <c r="X55" s="9">
        <v>44246.8</v>
      </c>
      <c r="Y55" s="9">
        <v>40642.79</v>
      </c>
      <c r="Z55" s="9"/>
      <c r="AA55" s="9"/>
      <c r="AB55" s="9"/>
      <c r="AC55" s="9"/>
      <c r="AD55" s="9"/>
      <c r="AE55" s="9"/>
      <c r="AF55" s="9"/>
      <c r="AG55" s="9"/>
      <c r="AH55" s="7">
        <v>44246.8</v>
      </c>
      <c r="AI55" s="7">
        <v>40642.79</v>
      </c>
    </row>
    <row r="56" spans="2:35" x14ac:dyDescent="0.3">
      <c r="B56" s="5" t="s">
        <v>3061</v>
      </c>
      <c r="C56" s="5" t="s">
        <v>171</v>
      </c>
      <c r="D56" s="6" t="s">
        <v>14</v>
      </c>
      <c r="E56" s="6" t="s">
        <v>184</v>
      </c>
      <c r="F56" s="6" t="s">
        <v>185</v>
      </c>
      <c r="G56" s="6" t="s">
        <v>186</v>
      </c>
      <c r="H56" s="7" t="str">
        <f t="shared" si="0"/>
        <v>PPP-IPU-G560-01OPERATIONAL</v>
      </c>
      <c r="I56" s="8" t="s">
        <v>56</v>
      </c>
      <c r="J56" s="8" t="s">
        <v>19</v>
      </c>
      <c r="K56" s="8" t="s">
        <v>20</v>
      </c>
      <c r="L56" s="9">
        <v>8467.98</v>
      </c>
      <c r="M56" s="9">
        <v>2089.23</v>
      </c>
      <c r="N56" s="9">
        <v>12701.97</v>
      </c>
      <c r="O56" s="9">
        <v>6139.7699999999995</v>
      </c>
      <c r="P56" s="9">
        <v>16935.96</v>
      </c>
      <c r="Q56" s="9">
        <v>10100.480000000001</v>
      </c>
      <c r="R56" s="9">
        <v>21169.95</v>
      </c>
      <c r="S56" s="9">
        <v>13803.33</v>
      </c>
      <c r="T56" s="9">
        <v>25403.94</v>
      </c>
      <c r="U56" s="9">
        <v>19225.34</v>
      </c>
      <c r="V56" s="9"/>
      <c r="W56" s="9"/>
      <c r="X56" s="9">
        <v>29637.93</v>
      </c>
      <c r="Y56" s="9">
        <v>20960.580000000002</v>
      </c>
      <c r="Z56" s="9"/>
      <c r="AA56" s="9"/>
      <c r="AB56" s="9"/>
      <c r="AC56" s="9"/>
      <c r="AD56" s="9"/>
      <c r="AE56" s="9"/>
      <c r="AF56" s="9"/>
      <c r="AG56" s="9"/>
      <c r="AH56" s="7">
        <v>29637.93</v>
      </c>
      <c r="AI56" s="7">
        <v>20960.580000000002</v>
      </c>
    </row>
    <row r="57" spans="2:35" x14ac:dyDescent="0.3">
      <c r="B57" s="5" t="s">
        <v>3061</v>
      </c>
      <c r="C57" s="5" t="s">
        <v>13</v>
      </c>
      <c r="D57" s="6" t="s">
        <v>14</v>
      </c>
      <c r="E57" s="6" t="s">
        <v>187</v>
      </c>
      <c r="F57" s="6" t="s">
        <v>188</v>
      </c>
      <c r="G57" s="6" t="s">
        <v>189</v>
      </c>
      <c r="H57" s="7" t="str">
        <f t="shared" si="0"/>
        <v>PPP-IPU-L356-01OPERATIONAL</v>
      </c>
      <c r="I57" s="8" t="s">
        <v>49</v>
      </c>
      <c r="J57" s="8" t="s">
        <v>19</v>
      </c>
      <c r="K57" s="8" t="s">
        <v>20</v>
      </c>
      <c r="L57" s="9">
        <v>102056.06</v>
      </c>
      <c r="M57" s="9">
        <v>24094.18</v>
      </c>
      <c r="N57" s="9">
        <v>153084.09</v>
      </c>
      <c r="O57" s="9">
        <v>40869.280000000006</v>
      </c>
      <c r="P57" s="9">
        <v>204112.12</v>
      </c>
      <c r="Q57" s="9">
        <v>62173.17</v>
      </c>
      <c r="R57" s="9">
        <v>255140.15</v>
      </c>
      <c r="S57" s="9">
        <v>76160.69</v>
      </c>
      <c r="T57" s="9">
        <v>315034.02</v>
      </c>
      <c r="U57" s="9">
        <v>103790.84</v>
      </c>
      <c r="V57" s="9"/>
      <c r="W57" s="9"/>
      <c r="X57" s="9">
        <v>129713.48</v>
      </c>
      <c r="Y57" s="9">
        <v>127003.94</v>
      </c>
      <c r="Z57" s="9"/>
      <c r="AA57" s="9"/>
      <c r="AB57" s="9"/>
      <c r="AC57" s="9"/>
      <c r="AD57" s="9"/>
      <c r="AE57" s="9"/>
      <c r="AF57" s="9"/>
      <c r="AG57" s="9"/>
      <c r="AH57" s="7">
        <v>129713.48</v>
      </c>
      <c r="AI57" s="7">
        <v>127003.94</v>
      </c>
    </row>
    <row r="58" spans="2:35" x14ac:dyDescent="0.3">
      <c r="B58" s="5" t="s">
        <v>3061</v>
      </c>
      <c r="C58" s="5" t="s">
        <v>13</v>
      </c>
      <c r="D58" s="6" t="s">
        <v>14</v>
      </c>
      <c r="E58" s="6" t="s">
        <v>190</v>
      </c>
      <c r="F58" s="6" t="s">
        <v>191</v>
      </c>
      <c r="G58" s="6" t="s">
        <v>192</v>
      </c>
      <c r="H58" s="7" t="str">
        <f t="shared" si="0"/>
        <v>PPP-IPU-A942-01OPERATIONAL</v>
      </c>
      <c r="I58" s="8" t="s">
        <v>18</v>
      </c>
      <c r="J58" s="8" t="s">
        <v>19</v>
      </c>
      <c r="K58" s="8" t="s">
        <v>20</v>
      </c>
      <c r="L58" s="9">
        <v>58994.36</v>
      </c>
      <c r="M58" s="9">
        <v>8192.82</v>
      </c>
      <c r="N58" s="9">
        <v>88491.54</v>
      </c>
      <c r="O58" s="9">
        <v>17891.34</v>
      </c>
      <c r="P58" s="9">
        <v>109972.12</v>
      </c>
      <c r="Q58" s="9">
        <v>26491.8</v>
      </c>
      <c r="R58" s="9">
        <v>137465.15</v>
      </c>
      <c r="S58" s="9">
        <v>33394.76</v>
      </c>
      <c r="T58" s="9">
        <v>164958.18</v>
      </c>
      <c r="U58" s="9">
        <v>39973.82</v>
      </c>
      <c r="V58" s="9"/>
      <c r="W58" s="9"/>
      <c r="X58" s="9">
        <v>192451.21</v>
      </c>
      <c r="Y58" s="9">
        <v>43411.91</v>
      </c>
      <c r="Z58" s="9"/>
      <c r="AA58" s="9"/>
      <c r="AB58" s="9"/>
      <c r="AC58" s="9"/>
      <c r="AD58" s="9"/>
      <c r="AE58" s="9"/>
      <c r="AF58" s="9"/>
      <c r="AG58" s="9"/>
      <c r="AH58" s="7">
        <v>192451.21</v>
      </c>
      <c r="AI58" s="7">
        <v>43411.91</v>
      </c>
    </row>
    <row r="59" spans="2:35" x14ac:dyDescent="0.3">
      <c r="B59" s="5" t="s">
        <v>3061</v>
      </c>
      <c r="C59" s="5" t="s">
        <v>13</v>
      </c>
      <c r="D59" s="6" t="s">
        <v>14</v>
      </c>
      <c r="E59" s="6" t="s">
        <v>193</v>
      </c>
      <c r="F59" s="6" t="s">
        <v>194</v>
      </c>
      <c r="G59" s="6" t="s">
        <v>195</v>
      </c>
      <c r="H59" s="7" t="str">
        <f t="shared" si="0"/>
        <v>PPP-IPU-G806-01OPERATIONAL</v>
      </c>
      <c r="I59" s="8" t="s">
        <v>18</v>
      </c>
      <c r="J59" s="8" t="s">
        <v>19</v>
      </c>
      <c r="K59" s="8" t="s">
        <v>20</v>
      </c>
      <c r="L59" s="9">
        <v>31210.16</v>
      </c>
      <c r="M59" s="9">
        <v>6054.82</v>
      </c>
      <c r="N59" s="9">
        <v>46965.54</v>
      </c>
      <c r="O59" s="9">
        <v>11445.06</v>
      </c>
      <c r="P59" s="9">
        <v>62620.72</v>
      </c>
      <c r="Q59" s="9">
        <v>15418.66</v>
      </c>
      <c r="R59" s="9">
        <v>78275.899999999994</v>
      </c>
      <c r="S59" s="9">
        <v>15966.03</v>
      </c>
      <c r="T59" s="9">
        <v>93931.08</v>
      </c>
      <c r="U59" s="9">
        <v>23270.350000000002</v>
      </c>
      <c r="V59" s="9"/>
      <c r="W59" s="9"/>
      <c r="X59" s="9">
        <v>109586.26</v>
      </c>
      <c r="Y59" s="9">
        <v>28129.15</v>
      </c>
      <c r="Z59" s="9"/>
      <c r="AA59" s="9"/>
      <c r="AB59" s="9"/>
      <c r="AC59" s="9"/>
      <c r="AD59" s="9"/>
      <c r="AE59" s="9"/>
      <c r="AF59" s="9"/>
      <c r="AG59" s="9"/>
      <c r="AH59" s="7">
        <v>109586.26</v>
      </c>
      <c r="AI59" s="7">
        <v>28129.15</v>
      </c>
    </row>
    <row r="60" spans="2:35" x14ac:dyDescent="0.3">
      <c r="B60" s="5" t="s">
        <v>3061</v>
      </c>
      <c r="C60" s="5" t="s">
        <v>13</v>
      </c>
      <c r="D60" s="6" t="s">
        <v>14</v>
      </c>
      <c r="E60" s="6" t="s">
        <v>196</v>
      </c>
      <c r="F60" s="6" t="s">
        <v>197</v>
      </c>
      <c r="G60" s="6" t="s">
        <v>198</v>
      </c>
      <c r="H60" s="7" t="str">
        <f t="shared" si="0"/>
        <v>PPP-IPU-B294-01OPERATIONAL</v>
      </c>
      <c r="I60" s="8" t="s">
        <v>24</v>
      </c>
      <c r="J60" s="8" t="s">
        <v>19</v>
      </c>
      <c r="K60" s="8" t="s">
        <v>20</v>
      </c>
      <c r="L60" s="9">
        <v>26262.2</v>
      </c>
      <c r="M60" s="9">
        <v>7564.33</v>
      </c>
      <c r="N60" s="9">
        <v>52524.4</v>
      </c>
      <c r="O60" s="9">
        <v>11702.82</v>
      </c>
      <c r="P60" s="9">
        <v>52524.4</v>
      </c>
      <c r="Q60" s="9">
        <v>21454.170000000002</v>
      </c>
      <c r="R60" s="9">
        <v>65655.5</v>
      </c>
      <c r="S60" s="9">
        <v>25450.760000000002</v>
      </c>
      <c r="T60" s="9">
        <v>79007.06</v>
      </c>
      <c r="U60" s="9">
        <v>28625.61</v>
      </c>
      <c r="V60" s="9"/>
      <c r="W60" s="9"/>
      <c r="X60" s="9">
        <v>79007.06</v>
      </c>
      <c r="Y60" s="9">
        <v>39476.03</v>
      </c>
      <c r="Z60" s="9"/>
      <c r="AA60" s="9"/>
      <c r="AB60" s="9"/>
      <c r="AC60" s="9"/>
      <c r="AD60" s="9"/>
      <c r="AE60" s="9"/>
      <c r="AF60" s="9"/>
      <c r="AG60" s="9"/>
      <c r="AH60" s="7">
        <v>79007.06</v>
      </c>
      <c r="AI60" s="7">
        <v>39476.03</v>
      </c>
    </row>
    <row r="61" spans="2:35" x14ac:dyDescent="0.3">
      <c r="B61" s="5" t="s">
        <v>3061</v>
      </c>
      <c r="C61" s="5" t="s">
        <v>13</v>
      </c>
      <c r="D61" s="6" t="s">
        <v>14</v>
      </c>
      <c r="E61" s="6" t="s">
        <v>199</v>
      </c>
      <c r="F61" s="6" t="s">
        <v>200</v>
      </c>
      <c r="G61" s="6" t="s">
        <v>201</v>
      </c>
      <c r="H61" s="7" t="str">
        <f t="shared" si="0"/>
        <v>PPP-EEE-B294-03OPERATIONAL</v>
      </c>
      <c r="I61" s="8" t="s">
        <v>24</v>
      </c>
      <c r="J61" s="8" t="s">
        <v>202</v>
      </c>
      <c r="K61" s="8" t="s">
        <v>202</v>
      </c>
      <c r="L61" s="9">
        <v>47506.02</v>
      </c>
      <c r="M61" s="9">
        <v>12635.85</v>
      </c>
      <c r="N61" s="9">
        <v>71259.03</v>
      </c>
      <c r="O61" s="9">
        <v>27386.15</v>
      </c>
      <c r="P61" s="9">
        <v>95012.04</v>
      </c>
      <c r="Q61" s="9">
        <v>39651.43</v>
      </c>
      <c r="R61" s="9">
        <v>118765.05</v>
      </c>
      <c r="S61" s="9">
        <v>44623.7</v>
      </c>
      <c r="T61" s="9">
        <v>142518.06</v>
      </c>
      <c r="U61" s="9">
        <v>47204.53</v>
      </c>
      <c r="V61" s="9"/>
      <c r="W61" s="9"/>
      <c r="X61" s="9">
        <v>0</v>
      </c>
      <c r="Y61" s="9">
        <v>51676.2</v>
      </c>
      <c r="Z61" s="9"/>
      <c r="AA61" s="9"/>
      <c r="AB61" s="9"/>
      <c r="AC61" s="9"/>
      <c r="AD61" s="9"/>
      <c r="AE61" s="9"/>
      <c r="AF61" s="9"/>
      <c r="AG61" s="9"/>
      <c r="AH61" s="7">
        <v>0</v>
      </c>
      <c r="AI61" s="7">
        <v>51676.2</v>
      </c>
    </row>
    <row r="62" spans="2:35" x14ac:dyDescent="0.3">
      <c r="B62" s="5" t="s">
        <v>3061</v>
      </c>
      <c r="C62" s="5" t="s">
        <v>13</v>
      </c>
      <c r="D62" s="6" t="s">
        <v>14</v>
      </c>
      <c r="E62" s="6" t="s">
        <v>203</v>
      </c>
      <c r="F62" s="6" t="s">
        <v>204</v>
      </c>
      <c r="G62" s="6" t="s">
        <v>205</v>
      </c>
      <c r="H62" s="7" t="str">
        <f t="shared" si="0"/>
        <v>SEC-IPU-C750-01OPERATIONAL</v>
      </c>
      <c r="I62" s="8" t="s">
        <v>24</v>
      </c>
      <c r="J62" s="8" t="s">
        <v>19</v>
      </c>
      <c r="K62" s="8" t="s">
        <v>20</v>
      </c>
      <c r="L62" s="9">
        <v>950</v>
      </c>
      <c r="M62" s="9">
        <v>0</v>
      </c>
      <c r="N62" s="9">
        <v>1425</v>
      </c>
      <c r="O62" s="9">
        <v>134.12</v>
      </c>
      <c r="P62" s="9">
        <v>1900</v>
      </c>
      <c r="Q62" s="9">
        <v>287.01</v>
      </c>
      <c r="R62" s="9">
        <v>2375</v>
      </c>
      <c r="S62" s="9">
        <v>487.01</v>
      </c>
      <c r="T62" s="9">
        <v>2850</v>
      </c>
      <c r="U62" s="9">
        <v>699.16</v>
      </c>
      <c r="V62" s="9"/>
      <c r="W62" s="9"/>
      <c r="X62" s="9">
        <v>3325</v>
      </c>
      <c r="Y62" s="9">
        <v>872.65</v>
      </c>
      <c r="Z62" s="9"/>
      <c r="AA62" s="9"/>
      <c r="AB62" s="9"/>
      <c r="AC62" s="9"/>
      <c r="AD62" s="9"/>
      <c r="AE62" s="9"/>
      <c r="AF62" s="9"/>
      <c r="AG62" s="9"/>
      <c r="AH62" s="7">
        <v>3325</v>
      </c>
      <c r="AI62" s="7">
        <v>872.65</v>
      </c>
    </row>
    <row r="63" spans="2:35" x14ac:dyDescent="0.3">
      <c r="B63" s="5" t="s">
        <v>3061</v>
      </c>
      <c r="C63" s="5" t="s">
        <v>13</v>
      </c>
      <c r="D63" s="6" t="s">
        <v>14</v>
      </c>
      <c r="E63" s="6" t="s">
        <v>206</v>
      </c>
      <c r="F63" s="6" t="s">
        <v>207</v>
      </c>
      <c r="G63" s="6" t="s">
        <v>208</v>
      </c>
      <c r="H63" s="7" t="str">
        <f t="shared" si="0"/>
        <v>CL3-IPU-I522-01OPERATIONAL</v>
      </c>
      <c r="I63" s="8" t="s">
        <v>24</v>
      </c>
      <c r="J63" s="8" t="s">
        <v>19</v>
      </c>
      <c r="K63" s="8" t="s">
        <v>98</v>
      </c>
      <c r="L63" s="9">
        <v>14319.01</v>
      </c>
      <c r="M63" s="9">
        <v>5514.92</v>
      </c>
      <c r="N63" s="9">
        <v>22020.23</v>
      </c>
      <c r="O63" s="9">
        <v>8669.380000000001</v>
      </c>
      <c r="P63" s="9">
        <v>24139.35</v>
      </c>
      <c r="Q63" s="9">
        <v>12211.31</v>
      </c>
      <c r="R63" s="9">
        <v>32000.47</v>
      </c>
      <c r="S63" s="9">
        <v>15360.15</v>
      </c>
      <c r="T63" s="9">
        <v>36154.83</v>
      </c>
      <c r="U63" s="9">
        <v>19080.64</v>
      </c>
      <c r="V63" s="9"/>
      <c r="W63" s="9"/>
      <c r="X63" s="9">
        <v>34988.76</v>
      </c>
      <c r="Y63" s="9">
        <v>23164.959999999999</v>
      </c>
      <c r="Z63" s="9"/>
      <c r="AA63" s="9"/>
      <c r="AB63" s="9"/>
      <c r="AC63" s="9"/>
      <c r="AD63" s="9"/>
      <c r="AE63" s="9"/>
      <c r="AF63" s="9"/>
      <c r="AG63" s="9"/>
      <c r="AH63" s="7">
        <v>34988.76</v>
      </c>
      <c r="AI63" s="7">
        <v>23164.959999999999</v>
      </c>
    </row>
    <row r="64" spans="2:35" x14ac:dyDescent="0.3">
      <c r="B64" s="5" t="s">
        <v>3061</v>
      </c>
      <c r="C64" s="5" t="s">
        <v>13</v>
      </c>
      <c r="D64" s="6" t="s">
        <v>14</v>
      </c>
      <c r="E64" s="6" t="s">
        <v>209</v>
      </c>
      <c r="F64" s="6" t="s">
        <v>210</v>
      </c>
      <c r="G64" s="6" t="s">
        <v>211</v>
      </c>
      <c r="H64" s="7" t="str">
        <f t="shared" si="0"/>
        <v>PPP-IPU-I305-01OPERATIONAL</v>
      </c>
      <c r="I64" s="8" t="s">
        <v>18</v>
      </c>
      <c r="J64" s="8" t="s">
        <v>19</v>
      </c>
      <c r="K64" s="8" t="s">
        <v>20</v>
      </c>
      <c r="L64" s="9">
        <v>42499.69</v>
      </c>
      <c r="M64" s="9">
        <v>6520.04</v>
      </c>
      <c r="N64" s="9">
        <v>41975.01</v>
      </c>
      <c r="O64" s="9">
        <v>14259.91</v>
      </c>
      <c r="P64" s="9">
        <v>55966.68</v>
      </c>
      <c r="Q64" s="9">
        <v>20700.330000000002</v>
      </c>
      <c r="R64" s="9">
        <v>69958.350000000006</v>
      </c>
      <c r="S64" s="9">
        <v>26027.71</v>
      </c>
      <c r="T64" s="9">
        <v>83950.02</v>
      </c>
      <c r="U64" s="9">
        <v>31327.98</v>
      </c>
      <c r="V64" s="9"/>
      <c r="W64" s="9"/>
      <c r="X64" s="9">
        <v>97941.69</v>
      </c>
      <c r="Y64" s="9">
        <v>33915.410000000003</v>
      </c>
      <c r="Z64" s="9"/>
      <c r="AA64" s="9"/>
      <c r="AB64" s="9"/>
      <c r="AC64" s="9"/>
      <c r="AD64" s="9"/>
      <c r="AE64" s="9"/>
      <c r="AF64" s="9"/>
      <c r="AG64" s="9"/>
      <c r="AH64" s="7">
        <v>97941.69</v>
      </c>
      <c r="AI64" s="7">
        <v>33915.410000000003</v>
      </c>
    </row>
    <row r="65" spans="2:35" x14ac:dyDescent="0.3">
      <c r="B65" s="5" t="s">
        <v>3061</v>
      </c>
      <c r="C65" s="5" t="s">
        <v>171</v>
      </c>
      <c r="D65" s="6" t="s">
        <v>14</v>
      </c>
      <c r="E65" s="6" t="s">
        <v>212</v>
      </c>
      <c r="F65" s="6" t="s">
        <v>213</v>
      </c>
      <c r="G65" s="6" t="s">
        <v>214</v>
      </c>
      <c r="H65" s="7" t="str">
        <f t="shared" si="0"/>
        <v>PPP-IPU-G587-01OPERATIONAL</v>
      </c>
      <c r="I65" s="8" t="s">
        <v>56</v>
      </c>
      <c r="J65" s="8" t="s">
        <v>19</v>
      </c>
      <c r="K65" s="8" t="s">
        <v>20</v>
      </c>
      <c r="L65" s="9">
        <v>34768.120000000003</v>
      </c>
      <c r="M65" s="9">
        <v>10731.34</v>
      </c>
      <c r="N65" s="9">
        <v>52152.18</v>
      </c>
      <c r="O65" s="9">
        <v>19762.309999999998</v>
      </c>
      <c r="P65" s="9">
        <v>69536.240000000005</v>
      </c>
      <c r="Q65" s="9">
        <v>28527.51</v>
      </c>
      <c r="R65" s="9">
        <v>86920.3</v>
      </c>
      <c r="S65" s="9">
        <v>35772.5</v>
      </c>
      <c r="T65" s="9">
        <v>119903.71</v>
      </c>
      <c r="U65" s="9">
        <v>56264.93</v>
      </c>
      <c r="V65" s="9"/>
      <c r="W65" s="9"/>
      <c r="X65" s="9">
        <v>119903.71</v>
      </c>
      <c r="Y65" s="9">
        <v>83294.95</v>
      </c>
      <c r="Z65" s="9"/>
      <c r="AA65" s="9"/>
      <c r="AB65" s="9"/>
      <c r="AC65" s="9"/>
      <c r="AD65" s="9"/>
      <c r="AE65" s="9"/>
      <c r="AF65" s="9"/>
      <c r="AG65" s="9"/>
      <c r="AH65" s="7">
        <v>119903.71</v>
      </c>
      <c r="AI65" s="7">
        <v>83294.95</v>
      </c>
    </row>
    <row r="66" spans="2:35" x14ac:dyDescent="0.3">
      <c r="B66" s="5" t="s">
        <v>3061</v>
      </c>
      <c r="C66" s="5" t="s">
        <v>13</v>
      </c>
      <c r="D66" s="6" t="s">
        <v>14</v>
      </c>
      <c r="E66" s="6" t="s">
        <v>215</v>
      </c>
      <c r="F66" s="6" t="s">
        <v>216</v>
      </c>
      <c r="G66" s="6" t="s">
        <v>217</v>
      </c>
      <c r="H66" s="7" t="str">
        <f t="shared" si="0"/>
        <v>CL3-IPU-H930-01OPERATIONAL</v>
      </c>
      <c r="I66" s="8" t="s">
        <v>49</v>
      </c>
      <c r="J66" s="8" t="s">
        <v>19</v>
      </c>
      <c r="K66" s="8" t="s">
        <v>98</v>
      </c>
      <c r="L66" s="9">
        <v>121646.3</v>
      </c>
      <c r="M66" s="9">
        <v>33805.81</v>
      </c>
      <c r="N66" s="9">
        <v>186761.94</v>
      </c>
      <c r="O66" s="9">
        <v>58807.87</v>
      </c>
      <c r="P66" s="9">
        <v>248361.82</v>
      </c>
      <c r="Q66" s="9">
        <v>80021.91</v>
      </c>
      <c r="R66" s="9">
        <v>314744.77</v>
      </c>
      <c r="S66" s="9">
        <v>98506.459999999992</v>
      </c>
      <c r="T66" s="9">
        <v>377893.12</v>
      </c>
      <c r="U66" s="9">
        <v>116410.74</v>
      </c>
      <c r="V66" s="9"/>
      <c r="W66" s="9"/>
      <c r="X66" s="9">
        <v>517097.07</v>
      </c>
      <c r="Y66" s="9">
        <v>130809.79</v>
      </c>
      <c r="Z66" s="9"/>
      <c r="AA66" s="9"/>
      <c r="AB66" s="9"/>
      <c r="AC66" s="9"/>
      <c r="AD66" s="9"/>
      <c r="AE66" s="9"/>
      <c r="AF66" s="9"/>
      <c r="AG66" s="9"/>
      <c r="AH66" s="7">
        <v>517097.07</v>
      </c>
      <c r="AI66" s="7">
        <v>130809.79</v>
      </c>
    </row>
    <row r="67" spans="2:35" x14ac:dyDescent="0.3">
      <c r="B67" s="5" t="s">
        <v>3061</v>
      </c>
      <c r="C67" s="5" t="s">
        <v>13</v>
      </c>
      <c r="D67" s="6" t="s">
        <v>14</v>
      </c>
      <c r="E67" s="6" t="s">
        <v>218</v>
      </c>
      <c r="F67" s="6" t="s">
        <v>219</v>
      </c>
      <c r="G67" s="6" t="s">
        <v>220</v>
      </c>
      <c r="H67" s="7" t="str">
        <f t="shared" ref="H67:H130" si="1">+F67&amp;D67</f>
        <v>PPP-IPU-I917-01OPERATIONAL</v>
      </c>
      <c r="I67" s="8" t="s">
        <v>18</v>
      </c>
      <c r="J67" s="8" t="s">
        <v>19</v>
      </c>
      <c r="K67" s="8" t="s">
        <v>20</v>
      </c>
      <c r="L67" s="9">
        <v>11851.5</v>
      </c>
      <c r="M67" s="9">
        <v>3062.59</v>
      </c>
      <c r="N67" s="9">
        <v>17777.25</v>
      </c>
      <c r="O67" s="9">
        <v>6151.3899999999994</v>
      </c>
      <c r="P67" s="9">
        <v>23703</v>
      </c>
      <c r="Q67" s="9">
        <v>8985.44</v>
      </c>
      <c r="R67" s="9">
        <v>29628.75</v>
      </c>
      <c r="S67" s="9">
        <v>11542.18</v>
      </c>
      <c r="T67" s="9">
        <v>35554.5</v>
      </c>
      <c r="U67" s="9">
        <v>13817.619999999999</v>
      </c>
      <c r="V67" s="9"/>
      <c r="W67" s="9"/>
      <c r="X67" s="9">
        <v>35554.5</v>
      </c>
      <c r="Y67" s="9">
        <v>15315.6</v>
      </c>
      <c r="Z67" s="9"/>
      <c r="AA67" s="9"/>
      <c r="AB67" s="9"/>
      <c r="AC67" s="9"/>
      <c r="AD67" s="9"/>
      <c r="AE67" s="9"/>
      <c r="AF67" s="9"/>
      <c r="AG67" s="9"/>
      <c r="AH67" s="7">
        <v>35554.5</v>
      </c>
      <c r="AI67" s="7">
        <v>15315.6</v>
      </c>
    </row>
    <row r="68" spans="2:35" x14ac:dyDescent="0.3">
      <c r="B68" s="5" t="s">
        <v>3061</v>
      </c>
      <c r="C68" s="5" t="s">
        <v>13</v>
      </c>
      <c r="D68" s="6" t="s">
        <v>14</v>
      </c>
      <c r="E68" s="6" t="s">
        <v>221</v>
      </c>
      <c r="F68" s="6" t="s">
        <v>222</v>
      </c>
      <c r="G68" s="6" t="s">
        <v>223</v>
      </c>
      <c r="H68" s="7" t="str">
        <f t="shared" si="1"/>
        <v>PPP-IPU-F747-01OPERATIONAL</v>
      </c>
      <c r="I68" s="8" t="s">
        <v>24</v>
      </c>
      <c r="J68" s="8" t="s">
        <v>19</v>
      </c>
      <c r="K68" s="8" t="s">
        <v>20</v>
      </c>
      <c r="L68" s="9">
        <v>18260.02</v>
      </c>
      <c r="M68" s="9">
        <v>5309.9400000000005</v>
      </c>
      <c r="N68" s="9">
        <v>30266.38</v>
      </c>
      <c r="O68" s="9">
        <v>8681.1</v>
      </c>
      <c r="P68" s="9">
        <v>39396.39</v>
      </c>
      <c r="Q68" s="9">
        <v>13735.33</v>
      </c>
      <c r="R68" s="9">
        <v>48526.400000000001</v>
      </c>
      <c r="S68" s="9">
        <v>14819.46</v>
      </c>
      <c r="T68" s="9">
        <v>51251.41</v>
      </c>
      <c r="U68" s="9">
        <v>20871.079999999998</v>
      </c>
      <c r="V68" s="9"/>
      <c r="W68" s="9"/>
      <c r="X68" s="9">
        <v>30116.92</v>
      </c>
      <c r="Y68" s="9">
        <v>22062.89</v>
      </c>
      <c r="Z68" s="9"/>
      <c r="AA68" s="9"/>
      <c r="AB68" s="9"/>
      <c r="AC68" s="9"/>
      <c r="AD68" s="9"/>
      <c r="AE68" s="9"/>
      <c r="AF68" s="9"/>
      <c r="AG68" s="9"/>
      <c r="AH68" s="7">
        <v>30116.92</v>
      </c>
      <c r="AI68" s="7">
        <v>22062.89</v>
      </c>
    </row>
    <row r="69" spans="2:35" x14ac:dyDescent="0.3">
      <c r="B69" s="5" t="s">
        <v>3061</v>
      </c>
      <c r="C69" s="5" t="s">
        <v>13</v>
      </c>
      <c r="D69" s="6" t="s">
        <v>14</v>
      </c>
      <c r="E69" s="6" t="s">
        <v>224</v>
      </c>
      <c r="F69" s="6" t="s">
        <v>225</v>
      </c>
      <c r="G69" s="6" t="s">
        <v>226</v>
      </c>
      <c r="H69" s="7" t="str">
        <f t="shared" si="1"/>
        <v>PPP-IPU-I332-01OPERATIONAL</v>
      </c>
      <c r="I69" s="8" t="s">
        <v>24</v>
      </c>
      <c r="J69" s="8" t="s">
        <v>19</v>
      </c>
      <c r="K69" s="8" t="s">
        <v>20</v>
      </c>
      <c r="L69" s="9">
        <v>10579.42</v>
      </c>
      <c r="M69" s="9">
        <v>3706.5</v>
      </c>
      <c r="N69" s="9">
        <v>15869.13</v>
      </c>
      <c r="O69" s="9">
        <v>6561.2999999999993</v>
      </c>
      <c r="P69" s="9">
        <v>21158.84</v>
      </c>
      <c r="Q69" s="9">
        <v>6674.4299999999994</v>
      </c>
      <c r="R69" s="9">
        <v>19315.849999999999</v>
      </c>
      <c r="S69" s="9">
        <v>8519.65</v>
      </c>
      <c r="T69" s="9">
        <v>23179.02</v>
      </c>
      <c r="U69" s="9">
        <v>9771.0399999999991</v>
      </c>
      <c r="V69" s="9"/>
      <c r="W69" s="9"/>
      <c r="X69" s="9">
        <v>27042.19</v>
      </c>
      <c r="Y69" s="9">
        <v>10918.66</v>
      </c>
      <c r="Z69" s="9"/>
      <c r="AA69" s="9"/>
      <c r="AB69" s="9"/>
      <c r="AC69" s="9"/>
      <c r="AD69" s="9"/>
      <c r="AE69" s="9"/>
      <c r="AF69" s="9"/>
      <c r="AG69" s="9"/>
      <c r="AH69" s="7">
        <v>27042.19</v>
      </c>
      <c r="AI69" s="7">
        <v>10918.66</v>
      </c>
    </row>
    <row r="70" spans="2:35" x14ac:dyDescent="0.3">
      <c r="B70" s="5" t="s">
        <v>3061</v>
      </c>
      <c r="C70" s="5" t="s">
        <v>13</v>
      </c>
      <c r="D70" s="6" t="s">
        <v>14</v>
      </c>
      <c r="E70" s="6" t="s">
        <v>227</v>
      </c>
      <c r="F70" s="6" t="s">
        <v>228</v>
      </c>
      <c r="G70" s="6" t="s">
        <v>229</v>
      </c>
      <c r="H70" s="7" t="str">
        <f t="shared" si="1"/>
        <v>PPP-IPU-D748-01OPERATIONAL</v>
      </c>
      <c r="I70" s="8" t="s">
        <v>56</v>
      </c>
      <c r="J70" s="8" t="s">
        <v>19</v>
      </c>
      <c r="K70" s="8" t="s">
        <v>20</v>
      </c>
      <c r="L70" s="9">
        <v>0</v>
      </c>
      <c r="M70" s="9">
        <v>1471.51</v>
      </c>
      <c r="N70" s="9">
        <v>9285.2099999999991</v>
      </c>
      <c r="O70" s="9">
        <v>1572.99</v>
      </c>
      <c r="P70" s="9">
        <v>12380.28</v>
      </c>
      <c r="Q70" s="9">
        <v>1847.64</v>
      </c>
      <c r="R70" s="9">
        <v>15475.35</v>
      </c>
      <c r="S70" s="9">
        <v>2531.12</v>
      </c>
      <c r="T70" s="9">
        <v>18570.419999999998</v>
      </c>
      <c r="U70" s="9">
        <v>3322.78</v>
      </c>
      <c r="V70" s="9"/>
      <c r="W70" s="9"/>
      <c r="X70" s="9">
        <v>0</v>
      </c>
      <c r="Y70" s="9">
        <v>3737.73</v>
      </c>
      <c r="Z70" s="9"/>
      <c r="AA70" s="9"/>
      <c r="AB70" s="9"/>
      <c r="AC70" s="9"/>
      <c r="AD70" s="9"/>
      <c r="AE70" s="9"/>
      <c r="AF70" s="9"/>
      <c r="AG70" s="9"/>
      <c r="AH70" s="7">
        <v>0</v>
      </c>
      <c r="AI70" s="7">
        <v>3737.73</v>
      </c>
    </row>
    <row r="71" spans="2:35" x14ac:dyDescent="0.3">
      <c r="B71" s="5" t="s">
        <v>3061</v>
      </c>
      <c r="C71" s="5" t="s">
        <v>13</v>
      </c>
      <c r="D71" s="6" t="s">
        <v>14</v>
      </c>
      <c r="E71" s="6" t="s">
        <v>230</v>
      </c>
      <c r="F71" s="6" t="s">
        <v>231</v>
      </c>
      <c r="G71" s="6" t="s">
        <v>232</v>
      </c>
      <c r="H71" s="7" t="str">
        <f t="shared" si="1"/>
        <v>PPP-IPU-D269-01OPERATIONAL</v>
      </c>
      <c r="I71" s="8" t="s">
        <v>18</v>
      </c>
      <c r="J71" s="8" t="s">
        <v>19</v>
      </c>
      <c r="K71" s="8" t="s">
        <v>20</v>
      </c>
      <c r="L71" s="9">
        <v>0</v>
      </c>
      <c r="M71" s="9">
        <v>6762.36</v>
      </c>
      <c r="N71" s="9">
        <v>0</v>
      </c>
      <c r="O71" s="9">
        <v>11993.19</v>
      </c>
      <c r="P71" s="9">
        <v>23485.15</v>
      </c>
      <c r="Q71" s="9">
        <v>17785.150000000001</v>
      </c>
      <c r="R71" s="9">
        <v>-3321.81</v>
      </c>
      <c r="S71" s="9">
        <v>17785.150000000001</v>
      </c>
      <c r="T71" s="9">
        <v>30525.61</v>
      </c>
      <c r="U71" s="9">
        <v>26525.61</v>
      </c>
      <c r="V71" s="9"/>
      <c r="W71" s="9"/>
      <c r="X71" s="9">
        <v>0</v>
      </c>
      <c r="Y71" s="9">
        <v>30422.19</v>
      </c>
      <c r="Z71" s="9"/>
      <c r="AA71" s="9"/>
      <c r="AB71" s="9"/>
      <c r="AC71" s="9"/>
      <c r="AD71" s="9"/>
      <c r="AE71" s="9"/>
      <c r="AF71" s="9"/>
      <c r="AG71" s="9"/>
      <c r="AH71" s="7">
        <v>0</v>
      </c>
      <c r="AI71" s="7">
        <v>30422.19</v>
      </c>
    </row>
    <row r="72" spans="2:35" x14ac:dyDescent="0.3">
      <c r="B72" s="5" t="s">
        <v>3061</v>
      </c>
      <c r="C72" s="5" t="s">
        <v>13</v>
      </c>
      <c r="D72" s="6" t="s">
        <v>14</v>
      </c>
      <c r="E72" s="6" t="s">
        <v>233</v>
      </c>
      <c r="F72" s="6" t="s">
        <v>234</v>
      </c>
      <c r="G72" s="6" t="s">
        <v>235</v>
      </c>
      <c r="H72" s="7" t="str">
        <f t="shared" si="1"/>
        <v>CL3-IPU-G103-01OPERATIONAL</v>
      </c>
      <c r="I72" s="8" t="s">
        <v>49</v>
      </c>
      <c r="J72" s="8" t="s">
        <v>19</v>
      </c>
      <c r="K72" s="8" t="s">
        <v>98</v>
      </c>
      <c r="L72" s="9">
        <v>29082.95</v>
      </c>
      <c r="M72" s="9">
        <v>12308.599999999999</v>
      </c>
      <c r="N72" s="9">
        <v>44852.84</v>
      </c>
      <c r="O72" s="9">
        <v>19079.170000000002</v>
      </c>
      <c r="P72" s="9">
        <v>59625.75</v>
      </c>
      <c r="Q72" s="9">
        <v>30113.989999999998</v>
      </c>
      <c r="R72" s="9">
        <v>75600.37</v>
      </c>
      <c r="S72" s="9">
        <v>36865.040000000001</v>
      </c>
      <c r="T72" s="9">
        <v>90934.09</v>
      </c>
      <c r="U72" s="9">
        <v>49602.82</v>
      </c>
      <c r="V72" s="9"/>
      <c r="W72" s="9"/>
      <c r="X72" s="9">
        <v>124381.15</v>
      </c>
      <c r="Y72" s="9">
        <v>55437.35</v>
      </c>
      <c r="Z72" s="9"/>
      <c r="AA72" s="9"/>
      <c r="AB72" s="9"/>
      <c r="AC72" s="9"/>
      <c r="AD72" s="9"/>
      <c r="AE72" s="9"/>
      <c r="AF72" s="9"/>
      <c r="AG72" s="9"/>
      <c r="AH72" s="7">
        <v>124381.15</v>
      </c>
      <c r="AI72" s="7">
        <v>55437.35</v>
      </c>
    </row>
    <row r="73" spans="2:35" x14ac:dyDescent="0.3">
      <c r="B73" s="5" t="s">
        <v>3061</v>
      </c>
      <c r="C73" s="5" t="s">
        <v>13</v>
      </c>
      <c r="D73" s="6" t="s">
        <v>14</v>
      </c>
      <c r="E73" s="6" t="s">
        <v>236</v>
      </c>
      <c r="F73" s="6" t="s">
        <v>237</v>
      </c>
      <c r="G73" s="6" t="s">
        <v>238</v>
      </c>
      <c r="H73" s="7" t="str">
        <f t="shared" si="1"/>
        <v>PPP-IPU-B391-01OPERATIONAL</v>
      </c>
      <c r="I73" s="8" t="s">
        <v>18</v>
      </c>
      <c r="J73" s="8" t="s">
        <v>19</v>
      </c>
      <c r="K73" s="8" t="s">
        <v>20</v>
      </c>
      <c r="L73" s="9">
        <v>6619.38</v>
      </c>
      <c r="M73" s="9">
        <v>1689.4</v>
      </c>
      <c r="N73" s="9">
        <v>9929.07</v>
      </c>
      <c r="O73" s="9">
        <v>3011.33</v>
      </c>
      <c r="P73" s="9">
        <v>13238.76</v>
      </c>
      <c r="Q73" s="9">
        <v>4497.84</v>
      </c>
      <c r="R73" s="9">
        <v>16548.45</v>
      </c>
      <c r="S73" s="9">
        <v>5944.335</v>
      </c>
      <c r="T73" s="9">
        <v>19858.14</v>
      </c>
      <c r="U73" s="9">
        <v>7199.3850000000002</v>
      </c>
      <c r="V73" s="9"/>
      <c r="W73" s="9"/>
      <c r="X73" s="9">
        <v>23167.83</v>
      </c>
      <c r="Y73" s="9">
        <v>8404.25</v>
      </c>
      <c r="Z73" s="9"/>
      <c r="AA73" s="9"/>
      <c r="AB73" s="9"/>
      <c r="AC73" s="9"/>
      <c r="AD73" s="9"/>
      <c r="AE73" s="9"/>
      <c r="AF73" s="9"/>
      <c r="AG73" s="9"/>
      <c r="AH73" s="7">
        <v>23167.83</v>
      </c>
      <c r="AI73" s="7">
        <v>8404.25</v>
      </c>
    </row>
    <row r="74" spans="2:35" x14ac:dyDescent="0.3">
      <c r="B74" s="5" t="s">
        <v>3061</v>
      </c>
      <c r="C74" s="5" t="s">
        <v>13</v>
      </c>
      <c r="D74" s="6" t="s">
        <v>14</v>
      </c>
      <c r="E74" s="6" t="s">
        <v>239</v>
      </c>
      <c r="F74" s="6" t="s">
        <v>240</v>
      </c>
      <c r="G74" s="6" t="s">
        <v>75</v>
      </c>
      <c r="H74" s="7" t="str">
        <f t="shared" si="1"/>
        <v>PPP-IPU-E053-01OPERATIONAL</v>
      </c>
      <c r="I74" s="8" t="s">
        <v>18</v>
      </c>
      <c r="J74" s="8" t="s">
        <v>19</v>
      </c>
      <c r="K74" s="8" t="s">
        <v>20</v>
      </c>
      <c r="L74" s="9">
        <v>8469.94</v>
      </c>
      <c r="M74" s="9">
        <v>2886.63</v>
      </c>
      <c r="N74" s="9">
        <v>12704.91</v>
      </c>
      <c r="O74" s="9">
        <v>5809.95</v>
      </c>
      <c r="P74" s="9">
        <v>16939.88</v>
      </c>
      <c r="Q74" s="9">
        <v>8910.5300000000025</v>
      </c>
      <c r="R74" s="9">
        <v>21174.85</v>
      </c>
      <c r="S74" s="9">
        <v>11323.53</v>
      </c>
      <c r="T74" s="9">
        <v>25409.82</v>
      </c>
      <c r="U74" s="9">
        <v>13481.72</v>
      </c>
      <c r="V74" s="9"/>
      <c r="W74" s="9"/>
      <c r="X74" s="9">
        <v>29644.79</v>
      </c>
      <c r="Y74" s="9">
        <v>14141.13</v>
      </c>
      <c r="Z74" s="9"/>
      <c r="AA74" s="9"/>
      <c r="AB74" s="9"/>
      <c r="AC74" s="9"/>
      <c r="AD74" s="9"/>
      <c r="AE74" s="9"/>
      <c r="AF74" s="9"/>
      <c r="AG74" s="9"/>
      <c r="AH74" s="7">
        <v>29644.79</v>
      </c>
      <c r="AI74" s="7">
        <v>14141.13</v>
      </c>
    </row>
    <row r="75" spans="2:35" x14ac:dyDescent="0.3">
      <c r="B75" s="5" t="s">
        <v>3061</v>
      </c>
      <c r="C75" s="5" t="s">
        <v>13</v>
      </c>
      <c r="D75" s="6" t="s">
        <v>14</v>
      </c>
      <c r="E75" s="6" t="s">
        <v>241</v>
      </c>
      <c r="F75" s="6" t="s">
        <v>242</v>
      </c>
      <c r="G75" s="6" t="s">
        <v>243</v>
      </c>
      <c r="H75" s="7" t="str">
        <f t="shared" si="1"/>
        <v>CL3-IPU-H240-01OPERATIONAL</v>
      </c>
      <c r="I75" s="8" t="s">
        <v>49</v>
      </c>
      <c r="J75" s="8" t="s">
        <v>19</v>
      </c>
      <c r="K75" s="8" t="s">
        <v>98</v>
      </c>
      <c r="L75" s="9">
        <v>110122.94</v>
      </c>
      <c r="M75" s="9">
        <v>14079.78</v>
      </c>
      <c r="N75" s="9">
        <v>168085.89</v>
      </c>
      <c r="O75" s="9">
        <v>24180.44</v>
      </c>
      <c r="P75" s="9">
        <v>223660.75</v>
      </c>
      <c r="Q75" s="9">
        <v>42146.57</v>
      </c>
      <c r="R75" s="9">
        <v>282681.08</v>
      </c>
      <c r="S75" s="9">
        <v>65862.490000000005</v>
      </c>
      <c r="T75" s="9">
        <v>337893.86</v>
      </c>
      <c r="U75" s="9">
        <v>74754.13</v>
      </c>
      <c r="V75" s="9"/>
      <c r="W75" s="9"/>
      <c r="X75" s="9">
        <v>459866.76</v>
      </c>
      <c r="Y75" s="9">
        <v>81919.48</v>
      </c>
      <c r="Z75" s="9"/>
      <c r="AA75" s="9"/>
      <c r="AB75" s="9"/>
      <c r="AC75" s="9"/>
      <c r="AD75" s="9"/>
      <c r="AE75" s="9"/>
      <c r="AF75" s="9"/>
      <c r="AG75" s="9"/>
      <c r="AH75" s="7">
        <v>459866.76</v>
      </c>
      <c r="AI75" s="7">
        <v>81919.48</v>
      </c>
    </row>
    <row r="76" spans="2:35" x14ac:dyDescent="0.3">
      <c r="B76" s="5" t="s">
        <v>3061</v>
      </c>
      <c r="C76" s="5" t="s">
        <v>13</v>
      </c>
      <c r="D76" s="6" t="s">
        <v>14</v>
      </c>
      <c r="E76" s="6" t="s">
        <v>244</v>
      </c>
      <c r="F76" s="6" t="s">
        <v>245</v>
      </c>
      <c r="G76" s="6" t="s">
        <v>246</v>
      </c>
      <c r="H76" s="7" t="str">
        <f t="shared" si="1"/>
        <v>PPP-IPU-M367-01OPERATIONAL</v>
      </c>
      <c r="I76" s="8" t="s">
        <v>24</v>
      </c>
      <c r="J76" s="8" t="s">
        <v>19</v>
      </c>
      <c r="K76" s="8" t="s">
        <v>20</v>
      </c>
      <c r="L76" s="9">
        <v>39991.919999999998</v>
      </c>
      <c r="M76" s="9">
        <v>4561.0600000000004</v>
      </c>
      <c r="N76" s="9">
        <v>59987.88</v>
      </c>
      <c r="O76" s="9">
        <v>7864.0300000000007</v>
      </c>
      <c r="P76" s="9">
        <v>79983.839999999997</v>
      </c>
      <c r="Q76" s="9">
        <v>10880.91</v>
      </c>
      <c r="R76" s="9">
        <v>99979.8</v>
      </c>
      <c r="S76" s="9">
        <v>15798.02</v>
      </c>
      <c r="T76" s="9">
        <v>119975.76</v>
      </c>
      <c r="U76" s="9">
        <v>18730.379999999997</v>
      </c>
      <c r="V76" s="9"/>
      <c r="W76" s="9"/>
      <c r="X76" s="9">
        <v>139971.72</v>
      </c>
      <c r="Y76" s="9">
        <v>19376.189999999999</v>
      </c>
      <c r="Z76" s="9"/>
      <c r="AA76" s="9"/>
      <c r="AB76" s="9"/>
      <c r="AC76" s="9"/>
      <c r="AD76" s="9"/>
      <c r="AE76" s="9"/>
      <c r="AF76" s="9"/>
      <c r="AG76" s="9"/>
      <c r="AH76" s="7">
        <v>139971.72</v>
      </c>
      <c r="AI76" s="7">
        <v>19376.189999999999</v>
      </c>
    </row>
    <row r="77" spans="2:35" x14ac:dyDescent="0.3">
      <c r="B77" s="5" t="s">
        <v>3061</v>
      </c>
      <c r="C77" s="5" t="s">
        <v>13</v>
      </c>
      <c r="D77" s="6" t="s">
        <v>14</v>
      </c>
      <c r="E77" s="6" t="s">
        <v>247</v>
      </c>
      <c r="F77" s="6" t="s">
        <v>248</v>
      </c>
      <c r="G77" s="6" t="s">
        <v>249</v>
      </c>
      <c r="H77" s="7" t="str">
        <f t="shared" si="1"/>
        <v>ATI-IPU-H498-01OPERATIONAL</v>
      </c>
      <c r="I77" s="8" t="s">
        <v>49</v>
      </c>
      <c r="J77" s="8" t="s">
        <v>19</v>
      </c>
      <c r="K77" s="8" t="s">
        <v>20</v>
      </c>
      <c r="L77" s="9">
        <v>6700.65</v>
      </c>
      <c r="M77" s="9">
        <v>2992.85</v>
      </c>
      <c r="N77" s="9">
        <v>10050.98</v>
      </c>
      <c r="O77" s="9">
        <v>5288.57</v>
      </c>
      <c r="P77" s="9">
        <v>13401.3</v>
      </c>
      <c r="Q77" s="9">
        <v>7963.39</v>
      </c>
      <c r="R77" s="9">
        <v>16751.63</v>
      </c>
      <c r="S77" s="9">
        <v>10342.299999999999</v>
      </c>
      <c r="T77" s="9">
        <v>20101.95</v>
      </c>
      <c r="U77" s="9">
        <v>10534.3</v>
      </c>
      <c r="V77" s="9"/>
      <c r="W77" s="9"/>
      <c r="X77" s="9">
        <v>20101.95</v>
      </c>
      <c r="Y77" s="9">
        <v>14834.69</v>
      </c>
      <c r="Z77" s="9"/>
      <c r="AA77" s="9"/>
      <c r="AB77" s="9"/>
      <c r="AC77" s="9"/>
      <c r="AD77" s="9"/>
      <c r="AE77" s="9"/>
      <c r="AF77" s="9"/>
      <c r="AG77" s="9"/>
      <c r="AH77" s="7">
        <v>20101.95</v>
      </c>
      <c r="AI77" s="7">
        <v>14834.69</v>
      </c>
    </row>
    <row r="78" spans="2:35" x14ac:dyDescent="0.3">
      <c r="B78" s="5" t="s">
        <v>3061</v>
      </c>
      <c r="C78" s="5" t="s">
        <v>13</v>
      </c>
      <c r="D78" s="6" t="s">
        <v>14</v>
      </c>
      <c r="E78" s="6" t="s">
        <v>250</v>
      </c>
      <c r="F78" s="6" t="s">
        <v>251</v>
      </c>
      <c r="G78" s="6" t="s">
        <v>252</v>
      </c>
      <c r="H78" s="7" t="str">
        <f t="shared" si="1"/>
        <v>CL3-IPU-D542-01OPERATIONAL</v>
      </c>
      <c r="I78" s="8" t="s">
        <v>24</v>
      </c>
      <c r="J78" s="8" t="s">
        <v>19</v>
      </c>
      <c r="K78" s="8" t="s">
        <v>98</v>
      </c>
      <c r="L78" s="9">
        <v>171370.64</v>
      </c>
      <c r="M78" s="9">
        <v>47367.415000000001</v>
      </c>
      <c r="N78" s="9">
        <v>264129.05</v>
      </c>
      <c r="O78" s="9">
        <v>81128.145000000004</v>
      </c>
      <c r="P78" s="9">
        <v>284001.03999999998</v>
      </c>
      <c r="Q78" s="9">
        <v>123389.735</v>
      </c>
      <c r="R78" s="9">
        <v>378847.68</v>
      </c>
      <c r="S78" s="9">
        <v>153040.31</v>
      </c>
      <c r="T78" s="9">
        <v>465004.54</v>
      </c>
      <c r="U78" s="9">
        <v>180209.67499999999</v>
      </c>
      <c r="V78" s="9"/>
      <c r="W78" s="9"/>
      <c r="X78" s="9">
        <v>559215.35</v>
      </c>
      <c r="Y78" s="9">
        <v>203621.18</v>
      </c>
      <c r="Z78" s="9"/>
      <c r="AA78" s="9"/>
      <c r="AB78" s="9"/>
      <c r="AC78" s="9"/>
      <c r="AD78" s="9"/>
      <c r="AE78" s="9"/>
      <c r="AF78" s="9"/>
      <c r="AG78" s="9"/>
      <c r="AH78" s="7">
        <v>559215.35</v>
      </c>
      <c r="AI78" s="7">
        <v>203621.18</v>
      </c>
    </row>
    <row r="79" spans="2:35" x14ac:dyDescent="0.3">
      <c r="B79" s="5" t="s">
        <v>3061</v>
      </c>
      <c r="C79" s="5" t="s">
        <v>13</v>
      </c>
      <c r="D79" s="6" t="s">
        <v>14</v>
      </c>
      <c r="E79" s="6" t="s">
        <v>253</v>
      </c>
      <c r="F79" s="6" t="s">
        <v>254</v>
      </c>
      <c r="G79" s="6" t="s">
        <v>255</v>
      </c>
      <c r="H79" s="7" t="str">
        <f t="shared" si="1"/>
        <v>PPP-IPU-G707-01OPERATIONAL</v>
      </c>
      <c r="I79" s="8" t="s">
        <v>18</v>
      </c>
      <c r="J79" s="8" t="s">
        <v>19</v>
      </c>
      <c r="K79" s="8" t="s">
        <v>20</v>
      </c>
      <c r="L79" s="9">
        <v>32313.759999999998</v>
      </c>
      <c r="M79" s="9">
        <v>4866.25</v>
      </c>
      <c r="N79" s="9">
        <v>48470.64</v>
      </c>
      <c r="O79" s="9">
        <v>10458.01</v>
      </c>
      <c r="P79" s="9">
        <v>64627.519999999997</v>
      </c>
      <c r="Q79" s="9">
        <v>15420.93</v>
      </c>
      <c r="R79" s="9">
        <v>80784.399999999994</v>
      </c>
      <c r="S79" s="9">
        <v>20628.63</v>
      </c>
      <c r="T79" s="9">
        <v>96941.28</v>
      </c>
      <c r="U79" s="9">
        <v>24406.420000000002</v>
      </c>
      <c r="V79" s="9"/>
      <c r="W79" s="9"/>
      <c r="X79" s="9">
        <v>113098.16</v>
      </c>
      <c r="Y79" s="9">
        <v>27289.64</v>
      </c>
      <c r="Z79" s="9"/>
      <c r="AA79" s="9"/>
      <c r="AB79" s="9"/>
      <c r="AC79" s="9"/>
      <c r="AD79" s="9"/>
      <c r="AE79" s="9"/>
      <c r="AF79" s="9"/>
      <c r="AG79" s="9"/>
      <c r="AH79" s="7">
        <v>113098.16</v>
      </c>
      <c r="AI79" s="7">
        <v>27289.64</v>
      </c>
    </row>
    <row r="80" spans="2:35" x14ac:dyDescent="0.3">
      <c r="B80" s="5" t="s">
        <v>3061</v>
      </c>
      <c r="C80" s="5" t="s">
        <v>13</v>
      </c>
      <c r="D80" s="6" t="s">
        <v>14</v>
      </c>
      <c r="E80" s="6" t="s">
        <v>256</v>
      </c>
      <c r="F80" s="6" t="s">
        <v>257</v>
      </c>
      <c r="G80" s="6" t="s">
        <v>258</v>
      </c>
      <c r="H80" s="7" t="str">
        <f t="shared" si="1"/>
        <v>PPP-IPU-H501-02OPERATIONAL</v>
      </c>
      <c r="I80" s="8" t="s">
        <v>24</v>
      </c>
      <c r="J80" s="8" t="s">
        <v>259</v>
      </c>
      <c r="K80" s="8" t="s">
        <v>259</v>
      </c>
      <c r="L80" s="9">
        <v>0</v>
      </c>
      <c r="M80" s="9">
        <v>5000</v>
      </c>
      <c r="N80" s="9">
        <v>1223.3900000000001</v>
      </c>
      <c r="O80" s="9">
        <v>7500</v>
      </c>
      <c r="P80" s="9">
        <v>2446.7800000000002</v>
      </c>
      <c r="Q80" s="9">
        <v>10000</v>
      </c>
      <c r="R80" s="9">
        <v>1223.3900000000001</v>
      </c>
      <c r="S80" s="9">
        <v>12500</v>
      </c>
      <c r="T80" s="9">
        <v>20882.060000000001</v>
      </c>
      <c r="U80" s="9">
        <v>15000</v>
      </c>
      <c r="V80" s="9"/>
      <c r="W80" s="9"/>
      <c r="X80" s="9">
        <v>20882.07</v>
      </c>
      <c r="Y80" s="9">
        <v>20000</v>
      </c>
      <c r="Z80" s="9"/>
      <c r="AA80" s="9"/>
      <c r="AB80" s="9"/>
      <c r="AC80" s="9"/>
      <c r="AD80" s="9"/>
      <c r="AE80" s="9"/>
      <c r="AF80" s="9"/>
      <c r="AG80" s="9"/>
      <c r="AH80" s="7">
        <v>20882.07</v>
      </c>
      <c r="AI80" s="7">
        <v>20000</v>
      </c>
    </row>
    <row r="81" spans="2:35" x14ac:dyDescent="0.3">
      <c r="B81" s="5" t="s">
        <v>3061</v>
      </c>
      <c r="C81" s="5" t="s">
        <v>13</v>
      </c>
      <c r="D81" s="6" t="s">
        <v>14</v>
      </c>
      <c r="E81" s="6" t="s">
        <v>260</v>
      </c>
      <c r="F81" s="6" t="s">
        <v>261</v>
      </c>
      <c r="G81" s="6" t="s">
        <v>262</v>
      </c>
      <c r="H81" s="7" t="str">
        <f t="shared" si="1"/>
        <v>PPP-IPU-G867-01OPERATIONAL</v>
      </c>
      <c r="I81" s="8" t="s">
        <v>49</v>
      </c>
      <c r="J81" s="8" t="s">
        <v>19</v>
      </c>
      <c r="K81" s="8" t="s">
        <v>20</v>
      </c>
      <c r="L81" s="9">
        <v>16974.080000000002</v>
      </c>
      <c r="M81" s="9">
        <v>15950.85</v>
      </c>
      <c r="N81" s="9">
        <v>25461.119999999999</v>
      </c>
      <c r="O81" s="9">
        <v>25723.53</v>
      </c>
      <c r="P81" s="9">
        <v>33948.160000000003</v>
      </c>
      <c r="Q81" s="9">
        <v>36341.74</v>
      </c>
      <c r="R81" s="9">
        <v>42435.199999999997</v>
      </c>
      <c r="S81" s="9">
        <v>49431.3</v>
      </c>
      <c r="T81" s="9">
        <v>50922.239999999998</v>
      </c>
      <c r="U81" s="9">
        <v>55541.65</v>
      </c>
      <c r="V81" s="9"/>
      <c r="W81" s="9"/>
      <c r="X81" s="9">
        <v>0</v>
      </c>
      <c r="Y81" s="9">
        <v>59289.96</v>
      </c>
      <c r="Z81" s="9"/>
      <c r="AA81" s="9"/>
      <c r="AB81" s="9"/>
      <c r="AC81" s="9"/>
      <c r="AD81" s="9"/>
      <c r="AE81" s="9"/>
      <c r="AF81" s="9"/>
      <c r="AG81" s="9"/>
      <c r="AH81" s="7">
        <v>0</v>
      </c>
      <c r="AI81" s="7">
        <v>59289.96</v>
      </c>
    </row>
    <row r="82" spans="2:35" x14ac:dyDescent="0.3">
      <c r="B82" s="5" t="s">
        <v>3061</v>
      </c>
      <c r="C82" s="5" t="s">
        <v>13</v>
      </c>
      <c r="D82" s="6" t="s">
        <v>14</v>
      </c>
      <c r="E82" s="6" t="s">
        <v>263</v>
      </c>
      <c r="F82" s="6" t="s">
        <v>264</v>
      </c>
      <c r="G82" s="6" t="s">
        <v>265</v>
      </c>
      <c r="H82" s="7" t="str">
        <f t="shared" si="1"/>
        <v>PPP-IPU-A854-01OPERATIONAL</v>
      </c>
      <c r="I82" s="8" t="s">
        <v>18</v>
      </c>
      <c r="J82" s="8" t="s">
        <v>19</v>
      </c>
      <c r="K82" s="8" t="s">
        <v>20</v>
      </c>
      <c r="L82" s="9">
        <v>14285.84</v>
      </c>
      <c r="M82" s="9">
        <v>4666.95</v>
      </c>
      <c r="N82" s="9">
        <v>21428.76</v>
      </c>
      <c r="O82" s="9">
        <v>7709.8899999999994</v>
      </c>
      <c r="P82" s="9">
        <v>28571.68</v>
      </c>
      <c r="Q82" s="9">
        <v>11710.66</v>
      </c>
      <c r="R82" s="9">
        <v>35714.6</v>
      </c>
      <c r="S82" s="9">
        <v>14465.78</v>
      </c>
      <c r="T82" s="9">
        <v>42857.52</v>
      </c>
      <c r="U82" s="9">
        <v>17090.030000000002</v>
      </c>
      <c r="V82" s="9"/>
      <c r="W82" s="9"/>
      <c r="X82" s="9">
        <v>50000.44</v>
      </c>
      <c r="Y82" s="9">
        <v>19433.43</v>
      </c>
      <c r="Z82" s="9"/>
      <c r="AA82" s="9"/>
      <c r="AB82" s="9"/>
      <c r="AC82" s="9"/>
      <c r="AD82" s="9"/>
      <c r="AE82" s="9"/>
      <c r="AF82" s="9"/>
      <c r="AG82" s="9"/>
      <c r="AH82" s="7">
        <v>50000.44</v>
      </c>
      <c r="AI82" s="7">
        <v>19433.43</v>
      </c>
    </row>
    <row r="83" spans="2:35" x14ac:dyDescent="0.3">
      <c r="B83" s="5" t="s">
        <v>3061</v>
      </c>
      <c r="C83" s="5" t="s">
        <v>171</v>
      </c>
      <c r="D83" s="6" t="s">
        <v>14</v>
      </c>
      <c r="E83" s="6" t="s">
        <v>266</v>
      </c>
      <c r="F83" s="6" t="s">
        <v>267</v>
      </c>
      <c r="G83" s="6" t="s">
        <v>268</v>
      </c>
      <c r="H83" s="7" t="str">
        <f t="shared" si="1"/>
        <v>PPP-IPU-G694-01OPERATIONAL</v>
      </c>
      <c r="I83" s="8" t="s">
        <v>56</v>
      </c>
      <c r="J83" s="8" t="s">
        <v>19</v>
      </c>
      <c r="K83" s="8" t="s">
        <v>20</v>
      </c>
      <c r="L83" s="9">
        <v>5952.59</v>
      </c>
      <c r="M83" s="9">
        <v>6121.03</v>
      </c>
      <c r="N83" s="9">
        <v>5952.59</v>
      </c>
      <c r="O83" s="9">
        <v>6099.98</v>
      </c>
      <c r="P83" s="9">
        <v>5931.54</v>
      </c>
      <c r="Q83" s="9">
        <v>6108.51</v>
      </c>
      <c r="R83" s="9">
        <v>5931.54</v>
      </c>
      <c r="S83" s="9">
        <v>6108.51</v>
      </c>
      <c r="T83" s="9">
        <v>5931.54</v>
      </c>
      <c r="U83" s="9">
        <v>6108.51</v>
      </c>
      <c r="V83" s="9"/>
      <c r="W83" s="9"/>
      <c r="X83" s="9">
        <v>5931.54</v>
      </c>
      <c r="Y83" s="9">
        <v>6108.51</v>
      </c>
      <c r="Z83" s="9"/>
      <c r="AA83" s="9"/>
      <c r="AB83" s="9"/>
      <c r="AC83" s="9"/>
      <c r="AD83" s="9"/>
      <c r="AE83" s="9"/>
      <c r="AF83" s="9"/>
      <c r="AG83" s="9"/>
      <c r="AH83" s="7">
        <v>5931.54</v>
      </c>
      <c r="AI83" s="7">
        <v>6108.51</v>
      </c>
    </row>
    <row r="84" spans="2:35" x14ac:dyDescent="0.3">
      <c r="B84" s="5" t="s">
        <v>3061</v>
      </c>
      <c r="C84" s="5" t="s">
        <v>13</v>
      </c>
      <c r="D84" s="6" t="s">
        <v>14</v>
      </c>
      <c r="E84" s="6" t="s">
        <v>269</v>
      </c>
      <c r="F84" s="6" t="s">
        <v>270</v>
      </c>
      <c r="G84" s="6" t="s">
        <v>271</v>
      </c>
      <c r="H84" s="7" t="str">
        <f t="shared" si="1"/>
        <v>PPP-IPU-G878-01OPERATIONAL</v>
      </c>
      <c r="I84" s="8" t="s">
        <v>24</v>
      </c>
      <c r="J84" s="8" t="s">
        <v>19</v>
      </c>
      <c r="K84" s="8" t="s">
        <v>20</v>
      </c>
      <c r="L84" s="9">
        <v>32802.300000000003</v>
      </c>
      <c r="M84" s="9">
        <v>9996.59</v>
      </c>
      <c r="N84" s="9">
        <v>59939.16</v>
      </c>
      <c r="O84" s="9">
        <v>18198.150000000001</v>
      </c>
      <c r="P84" s="9">
        <v>101189.28</v>
      </c>
      <c r="Q84" s="9">
        <v>32015.850000000002</v>
      </c>
      <c r="R84" s="9">
        <v>140487.47</v>
      </c>
      <c r="S84" s="9">
        <v>43280.03</v>
      </c>
      <c r="T84" s="9">
        <v>181737.60000000001</v>
      </c>
      <c r="U84" s="9">
        <v>49743.429999999993</v>
      </c>
      <c r="V84" s="9"/>
      <c r="W84" s="9"/>
      <c r="X84" s="9">
        <v>110118.58</v>
      </c>
      <c r="Y84" s="9">
        <v>53678.14</v>
      </c>
      <c r="Z84" s="9"/>
      <c r="AA84" s="9"/>
      <c r="AB84" s="9"/>
      <c r="AC84" s="9"/>
      <c r="AD84" s="9"/>
      <c r="AE84" s="9"/>
      <c r="AF84" s="9"/>
      <c r="AG84" s="9"/>
      <c r="AH84" s="7">
        <v>110118.58</v>
      </c>
      <c r="AI84" s="7">
        <v>53678.14</v>
      </c>
    </row>
    <row r="85" spans="2:35" x14ac:dyDescent="0.3">
      <c r="B85" s="5" t="s">
        <v>3061</v>
      </c>
      <c r="C85" s="5" t="s">
        <v>13</v>
      </c>
      <c r="D85" s="6" t="s">
        <v>14</v>
      </c>
      <c r="E85" s="6" t="s">
        <v>272</v>
      </c>
      <c r="F85" s="6" t="s">
        <v>273</v>
      </c>
      <c r="G85" s="6" t="s">
        <v>274</v>
      </c>
      <c r="H85" s="7" t="str">
        <f t="shared" si="1"/>
        <v>PPP-IPU-H641-01OPERATIONAL</v>
      </c>
      <c r="I85" s="8" t="s">
        <v>18</v>
      </c>
      <c r="J85" s="8" t="s">
        <v>19</v>
      </c>
      <c r="K85" s="8" t="s">
        <v>20</v>
      </c>
      <c r="L85" s="9">
        <v>21245.18</v>
      </c>
      <c r="M85" s="9">
        <v>4972.6099999999997</v>
      </c>
      <c r="N85" s="9">
        <v>31867.77</v>
      </c>
      <c r="O85" s="9">
        <v>8595.3449999999993</v>
      </c>
      <c r="P85" s="9">
        <v>42490.36</v>
      </c>
      <c r="Q85" s="9">
        <v>9932.0650000000005</v>
      </c>
      <c r="R85" s="9">
        <v>53112.95</v>
      </c>
      <c r="S85" s="9">
        <v>16529.625</v>
      </c>
      <c r="T85" s="9">
        <v>63735.54</v>
      </c>
      <c r="U85" s="9">
        <v>19366.240000000002</v>
      </c>
      <c r="V85" s="9"/>
      <c r="W85" s="9"/>
      <c r="X85" s="9">
        <v>74358.13</v>
      </c>
      <c r="Y85" s="9">
        <v>22004.77</v>
      </c>
      <c r="Z85" s="9"/>
      <c r="AA85" s="9"/>
      <c r="AB85" s="9"/>
      <c r="AC85" s="9"/>
      <c r="AD85" s="9"/>
      <c r="AE85" s="9"/>
      <c r="AF85" s="9"/>
      <c r="AG85" s="9"/>
      <c r="AH85" s="7">
        <v>74358.13</v>
      </c>
      <c r="AI85" s="7">
        <v>22004.77</v>
      </c>
    </row>
    <row r="86" spans="2:35" x14ac:dyDescent="0.3">
      <c r="B86" s="5" t="s">
        <v>3061</v>
      </c>
      <c r="C86" s="5" t="s">
        <v>13</v>
      </c>
      <c r="D86" s="6" t="s">
        <v>14</v>
      </c>
      <c r="E86" s="6" t="s">
        <v>275</v>
      </c>
      <c r="F86" s="6" t="s">
        <v>276</v>
      </c>
      <c r="G86" s="6" t="s">
        <v>277</v>
      </c>
      <c r="H86" s="7" t="str">
        <f t="shared" si="1"/>
        <v>PPP-IPU-A017-01OPERATIONAL</v>
      </c>
      <c r="I86" s="8" t="s">
        <v>18</v>
      </c>
      <c r="J86" s="8" t="s">
        <v>19</v>
      </c>
      <c r="K86" s="8" t="s">
        <v>20</v>
      </c>
      <c r="L86" s="9">
        <v>11774.35</v>
      </c>
      <c r="M86" s="9">
        <v>2858.9949999999999</v>
      </c>
      <c r="N86" s="9">
        <v>17661.580000000002</v>
      </c>
      <c r="O86" s="9">
        <v>4944.3150000000005</v>
      </c>
      <c r="P86" s="9">
        <v>23548.7</v>
      </c>
      <c r="Q86" s="9">
        <v>8330.3250000000007</v>
      </c>
      <c r="R86" s="9">
        <v>29435.95</v>
      </c>
      <c r="S86" s="9">
        <v>10393.269999999999</v>
      </c>
      <c r="T86" s="9">
        <v>35323.050000000003</v>
      </c>
      <c r="U86" s="9">
        <v>12227.23</v>
      </c>
      <c r="V86" s="9"/>
      <c r="W86" s="9"/>
      <c r="X86" s="9">
        <v>35323.050000000003</v>
      </c>
      <c r="Y86" s="9">
        <v>14040.98</v>
      </c>
      <c r="Z86" s="9"/>
      <c r="AA86" s="9"/>
      <c r="AB86" s="9"/>
      <c r="AC86" s="9"/>
      <c r="AD86" s="9"/>
      <c r="AE86" s="9"/>
      <c r="AF86" s="9"/>
      <c r="AG86" s="9"/>
      <c r="AH86" s="7">
        <v>35323.050000000003</v>
      </c>
      <c r="AI86" s="7">
        <v>14040.98</v>
      </c>
    </row>
    <row r="87" spans="2:35" x14ac:dyDescent="0.3">
      <c r="B87" s="5" t="s">
        <v>3061</v>
      </c>
      <c r="C87" s="5" t="s">
        <v>13</v>
      </c>
      <c r="D87" s="6" t="s">
        <v>14</v>
      </c>
      <c r="E87" s="6" t="s">
        <v>278</v>
      </c>
      <c r="F87" s="6" t="s">
        <v>279</v>
      </c>
      <c r="G87" s="6" t="s">
        <v>280</v>
      </c>
      <c r="H87" s="7" t="str">
        <f t="shared" si="1"/>
        <v>PPP-IPU-M060-01OPERATIONAL</v>
      </c>
      <c r="I87" s="8" t="s">
        <v>49</v>
      </c>
      <c r="J87" s="8" t="s">
        <v>19</v>
      </c>
      <c r="K87" s="8" t="s">
        <v>20</v>
      </c>
      <c r="L87" s="9">
        <v>0</v>
      </c>
      <c r="M87" s="9">
        <v>9394.39</v>
      </c>
      <c r="N87" s="9">
        <v>31045.09</v>
      </c>
      <c r="O87" s="9">
        <v>16568.5</v>
      </c>
      <c r="P87" s="9">
        <v>39163.050000000003</v>
      </c>
      <c r="Q87" s="9">
        <v>24848.42</v>
      </c>
      <c r="R87" s="9">
        <v>47280.92</v>
      </c>
      <c r="S87" s="9">
        <v>30860.240000000002</v>
      </c>
      <c r="T87" s="9">
        <v>55398.879999999997</v>
      </c>
      <c r="U87" s="9">
        <v>36507.61</v>
      </c>
      <c r="V87" s="9"/>
      <c r="W87" s="9"/>
      <c r="X87" s="9">
        <v>63516.84</v>
      </c>
      <c r="Y87" s="9">
        <v>41737.69</v>
      </c>
      <c r="Z87" s="9"/>
      <c r="AA87" s="9"/>
      <c r="AB87" s="9"/>
      <c r="AC87" s="9"/>
      <c r="AD87" s="9"/>
      <c r="AE87" s="9"/>
      <c r="AF87" s="9"/>
      <c r="AG87" s="9"/>
      <c r="AH87" s="7">
        <v>63516.84</v>
      </c>
      <c r="AI87" s="7">
        <v>41737.69</v>
      </c>
    </row>
    <row r="88" spans="2:35" x14ac:dyDescent="0.3">
      <c r="B88" s="5" t="s">
        <v>3061</v>
      </c>
      <c r="C88" s="5" t="s">
        <v>13</v>
      </c>
      <c r="D88" s="6" t="s">
        <v>14</v>
      </c>
      <c r="E88" s="6" t="s">
        <v>281</v>
      </c>
      <c r="F88" s="6" t="s">
        <v>282</v>
      </c>
      <c r="G88" s="6" t="s">
        <v>283</v>
      </c>
      <c r="H88" s="7" t="str">
        <f t="shared" si="1"/>
        <v>CL3-IPU-H602-01OPERATIONAL</v>
      </c>
      <c r="I88" s="8" t="s">
        <v>49</v>
      </c>
      <c r="J88" s="8" t="s">
        <v>19</v>
      </c>
      <c r="K88" s="8" t="s">
        <v>98</v>
      </c>
      <c r="L88" s="9">
        <v>28932.41</v>
      </c>
      <c r="M88" s="9">
        <v>2866.54</v>
      </c>
      <c r="N88" s="9">
        <v>44728.83</v>
      </c>
      <c r="O88" s="9">
        <v>6958.67</v>
      </c>
      <c r="P88" s="9">
        <v>59468.7</v>
      </c>
      <c r="Q88" s="9">
        <v>14944.220000000001</v>
      </c>
      <c r="R88" s="9">
        <v>75089.47</v>
      </c>
      <c r="S88" s="9">
        <v>19163.420000000002</v>
      </c>
      <c r="T88" s="9">
        <v>90142.94</v>
      </c>
      <c r="U88" s="9">
        <v>29855.989999999998</v>
      </c>
      <c r="V88" s="9"/>
      <c r="W88" s="9"/>
      <c r="X88" s="9">
        <v>123242.97</v>
      </c>
      <c r="Y88" s="9">
        <v>33817.550000000003</v>
      </c>
      <c r="Z88" s="9"/>
      <c r="AA88" s="9"/>
      <c r="AB88" s="9"/>
      <c r="AC88" s="9"/>
      <c r="AD88" s="9"/>
      <c r="AE88" s="9"/>
      <c r="AF88" s="9"/>
      <c r="AG88" s="9"/>
      <c r="AH88" s="7">
        <v>123242.97</v>
      </c>
      <c r="AI88" s="7">
        <v>33817.550000000003</v>
      </c>
    </row>
    <row r="89" spans="2:35" x14ac:dyDescent="0.3">
      <c r="B89" s="5" t="s">
        <v>3061</v>
      </c>
      <c r="C89" s="5" t="s">
        <v>13</v>
      </c>
      <c r="D89" s="6" t="s">
        <v>14</v>
      </c>
      <c r="E89" s="6" t="s">
        <v>284</v>
      </c>
      <c r="F89" s="6" t="s">
        <v>285</v>
      </c>
      <c r="G89" s="6" t="s">
        <v>286</v>
      </c>
      <c r="H89" s="7" t="str">
        <f t="shared" si="1"/>
        <v>CL3-IPU-I696-01OPERATIONAL</v>
      </c>
      <c r="I89" s="8" t="s">
        <v>49</v>
      </c>
      <c r="J89" s="8" t="s">
        <v>19</v>
      </c>
      <c r="K89" s="8" t="s">
        <v>98</v>
      </c>
      <c r="L89" s="9">
        <v>24156.560000000001</v>
      </c>
      <c r="M89" s="9">
        <v>12365.68</v>
      </c>
      <c r="N89" s="9">
        <v>38825.980000000003</v>
      </c>
      <c r="O89" s="9">
        <v>15230.06</v>
      </c>
      <c r="P89" s="9">
        <v>51619.6</v>
      </c>
      <c r="Q89" s="9">
        <v>21146.71</v>
      </c>
      <c r="R89" s="9">
        <v>63404.47</v>
      </c>
      <c r="S89" s="9">
        <v>26369.31</v>
      </c>
      <c r="T89" s="9">
        <v>77989.429999999993</v>
      </c>
      <c r="U89" s="9">
        <v>31252.57</v>
      </c>
      <c r="V89" s="9"/>
      <c r="W89" s="9"/>
      <c r="X89" s="9">
        <v>105679.31</v>
      </c>
      <c r="Y89" s="9">
        <v>36666</v>
      </c>
      <c r="Z89" s="9"/>
      <c r="AA89" s="9"/>
      <c r="AB89" s="9"/>
      <c r="AC89" s="9"/>
      <c r="AD89" s="9"/>
      <c r="AE89" s="9"/>
      <c r="AF89" s="9"/>
      <c r="AG89" s="9"/>
      <c r="AH89" s="7">
        <v>105679.31</v>
      </c>
      <c r="AI89" s="7">
        <v>36666</v>
      </c>
    </row>
    <row r="90" spans="2:35" x14ac:dyDescent="0.3">
      <c r="B90" s="5" t="s">
        <v>3061</v>
      </c>
      <c r="C90" s="5" t="s">
        <v>13</v>
      </c>
      <c r="D90" s="6" t="s">
        <v>14</v>
      </c>
      <c r="E90" s="6" t="s">
        <v>287</v>
      </c>
      <c r="F90" s="6" t="s">
        <v>288</v>
      </c>
      <c r="G90" s="6" t="s">
        <v>289</v>
      </c>
      <c r="H90" s="7" t="str">
        <f t="shared" si="1"/>
        <v>ATI-IPU-A887-01OPERATIONAL</v>
      </c>
      <c r="I90" s="8" t="s">
        <v>18</v>
      </c>
      <c r="J90" s="8" t="s">
        <v>19</v>
      </c>
      <c r="K90" s="8" t="s">
        <v>20</v>
      </c>
      <c r="L90" s="9">
        <v>10147.34</v>
      </c>
      <c r="M90" s="9">
        <v>328.755</v>
      </c>
      <c r="N90" s="9">
        <v>15252.96</v>
      </c>
      <c r="O90" s="9">
        <v>3688.7550000000001</v>
      </c>
      <c r="P90" s="9">
        <v>20337.28</v>
      </c>
      <c r="Q90" s="9">
        <v>5136.2649999999994</v>
      </c>
      <c r="R90" s="9">
        <v>25345.599999999999</v>
      </c>
      <c r="S90" s="9">
        <v>6374.2649999999994</v>
      </c>
      <c r="T90" s="9">
        <v>30391.919999999998</v>
      </c>
      <c r="U90" s="9">
        <v>7444.2649999999994</v>
      </c>
      <c r="V90" s="9"/>
      <c r="W90" s="9"/>
      <c r="X90" s="9">
        <v>35438.239999999998</v>
      </c>
      <c r="Y90" s="9">
        <v>7444.27</v>
      </c>
      <c r="Z90" s="9"/>
      <c r="AA90" s="9"/>
      <c r="AB90" s="9"/>
      <c r="AC90" s="9"/>
      <c r="AD90" s="9"/>
      <c r="AE90" s="9"/>
      <c r="AF90" s="9"/>
      <c r="AG90" s="9"/>
      <c r="AH90" s="7">
        <v>35438.239999999998</v>
      </c>
      <c r="AI90" s="7">
        <v>7444.27</v>
      </c>
    </row>
    <row r="91" spans="2:35" x14ac:dyDescent="0.3">
      <c r="B91" s="5" t="s">
        <v>3061</v>
      </c>
      <c r="C91" s="5" t="s">
        <v>13</v>
      </c>
      <c r="D91" s="6" t="s">
        <v>14</v>
      </c>
      <c r="E91" s="6" t="s">
        <v>290</v>
      </c>
      <c r="F91" s="6" t="s">
        <v>291</v>
      </c>
      <c r="G91" s="6" t="s">
        <v>292</v>
      </c>
      <c r="H91" s="7" t="str">
        <f t="shared" si="1"/>
        <v>PPP-IPU-F165-01OPERATIONAL</v>
      </c>
      <c r="I91" s="8" t="s">
        <v>49</v>
      </c>
      <c r="J91" s="8" t="s">
        <v>19</v>
      </c>
      <c r="K91" s="8" t="s">
        <v>20</v>
      </c>
      <c r="L91" s="9">
        <v>10173</v>
      </c>
      <c r="M91" s="9">
        <v>9727.8799999999992</v>
      </c>
      <c r="N91" s="9">
        <v>15259.5</v>
      </c>
      <c r="O91" s="9">
        <v>18002.940000000002</v>
      </c>
      <c r="P91" s="9">
        <v>20346</v>
      </c>
      <c r="Q91" s="9">
        <v>25812.31</v>
      </c>
      <c r="R91" s="9">
        <v>25432.5</v>
      </c>
      <c r="S91" s="9">
        <v>35294.46</v>
      </c>
      <c r="T91" s="9">
        <v>30519</v>
      </c>
      <c r="U91" s="9">
        <v>42210.18</v>
      </c>
      <c r="V91" s="9"/>
      <c r="W91" s="9"/>
      <c r="X91" s="9">
        <v>35605.5</v>
      </c>
      <c r="Y91" s="9">
        <v>48533.8</v>
      </c>
      <c r="Z91" s="9"/>
      <c r="AA91" s="9"/>
      <c r="AB91" s="9"/>
      <c r="AC91" s="9"/>
      <c r="AD91" s="9"/>
      <c r="AE91" s="9"/>
      <c r="AF91" s="9"/>
      <c r="AG91" s="9"/>
      <c r="AH91" s="7">
        <v>35605.5</v>
      </c>
      <c r="AI91" s="7">
        <v>48533.8</v>
      </c>
    </row>
    <row r="92" spans="2:35" x14ac:dyDescent="0.3">
      <c r="B92" s="5" t="s">
        <v>3061</v>
      </c>
      <c r="C92" s="5" t="s">
        <v>13</v>
      </c>
      <c r="D92" s="6" t="s">
        <v>14</v>
      </c>
      <c r="E92" s="6" t="s">
        <v>293</v>
      </c>
      <c r="F92" s="6" t="s">
        <v>294</v>
      </c>
      <c r="G92" s="6" t="s">
        <v>295</v>
      </c>
      <c r="H92" s="7" t="str">
        <f t="shared" si="1"/>
        <v>PPP-IPU-E033-01OPERATIONAL</v>
      </c>
      <c r="I92" s="8" t="s">
        <v>18</v>
      </c>
      <c r="J92" s="8" t="s">
        <v>19</v>
      </c>
      <c r="K92" s="8" t="s">
        <v>20</v>
      </c>
      <c r="L92" s="9">
        <v>13394.46</v>
      </c>
      <c r="M92" s="9">
        <v>2201.0950000000003</v>
      </c>
      <c r="N92" s="9">
        <v>20091.689999999999</v>
      </c>
      <c r="O92" s="9">
        <v>3685.9249999999997</v>
      </c>
      <c r="P92" s="9">
        <v>26788.92</v>
      </c>
      <c r="Q92" s="9">
        <v>5458.3949999999995</v>
      </c>
      <c r="R92" s="9">
        <v>30509.599999999999</v>
      </c>
      <c r="S92" s="9">
        <v>6858.165</v>
      </c>
      <c r="T92" s="9">
        <v>34230.28</v>
      </c>
      <c r="U92" s="9">
        <v>8179.6049999999996</v>
      </c>
      <c r="V92" s="9"/>
      <c r="W92" s="9"/>
      <c r="X92" s="9">
        <v>34230.28</v>
      </c>
      <c r="Y92" s="9">
        <v>8179.61</v>
      </c>
      <c r="Z92" s="9"/>
      <c r="AA92" s="9"/>
      <c r="AB92" s="9"/>
      <c r="AC92" s="9"/>
      <c r="AD92" s="9"/>
      <c r="AE92" s="9"/>
      <c r="AF92" s="9"/>
      <c r="AG92" s="9"/>
      <c r="AH92" s="7">
        <v>34230.28</v>
      </c>
      <c r="AI92" s="7">
        <v>8179.61</v>
      </c>
    </row>
    <row r="93" spans="2:35" x14ac:dyDescent="0.3">
      <c r="B93" s="5" t="s">
        <v>3061</v>
      </c>
      <c r="C93" s="5" t="s">
        <v>13</v>
      </c>
      <c r="D93" s="6" t="s">
        <v>14</v>
      </c>
      <c r="E93" s="6" t="s">
        <v>296</v>
      </c>
      <c r="F93" s="6" t="s">
        <v>297</v>
      </c>
      <c r="G93" s="6" t="s">
        <v>298</v>
      </c>
      <c r="H93" s="7" t="str">
        <f t="shared" si="1"/>
        <v>PPP-IPU-G426-01OPERATIONAL</v>
      </c>
      <c r="I93" s="8" t="s">
        <v>18</v>
      </c>
      <c r="J93" s="8" t="s">
        <v>19</v>
      </c>
      <c r="K93" s="8" t="s">
        <v>20</v>
      </c>
      <c r="L93" s="9">
        <v>57997.56</v>
      </c>
      <c r="M93" s="9">
        <v>14228.25</v>
      </c>
      <c r="N93" s="9">
        <v>86996.34</v>
      </c>
      <c r="O93" s="9">
        <v>23522.09</v>
      </c>
      <c r="P93" s="9">
        <v>115995.12</v>
      </c>
      <c r="Q93" s="9">
        <v>33653.56</v>
      </c>
      <c r="R93" s="9">
        <v>144993.9</v>
      </c>
      <c r="S93" s="9">
        <v>42263.289999999994</v>
      </c>
      <c r="T93" s="9">
        <v>173992.68</v>
      </c>
      <c r="U93" s="9">
        <v>56268.03</v>
      </c>
      <c r="V93" s="9"/>
      <c r="W93" s="9"/>
      <c r="X93" s="9">
        <v>202991.46</v>
      </c>
      <c r="Y93" s="9">
        <v>58947.39</v>
      </c>
      <c r="Z93" s="9"/>
      <c r="AA93" s="9"/>
      <c r="AB93" s="9"/>
      <c r="AC93" s="9"/>
      <c r="AD93" s="9"/>
      <c r="AE93" s="9"/>
      <c r="AF93" s="9"/>
      <c r="AG93" s="9"/>
      <c r="AH93" s="7">
        <v>202991.46</v>
      </c>
      <c r="AI93" s="7">
        <v>58947.39</v>
      </c>
    </row>
    <row r="94" spans="2:35" x14ac:dyDescent="0.3">
      <c r="B94" s="5" t="s">
        <v>3061</v>
      </c>
      <c r="C94" s="5" t="s">
        <v>13</v>
      </c>
      <c r="D94" s="6" t="s">
        <v>14</v>
      </c>
      <c r="E94" s="6" t="s">
        <v>299</v>
      </c>
      <c r="F94" s="6" t="s">
        <v>300</v>
      </c>
      <c r="G94" s="6" t="s">
        <v>301</v>
      </c>
      <c r="H94" s="7" t="str">
        <f t="shared" si="1"/>
        <v>PPP-IPU-E152-01OPERATIONAL</v>
      </c>
      <c r="I94" s="8" t="s">
        <v>49</v>
      </c>
      <c r="J94" s="8" t="s">
        <v>19</v>
      </c>
      <c r="K94" s="8" t="s">
        <v>20</v>
      </c>
      <c r="L94" s="9">
        <v>2832.52</v>
      </c>
      <c r="M94" s="9">
        <v>4924.04</v>
      </c>
      <c r="N94" s="9">
        <v>4248.78</v>
      </c>
      <c r="O94" s="9">
        <v>6355.34</v>
      </c>
      <c r="P94" s="9">
        <v>5665.04</v>
      </c>
      <c r="Q94" s="9">
        <v>8383.880000000001</v>
      </c>
      <c r="R94" s="9">
        <v>7081.3</v>
      </c>
      <c r="S94" s="9">
        <v>11504.2</v>
      </c>
      <c r="T94" s="9">
        <v>9070.35</v>
      </c>
      <c r="U94" s="9">
        <v>12839.93</v>
      </c>
      <c r="V94" s="9"/>
      <c r="W94" s="9"/>
      <c r="X94" s="9">
        <v>9070.35</v>
      </c>
      <c r="Y94" s="9">
        <v>14388.1</v>
      </c>
      <c r="Z94" s="9"/>
      <c r="AA94" s="9"/>
      <c r="AB94" s="9"/>
      <c r="AC94" s="9"/>
      <c r="AD94" s="9"/>
      <c r="AE94" s="9"/>
      <c r="AF94" s="9"/>
      <c r="AG94" s="9"/>
      <c r="AH94" s="7">
        <v>9070.35</v>
      </c>
      <c r="AI94" s="7">
        <v>14388.1</v>
      </c>
    </row>
    <row r="95" spans="2:35" x14ac:dyDescent="0.3">
      <c r="B95" s="5" t="s">
        <v>3061</v>
      </c>
      <c r="C95" s="5" t="s">
        <v>13</v>
      </c>
      <c r="D95" s="6" t="s">
        <v>14</v>
      </c>
      <c r="E95" s="6" t="s">
        <v>302</v>
      </c>
      <c r="F95" s="6" t="s">
        <v>303</v>
      </c>
      <c r="G95" s="6" t="s">
        <v>304</v>
      </c>
      <c r="H95" s="7" t="str">
        <f t="shared" si="1"/>
        <v>PPP-IPU-I480-02OPERATIONAL</v>
      </c>
      <c r="I95" s="8" t="s">
        <v>49</v>
      </c>
      <c r="J95" s="8" t="s">
        <v>19</v>
      </c>
      <c r="K95" s="8" t="s">
        <v>20</v>
      </c>
      <c r="L95" s="9">
        <v>190319.83</v>
      </c>
      <c r="M95" s="9">
        <v>19118.240000000002</v>
      </c>
      <c r="N95" s="9">
        <v>254632.25</v>
      </c>
      <c r="O95" s="9">
        <v>29253.27</v>
      </c>
      <c r="P95" s="9">
        <v>339509.67</v>
      </c>
      <c r="Q95" s="9">
        <v>88392.78</v>
      </c>
      <c r="R95" s="9">
        <v>424387.08</v>
      </c>
      <c r="S95" s="9">
        <v>48942.42</v>
      </c>
      <c r="T95" s="9">
        <v>509264.5</v>
      </c>
      <c r="U95" s="9">
        <v>59077.45</v>
      </c>
      <c r="V95" s="9"/>
      <c r="W95" s="9"/>
      <c r="X95" s="9">
        <v>10282.5</v>
      </c>
      <c r="Y95" s="9">
        <v>59405.32</v>
      </c>
      <c r="Z95" s="9"/>
      <c r="AA95" s="9"/>
      <c r="AB95" s="9"/>
      <c r="AC95" s="9"/>
      <c r="AD95" s="9"/>
      <c r="AE95" s="9"/>
      <c r="AF95" s="9"/>
      <c r="AG95" s="9"/>
      <c r="AH95" s="7">
        <v>10282.5</v>
      </c>
      <c r="AI95" s="7">
        <v>59405.32</v>
      </c>
    </row>
    <row r="96" spans="2:35" x14ac:dyDescent="0.3">
      <c r="B96" s="5" t="s">
        <v>3061</v>
      </c>
      <c r="C96" s="5" t="s">
        <v>13</v>
      </c>
      <c r="D96" s="6" t="s">
        <v>14</v>
      </c>
      <c r="E96" s="6" t="s">
        <v>305</v>
      </c>
      <c r="F96" s="6" t="s">
        <v>306</v>
      </c>
      <c r="G96" s="6" t="s">
        <v>307</v>
      </c>
      <c r="H96" s="7" t="str">
        <f t="shared" si="1"/>
        <v>PPP-IPU-I799-01OPERATIONAL</v>
      </c>
      <c r="I96" s="8" t="s">
        <v>56</v>
      </c>
      <c r="J96" s="8" t="s">
        <v>19</v>
      </c>
      <c r="K96" s="8" t="s">
        <v>20</v>
      </c>
      <c r="L96" s="9">
        <v>28409.58</v>
      </c>
      <c r="M96" s="9">
        <v>8407.93</v>
      </c>
      <c r="N96" s="9">
        <v>42614.37</v>
      </c>
      <c r="O96" s="9">
        <v>21569.88</v>
      </c>
      <c r="P96" s="9">
        <v>56819.16</v>
      </c>
      <c r="Q96" s="9">
        <v>26646.560000000001</v>
      </c>
      <c r="R96" s="9">
        <v>71023.95</v>
      </c>
      <c r="S96" s="9">
        <v>33682.51</v>
      </c>
      <c r="T96" s="9">
        <v>85228.74</v>
      </c>
      <c r="U96" s="9">
        <v>38795.449999999997</v>
      </c>
      <c r="V96" s="9"/>
      <c r="W96" s="9"/>
      <c r="X96" s="9">
        <v>0</v>
      </c>
      <c r="Y96" s="9">
        <v>39071.620000000003</v>
      </c>
      <c r="Z96" s="9"/>
      <c r="AA96" s="9"/>
      <c r="AB96" s="9"/>
      <c r="AC96" s="9"/>
      <c r="AD96" s="9"/>
      <c r="AE96" s="9"/>
      <c r="AF96" s="9"/>
      <c r="AG96" s="9"/>
      <c r="AH96" s="7">
        <v>0</v>
      </c>
      <c r="AI96" s="7">
        <v>39071.620000000003</v>
      </c>
    </row>
    <row r="97" spans="2:35" x14ac:dyDescent="0.3">
      <c r="B97" s="5" t="s">
        <v>3061</v>
      </c>
      <c r="C97" s="5" t="s">
        <v>13</v>
      </c>
      <c r="D97" s="6" t="s">
        <v>14</v>
      </c>
      <c r="E97" s="6" t="s">
        <v>308</v>
      </c>
      <c r="F97" s="6" t="s">
        <v>309</v>
      </c>
      <c r="G97" s="6" t="s">
        <v>39</v>
      </c>
      <c r="H97" s="7" t="str">
        <f t="shared" si="1"/>
        <v>PPP-EEE-B506-04OPERATIONAL</v>
      </c>
      <c r="I97" s="8" t="s">
        <v>18</v>
      </c>
      <c r="J97" s="8" t="s">
        <v>202</v>
      </c>
      <c r="K97" s="8" t="s">
        <v>202</v>
      </c>
      <c r="L97" s="9">
        <v>0</v>
      </c>
      <c r="M97" s="9">
        <v>1328</v>
      </c>
      <c r="N97" s="9">
        <v>0</v>
      </c>
      <c r="O97" s="9">
        <v>1328</v>
      </c>
      <c r="P97" s="9">
        <v>0</v>
      </c>
      <c r="Q97" s="9">
        <v>1328</v>
      </c>
      <c r="R97" s="9">
        <v>0</v>
      </c>
      <c r="S97" s="9">
        <v>1328</v>
      </c>
      <c r="T97" s="9">
        <v>0</v>
      </c>
      <c r="U97" s="9">
        <v>1328</v>
      </c>
      <c r="V97" s="9"/>
      <c r="W97" s="9"/>
      <c r="X97" s="9">
        <v>0</v>
      </c>
      <c r="Y97" s="9">
        <v>1328</v>
      </c>
      <c r="Z97" s="9"/>
      <c r="AA97" s="9"/>
      <c r="AB97" s="9"/>
      <c r="AC97" s="9"/>
      <c r="AD97" s="9"/>
      <c r="AE97" s="9"/>
      <c r="AF97" s="9"/>
      <c r="AG97" s="9"/>
      <c r="AH97" s="7">
        <v>0</v>
      </c>
      <c r="AI97" s="7">
        <v>1328</v>
      </c>
    </row>
    <row r="98" spans="2:35" x14ac:dyDescent="0.3">
      <c r="B98" s="5" t="s">
        <v>3061</v>
      </c>
      <c r="C98" s="5" t="s">
        <v>13</v>
      </c>
      <c r="D98" s="6" t="s">
        <v>14</v>
      </c>
      <c r="E98" s="6" t="s">
        <v>310</v>
      </c>
      <c r="F98" s="6" t="s">
        <v>311</v>
      </c>
      <c r="G98" s="6" t="s">
        <v>312</v>
      </c>
      <c r="H98" s="7" t="str">
        <f t="shared" si="1"/>
        <v>CL3-IPU-G690-01OPERATIONAL</v>
      </c>
      <c r="I98" s="8" t="s">
        <v>24</v>
      </c>
      <c r="J98" s="8" t="s">
        <v>19</v>
      </c>
      <c r="K98" s="8" t="s">
        <v>98</v>
      </c>
      <c r="L98" s="9">
        <v>14522.23</v>
      </c>
      <c r="M98" s="9">
        <v>5612.7699999999995</v>
      </c>
      <c r="N98" s="9">
        <v>22306.47</v>
      </c>
      <c r="O98" s="9">
        <v>10698.89</v>
      </c>
      <c r="P98" s="9">
        <v>9588.7199999999993</v>
      </c>
      <c r="Q98" s="9">
        <v>11494.99</v>
      </c>
      <c r="R98" s="9">
        <v>9728.2199999999993</v>
      </c>
      <c r="S98" s="9">
        <v>12452.42</v>
      </c>
      <c r="T98" s="9">
        <v>5439.85</v>
      </c>
      <c r="U98" s="9">
        <v>13350.9</v>
      </c>
      <c r="V98" s="9"/>
      <c r="W98" s="9"/>
      <c r="X98" s="9">
        <v>9835.43</v>
      </c>
      <c r="Y98" s="9">
        <v>15147.87</v>
      </c>
      <c r="Z98" s="9"/>
      <c r="AA98" s="9"/>
      <c r="AB98" s="9"/>
      <c r="AC98" s="9"/>
      <c r="AD98" s="9"/>
      <c r="AE98" s="9"/>
      <c r="AF98" s="9"/>
      <c r="AG98" s="9"/>
      <c r="AH98" s="7">
        <v>9835.43</v>
      </c>
      <c r="AI98" s="7">
        <v>15147.87</v>
      </c>
    </row>
    <row r="99" spans="2:35" x14ac:dyDescent="0.3">
      <c r="B99" s="5" t="s">
        <v>3061</v>
      </c>
      <c r="C99" s="5" t="s">
        <v>13</v>
      </c>
      <c r="D99" s="6" t="s">
        <v>14</v>
      </c>
      <c r="E99" s="6" t="s">
        <v>313</v>
      </c>
      <c r="F99" s="6" t="s">
        <v>314</v>
      </c>
      <c r="G99" s="6" t="s">
        <v>315</v>
      </c>
      <c r="H99" s="7" t="str">
        <f t="shared" si="1"/>
        <v>CL3-IPU-G514-01OPERATIONAL</v>
      </c>
      <c r="I99" s="8" t="s">
        <v>24</v>
      </c>
      <c r="J99" s="8" t="s">
        <v>19</v>
      </c>
      <c r="K99" s="8" t="s">
        <v>98</v>
      </c>
      <c r="L99" s="9">
        <v>23250</v>
      </c>
      <c r="M99" s="9">
        <v>4494.8050000000003</v>
      </c>
      <c r="N99" s="9">
        <v>12375</v>
      </c>
      <c r="O99" s="9">
        <v>7410.2150000000001</v>
      </c>
      <c r="P99" s="9">
        <v>4125</v>
      </c>
      <c r="Q99" s="9">
        <v>10906.365</v>
      </c>
      <c r="R99" s="9">
        <v>8250</v>
      </c>
      <c r="S99" s="9">
        <v>13523.075000000001</v>
      </c>
      <c r="T99" s="9">
        <v>12375</v>
      </c>
      <c r="U99" s="9">
        <v>16042.205</v>
      </c>
      <c r="V99" s="9"/>
      <c r="W99" s="9"/>
      <c r="X99" s="9">
        <v>8250</v>
      </c>
      <c r="Y99" s="9">
        <v>19336.169999999998</v>
      </c>
      <c r="Z99" s="9"/>
      <c r="AA99" s="9"/>
      <c r="AB99" s="9"/>
      <c r="AC99" s="9"/>
      <c r="AD99" s="9"/>
      <c r="AE99" s="9"/>
      <c r="AF99" s="9"/>
      <c r="AG99" s="9"/>
      <c r="AH99" s="7">
        <v>8250</v>
      </c>
      <c r="AI99" s="7">
        <v>19336.169999999998</v>
      </c>
    </row>
    <row r="100" spans="2:35" x14ac:dyDescent="0.3">
      <c r="B100" s="5" t="s">
        <v>3061</v>
      </c>
      <c r="C100" s="5" t="s">
        <v>13</v>
      </c>
      <c r="D100" s="6" t="s">
        <v>14</v>
      </c>
      <c r="E100" s="6" t="s">
        <v>316</v>
      </c>
      <c r="F100" s="6" t="s">
        <v>317</v>
      </c>
      <c r="G100" s="6" t="s">
        <v>318</v>
      </c>
      <c r="H100" s="7" t="str">
        <f t="shared" si="1"/>
        <v>PPP-IPU-A615-01OPERATIONAL</v>
      </c>
      <c r="I100" s="8" t="s">
        <v>18</v>
      </c>
      <c r="J100" s="8" t="s">
        <v>19</v>
      </c>
      <c r="K100" s="8" t="s">
        <v>20</v>
      </c>
      <c r="L100" s="9">
        <v>18507</v>
      </c>
      <c r="M100" s="9">
        <v>10993.16</v>
      </c>
      <c r="N100" s="9">
        <v>27760.5</v>
      </c>
      <c r="O100" s="9">
        <v>19989.13</v>
      </c>
      <c r="P100" s="9">
        <v>37014</v>
      </c>
      <c r="Q100" s="9">
        <v>25916.68</v>
      </c>
      <c r="R100" s="9">
        <v>46267.5</v>
      </c>
      <c r="S100" s="9">
        <v>31174.33</v>
      </c>
      <c r="T100" s="9">
        <v>55521</v>
      </c>
      <c r="U100" s="9">
        <v>35131.189999999995</v>
      </c>
      <c r="V100" s="9"/>
      <c r="W100" s="9"/>
      <c r="X100" s="9">
        <v>64774.5</v>
      </c>
      <c r="Y100" s="9">
        <v>38282.449999999997</v>
      </c>
      <c r="Z100" s="9"/>
      <c r="AA100" s="9"/>
      <c r="AB100" s="9"/>
      <c r="AC100" s="9"/>
      <c r="AD100" s="9"/>
      <c r="AE100" s="9"/>
      <c r="AF100" s="9"/>
      <c r="AG100" s="9"/>
      <c r="AH100" s="7">
        <v>64774.5</v>
      </c>
      <c r="AI100" s="7">
        <v>38282.449999999997</v>
      </c>
    </row>
    <row r="101" spans="2:35" x14ac:dyDescent="0.3">
      <c r="B101" s="5" t="s">
        <v>3061</v>
      </c>
      <c r="C101" s="5" t="s">
        <v>13</v>
      </c>
      <c r="D101" s="6" t="s">
        <v>14</v>
      </c>
      <c r="E101" s="6" t="s">
        <v>319</v>
      </c>
      <c r="F101" s="6" t="s">
        <v>320</v>
      </c>
      <c r="G101" s="6" t="s">
        <v>321</v>
      </c>
      <c r="H101" s="7" t="str">
        <f t="shared" si="1"/>
        <v>PPP-IPU-B959-01OPERATIONAL</v>
      </c>
      <c r="I101" s="8" t="s">
        <v>18</v>
      </c>
      <c r="J101" s="8" t="s">
        <v>19</v>
      </c>
      <c r="K101" s="8" t="s">
        <v>20</v>
      </c>
      <c r="L101" s="9">
        <v>12911.92</v>
      </c>
      <c r="M101" s="9">
        <v>777.5</v>
      </c>
      <c r="N101" s="9">
        <v>-2324.66</v>
      </c>
      <c r="O101" s="9">
        <v>2222.0300000000002</v>
      </c>
      <c r="P101" s="9">
        <v>4131.3</v>
      </c>
      <c r="Q101" s="9">
        <v>5272.27</v>
      </c>
      <c r="R101" s="9">
        <v>10587.26</v>
      </c>
      <c r="S101" s="9">
        <v>7799.31</v>
      </c>
      <c r="T101" s="9">
        <v>17043.22</v>
      </c>
      <c r="U101" s="9">
        <v>10243.52</v>
      </c>
      <c r="V101" s="9"/>
      <c r="W101" s="9"/>
      <c r="X101" s="9">
        <v>23499.18</v>
      </c>
      <c r="Y101" s="9">
        <v>12715.79</v>
      </c>
      <c r="Z101" s="9"/>
      <c r="AA101" s="9"/>
      <c r="AB101" s="9"/>
      <c r="AC101" s="9"/>
      <c r="AD101" s="9"/>
      <c r="AE101" s="9"/>
      <c r="AF101" s="9"/>
      <c r="AG101" s="9"/>
      <c r="AH101" s="7">
        <v>23499.18</v>
      </c>
      <c r="AI101" s="7">
        <v>12715.79</v>
      </c>
    </row>
    <row r="102" spans="2:35" x14ac:dyDescent="0.3">
      <c r="B102" s="5" t="s">
        <v>3061</v>
      </c>
      <c r="C102" s="5" t="s">
        <v>13</v>
      </c>
      <c r="D102" s="6" t="s">
        <v>14</v>
      </c>
      <c r="E102" s="6" t="s">
        <v>322</v>
      </c>
      <c r="F102" s="6" t="s">
        <v>323</v>
      </c>
      <c r="G102" s="6" t="s">
        <v>324</v>
      </c>
      <c r="H102" s="7" t="str">
        <f t="shared" si="1"/>
        <v>PPP-IPU-L656-01OPERATIONAL</v>
      </c>
      <c r="I102" s="8" t="s">
        <v>18</v>
      </c>
      <c r="J102" s="8" t="s">
        <v>19</v>
      </c>
      <c r="K102" s="8" t="s">
        <v>20</v>
      </c>
      <c r="L102" s="9">
        <v>5913.41</v>
      </c>
      <c r="M102" s="9">
        <v>3634.1499999999996</v>
      </c>
      <c r="N102" s="9">
        <v>17740.23</v>
      </c>
      <c r="O102" s="9">
        <v>5379.0199999999995</v>
      </c>
      <c r="P102" s="9">
        <v>28327.34</v>
      </c>
      <c r="Q102" s="9">
        <v>7272.73</v>
      </c>
      <c r="R102" s="9">
        <v>35798.65</v>
      </c>
      <c r="S102" s="9">
        <v>7465.5199999999995</v>
      </c>
      <c r="T102" s="9">
        <v>43269.96</v>
      </c>
      <c r="U102" s="9">
        <v>10620.22</v>
      </c>
      <c r="V102" s="9"/>
      <c r="W102" s="9"/>
      <c r="X102" s="9">
        <v>50741.27</v>
      </c>
      <c r="Y102" s="9">
        <v>11887.11</v>
      </c>
      <c r="Z102" s="9"/>
      <c r="AA102" s="9"/>
      <c r="AB102" s="9"/>
      <c r="AC102" s="9"/>
      <c r="AD102" s="9"/>
      <c r="AE102" s="9"/>
      <c r="AF102" s="9"/>
      <c r="AG102" s="9"/>
      <c r="AH102" s="7">
        <v>50741.27</v>
      </c>
      <c r="AI102" s="7">
        <v>11887.11</v>
      </c>
    </row>
    <row r="103" spans="2:35" x14ac:dyDescent="0.3">
      <c r="B103" s="5" t="s">
        <v>3061</v>
      </c>
      <c r="C103" s="5" t="s">
        <v>13</v>
      </c>
      <c r="D103" s="6" t="s">
        <v>14</v>
      </c>
      <c r="E103" s="6" t="s">
        <v>325</v>
      </c>
      <c r="F103" s="6" t="s">
        <v>326</v>
      </c>
      <c r="G103" s="6" t="s">
        <v>327</v>
      </c>
      <c r="H103" s="7" t="str">
        <f t="shared" si="1"/>
        <v>PPP-IPU-L835-01OPERATIONAL</v>
      </c>
      <c r="I103" s="8" t="s">
        <v>18</v>
      </c>
      <c r="J103" s="8" t="s">
        <v>19</v>
      </c>
      <c r="K103" s="8" t="s">
        <v>20</v>
      </c>
      <c r="L103" s="9">
        <v>25160.76</v>
      </c>
      <c r="M103" s="9">
        <v>6170.83</v>
      </c>
      <c r="N103" s="9">
        <v>37741.14</v>
      </c>
      <c r="O103" s="9">
        <v>10633.39</v>
      </c>
      <c r="P103" s="9">
        <v>50321.52</v>
      </c>
      <c r="Q103" s="9">
        <v>15590.43</v>
      </c>
      <c r="R103" s="9">
        <v>62901.9</v>
      </c>
      <c r="S103" s="9">
        <v>19906.919999999998</v>
      </c>
      <c r="T103" s="9">
        <v>75482.28</v>
      </c>
      <c r="U103" s="9">
        <v>23866.02</v>
      </c>
      <c r="V103" s="9"/>
      <c r="W103" s="9"/>
      <c r="X103" s="9">
        <v>88062.66</v>
      </c>
      <c r="Y103" s="9">
        <v>27192.68</v>
      </c>
      <c r="Z103" s="9"/>
      <c r="AA103" s="9"/>
      <c r="AB103" s="9"/>
      <c r="AC103" s="9"/>
      <c r="AD103" s="9"/>
      <c r="AE103" s="9"/>
      <c r="AF103" s="9"/>
      <c r="AG103" s="9"/>
      <c r="AH103" s="7">
        <v>88062.66</v>
      </c>
      <c r="AI103" s="7">
        <v>27192.68</v>
      </c>
    </row>
    <row r="104" spans="2:35" x14ac:dyDescent="0.3">
      <c r="B104" s="5" t="s">
        <v>3061</v>
      </c>
      <c r="C104" s="5" t="s">
        <v>13</v>
      </c>
      <c r="D104" s="6" t="s">
        <v>14</v>
      </c>
      <c r="E104" s="6" t="s">
        <v>328</v>
      </c>
      <c r="F104" s="6" t="s">
        <v>329</v>
      </c>
      <c r="G104" s="6" t="s">
        <v>330</v>
      </c>
      <c r="H104" s="7" t="str">
        <f t="shared" si="1"/>
        <v>CL3-IPU-D458-01OPERATIONAL</v>
      </c>
      <c r="I104" s="8" t="s">
        <v>24</v>
      </c>
      <c r="J104" s="8" t="s">
        <v>19</v>
      </c>
      <c r="K104" s="8" t="s">
        <v>98</v>
      </c>
      <c r="L104" s="9">
        <v>185159.01</v>
      </c>
      <c r="M104" s="9">
        <v>55145.544999999998</v>
      </c>
      <c r="N104" s="9">
        <v>285380.69</v>
      </c>
      <c r="O104" s="9">
        <v>99734.625</v>
      </c>
      <c r="P104" s="9">
        <v>315148.78999999998</v>
      </c>
      <c r="Q104" s="9">
        <v>151609.97499999998</v>
      </c>
      <c r="R104" s="9">
        <v>417626.74</v>
      </c>
      <c r="S104" s="9">
        <v>191691.20499999999</v>
      </c>
      <c r="T104" s="9">
        <v>510715.72</v>
      </c>
      <c r="U104" s="9">
        <v>226971.1</v>
      </c>
      <c r="V104" s="9"/>
      <c r="W104" s="9"/>
      <c r="X104" s="9">
        <v>726225.09</v>
      </c>
      <c r="Y104" s="9">
        <v>268396.07</v>
      </c>
      <c r="Z104" s="9"/>
      <c r="AA104" s="9"/>
      <c r="AB104" s="9"/>
      <c r="AC104" s="9"/>
      <c r="AD104" s="9"/>
      <c r="AE104" s="9"/>
      <c r="AF104" s="9"/>
      <c r="AG104" s="9"/>
      <c r="AH104" s="7">
        <v>726225.09</v>
      </c>
      <c r="AI104" s="7">
        <v>268396.07</v>
      </c>
    </row>
    <row r="105" spans="2:35" x14ac:dyDescent="0.3">
      <c r="B105" s="5" t="s">
        <v>3061</v>
      </c>
      <c r="C105" s="5" t="s">
        <v>13</v>
      </c>
      <c r="D105" s="6" t="s">
        <v>14</v>
      </c>
      <c r="E105" s="6" t="s">
        <v>331</v>
      </c>
      <c r="F105" s="6" t="s">
        <v>332</v>
      </c>
      <c r="G105" s="6" t="s">
        <v>333</v>
      </c>
      <c r="H105" s="7" t="str">
        <f t="shared" si="1"/>
        <v>PPP-IPU-F241-01OPERATIONAL</v>
      </c>
      <c r="I105" s="8" t="s">
        <v>56</v>
      </c>
      <c r="J105" s="8" t="s">
        <v>19</v>
      </c>
      <c r="K105" s="8" t="s">
        <v>20</v>
      </c>
      <c r="L105" s="9">
        <v>18998.32</v>
      </c>
      <c r="M105" s="9">
        <v>8790</v>
      </c>
      <c r="N105" s="9">
        <v>28497.48</v>
      </c>
      <c r="O105" s="9">
        <v>40406.589999999997</v>
      </c>
      <c r="P105" s="9">
        <v>37996.639999999999</v>
      </c>
      <c r="Q105" s="9">
        <v>18054.5</v>
      </c>
      <c r="R105" s="9">
        <v>47495.8</v>
      </c>
      <c r="S105" s="9">
        <v>22449.5</v>
      </c>
      <c r="T105" s="9">
        <v>56994.96</v>
      </c>
      <c r="U105" s="9">
        <v>27081.75</v>
      </c>
      <c r="V105" s="9"/>
      <c r="W105" s="9"/>
      <c r="X105" s="9">
        <v>56994.96</v>
      </c>
      <c r="Y105" s="9">
        <v>27081.75</v>
      </c>
      <c r="Z105" s="9"/>
      <c r="AA105" s="9"/>
      <c r="AB105" s="9"/>
      <c r="AC105" s="9"/>
      <c r="AD105" s="9"/>
      <c r="AE105" s="9"/>
      <c r="AF105" s="9"/>
      <c r="AG105" s="9"/>
      <c r="AH105" s="7">
        <v>56994.96</v>
      </c>
      <c r="AI105" s="7">
        <v>27081.75</v>
      </c>
    </row>
    <row r="106" spans="2:35" x14ac:dyDescent="0.3">
      <c r="B106" s="5" t="s">
        <v>3061</v>
      </c>
      <c r="C106" s="5" t="s">
        <v>13</v>
      </c>
      <c r="D106" s="6" t="s">
        <v>14</v>
      </c>
      <c r="E106" s="6" t="s">
        <v>334</v>
      </c>
      <c r="F106" s="6" t="s">
        <v>335</v>
      </c>
      <c r="G106" s="6" t="s">
        <v>336</v>
      </c>
      <c r="H106" s="7" t="str">
        <f t="shared" si="1"/>
        <v>PPP-IPU-H147-01OPERATIONAL</v>
      </c>
      <c r="I106" s="8" t="s">
        <v>18</v>
      </c>
      <c r="J106" s="8" t="s">
        <v>19</v>
      </c>
      <c r="K106" s="8" t="s">
        <v>20</v>
      </c>
      <c r="L106" s="9">
        <v>80560.86</v>
      </c>
      <c r="M106" s="9">
        <v>18854.98</v>
      </c>
      <c r="N106" s="9">
        <v>120841.29</v>
      </c>
      <c r="O106" s="9">
        <v>37381.129999999997</v>
      </c>
      <c r="P106" s="9">
        <v>161121.72</v>
      </c>
      <c r="Q106" s="9">
        <v>55393.25</v>
      </c>
      <c r="R106" s="9">
        <v>204796.2</v>
      </c>
      <c r="S106" s="9">
        <v>71270.28</v>
      </c>
      <c r="T106" s="9">
        <v>245755.44</v>
      </c>
      <c r="U106" s="9">
        <v>85867.83</v>
      </c>
      <c r="V106" s="9"/>
      <c r="W106" s="9"/>
      <c r="X106" s="9">
        <v>286714.68</v>
      </c>
      <c r="Y106" s="9">
        <v>98817.02</v>
      </c>
      <c r="Z106" s="9"/>
      <c r="AA106" s="9"/>
      <c r="AB106" s="9"/>
      <c r="AC106" s="9"/>
      <c r="AD106" s="9"/>
      <c r="AE106" s="9"/>
      <c r="AF106" s="9"/>
      <c r="AG106" s="9"/>
      <c r="AH106" s="7">
        <v>286714.68</v>
      </c>
      <c r="AI106" s="7">
        <v>98817.02</v>
      </c>
    </row>
    <row r="107" spans="2:35" x14ac:dyDescent="0.3">
      <c r="B107" s="5" t="s">
        <v>3061</v>
      </c>
      <c r="C107" s="5" t="s">
        <v>13</v>
      </c>
      <c r="D107" s="6" t="s">
        <v>14</v>
      </c>
      <c r="E107" s="6" t="s">
        <v>337</v>
      </c>
      <c r="F107" s="6" t="s">
        <v>338</v>
      </c>
      <c r="G107" s="6" t="s">
        <v>339</v>
      </c>
      <c r="H107" s="7" t="str">
        <f t="shared" si="1"/>
        <v>PPP-IPU-G023-01OPERATIONAL</v>
      </c>
      <c r="I107" s="8" t="s">
        <v>18</v>
      </c>
      <c r="J107" s="8" t="s">
        <v>19</v>
      </c>
      <c r="K107" s="8" t="s">
        <v>20</v>
      </c>
      <c r="L107" s="9">
        <v>40586.300000000003</v>
      </c>
      <c r="M107" s="9">
        <v>6185.4</v>
      </c>
      <c r="N107" s="9">
        <v>60879.45</v>
      </c>
      <c r="O107" s="9">
        <v>10632.89</v>
      </c>
      <c r="P107" s="9">
        <v>81172.600000000006</v>
      </c>
      <c r="Q107" s="9">
        <v>15539.5</v>
      </c>
      <c r="R107" s="9">
        <v>101465.75</v>
      </c>
      <c r="S107" s="9">
        <v>19734.73</v>
      </c>
      <c r="T107" s="9">
        <v>121758.9</v>
      </c>
      <c r="U107" s="9">
        <v>23810.9</v>
      </c>
      <c r="V107" s="9"/>
      <c r="W107" s="9"/>
      <c r="X107" s="9">
        <v>142052.04999999999</v>
      </c>
      <c r="Y107" s="9">
        <v>27022.91</v>
      </c>
      <c r="Z107" s="9"/>
      <c r="AA107" s="9"/>
      <c r="AB107" s="9"/>
      <c r="AC107" s="9"/>
      <c r="AD107" s="9"/>
      <c r="AE107" s="9"/>
      <c r="AF107" s="9"/>
      <c r="AG107" s="9"/>
      <c r="AH107" s="7">
        <v>142052.04999999999</v>
      </c>
      <c r="AI107" s="7">
        <v>27022.91</v>
      </c>
    </row>
    <row r="108" spans="2:35" x14ac:dyDescent="0.3">
      <c r="B108" s="5" t="s">
        <v>3061</v>
      </c>
      <c r="C108" s="5" t="s">
        <v>13</v>
      </c>
      <c r="D108" s="6" t="s">
        <v>14</v>
      </c>
      <c r="E108" s="6" t="s">
        <v>340</v>
      </c>
      <c r="F108" s="6" t="s">
        <v>341</v>
      </c>
      <c r="G108" s="6" t="s">
        <v>342</v>
      </c>
      <c r="H108" s="7" t="str">
        <f t="shared" si="1"/>
        <v>PPP-IPU-A047-01OPERATIONAL</v>
      </c>
      <c r="I108" s="8" t="s">
        <v>24</v>
      </c>
      <c r="J108" s="8" t="s">
        <v>19</v>
      </c>
      <c r="K108" s="8" t="s">
        <v>20</v>
      </c>
      <c r="L108" s="9">
        <v>25369.23</v>
      </c>
      <c r="M108" s="9">
        <v>7684.8049999999994</v>
      </c>
      <c r="N108" s="9">
        <v>38053.839999999997</v>
      </c>
      <c r="O108" s="9">
        <v>13557.725</v>
      </c>
      <c r="P108" s="9">
        <v>52226.49</v>
      </c>
      <c r="Q108" s="9">
        <v>18120.260000000002</v>
      </c>
      <c r="R108" s="9">
        <v>64911.11</v>
      </c>
      <c r="S108" s="9">
        <v>22971.72</v>
      </c>
      <c r="T108" s="9">
        <v>77595.72</v>
      </c>
      <c r="U108" s="9">
        <v>27218.555</v>
      </c>
      <c r="V108" s="9"/>
      <c r="W108" s="9"/>
      <c r="X108" s="9">
        <v>39541.879999999997</v>
      </c>
      <c r="Y108" s="9">
        <v>32795.129999999997</v>
      </c>
      <c r="Z108" s="9"/>
      <c r="AA108" s="9"/>
      <c r="AB108" s="9"/>
      <c r="AC108" s="9"/>
      <c r="AD108" s="9"/>
      <c r="AE108" s="9"/>
      <c r="AF108" s="9"/>
      <c r="AG108" s="9"/>
      <c r="AH108" s="7">
        <v>39541.879999999997</v>
      </c>
      <c r="AI108" s="7">
        <v>32795.129999999997</v>
      </c>
    </row>
    <row r="109" spans="2:35" x14ac:dyDescent="0.3">
      <c r="B109" s="5" t="s">
        <v>3061</v>
      </c>
      <c r="C109" s="5" t="s">
        <v>13</v>
      </c>
      <c r="D109" s="6" t="s">
        <v>14</v>
      </c>
      <c r="E109" s="6" t="s">
        <v>343</v>
      </c>
      <c r="F109" s="6" t="s">
        <v>344</v>
      </c>
      <c r="G109" s="6" t="s">
        <v>345</v>
      </c>
      <c r="H109" s="7" t="str">
        <f t="shared" si="1"/>
        <v>PPP-IPU-H795-01OPERATIONAL</v>
      </c>
      <c r="I109" s="8" t="s">
        <v>18</v>
      </c>
      <c r="J109" s="8" t="s">
        <v>19</v>
      </c>
      <c r="K109" s="8" t="s">
        <v>20</v>
      </c>
      <c r="L109" s="9">
        <v>7894.1</v>
      </c>
      <c r="M109" s="9">
        <v>3861.91</v>
      </c>
      <c r="N109" s="9">
        <v>11841.15</v>
      </c>
      <c r="O109" s="9">
        <v>7419.3499999999995</v>
      </c>
      <c r="P109" s="9">
        <v>15788.2</v>
      </c>
      <c r="Q109" s="9">
        <v>9947.69</v>
      </c>
      <c r="R109" s="9">
        <v>19735.25</v>
      </c>
      <c r="S109" s="9">
        <v>11952</v>
      </c>
      <c r="T109" s="9">
        <v>23682.3</v>
      </c>
      <c r="U109" s="9">
        <v>13786.39</v>
      </c>
      <c r="V109" s="9"/>
      <c r="W109" s="9"/>
      <c r="X109" s="9">
        <v>23682.3</v>
      </c>
      <c r="Y109" s="9">
        <v>15477.79</v>
      </c>
      <c r="Z109" s="9"/>
      <c r="AA109" s="9"/>
      <c r="AB109" s="9"/>
      <c r="AC109" s="9"/>
      <c r="AD109" s="9"/>
      <c r="AE109" s="9"/>
      <c r="AF109" s="9"/>
      <c r="AG109" s="9"/>
      <c r="AH109" s="7">
        <v>23682.3</v>
      </c>
      <c r="AI109" s="7">
        <v>15477.79</v>
      </c>
    </row>
    <row r="110" spans="2:35" x14ac:dyDescent="0.3">
      <c r="B110" s="5" t="s">
        <v>3061</v>
      </c>
      <c r="C110" s="5" t="s">
        <v>171</v>
      </c>
      <c r="D110" s="6" t="s">
        <v>14</v>
      </c>
      <c r="E110" s="6" t="s">
        <v>346</v>
      </c>
      <c r="F110" s="6" t="s">
        <v>347</v>
      </c>
      <c r="G110" s="6" t="s">
        <v>348</v>
      </c>
      <c r="H110" s="7" t="str">
        <f t="shared" si="1"/>
        <v>PPP-IPU-M426-01OPERATIONAL</v>
      </c>
      <c r="I110" s="8" t="s">
        <v>56</v>
      </c>
      <c r="J110" s="8" t="s">
        <v>19</v>
      </c>
      <c r="K110" s="8" t="s">
        <v>20</v>
      </c>
      <c r="L110" s="9">
        <v>14966.64</v>
      </c>
      <c r="M110" s="9">
        <v>5238.96</v>
      </c>
      <c r="N110" s="9">
        <v>22449.96</v>
      </c>
      <c r="O110" s="9">
        <v>9969.2000000000007</v>
      </c>
      <c r="P110" s="9">
        <v>29933.279999999999</v>
      </c>
      <c r="Q110" s="9">
        <v>16245.42</v>
      </c>
      <c r="R110" s="9">
        <v>37416.6</v>
      </c>
      <c r="S110" s="9">
        <v>20565.640000000003</v>
      </c>
      <c r="T110" s="9">
        <v>44899.92</v>
      </c>
      <c r="U110" s="9">
        <v>24419.43</v>
      </c>
      <c r="V110" s="9"/>
      <c r="W110" s="9"/>
      <c r="X110" s="9">
        <v>52383.24</v>
      </c>
      <c r="Y110" s="9">
        <v>27197.13</v>
      </c>
      <c r="Z110" s="9"/>
      <c r="AA110" s="9"/>
      <c r="AB110" s="9"/>
      <c r="AC110" s="9"/>
      <c r="AD110" s="9"/>
      <c r="AE110" s="9"/>
      <c r="AF110" s="9"/>
      <c r="AG110" s="9"/>
      <c r="AH110" s="7">
        <v>52383.24</v>
      </c>
      <c r="AI110" s="7">
        <v>27197.13</v>
      </c>
    </row>
    <row r="111" spans="2:35" x14ac:dyDescent="0.3">
      <c r="B111" s="5" t="s">
        <v>3061</v>
      </c>
      <c r="C111" s="5" t="s">
        <v>13</v>
      </c>
      <c r="D111" s="6" t="s">
        <v>14</v>
      </c>
      <c r="E111" s="6" t="s">
        <v>349</v>
      </c>
      <c r="F111" s="6" t="s">
        <v>350</v>
      </c>
      <c r="G111" s="6" t="s">
        <v>351</v>
      </c>
      <c r="H111" s="7" t="str">
        <f t="shared" si="1"/>
        <v>PPP-IPU-A519-01OPERATIONAL</v>
      </c>
      <c r="I111" s="8" t="s">
        <v>18</v>
      </c>
      <c r="J111" s="8" t="s">
        <v>19</v>
      </c>
      <c r="K111" s="8" t="s">
        <v>20</v>
      </c>
      <c r="L111" s="9">
        <v>59694.98</v>
      </c>
      <c r="M111" s="9">
        <v>14803.76</v>
      </c>
      <c r="N111" s="9">
        <v>89542.47</v>
      </c>
      <c r="O111" s="9">
        <v>27426.595000000001</v>
      </c>
      <c r="P111" s="9">
        <v>119389.96</v>
      </c>
      <c r="Q111" s="9">
        <v>42269.315000000002</v>
      </c>
      <c r="R111" s="9">
        <v>149237.45000000001</v>
      </c>
      <c r="S111" s="9">
        <v>54190.955000000009</v>
      </c>
      <c r="T111" s="9">
        <v>179084.94</v>
      </c>
      <c r="U111" s="9">
        <v>70146.794999999984</v>
      </c>
      <c r="V111" s="9"/>
      <c r="W111" s="9"/>
      <c r="X111" s="9">
        <v>208932.43</v>
      </c>
      <c r="Y111" s="9">
        <v>80733.27</v>
      </c>
      <c r="Z111" s="9"/>
      <c r="AA111" s="9"/>
      <c r="AB111" s="9"/>
      <c r="AC111" s="9"/>
      <c r="AD111" s="9"/>
      <c r="AE111" s="9"/>
      <c r="AF111" s="9"/>
      <c r="AG111" s="9"/>
      <c r="AH111" s="7">
        <v>208932.43</v>
      </c>
      <c r="AI111" s="7">
        <v>80733.27</v>
      </c>
    </row>
    <row r="112" spans="2:35" x14ac:dyDescent="0.3">
      <c r="B112" s="5" t="s">
        <v>3061</v>
      </c>
      <c r="C112" s="5" t="s">
        <v>13</v>
      </c>
      <c r="D112" s="6" t="s">
        <v>14</v>
      </c>
      <c r="E112" s="6" t="s">
        <v>352</v>
      </c>
      <c r="F112" s="6" t="s">
        <v>353</v>
      </c>
      <c r="G112" s="6" t="s">
        <v>354</v>
      </c>
      <c r="H112" s="7" t="str">
        <f t="shared" si="1"/>
        <v>CL3-IPU-I608-01OPERATIONAL</v>
      </c>
      <c r="I112" s="8" t="s">
        <v>24</v>
      </c>
      <c r="J112" s="8" t="s">
        <v>19</v>
      </c>
      <c r="K112" s="8" t="s">
        <v>98</v>
      </c>
      <c r="L112" s="9">
        <v>0</v>
      </c>
      <c r="M112" s="9">
        <v>60462.04</v>
      </c>
      <c r="N112" s="9">
        <v>0</v>
      </c>
      <c r="O112" s="9">
        <v>78893.009999999995</v>
      </c>
      <c r="P112" s="9">
        <v>0</v>
      </c>
      <c r="Q112" s="9">
        <v>107171.52</v>
      </c>
      <c r="R112" s="9">
        <v>0</v>
      </c>
      <c r="S112" s="9">
        <v>107911.08</v>
      </c>
      <c r="T112" s="9">
        <v>0</v>
      </c>
      <c r="U112" s="9">
        <v>120988.23</v>
      </c>
      <c r="V112" s="9"/>
      <c r="W112" s="9"/>
      <c r="X112" s="9">
        <v>0</v>
      </c>
      <c r="Y112" s="9">
        <v>123083.54</v>
      </c>
      <c r="Z112" s="9"/>
      <c r="AA112" s="9"/>
      <c r="AB112" s="9"/>
      <c r="AC112" s="9"/>
      <c r="AD112" s="9"/>
      <c r="AE112" s="9"/>
      <c r="AF112" s="9"/>
      <c r="AG112" s="9"/>
      <c r="AH112" s="7">
        <v>0</v>
      </c>
      <c r="AI112" s="7">
        <v>123083.54</v>
      </c>
    </row>
    <row r="113" spans="2:35" x14ac:dyDescent="0.3">
      <c r="B113" s="5" t="s">
        <v>3061</v>
      </c>
      <c r="C113" s="5" t="s">
        <v>13</v>
      </c>
      <c r="D113" s="6" t="s">
        <v>14</v>
      </c>
      <c r="E113" s="6" t="s">
        <v>355</v>
      </c>
      <c r="F113" s="6" t="s">
        <v>356</v>
      </c>
      <c r="G113" s="6" t="s">
        <v>357</v>
      </c>
      <c r="H113" s="7" t="str">
        <f t="shared" si="1"/>
        <v>ATI-IPU-D812-01OPERATIONAL</v>
      </c>
      <c r="I113" s="8" t="s">
        <v>49</v>
      </c>
      <c r="J113" s="8" t="s">
        <v>19</v>
      </c>
      <c r="K113" s="8" t="s">
        <v>20</v>
      </c>
      <c r="L113" s="9">
        <v>11120.69</v>
      </c>
      <c r="M113" s="9">
        <v>6926.26</v>
      </c>
      <c r="N113" s="9">
        <v>16681.04</v>
      </c>
      <c r="O113" s="9">
        <v>12332.11</v>
      </c>
      <c r="P113" s="9">
        <v>22241.38</v>
      </c>
      <c r="Q113" s="9">
        <v>19075.669999999998</v>
      </c>
      <c r="R113" s="9">
        <v>27801.73</v>
      </c>
      <c r="S113" s="9">
        <v>25034.34</v>
      </c>
      <c r="T113" s="9">
        <v>33362.07</v>
      </c>
      <c r="U113" s="9">
        <v>31017.48</v>
      </c>
      <c r="V113" s="9"/>
      <c r="W113" s="9"/>
      <c r="X113" s="9">
        <v>33362.07</v>
      </c>
      <c r="Y113" s="9">
        <v>36565.24</v>
      </c>
      <c r="Z113" s="9"/>
      <c r="AA113" s="9"/>
      <c r="AB113" s="9"/>
      <c r="AC113" s="9"/>
      <c r="AD113" s="9"/>
      <c r="AE113" s="9"/>
      <c r="AF113" s="9"/>
      <c r="AG113" s="9"/>
      <c r="AH113" s="7">
        <v>33362.07</v>
      </c>
      <c r="AI113" s="7">
        <v>36565.24</v>
      </c>
    </row>
    <row r="114" spans="2:35" x14ac:dyDescent="0.3">
      <c r="B114" s="5" t="s">
        <v>3061</v>
      </c>
      <c r="C114" s="5" t="s">
        <v>13</v>
      </c>
      <c r="D114" s="6" t="s">
        <v>14</v>
      </c>
      <c r="E114" s="6" t="s">
        <v>358</v>
      </c>
      <c r="F114" s="6" t="s">
        <v>359</v>
      </c>
      <c r="G114" s="6" t="s">
        <v>360</v>
      </c>
      <c r="H114" s="7" t="str">
        <f t="shared" si="1"/>
        <v>PPP-IPU-C888-01OPERATIONAL</v>
      </c>
      <c r="I114" s="8" t="s">
        <v>18</v>
      </c>
      <c r="J114" s="8" t="s">
        <v>19</v>
      </c>
      <c r="K114" s="8" t="s">
        <v>20</v>
      </c>
      <c r="L114" s="9">
        <v>0</v>
      </c>
      <c r="M114" s="9">
        <v>3274.01</v>
      </c>
      <c r="N114" s="9">
        <v>20883.18</v>
      </c>
      <c r="O114" s="9">
        <v>5775.94</v>
      </c>
      <c r="P114" s="9">
        <v>27844.240000000002</v>
      </c>
      <c r="Q114" s="9">
        <v>8565.1200000000008</v>
      </c>
      <c r="R114" s="9">
        <v>33272.720000000001</v>
      </c>
      <c r="S114" s="9">
        <v>10707.04</v>
      </c>
      <c r="T114" s="9">
        <v>39927.26</v>
      </c>
      <c r="U114" s="9">
        <v>12844.77</v>
      </c>
      <c r="V114" s="9"/>
      <c r="W114" s="9"/>
      <c r="X114" s="9">
        <v>39927.26</v>
      </c>
      <c r="Y114" s="9">
        <v>15654.77</v>
      </c>
      <c r="Z114" s="9"/>
      <c r="AA114" s="9"/>
      <c r="AB114" s="9"/>
      <c r="AC114" s="9"/>
      <c r="AD114" s="9"/>
      <c r="AE114" s="9"/>
      <c r="AF114" s="9"/>
      <c r="AG114" s="9"/>
      <c r="AH114" s="7">
        <v>39927.26</v>
      </c>
      <c r="AI114" s="7">
        <v>15654.77</v>
      </c>
    </row>
    <row r="115" spans="2:35" x14ac:dyDescent="0.3">
      <c r="B115" s="5" t="s">
        <v>3061</v>
      </c>
      <c r="C115" s="5" t="s">
        <v>13</v>
      </c>
      <c r="D115" s="6" t="s">
        <v>14</v>
      </c>
      <c r="E115" s="6" t="s">
        <v>361</v>
      </c>
      <c r="F115" s="6" t="s">
        <v>362</v>
      </c>
      <c r="G115" s="6" t="s">
        <v>363</v>
      </c>
      <c r="H115" s="7" t="str">
        <f t="shared" si="1"/>
        <v>PPP-IPU-C231-01OPERATIONAL</v>
      </c>
      <c r="I115" s="8" t="s">
        <v>18</v>
      </c>
      <c r="J115" s="8" t="s">
        <v>19</v>
      </c>
      <c r="K115" s="8" t="s">
        <v>20</v>
      </c>
      <c r="L115" s="9">
        <v>18703.759999999998</v>
      </c>
      <c r="M115" s="9">
        <v>3445.85</v>
      </c>
      <c r="N115" s="9">
        <v>28055.64</v>
      </c>
      <c r="O115" s="9">
        <v>7254.04</v>
      </c>
      <c r="P115" s="9">
        <v>37407.519999999997</v>
      </c>
      <c r="Q115" s="9">
        <v>11098.91</v>
      </c>
      <c r="R115" s="9">
        <v>46759.4</v>
      </c>
      <c r="S115" s="9">
        <v>13850.91</v>
      </c>
      <c r="T115" s="9">
        <v>56111.28</v>
      </c>
      <c r="U115" s="9">
        <v>16445.260000000002</v>
      </c>
      <c r="V115" s="9"/>
      <c r="W115" s="9"/>
      <c r="X115" s="9">
        <v>65463.16</v>
      </c>
      <c r="Y115" s="9">
        <v>18588.41</v>
      </c>
      <c r="Z115" s="9"/>
      <c r="AA115" s="9"/>
      <c r="AB115" s="9"/>
      <c r="AC115" s="9"/>
      <c r="AD115" s="9"/>
      <c r="AE115" s="9"/>
      <c r="AF115" s="9"/>
      <c r="AG115" s="9"/>
      <c r="AH115" s="7">
        <v>65463.16</v>
      </c>
      <c r="AI115" s="7">
        <v>18588.41</v>
      </c>
    </row>
    <row r="116" spans="2:35" x14ac:dyDescent="0.3">
      <c r="B116" s="5" t="s">
        <v>3061</v>
      </c>
      <c r="C116" s="5" t="s">
        <v>13</v>
      </c>
      <c r="D116" s="6" t="s">
        <v>14</v>
      </c>
      <c r="E116" s="6" t="s">
        <v>364</v>
      </c>
      <c r="F116" s="6" t="s">
        <v>365</v>
      </c>
      <c r="G116" s="6" t="s">
        <v>366</v>
      </c>
      <c r="H116" s="7" t="str">
        <f t="shared" si="1"/>
        <v>PPP-IPU-L285-01OPERATIONAL</v>
      </c>
      <c r="I116" s="8" t="s">
        <v>49</v>
      </c>
      <c r="J116" s="8" t="s">
        <v>19</v>
      </c>
      <c r="K116" s="8" t="s">
        <v>20</v>
      </c>
      <c r="L116" s="9">
        <v>11403.16</v>
      </c>
      <c r="M116" s="9">
        <v>5009.5200000000004</v>
      </c>
      <c r="N116" s="9">
        <v>17104.740000000002</v>
      </c>
      <c r="O116" s="9">
        <v>8534.24</v>
      </c>
      <c r="P116" s="9">
        <v>22806.32</v>
      </c>
      <c r="Q116" s="9">
        <v>12613.48</v>
      </c>
      <c r="R116" s="9">
        <v>28507.9</v>
      </c>
      <c r="S116" s="9">
        <v>15942.93</v>
      </c>
      <c r="T116" s="9">
        <v>34209.480000000003</v>
      </c>
      <c r="U116" s="9">
        <v>19152.52</v>
      </c>
      <c r="V116" s="9"/>
      <c r="W116" s="9"/>
      <c r="X116" s="9">
        <v>39911.06</v>
      </c>
      <c r="Y116" s="9">
        <v>22241.48</v>
      </c>
      <c r="Z116" s="9"/>
      <c r="AA116" s="9"/>
      <c r="AB116" s="9"/>
      <c r="AC116" s="9"/>
      <c r="AD116" s="9"/>
      <c r="AE116" s="9"/>
      <c r="AF116" s="9"/>
      <c r="AG116" s="9"/>
      <c r="AH116" s="7">
        <v>39911.06</v>
      </c>
      <c r="AI116" s="7">
        <v>22241.48</v>
      </c>
    </row>
    <row r="117" spans="2:35" x14ac:dyDescent="0.3">
      <c r="B117" s="5" t="s">
        <v>3061</v>
      </c>
      <c r="C117" s="5" t="s">
        <v>13</v>
      </c>
      <c r="D117" s="6" t="s">
        <v>14</v>
      </c>
      <c r="E117" s="6" t="s">
        <v>367</v>
      </c>
      <c r="F117" s="6" t="s">
        <v>368</v>
      </c>
      <c r="G117" s="6" t="s">
        <v>369</v>
      </c>
      <c r="H117" s="7" t="str">
        <f t="shared" si="1"/>
        <v>PPP-IPU-H990-01OPERATIONAL</v>
      </c>
      <c r="I117" s="8" t="s">
        <v>24</v>
      </c>
      <c r="J117" s="8" t="s">
        <v>19</v>
      </c>
      <c r="K117" s="8" t="s">
        <v>20</v>
      </c>
      <c r="L117" s="9">
        <v>17161.060000000001</v>
      </c>
      <c r="M117" s="9">
        <v>4890.62</v>
      </c>
      <c r="N117" s="9">
        <v>25741.59</v>
      </c>
      <c r="O117" s="9">
        <v>9945.06</v>
      </c>
      <c r="P117" s="9">
        <v>34322.120000000003</v>
      </c>
      <c r="Q117" s="9">
        <v>14724.6</v>
      </c>
      <c r="R117" s="9">
        <v>42902.65</v>
      </c>
      <c r="S117" s="9">
        <v>18630.080000000002</v>
      </c>
      <c r="T117" s="9">
        <v>51483.18</v>
      </c>
      <c r="U117" s="9">
        <v>22477.21</v>
      </c>
      <c r="V117" s="9"/>
      <c r="W117" s="9"/>
      <c r="X117" s="9">
        <v>60063.71</v>
      </c>
      <c r="Y117" s="9">
        <v>25874.959999999999</v>
      </c>
      <c r="Z117" s="9"/>
      <c r="AA117" s="9"/>
      <c r="AB117" s="9"/>
      <c r="AC117" s="9"/>
      <c r="AD117" s="9"/>
      <c r="AE117" s="9"/>
      <c r="AF117" s="9"/>
      <c r="AG117" s="9"/>
      <c r="AH117" s="7">
        <v>60063.71</v>
      </c>
      <c r="AI117" s="7">
        <v>25874.959999999999</v>
      </c>
    </row>
    <row r="118" spans="2:35" x14ac:dyDescent="0.3">
      <c r="B118" s="5" t="s">
        <v>3061</v>
      </c>
      <c r="C118" s="5" t="s">
        <v>13</v>
      </c>
      <c r="D118" s="6" t="s">
        <v>14</v>
      </c>
      <c r="E118" s="6" t="s">
        <v>370</v>
      </c>
      <c r="F118" s="6" t="s">
        <v>371</v>
      </c>
      <c r="G118" s="6" t="s">
        <v>372</v>
      </c>
      <c r="H118" s="7" t="str">
        <f t="shared" si="1"/>
        <v>CL3-IPU-L415-01OPERATIONAL</v>
      </c>
      <c r="I118" s="8" t="s">
        <v>49</v>
      </c>
      <c r="J118" s="8" t="s">
        <v>19</v>
      </c>
      <c r="K118" s="8" t="s">
        <v>98</v>
      </c>
      <c r="L118" s="9">
        <v>16609.400000000001</v>
      </c>
      <c r="M118" s="9">
        <v>14219.980000000001</v>
      </c>
      <c r="N118" s="9">
        <v>25970.06</v>
      </c>
      <c r="O118" s="9">
        <v>17105.41</v>
      </c>
      <c r="P118" s="9">
        <v>34489.78</v>
      </c>
      <c r="Q118" s="9">
        <v>20448</v>
      </c>
      <c r="R118" s="9">
        <v>42986.39</v>
      </c>
      <c r="S118" s="9">
        <v>23160.799999999999</v>
      </c>
      <c r="T118" s="9">
        <v>52514.85</v>
      </c>
      <c r="U118" s="9">
        <v>26487</v>
      </c>
      <c r="V118" s="9"/>
      <c r="W118" s="9"/>
      <c r="X118" s="9">
        <v>71034.929999999993</v>
      </c>
      <c r="Y118" s="9">
        <v>29371.09</v>
      </c>
      <c r="Z118" s="9"/>
      <c r="AA118" s="9"/>
      <c r="AB118" s="9"/>
      <c r="AC118" s="9"/>
      <c r="AD118" s="9"/>
      <c r="AE118" s="9"/>
      <c r="AF118" s="9"/>
      <c r="AG118" s="9"/>
      <c r="AH118" s="7">
        <v>71034.929999999993</v>
      </c>
      <c r="AI118" s="7">
        <v>29371.09</v>
      </c>
    </row>
    <row r="119" spans="2:35" x14ac:dyDescent="0.3">
      <c r="B119" s="5" t="s">
        <v>3061</v>
      </c>
      <c r="C119" s="5" t="s">
        <v>13</v>
      </c>
      <c r="D119" s="6" t="s">
        <v>14</v>
      </c>
      <c r="E119" s="6" t="s">
        <v>373</v>
      </c>
      <c r="F119" s="6" t="s">
        <v>374</v>
      </c>
      <c r="G119" s="6" t="s">
        <v>375</v>
      </c>
      <c r="H119" s="7" t="str">
        <f t="shared" si="1"/>
        <v>CL3-IPU-B754-01OPERATIONAL</v>
      </c>
      <c r="I119" s="8" t="s">
        <v>49</v>
      </c>
      <c r="J119" s="8" t="s">
        <v>19</v>
      </c>
      <c r="K119" s="8" t="s">
        <v>98</v>
      </c>
      <c r="L119" s="9">
        <v>41841.919999999998</v>
      </c>
      <c r="M119" s="9">
        <v>11026.449999999999</v>
      </c>
      <c r="N119" s="9">
        <v>64489.77</v>
      </c>
      <c r="O119" s="9">
        <v>12356.08</v>
      </c>
      <c r="P119" s="9">
        <v>85761.15</v>
      </c>
      <c r="Q119" s="9">
        <v>16772.38</v>
      </c>
      <c r="R119" s="9">
        <v>108287.7</v>
      </c>
      <c r="S119" s="9">
        <v>20149.194999999996</v>
      </c>
      <c r="T119" s="9">
        <v>130296.05</v>
      </c>
      <c r="U119" s="9">
        <v>24794.585000000003</v>
      </c>
      <c r="V119" s="9"/>
      <c r="W119" s="9"/>
      <c r="X119" s="9">
        <v>177657.99</v>
      </c>
      <c r="Y119" s="9">
        <v>29736.68</v>
      </c>
      <c r="Z119" s="9"/>
      <c r="AA119" s="9"/>
      <c r="AB119" s="9"/>
      <c r="AC119" s="9"/>
      <c r="AD119" s="9"/>
      <c r="AE119" s="9"/>
      <c r="AF119" s="9"/>
      <c r="AG119" s="9"/>
      <c r="AH119" s="7">
        <v>177657.99</v>
      </c>
      <c r="AI119" s="7">
        <v>29736.68</v>
      </c>
    </row>
    <row r="120" spans="2:35" x14ac:dyDescent="0.3">
      <c r="B120" s="5" t="s">
        <v>3061</v>
      </c>
      <c r="C120" s="5" t="s">
        <v>13</v>
      </c>
      <c r="D120" s="6" t="s">
        <v>14</v>
      </c>
      <c r="E120" s="6" t="s">
        <v>376</v>
      </c>
      <c r="F120" s="6" t="s">
        <v>377</v>
      </c>
      <c r="G120" s="6" t="s">
        <v>378</v>
      </c>
      <c r="H120" s="7" t="str">
        <f t="shared" si="1"/>
        <v>PPP-IPU-F229-01OPERATIONAL</v>
      </c>
      <c r="I120" s="8" t="s">
        <v>56</v>
      </c>
      <c r="J120" s="8" t="s">
        <v>19</v>
      </c>
      <c r="K120" s="8" t="s">
        <v>20</v>
      </c>
      <c r="L120" s="9">
        <v>51000</v>
      </c>
      <c r="M120" s="9">
        <v>19955.281588777845</v>
      </c>
      <c r="N120" s="9">
        <v>56143.35</v>
      </c>
      <c r="O120" s="9">
        <v>31995.78</v>
      </c>
      <c r="P120" s="9">
        <v>74857.8</v>
      </c>
      <c r="Q120" s="9">
        <v>24202.38</v>
      </c>
      <c r="R120" s="9">
        <v>93572.25</v>
      </c>
      <c r="S120" s="9">
        <v>29838.21</v>
      </c>
      <c r="T120" s="9">
        <v>112286.69</v>
      </c>
      <c r="U120" s="9">
        <v>35293.57</v>
      </c>
      <c r="V120" s="9"/>
      <c r="W120" s="9"/>
      <c r="X120" s="9">
        <v>112286.69</v>
      </c>
      <c r="Y120" s="9">
        <v>38478.97</v>
      </c>
      <c r="Z120" s="9"/>
      <c r="AA120" s="9"/>
      <c r="AB120" s="9"/>
      <c r="AC120" s="9"/>
      <c r="AD120" s="9"/>
      <c r="AE120" s="9"/>
      <c r="AF120" s="9"/>
      <c r="AG120" s="9"/>
      <c r="AH120" s="7">
        <v>112286.69</v>
      </c>
      <c r="AI120" s="7">
        <v>38478.97</v>
      </c>
    </row>
    <row r="121" spans="2:35" x14ac:dyDescent="0.3">
      <c r="B121" s="5" t="s">
        <v>3061</v>
      </c>
      <c r="C121" s="5" t="s">
        <v>13</v>
      </c>
      <c r="D121" s="6" t="s">
        <v>14</v>
      </c>
      <c r="E121" s="6" t="s">
        <v>379</v>
      </c>
      <c r="F121" s="6" t="s">
        <v>380</v>
      </c>
      <c r="G121" s="6" t="s">
        <v>381</v>
      </c>
      <c r="H121" s="7" t="str">
        <f t="shared" si="1"/>
        <v>PPP-IPU-A488-01OPERATIONAL</v>
      </c>
      <c r="I121" s="8" t="s">
        <v>24</v>
      </c>
      <c r="J121" s="8" t="s">
        <v>19</v>
      </c>
      <c r="K121" s="8" t="s">
        <v>20</v>
      </c>
      <c r="L121" s="9">
        <v>93709.66</v>
      </c>
      <c r="M121" s="9">
        <v>24917.43</v>
      </c>
      <c r="N121" s="9">
        <v>195918.97</v>
      </c>
      <c r="O121" s="9">
        <v>47180.08</v>
      </c>
      <c r="P121" s="9">
        <v>242773.8</v>
      </c>
      <c r="Q121" s="9">
        <v>70716.540000000008</v>
      </c>
      <c r="R121" s="9">
        <v>289628.63</v>
      </c>
      <c r="S121" s="9">
        <v>78647.599999999991</v>
      </c>
      <c r="T121" s="9">
        <v>336483.46</v>
      </c>
      <c r="U121" s="9">
        <v>110680.61</v>
      </c>
      <c r="V121" s="9"/>
      <c r="W121" s="9"/>
      <c r="X121" s="9">
        <v>383338.29</v>
      </c>
      <c r="Y121" s="9">
        <v>129591.79</v>
      </c>
      <c r="Z121" s="9"/>
      <c r="AA121" s="9"/>
      <c r="AB121" s="9"/>
      <c r="AC121" s="9"/>
      <c r="AD121" s="9"/>
      <c r="AE121" s="9"/>
      <c r="AF121" s="9"/>
      <c r="AG121" s="9"/>
      <c r="AH121" s="7">
        <v>383338.29</v>
      </c>
      <c r="AI121" s="7">
        <v>129591.79</v>
      </c>
    </row>
    <row r="122" spans="2:35" x14ac:dyDescent="0.3">
      <c r="B122" s="5" t="s">
        <v>3061</v>
      </c>
      <c r="C122" s="5" t="s">
        <v>13</v>
      </c>
      <c r="D122" s="6" t="s">
        <v>14</v>
      </c>
      <c r="E122" s="6" t="s">
        <v>382</v>
      </c>
      <c r="F122" s="6" t="s">
        <v>383</v>
      </c>
      <c r="G122" s="6" t="s">
        <v>158</v>
      </c>
      <c r="H122" s="7" t="str">
        <f t="shared" si="1"/>
        <v>CL3-IPU-F952-01OPERATIONAL</v>
      </c>
      <c r="I122" s="8" t="s">
        <v>49</v>
      </c>
      <c r="J122" s="8" t="s">
        <v>19</v>
      </c>
      <c r="K122" s="8" t="s">
        <v>98</v>
      </c>
      <c r="L122" s="9">
        <v>287735.03999999998</v>
      </c>
      <c r="M122" s="9">
        <v>118159.44</v>
      </c>
      <c r="N122" s="9">
        <v>457685</v>
      </c>
      <c r="O122" s="9">
        <v>144619.68000000002</v>
      </c>
      <c r="P122" s="9">
        <v>628962.98</v>
      </c>
      <c r="Q122" s="9">
        <v>207636.96999999997</v>
      </c>
      <c r="R122" s="9">
        <v>767996.81</v>
      </c>
      <c r="S122" s="9">
        <v>277204.55000000005</v>
      </c>
      <c r="T122" s="9">
        <v>921259.26</v>
      </c>
      <c r="U122" s="9">
        <v>320679.94</v>
      </c>
      <c r="V122" s="9"/>
      <c r="W122" s="9"/>
      <c r="X122" s="9">
        <v>1255923.57</v>
      </c>
      <c r="Y122" s="9">
        <v>344278.16</v>
      </c>
      <c r="Z122" s="9"/>
      <c r="AA122" s="9"/>
      <c r="AB122" s="9"/>
      <c r="AC122" s="9"/>
      <c r="AD122" s="9"/>
      <c r="AE122" s="9"/>
      <c r="AF122" s="9"/>
      <c r="AG122" s="9"/>
      <c r="AH122" s="7">
        <v>1255923.57</v>
      </c>
      <c r="AI122" s="7">
        <v>344278.16</v>
      </c>
    </row>
    <row r="123" spans="2:35" x14ac:dyDescent="0.3">
      <c r="B123" s="5" t="s">
        <v>3061</v>
      </c>
      <c r="C123" s="5" t="s">
        <v>13</v>
      </c>
      <c r="D123" s="6" t="s">
        <v>14</v>
      </c>
      <c r="E123" s="6" t="s">
        <v>384</v>
      </c>
      <c r="F123" s="6" t="s">
        <v>385</v>
      </c>
      <c r="G123" s="6" t="s">
        <v>386</v>
      </c>
      <c r="H123" s="7" t="str">
        <f t="shared" si="1"/>
        <v>PPP-IPU-C638-01OPERATIONAL</v>
      </c>
      <c r="I123" s="8" t="s">
        <v>56</v>
      </c>
      <c r="J123" s="8" t="s">
        <v>19</v>
      </c>
      <c r="K123" s="8" t="s">
        <v>20</v>
      </c>
      <c r="L123" s="9">
        <f>135000+75546.92</f>
        <v>210546.91999999998</v>
      </c>
      <c r="M123" s="9">
        <v>40298.47</v>
      </c>
      <c r="N123" s="9">
        <v>113320.38</v>
      </c>
      <c r="O123" s="9">
        <v>72639.77</v>
      </c>
      <c r="P123" s="9">
        <v>123798.76</v>
      </c>
      <c r="Q123" s="9">
        <v>111397.13</v>
      </c>
      <c r="R123" s="9">
        <v>161572.22</v>
      </c>
      <c r="S123" s="9">
        <v>135100.63</v>
      </c>
      <c r="T123" s="9">
        <v>199345.68</v>
      </c>
      <c r="U123" s="9">
        <v>159237.00000000003</v>
      </c>
      <c r="V123" s="9"/>
      <c r="W123" s="9"/>
      <c r="X123" s="9">
        <v>247597.52</v>
      </c>
      <c r="Y123" s="9">
        <v>186159.26</v>
      </c>
      <c r="Z123" s="9"/>
      <c r="AA123" s="9"/>
      <c r="AB123" s="9"/>
      <c r="AC123" s="9"/>
      <c r="AD123" s="9"/>
      <c r="AE123" s="9"/>
      <c r="AF123" s="9"/>
      <c r="AG123" s="9"/>
      <c r="AH123" s="7">
        <v>247597.52</v>
      </c>
      <c r="AI123" s="7">
        <v>186159.26</v>
      </c>
    </row>
    <row r="124" spans="2:35" x14ac:dyDescent="0.3">
      <c r="B124" s="5" t="s">
        <v>3061</v>
      </c>
      <c r="C124" s="5" t="s">
        <v>13</v>
      </c>
      <c r="D124" s="6" t="s">
        <v>14</v>
      </c>
      <c r="E124" s="6" t="s">
        <v>387</v>
      </c>
      <c r="F124" s="6" t="s">
        <v>388</v>
      </c>
      <c r="G124" s="6" t="s">
        <v>389</v>
      </c>
      <c r="H124" s="7" t="str">
        <f t="shared" si="1"/>
        <v>PPP-IPU-E498-01OPERATIONAL</v>
      </c>
      <c r="I124" s="8" t="s">
        <v>18</v>
      </c>
      <c r="J124" s="8" t="s">
        <v>19</v>
      </c>
      <c r="K124" s="8" t="s">
        <v>20</v>
      </c>
      <c r="L124" s="9">
        <v>29384.26</v>
      </c>
      <c r="M124" s="9">
        <v>5165.91</v>
      </c>
      <c r="N124" s="9">
        <v>44076.39</v>
      </c>
      <c r="O124" s="9">
        <v>8659.94</v>
      </c>
      <c r="P124" s="9">
        <v>58768.52</v>
      </c>
      <c r="Q124" s="9">
        <v>9086.67</v>
      </c>
      <c r="R124" s="9">
        <v>73460.649999999994</v>
      </c>
      <c r="S124" s="9">
        <v>13072.26</v>
      </c>
      <c r="T124" s="9">
        <v>88152.78</v>
      </c>
      <c r="U124" s="9">
        <v>19494.38</v>
      </c>
      <c r="V124" s="9"/>
      <c r="W124" s="9"/>
      <c r="X124" s="9">
        <v>102844.91</v>
      </c>
      <c r="Y124" s="9">
        <v>22760.19</v>
      </c>
      <c r="Z124" s="9"/>
      <c r="AA124" s="9"/>
      <c r="AB124" s="9"/>
      <c r="AC124" s="9"/>
      <c r="AD124" s="9"/>
      <c r="AE124" s="9"/>
      <c r="AF124" s="9"/>
      <c r="AG124" s="9"/>
      <c r="AH124" s="7">
        <v>102844.91</v>
      </c>
      <c r="AI124" s="7">
        <v>22760.19</v>
      </c>
    </row>
    <row r="125" spans="2:35" x14ac:dyDescent="0.3">
      <c r="B125" s="5" t="s">
        <v>3061</v>
      </c>
      <c r="C125" s="5" t="s">
        <v>13</v>
      </c>
      <c r="D125" s="6" t="s">
        <v>14</v>
      </c>
      <c r="E125" s="6" t="s">
        <v>390</v>
      </c>
      <c r="F125" s="6" t="s">
        <v>391</v>
      </c>
      <c r="G125" s="6" t="s">
        <v>113</v>
      </c>
      <c r="H125" s="7" t="str">
        <f t="shared" si="1"/>
        <v>PPP-IPU-C717-01OPERATIONAL</v>
      </c>
      <c r="I125" s="8" t="s">
        <v>18</v>
      </c>
      <c r="J125" s="8" t="s">
        <v>19</v>
      </c>
      <c r="K125" s="8" t="s">
        <v>20</v>
      </c>
      <c r="L125" s="9">
        <v>53179.78</v>
      </c>
      <c r="M125" s="9">
        <v>10313.120000000001</v>
      </c>
      <c r="N125" s="9">
        <v>79769.67</v>
      </c>
      <c r="O125" s="9">
        <v>25140.59</v>
      </c>
      <c r="P125" s="9">
        <v>106769.43</v>
      </c>
      <c r="Q125" s="9">
        <v>35325.68</v>
      </c>
      <c r="R125" s="9">
        <v>133769.19</v>
      </c>
      <c r="S125" s="9">
        <v>44125.229999999996</v>
      </c>
      <c r="T125" s="9">
        <v>160768.95000000001</v>
      </c>
      <c r="U125" s="9">
        <v>52242.38</v>
      </c>
      <c r="V125" s="9"/>
      <c r="W125" s="9"/>
      <c r="X125" s="9">
        <v>187768.71</v>
      </c>
      <c r="Y125" s="9">
        <v>58419.199999999997</v>
      </c>
      <c r="Z125" s="9"/>
      <c r="AA125" s="9"/>
      <c r="AB125" s="9"/>
      <c r="AC125" s="9"/>
      <c r="AD125" s="9"/>
      <c r="AE125" s="9"/>
      <c r="AF125" s="9"/>
      <c r="AG125" s="9"/>
      <c r="AH125" s="7">
        <v>187768.71</v>
      </c>
      <c r="AI125" s="7">
        <v>58419.199999999997</v>
      </c>
    </row>
    <row r="126" spans="2:35" x14ac:dyDescent="0.3">
      <c r="B126" s="5" t="s">
        <v>3061</v>
      </c>
      <c r="C126" s="5" t="s">
        <v>13</v>
      </c>
      <c r="D126" s="6" t="s">
        <v>14</v>
      </c>
      <c r="E126" s="6" t="s">
        <v>392</v>
      </c>
      <c r="F126" s="6" t="s">
        <v>393</v>
      </c>
      <c r="G126" s="6" t="s">
        <v>394</v>
      </c>
      <c r="H126" s="7" t="str">
        <f t="shared" si="1"/>
        <v>PPP-IPU-B826-01OPERATIONAL</v>
      </c>
      <c r="I126" s="8" t="s">
        <v>24</v>
      </c>
      <c r="J126" s="8" t="s">
        <v>19</v>
      </c>
      <c r="K126" s="8" t="s">
        <v>20</v>
      </c>
      <c r="L126" s="9">
        <v>8235.27</v>
      </c>
      <c r="M126" s="9">
        <v>2718.83</v>
      </c>
      <c r="N126" s="9">
        <v>22280.99</v>
      </c>
      <c r="O126" s="9">
        <v>4818.83</v>
      </c>
      <c r="P126" s="9">
        <v>22280.99</v>
      </c>
      <c r="Q126" s="9">
        <v>6042.8</v>
      </c>
      <c r="R126" s="9">
        <v>26398.63</v>
      </c>
      <c r="S126" s="9">
        <v>6392.8</v>
      </c>
      <c r="T126" s="9">
        <v>30516.26</v>
      </c>
      <c r="U126" s="9">
        <v>7998.08</v>
      </c>
      <c r="V126" s="9"/>
      <c r="W126" s="9"/>
      <c r="X126" s="9">
        <v>30516.26</v>
      </c>
      <c r="Y126" s="9">
        <v>8623.68</v>
      </c>
      <c r="Z126" s="9"/>
      <c r="AA126" s="9"/>
      <c r="AB126" s="9"/>
      <c r="AC126" s="9"/>
      <c r="AD126" s="9"/>
      <c r="AE126" s="9"/>
      <c r="AF126" s="9"/>
      <c r="AG126" s="9"/>
      <c r="AH126" s="7">
        <v>30516.26</v>
      </c>
      <c r="AI126" s="7">
        <v>8623.68</v>
      </c>
    </row>
    <row r="127" spans="2:35" x14ac:dyDescent="0.3">
      <c r="B127" s="5" t="s">
        <v>3061</v>
      </c>
      <c r="C127" s="5" t="s">
        <v>13</v>
      </c>
      <c r="D127" s="6" t="s">
        <v>14</v>
      </c>
      <c r="E127" s="6" t="s">
        <v>395</v>
      </c>
      <c r="F127" s="6" t="s">
        <v>396</v>
      </c>
      <c r="G127" s="6" t="s">
        <v>397</v>
      </c>
      <c r="H127" s="7" t="str">
        <f t="shared" si="1"/>
        <v>ATI-IPU-I307-01OPERATIONAL</v>
      </c>
      <c r="I127" s="8" t="s">
        <v>18</v>
      </c>
      <c r="J127" s="8" t="s">
        <v>19</v>
      </c>
      <c r="K127" s="8" t="s">
        <v>20</v>
      </c>
      <c r="L127" s="9">
        <v>3381.76</v>
      </c>
      <c r="M127" s="9">
        <v>711.02</v>
      </c>
      <c r="N127" s="9">
        <v>5072.6400000000003</v>
      </c>
      <c r="O127" s="9">
        <v>1066.53</v>
      </c>
      <c r="P127" s="9">
        <v>6852.84</v>
      </c>
      <c r="Q127" s="9">
        <v>1422.04</v>
      </c>
      <c r="R127" s="9">
        <v>8566.0499999999993</v>
      </c>
      <c r="S127" s="9">
        <v>1959.06</v>
      </c>
      <c r="T127" s="9">
        <v>10279.26</v>
      </c>
      <c r="U127" s="9">
        <v>2314.5699999999997</v>
      </c>
      <c r="V127" s="9"/>
      <c r="W127" s="9"/>
      <c r="X127" s="9">
        <v>11992.47</v>
      </c>
      <c r="Y127" s="9">
        <v>2314.5700000000002</v>
      </c>
      <c r="Z127" s="9"/>
      <c r="AA127" s="9"/>
      <c r="AB127" s="9"/>
      <c r="AC127" s="9"/>
      <c r="AD127" s="9"/>
      <c r="AE127" s="9"/>
      <c r="AF127" s="9"/>
      <c r="AG127" s="9"/>
      <c r="AH127" s="7">
        <v>11992.47</v>
      </c>
      <c r="AI127" s="7">
        <v>2314.5700000000002</v>
      </c>
    </row>
    <row r="128" spans="2:35" x14ac:dyDescent="0.3">
      <c r="B128" s="5" t="s">
        <v>3061</v>
      </c>
      <c r="C128" s="5" t="s">
        <v>13</v>
      </c>
      <c r="D128" s="6" t="s">
        <v>14</v>
      </c>
      <c r="E128" s="6" t="s">
        <v>398</v>
      </c>
      <c r="F128" s="6" t="s">
        <v>399</v>
      </c>
      <c r="G128" s="6" t="s">
        <v>400</v>
      </c>
      <c r="H128" s="7" t="str">
        <f t="shared" si="1"/>
        <v>PPP-IPU-C058-01OPERATIONAL</v>
      </c>
      <c r="I128" s="8" t="s">
        <v>18</v>
      </c>
      <c r="J128" s="8" t="s">
        <v>19</v>
      </c>
      <c r="K128" s="8" t="s">
        <v>20</v>
      </c>
      <c r="L128" s="9">
        <v>5091.37</v>
      </c>
      <c r="M128" s="9">
        <v>2591.37</v>
      </c>
      <c r="N128" s="9">
        <v>6451.12</v>
      </c>
      <c r="O128" s="9">
        <v>4551.12</v>
      </c>
      <c r="P128" s="9">
        <v>4551.12</v>
      </c>
      <c r="Q128" s="9">
        <v>4551.12</v>
      </c>
      <c r="R128" s="9">
        <v>9995.99</v>
      </c>
      <c r="S128" s="9">
        <v>8395.99</v>
      </c>
      <c r="T128" s="9">
        <v>11495.23</v>
      </c>
      <c r="U128" s="9">
        <v>9995.23</v>
      </c>
      <c r="V128" s="9"/>
      <c r="W128" s="9"/>
      <c r="X128" s="9">
        <v>11522.4</v>
      </c>
      <c r="Y128" s="9">
        <v>11522.4</v>
      </c>
      <c r="Z128" s="9"/>
      <c r="AA128" s="9"/>
      <c r="AB128" s="9"/>
      <c r="AC128" s="9"/>
      <c r="AD128" s="9"/>
      <c r="AE128" s="9"/>
      <c r="AF128" s="9"/>
      <c r="AG128" s="9"/>
      <c r="AH128" s="7">
        <v>11522.4</v>
      </c>
      <c r="AI128" s="7">
        <v>11522.4</v>
      </c>
    </row>
    <row r="129" spans="2:35" x14ac:dyDescent="0.3">
      <c r="B129" s="5" t="s">
        <v>3061</v>
      </c>
      <c r="C129" s="5" t="s">
        <v>13</v>
      </c>
      <c r="D129" s="6" t="s">
        <v>14</v>
      </c>
      <c r="E129" s="6" t="s">
        <v>401</v>
      </c>
      <c r="F129" s="6" t="s">
        <v>402</v>
      </c>
      <c r="G129" s="6" t="s">
        <v>403</v>
      </c>
      <c r="H129" s="7" t="str">
        <f t="shared" si="1"/>
        <v>PPP-IPU-A415-01OPERATIONAL</v>
      </c>
      <c r="I129" s="8" t="s">
        <v>18</v>
      </c>
      <c r="J129" s="8" t="s">
        <v>19</v>
      </c>
      <c r="K129" s="8" t="s">
        <v>20</v>
      </c>
      <c r="L129" s="9">
        <v>3657.19</v>
      </c>
      <c r="M129" s="9">
        <v>2370.0349999999999</v>
      </c>
      <c r="N129" s="9">
        <v>4658.4799999999996</v>
      </c>
      <c r="O129" s="9">
        <v>3771.3249999999998</v>
      </c>
      <c r="P129" s="9">
        <v>6319.9</v>
      </c>
      <c r="Q129" s="9">
        <v>5332.7449999999999</v>
      </c>
      <c r="R129" s="9">
        <v>7250.09</v>
      </c>
      <c r="S129" s="9">
        <v>6562.9350000000004</v>
      </c>
      <c r="T129" s="9">
        <v>8282.5400000000009</v>
      </c>
      <c r="U129" s="9">
        <v>7725.4250000000002</v>
      </c>
      <c r="V129" s="9"/>
      <c r="W129" s="9"/>
      <c r="X129" s="9">
        <v>8282.5400000000009</v>
      </c>
      <c r="Y129" s="9">
        <v>8795.39</v>
      </c>
      <c r="Z129" s="9"/>
      <c r="AA129" s="9"/>
      <c r="AB129" s="9"/>
      <c r="AC129" s="9"/>
      <c r="AD129" s="9"/>
      <c r="AE129" s="9"/>
      <c r="AF129" s="9"/>
      <c r="AG129" s="9"/>
      <c r="AH129" s="7">
        <v>8282.5400000000009</v>
      </c>
      <c r="AI129" s="7">
        <v>8795.39</v>
      </c>
    </row>
    <row r="130" spans="2:35" x14ac:dyDescent="0.3">
      <c r="B130" s="5" t="s">
        <v>3061</v>
      </c>
      <c r="C130" s="5" t="s">
        <v>13</v>
      </c>
      <c r="D130" s="6" t="s">
        <v>14</v>
      </c>
      <c r="E130" s="6" t="s">
        <v>404</v>
      </c>
      <c r="F130" s="6" t="s">
        <v>405</v>
      </c>
      <c r="G130" s="6" t="s">
        <v>406</v>
      </c>
      <c r="H130" s="7" t="str">
        <f t="shared" si="1"/>
        <v>ATI-IPU-F481-01OPERATIONAL</v>
      </c>
      <c r="I130" s="8" t="s">
        <v>18</v>
      </c>
      <c r="J130" s="8" t="s">
        <v>19</v>
      </c>
      <c r="K130" s="8" t="s">
        <v>20</v>
      </c>
      <c r="L130" s="9">
        <v>6381.14</v>
      </c>
      <c r="M130" s="9">
        <v>1661.25</v>
      </c>
      <c r="N130" s="9">
        <v>9571.7099999999991</v>
      </c>
      <c r="O130" s="9">
        <v>3029.2400000000002</v>
      </c>
      <c r="P130" s="9">
        <v>12762.28</v>
      </c>
      <c r="Q130" s="9">
        <v>3859.86</v>
      </c>
      <c r="R130" s="9">
        <v>15952.85</v>
      </c>
      <c r="S130" s="9">
        <v>4690.49</v>
      </c>
      <c r="T130" s="9">
        <v>19143.419999999998</v>
      </c>
      <c r="U130" s="9">
        <v>5521.11</v>
      </c>
      <c r="V130" s="9"/>
      <c r="W130" s="9"/>
      <c r="X130" s="9">
        <v>19143.419999999998</v>
      </c>
      <c r="Y130" s="9">
        <v>5521.11</v>
      </c>
      <c r="Z130" s="9"/>
      <c r="AA130" s="9"/>
      <c r="AB130" s="9"/>
      <c r="AC130" s="9"/>
      <c r="AD130" s="9"/>
      <c r="AE130" s="9"/>
      <c r="AF130" s="9"/>
      <c r="AG130" s="9"/>
      <c r="AH130" s="7">
        <v>19143.419999999998</v>
      </c>
      <c r="AI130" s="7">
        <v>5521.11</v>
      </c>
    </row>
    <row r="131" spans="2:35" x14ac:dyDescent="0.3">
      <c r="B131" s="5" t="s">
        <v>3061</v>
      </c>
      <c r="C131" s="5" t="s">
        <v>13</v>
      </c>
      <c r="D131" s="6" t="s">
        <v>14</v>
      </c>
      <c r="E131" s="6" t="s">
        <v>407</v>
      </c>
      <c r="F131" s="6" t="s">
        <v>408</v>
      </c>
      <c r="G131" s="6" t="s">
        <v>409</v>
      </c>
      <c r="H131" s="7" t="str">
        <f t="shared" ref="H131:H194" si="2">+F131&amp;D131</f>
        <v>PPP-IPU-D947-01OPERATIONAL</v>
      </c>
      <c r="I131" s="8" t="s">
        <v>24</v>
      </c>
      <c r="J131" s="8" t="s">
        <v>19</v>
      </c>
      <c r="K131" s="8" t="s">
        <v>20</v>
      </c>
      <c r="L131" s="9">
        <v>22387.46</v>
      </c>
      <c r="M131" s="9">
        <v>12414.17</v>
      </c>
      <c r="N131" s="9">
        <v>33581.19</v>
      </c>
      <c r="O131" s="9">
        <v>21969.9</v>
      </c>
      <c r="P131" s="9">
        <v>44774.92</v>
      </c>
      <c r="Q131" s="9">
        <v>35396.800000000003</v>
      </c>
      <c r="R131" s="9">
        <v>55968.65</v>
      </c>
      <c r="S131" s="9">
        <v>36321.880000000005</v>
      </c>
      <c r="T131" s="9">
        <v>67162.38</v>
      </c>
      <c r="U131" s="9">
        <v>51634.92</v>
      </c>
      <c r="V131" s="9"/>
      <c r="W131" s="9"/>
      <c r="X131" s="9">
        <v>78356.11</v>
      </c>
      <c r="Y131" s="9">
        <v>59000.25</v>
      </c>
      <c r="Z131" s="9"/>
      <c r="AA131" s="9"/>
      <c r="AB131" s="9"/>
      <c r="AC131" s="9"/>
      <c r="AD131" s="9"/>
      <c r="AE131" s="9"/>
      <c r="AF131" s="9"/>
      <c r="AG131" s="9"/>
      <c r="AH131" s="7">
        <v>78356.11</v>
      </c>
      <c r="AI131" s="7">
        <v>59000.25</v>
      </c>
    </row>
    <row r="132" spans="2:35" x14ac:dyDescent="0.3">
      <c r="B132" s="5" t="s">
        <v>3061</v>
      </c>
      <c r="C132" s="5" t="s">
        <v>13</v>
      </c>
      <c r="D132" s="6" t="s">
        <v>72</v>
      </c>
      <c r="E132" s="6" t="s">
        <v>410</v>
      </c>
      <c r="F132" s="6" t="s">
        <v>411</v>
      </c>
      <c r="G132" s="6" t="s">
        <v>375</v>
      </c>
      <c r="H132" s="7" t="str">
        <f t="shared" si="2"/>
        <v>EPC-IPU-B754-01EXTRA LAVORI</v>
      </c>
      <c r="I132" s="8" t="s">
        <v>49</v>
      </c>
      <c r="J132" s="8" t="s">
        <v>76</v>
      </c>
      <c r="K132" s="8" t="s">
        <v>76</v>
      </c>
      <c r="L132" s="9">
        <v>0</v>
      </c>
      <c r="M132" s="9">
        <v>503.85</v>
      </c>
      <c r="N132" s="9">
        <v>0</v>
      </c>
      <c r="O132" s="9">
        <v>0</v>
      </c>
      <c r="P132" s="9">
        <v>0</v>
      </c>
      <c r="Q132" s="9">
        <v>0</v>
      </c>
      <c r="R132" s="9">
        <v>0</v>
      </c>
      <c r="S132" s="9">
        <v>0</v>
      </c>
      <c r="T132" s="9">
        <v>0</v>
      </c>
      <c r="U132" s="9">
        <v>1088.8499999999999</v>
      </c>
      <c r="V132" s="9"/>
      <c r="W132" s="9"/>
      <c r="X132" s="9">
        <v>0</v>
      </c>
      <c r="Y132" s="9">
        <v>0</v>
      </c>
      <c r="Z132" s="9"/>
      <c r="AA132" s="9"/>
      <c r="AB132" s="9"/>
      <c r="AC132" s="9"/>
      <c r="AD132" s="9"/>
      <c r="AE132" s="9"/>
      <c r="AF132" s="9"/>
      <c r="AG132" s="9"/>
      <c r="AH132" s="7">
        <v>0</v>
      </c>
      <c r="AI132" s="7">
        <v>0</v>
      </c>
    </row>
    <row r="133" spans="2:35" x14ac:dyDescent="0.3">
      <c r="B133" s="5" t="s">
        <v>3061</v>
      </c>
      <c r="C133" s="5" t="s">
        <v>13</v>
      </c>
      <c r="D133" s="6" t="s">
        <v>14</v>
      </c>
      <c r="E133" s="6" t="s">
        <v>412</v>
      </c>
      <c r="F133" s="6" t="s">
        <v>413</v>
      </c>
      <c r="G133" s="6" t="s">
        <v>414</v>
      </c>
      <c r="H133" s="7" t="str">
        <f t="shared" si="2"/>
        <v>PPP-IPU-G187-01OPERATIONAL</v>
      </c>
      <c r="I133" s="8" t="s">
        <v>18</v>
      </c>
      <c r="J133" s="8" t="s">
        <v>19</v>
      </c>
      <c r="K133" s="8" t="s">
        <v>20</v>
      </c>
      <c r="L133" s="9">
        <v>0</v>
      </c>
      <c r="M133" s="9">
        <v>367.57</v>
      </c>
      <c r="N133" s="9">
        <v>0</v>
      </c>
      <c r="O133" s="9">
        <v>643.64</v>
      </c>
      <c r="P133" s="9">
        <v>0</v>
      </c>
      <c r="Q133" s="9">
        <v>961.54</v>
      </c>
      <c r="R133" s="9">
        <v>0</v>
      </c>
      <c r="S133" s="9">
        <v>1205.57</v>
      </c>
      <c r="T133" s="9">
        <v>0</v>
      </c>
      <c r="U133" s="9">
        <v>1469.29</v>
      </c>
      <c r="V133" s="9"/>
      <c r="W133" s="9"/>
      <c r="X133" s="9">
        <v>0</v>
      </c>
      <c r="Y133" s="9">
        <v>1734.49</v>
      </c>
      <c r="Z133" s="9"/>
      <c r="AA133" s="9"/>
      <c r="AB133" s="9"/>
      <c r="AC133" s="9"/>
      <c r="AD133" s="9"/>
      <c r="AE133" s="9"/>
      <c r="AF133" s="9"/>
      <c r="AG133" s="9"/>
      <c r="AH133" s="7">
        <v>0</v>
      </c>
      <c r="AI133" s="7">
        <v>1734.49</v>
      </c>
    </row>
    <row r="134" spans="2:35" x14ac:dyDescent="0.3">
      <c r="B134" s="5" t="s">
        <v>3061</v>
      </c>
      <c r="C134" s="5" t="s">
        <v>13</v>
      </c>
      <c r="D134" s="6" t="s">
        <v>14</v>
      </c>
      <c r="E134" s="6" t="s">
        <v>415</v>
      </c>
      <c r="F134" s="6" t="s">
        <v>416</v>
      </c>
      <c r="G134" s="6" t="s">
        <v>417</v>
      </c>
      <c r="H134" s="7" t="str">
        <f t="shared" si="2"/>
        <v>CL3-IPU-A683-01OPERATIONAL</v>
      </c>
      <c r="I134" s="8" t="s">
        <v>49</v>
      </c>
      <c r="J134" s="8" t="s">
        <v>19</v>
      </c>
      <c r="K134" s="8" t="s">
        <v>98</v>
      </c>
      <c r="L134" s="9">
        <v>18113.88</v>
      </c>
      <c r="M134" s="9">
        <v>4931.76</v>
      </c>
      <c r="N134" s="9">
        <v>27882.54</v>
      </c>
      <c r="O134" s="9">
        <v>8317.57</v>
      </c>
      <c r="P134" s="9">
        <v>37083.5</v>
      </c>
      <c r="Q134" s="9">
        <v>11852.45</v>
      </c>
      <c r="R134" s="9">
        <v>46799.57</v>
      </c>
      <c r="S134" s="9">
        <v>15011.53</v>
      </c>
      <c r="T134" s="9">
        <v>56153.25</v>
      </c>
      <c r="U134" s="9">
        <v>17578.27</v>
      </c>
      <c r="V134" s="9"/>
      <c r="W134" s="9"/>
      <c r="X134" s="9">
        <v>76568.759999999995</v>
      </c>
      <c r="Y134" s="9">
        <v>20218.759999999998</v>
      </c>
      <c r="Z134" s="9"/>
      <c r="AA134" s="9"/>
      <c r="AB134" s="9"/>
      <c r="AC134" s="9"/>
      <c r="AD134" s="9"/>
      <c r="AE134" s="9"/>
      <c r="AF134" s="9"/>
      <c r="AG134" s="9"/>
      <c r="AH134" s="7">
        <v>76568.759999999995</v>
      </c>
      <c r="AI134" s="7">
        <v>20218.759999999998</v>
      </c>
    </row>
    <row r="135" spans="2:35" x14ac:dyDescent="0.3">
      <c r="B135" s="5" t="s">
        <v>3061</v>
      </c>
      <c r="C135" s="5" t="s">
        <v>13</v>
      </c>
      <c r="D135" s="6" t="s">
        <v>14</v>
      </c>
      <c r="E135" s="6" t="s">
        <v>418</v>
      </c>
      <c r="F135" s="6" t="s">
        <v>419</v>
      </c>
      <c r="G135" s="6" t="s">
        <v>420</v>
      </c>
      <c r="H135" s="7" t="str">
        <f t="shared" si="2"/>
        <v>PPP-IPU-D012-01OPERATIONAL</v>
      </c>
      <c r="I135" s="8" t="s">
        <v>49</v>
      </c>
      <c r="J135" s="8" t="s">
        <v>19</v>
      </c>
      <c r="K135" s="8" t="s">
        <v>20</v>
      </c>
      <c r="L135" s="9">
        <v>45764.71</v>
      </c>
      <c r="M135" s="9">
        <v>10459.4</v>
      </c>
      <c r="N135" s="9">
        <v>71619.02</v>
      </c>
      <c r="O135" s="9">
        <v>25634.89</v>
      </c>
      <c r="P135" s="9">
        <v>71619.02</v>
      </c>
      <c r="Q135" s="9">
        <v>23993.07</v>
      </c>
      <c r="R135" s="9">
        <v>71619.02</v>
      </c>
      <c r="S135" s="9">
        <v>29310.560000000001</v>
      </c>
      <c r="T135" s="9">
        <v>71619.02</v>
      </c>
      <c r="U135" s="9">
        <v>46277.25</v>
      </c>
      <c r="V135" s="9"/>
      <c r="W135" s="9"/>
      <c r="X135" s="9">
        <v>71619.02</v>
      </c>
      <c r="Y135" s="9">
        <v>47124.57</v>
      </c>
      <c r="Z135" s="9"/>
      <c r="AA135" s="9"/>
      <c r="AB135" s="9"/>
      <c r="AC135" s="9"/>
      <c r="AD135" s="9"/>
      <c r="AE135" s="9"/>
      <c r="AF135" s="9"/>
      <c r="AG135" s="9"/>
      <c r="AH135" s="7">
        <v>71619.02</v>
      </c>
      <c r="AI135" s="7">
        <v>47124.57</v>
      </c>
    </row>
    <row r="136" spans="2:35" x14ac:dyDescent="0.3">
      <c r="B136" s="5" t="s">
        <v>3061</v>
      </c>
      <c r="C136" s="5" t="s">
        <v>13</v>
      </c>
      <c r="D136" s="6" t="s">
        <v>14</v>
      </c>
      <c r="E136" s="6" t="s">
        <v>421</v>
      </c>
      <c r="F136" s="6" t="s">
        <v>422</v>
      </c>
      <c r="G136" s="6" t="s">
        <v>423</v>
      </c>
      <c r="H136" s="7" t="str">
        <f t="shared" si="2"/>
        <v>PPP-IPU-A674-01OPERATIONAL</v>
      </c>
      <c r="I136" s="8" t="s">
        <v>18</v>
      </c>
      <c r="J136" s="8" t="s">
        <v>19</v>
      </c>
      <c r="K136" s="8" t="s">
        <v>20</v>
      </c>
      <c r="L136" s="9">
        <v>76597.16</v>
      </c>
      <c r="M136" s="9">
        <v>19703.325000000001</v>
      </c>
      <c r="N136" s="9">
        <v>114895.74</v>
      </c>
      <c r="O136" s="9">
        <v>32795.544999999998</v>
      </c>
      <c r="P136" s="9">
        <v>153194.32</v>
      </c>
      <c r="Q136" s="9">
        <v>47420.714999999997</v>
      </c>
      <c r="R136" s="9">
        <v>191492.9</v>
      </c>
      <c r="S136" s="9">
        <v>59695.704999999994</v>
      </c>
      <c r="T136" s="9">
        <v>229791.48</v>
      </c>
      <c r="U136" s="9">
        <v>71418.415000000008</v>
      </c>
      <c r="V136" s="9"/>
      <c r="W136" s="9"/>
      <c r="X136" s="9">
        <v>268090.06</v>
      </c>
      <c r="Y136" s="9">
        <v>82632.38</v>
      </c>
      <c r="Z136" s="9"/>
      <c r="AA136" s="9"/>
      <c r="AB136" s="9"/>
      <c r="AC136" s="9"/>
      <c r="AD136" s="9"/>
      <c r="AE136" s="9"/>
      <c r="AF136" s="9"/>
      <c r="AG136" s="9"/>
      <c r="AH136" s="7">
        <v>268090.06</v>
      </c>
      <c r="AI136" s="7">
        <v>82632.38</v>
      </c>
    </row>
    <row r="137" spans="2:35" x14ac:dyDescent="0.3">
      <c r="B137" s="5" t="s">
        <v>3061</v>
      </c>
      <c r="C137" s="5" t="s">
        <v>13</v>
      </c>
      <c r="D137" s="6" t="s">
        <v>14</v>
      </c>
      <c r="E137" s="6" t="s">
        <v>424</v>
      </c>
      <c r="F137" s="6" t="s">
        <v>425</v>
      </c>
      <c r="G137" s="6" t="s">
        <v>426</v>
      </c>
      <c r="H137" s="7" t="str">
        <f t="shared" si="2"/>
        <v>PPP-IPU-F370-01OPERATIONAL</v>
      </c>
      <c r="I137" s="8" t="s">
        <v>18</v>
      </c>
      <c r="J137" s="8" t="s">
        <v>19</v>
      </c>
      <c r="K137" s="8" t="s">
        <v>20</v>
      </c>
      <c r="L137" s="9">
        <v>17142.66</v>
      </c>
      <c r="M137" s="9">
        <v>3294.96</v>
      </c>
      <c r="N137" s="9">
        <v>25713.99</v>
      </c>
      <c r="O137" s="9">
        <v>10043.570000000002</v>
      </c>
      <c r="P137" s="9">
        <v>34285.32</v>
      </c>
      <c r="Q137" s="9">
        <v>14101.5</v>
      </c>
      <c r="R137" s="9">
        <v>42856.65</v>
      </c>
      <c r="S137" s="9">
        <v>17667.71</v>
      </c>
      <c r="T137" s="9">
        <v>51427.98</v>
      </c>
      <c r="U137" s="9">
        <v>17306.800000000003</v>
      </c>
      <c r="V137" s="9"/>
      <c r="W137" s="9"/>
      <c r="X137" s="9">
        <v>59999.31</v>
      </c>
      <c r="Y137" s="9">
        <v>19343.23</v>
      </c>
      <c r="Z137" s="9"/>
      <c r="AA137" s="9"/>
      <c r="AB137" s="9"/>
      <c r="AC137" s="9"/>
      <c r="AD137" s="9"/>
      <c r="AE137" s="9"/>
      <c r="AF137" s="9"/>
      <c r="AG137" s="9"/>
      <c r="AH137" s="7">
        <v>59999.31</v>
      </c>
      <c r="AI137" s="7">
        <v>19343.23</v>
      </c>
    </row>
    <row r="138" spans="2:35" x14ac:dyDescent="0.3">
      <c r="B138" s="5" t="s">
        <v>3061</v>
      </c>
      <c r="C138" s="5" t="s">
        <v>13</v>
      </c>
      <c r="D138" s="6" t="s">
        <v>14</v>
      </c>
      <c r="E138" s="6" t="s">
        <v>427</v>
      </c>
      <c r="F138" s="6" t="s">
        <v>428</v>
      </c>
      <c r="G138" s="6" t="s">
        <v>429</v>
      </c>
      <c r="H138" s="7" t="str">
        <f t="shared" si="2"/>
        <v>PPP-IPU-F874-01OPERATIONAL</v>
      </c>
      <c r="I138" s="8" t="s">
        <v>49</v>
      </c>
      <c r="J138" s="8" t="s">
        <v>19</v>
      </c>
      <c r="K138" s="8" t="s">
        <v>20</v>
      </c>
      <c r="L138" s="9">
        <v>0</v>
      </c>
      <c r="M138" s="9">
        <v>10764.86</v>
      </c>
      <c r="N138" s="9">
        <v>0</v>
      </c>
      <c r="O138" s="9">
        <v>18967.72</v>
      </c>
      <c r="P138" s="9">
        <v>77500.039999999994</v>
      </c>
      <c r="Q138" s="9">
        <v>43864.42</v>
      </c>
      <c r="R138" s="9">
        <v>96875.05</v>
      </c>
      <c r="S138" s="9">
        <v>58476.57</v>
      </c>
      <c r="T138" s="9">
        <v>106061.82</v>
      </c>
      <c r="U138" s="9">
        <v>120470.27</v>
      </c>
      <c r="V138" s="9"/>
      <c r="W138" s="9"/>
      <c r="X138" s="9">
        <v>-10188.24</v>
      </c>
      <c r="Y138" s="9">
        <v>138957.32</v>
      </c>
      <c r="Z138" s="9"/>
      <c r="AA138" s="9"/>
      <c r="AB138" s="9"/>
      <c r="AC138" s="9"/>
      <c r="AD138" s="9"/>
      <c r="AE138" s="9"/>
      <c r="AF138" s="9"/>
      <c r="AG138" s="9"/>
      <c r="AH138" s="7">
        <v>-10188.24</v>
      </c>
      <c r="AI138" s="7">
        <v>138957.32</v>
      </c>
    </row>
    <row r="139" spans="2:35" x14ac:dyDescent="0.3">
      <c r="B139" s="5" t="s">
        <v>3061</v>
      </c>
      <c r="C139" s="5" t="s">
        <v>13</v>
      </c>
      <c r="D139" s="6" t="s">
        <v>14</v>
      </c>
      <c r="E139" s="6" t="s">
        <v>430</v>
      </c>
      <c r="F139" s="6" t="s">
        <v>431</v>
      </c>
      <c r="G139" s="6" t="s">
        <v>432</v>
      </c>
      <c r="H139" s="7" t="str">
        <f t="shared" si="2"/>
        <v>SEC-IPU-B885-01OPERATIONAL</v>
      </c>
      <c r="I139" s="8" t="s">
        <v>49</v>
      </c>
      <c r="J139" s="8" t="s">
        <v>19</v>
      </c>
      <c r="K139" s="8" t="s">
        <v>20</v>
      </c>
      <c r="L139" s="9">
        <v>1160</v>
      </c>
      <c r="M139" s="9">
        <v>0</v>
      </c>
      <c r="N139" s="9">
        <v>1740</v>
      </c>
      <c r="O139" s="9">
        <v>0</v>
      </c>
      <c r="P139" s="9">
        <v>2320</v>
      </c>
      <c r="Q139" s="9">
        <v>0</v>
      </c>
      <c r="R139" s="9">
        <v>2900</v>
      </c>
      <c r="S139" s="9">
        <v>0</v>
      </c>
      <c r="T139" s="9">
        <v>3480</v>
      </c>
      <c r="U139" s="9">
        <v>0</v>
      </c>
      <c r="V139" s="9"/>
      <c r="W139" s="9"/>
      <c r="X139" s="9">
        <v>4060</v>
      </c>
      <c r="Y139" s="9">
        <v>0</v>
      </c>
      <c r="Z139" s="9"/>
      <c r="AA139" s="9"/>
      <c r="AB139" s="9"/>
      <c r="AC139" s="9"/>
      <c r="AD139" s="9"/>
      <c r="AE139" s="9"/>
      <c r="AF139" s="9"/>
      <c r="AG139" s="9"/>
      <c r="AH139" s="7">
        <v>4060</v>
      </c>
      <c r="AI139" s="7">
        <v>0</v>
      </c>
    </row>
    <row r="140" spans="2:35" x14ac:dyDescent="0.3">
      <c r="B140" s="5" t="s">
        <v>3061</v>
      </c>
      <c r="C140" s="5" t="s">
        <v>13</v>
      </c>
      <c r="D140" s="6" t="s">
        <v>14</v>
      </c>
      <c r="E140" s="6" t="s">
        <v>433</v>
      </c>
      <c r="F140" s="6" t="s">
        <v>434</v>
      </c>
      <c r="G140" s="6" t="s">
        <v>435</v>
      </c>
      <c r="H140" s="7" t="str">
        <f t="shared" si="2"/>
        <v>PPP-IPU-L484-01OPERATIONAL</v>
      </c>
      <c r="I140" s="8" t="s">
        <v>18</v>
      </c>
      <c r="J140" s="8" t="s">
        <v>19</v>
      </c>
      <c r="K140" s="8" t="s">
        <v>20</v>
      </c>
      <c r="L140" s="9">
        <v>68052.52</v>
      </c>
      <c r="M140" s="9">
        <v>5996.5</v>
      </c>
      <c r="N140" s="9">
        <v>102078.78</v>
      </c>
      <c r="O140" s="9">
        <v>22408.98</v>
      </c>
      <c r="P140" s="9">
        <v>136105.04</v>
      </c>
      <c r="Q140" s="9">
        <v>41712.480000000003</v>
      </c>
      <c r="R140" s="9">
        <v>170131.3</v>
      </c>
      <c r="S140" s="9">
        <v>57201.700000000004</v>
      </c>
      <c r="T140" s="9">
        <v>204157.56</v>
      </c>
      <c r="U140" s="9">
        <v>58444.200000000004</v>
      </c>
      <c r="V140" s="9"/>
      <c r="W140" s="9"/>
      <c r="X140" s="9">
        <v>2497.5</v>
      </c>
      <c r="Y140" s="9">
        <v>85218.92</v>
      </c>
      <c r="Z140" s="9"/>
      <c r="AA140" s="9"/>
      <c r="AB140" s="9"/>
      <c r="AC140" s="9"/>
      <c r="AD140" s="9"/>
      <c r="AE140" s="9"/>
      <c r="AF140" s="9"/>
      <c r="AG140" s="9"/>
      <c r="AH140" s="7">
        <v>2497.5</v>
      </c>
      <c r="AI140" s="7">
        <v>85218.92</v>
      </c>
    </row>
    <row r="141" spans="2:35" x14ac:dyDescent="0.3">
      <c r="B141" s="5" t="s">
        <v>3061</v>
      </c>
      <c r="C141" s="5" t="s">
        <v>13</v>
      </c>
      <c r="D141" s="6" t="s">
        <v>14</v>
      </c>
      <c r="E141" s="6" t="s">
        <v>436</v>
      </c>
      <c r="F141" s="6" t="s">
        <v>437</v>
      </c>
      <c r="G141" s="6" t="s">
        <v>438</v>
      </c>
      <c r="H141" s="7" t="str">
        <f t="shared" si="2"/>
        <v>PPP-IPU-B115-01OPERATIONAL</v>
      </c>
      <c r="I141" s="8" t="s">
        <v>18</v>
      </c>
      <c r="J141" s="8" t="s">
        <v>19</v>
      </c>
      <c r="K141" s="8" t="s">
        <v>20</v>
      </c>
      <c r="L141" s="9">
        <v>29849.24</v>
      </c>
      <c r="M141" s="9">
        <v>5798.45</v>
      </c>
      <c r="N141" s="9">
        <v>44773.86</v>
      </c>
      <c r="O141" s="9">
        <v>11900.98</v>
      </c>
      <c r="P141" s="9">
        <v>59698.48</v>
      </c>
      <c r="Q141" s="9">
        <v>17535.21</v>
      </c>
      <c r="R141" s="9">
        <v>74623.100000000006</v>
      </c>
      <c r="S141" s="9">
        <v>18163.349999999999</v>
      </c>
      <c r="T141" s="9">
        <v>89547.72</v>
      </c>
      <c r="U141" s="9">
        <v>26631.52</v>
      </c>
      <c r="V141" s="9"/>
      <c r="W141" s="9"/>
      <c r="X141" s="9">
        <v>104472.34</v>
      </c>
      <c r="Y141" s="9">
        <v>27286.85</v>
      </c>
      <c r="Z141" s="9"/>
      <c r="AA141" s="9"/>
      <c r="AB141" s="9"/>
      <c r="AC141" s="9"/>
      <c r="AD141" s="9"/>
      <c r="AE141" s="9"/>
      <c r="AF141" s="9"/>
      <c r="AG141" s="9"/>
      <c r="AH141" s="7">
        <v>104472.34</v>
      </c>
      <c r="AI141" s="7">
        <v>27286.85</v>
      </c>
    </row>
    <row r="142" spans="2:35" x14ac:dyDescent="0.3">
      <c r="B142" s="5" t="s">
        <v>3061</v>
      </c>
      <c r="C142" s="5" t="s">
        <v>13</v>
      </c>
      <c r="D142" s="6" t="s">
        <v>14</v>
      </c>
      <c r="E142" s="6" t="s">
        <v>439</v>
      </c>
      <c r="F142" s="6" t="s">
        <v>440</v>
      </c>
      <c r="G142" s="6" t="s">
        <v>441</v>
      </c>
      <c r="H142" s="7" t="str">
        <f t="shared" si="2"/>
        <v>PPP-IPU-E558-01OPERATIONAL</v>
      </c>
      <c r="I142" s="8" t="s">
        <v>24</v>
      </c>
      <c r="J142" s="8" t="s">
        <v>19</v>
      </c>
      <c r="K142" s="8" t="s">
        <v>20</v>
      </c>
      <c r="L142" s="9">
        <v>22147</v>
      </c>
      <c r="M142" s="9">
        <v>11470.29</v>
      </c>
      <c r="N142" s="9">
        <v>39937.46</v>
      </c>
      <c r="O142" s="9">
        <v>16160.05</v>
      </c>
      <c r="P142" s="9">
        <v>51010.96</v>
      </c>
      <c r="Q142" s="9">
        <v>20044.439999999999</v>
      </c>
      <c r="R142" s="9">
        <v>62084.46</v>
      </c>
      <c r="S142" s="9">
        <v>22997.690000000002</v>
      </c>
      <c r="T142" s="9">
        <v>73157.960000000006</v>
      </c>
      <c r="U142" s="9">
        <v>25787.940000000002</v>
      </c>
      <c r="V142" s="9"/>
      <c r="W142" s="9"/>
      <c r="X142" s="9">
        <v>84231.46</v>
      </c>
      <c r="Y142" s="9">
        <v>28947.69</v>
      </c>
      <c r="Z142" s="9"/>
      <c r="AA142" s="9"/>
      <c r="AB142" s="9"/>
      <c r="AC142" s="9"/>
      <c r="AD142" s="9"/>
      <c r="AE142" s="9"/>
      <c r="AF142" s="9"/>
      <c r="AG142" s="9"/>
      <c r="AH142" s="7">
        <v>84231.46</v>
      </c>
      <c r="AI142" s="7">
        <v>28947.69</v>
      </c>
    </row>
    <row r="143" spans="2:35" x14ac:dyDescent="0.3">
      <c r="B143" s="5" t="s">
        <v>3061</v>
      </c>
      <c r="C143" s="5" t="s">
        <v>13</v>
      </c>
      <c r="D143" s="6" t="s">
        <v>14</v>
      </c>
      <c r="E143" s="6" t="s">
        <v>442</v>
      </c>
      <c r="F143" s="6" t="s">
        <v>443</v>
      </c>
      <c r="G143" s="6" t="s">
        <v>444</v>
      </c>
      <c r="H143" s="7" t="str">
        <f t="shared" si="2"/>
        <v>CL3-IPU-F736-01OPERATIONAL</v>
      </c>
      <c r="I143" s="8" t="s">
        <v>49</v>
      </c>
      <c r="J143" s="8" t="s">
        <v>19</v>
      </c>
      <c r="K143" s="8" t="s">
        <v>98</v>
      </c>
      <c r="L143" s="9">
        <v>23278.48</v>
      </c>
      <c r="M143" s="9">
        <v>2286.12</v>
      </c>
      <c r="N143" s="9">
        <v>36098.39</v>
      </c>
      <c r="O143" s="9">
        <v>18101.010000000002</v>
      </c>
      <c r="P143" s="9">
        <v>48006.23</v>
      </c>
      <c r="Q143" s="9">
        <v>19261.080000000002</v>
      </c>
      <c r="R143" s="9">
        <v>60763.5</v>
      </c>
      <c r="S143" s="9">
        <v>24469.38</v>
      </c>
      <c r="T143" s="9">
        <v>75279.55</v>
      </c>
      <c r="U143" s="9">
        <v>27532.190000000002</v>
      </c>
      <c r="V143" s="9"/>
      <c r="W143" s="9"/>
      <c r="X143" s="9">
        <v>101423.44</v>
      </c>
      <c r="Y143" s="9">
        <v>30665.41</v>
      </c>
      <c r="Z143" s="9"/>
      <c r="AA143" s="9"/>
      <c r="AB143" s="9"/>
      <c r="AC143" s="9"/>
      <c r="AD143" s="9"/>
      <c r="AE143" s="9"/>
      <c r="AF143" s="9"/>
      <c r="AG143" s="9"/>
      <c r="AH143" s="7">
        <v>101423.44</v>
      </c>
      <c r="AI143" s="7">
        <v>30665.41</v>
      </c>
    </row>
    <row r="144" spans="2:35" x14ac:dyDescent="0.3">
      <c r="B144" s="5" t="s">
        <v>3061</v>
      </c>
      <c r="C144" s="5" t="s">
        <v>13</v>
      </c>
      <c r="D144" s="6" t="s">
        <v>14</v>
      </c>
      <c r="E144" s="6" t="s">
        <v>445</v>
      </c>
      <c r="F144" s="6" t="s">
        <v>446</v>
      </c>
      <c r="G144" s="6" t="s">
        <v>447</v>
      </c>
      <c r="H144" s="7" t="str">
        <f t="shared" si="2"/>
        <v>PPP-IPU-G070-01OPERATIONAL</v>
      </c>
      <c r="I144" s="8" t="s">
        <v>24</v>
      </c>
      <c r="J144" s="8" t="s">
        <v>19</v>
      </c>
      <c r="K144" s="8" t="s">
        <v>20</v>
      </c>
      <c r="L144" s="9">
        <v>8788.98</v>
      </c>
      <c r="M144" s="9">
        <v>4564.41</v>
      </c>
      <c r="N144" s="9">
        <v>13183.47</v>
      </c>
      <c r="O144" s="9">
        <v>8362</v>
      </c>
      <c r="P144" s="9">
        <v>17577.96</v>
      </c>
      <c r="Q144" s="9">
        <v>12922.28</v>
      </c>
      <c r="R144" s="9">
        <v>21972.45</v>
      </c>
      <c r="S144" s="9">
        <v>16318.18</v>
      </c>
      <c r="T144" s="9">
        <v>26366.94</v>
      </c>
      <c r="U144" s="9">
        <v>20114.12</v>
      </c>
      <c r="V144" s="9"/>
      <c r="W144" s="9"/>
      <c r="X144" s="9">
        <v>13183.47</v>
      </c>
      <c r="Y144" s="9">
        <v>22949.53</v>
      </c>
      <c r="Z144" s="9"/>
      <c r="AA144" s="9"/>
      <c r="AB144" s="9"/>
      <c r="AC144" s="9"/>
      <c r="AD144" s="9"/>
      <c r="AE144" s="9"/>
      <c r="AF144" s="9"/>
      <c r="AG144" s="9"/>
      <c r="AH144" s="7">
        <v>13183.47</v>
      </c>
      <c r="AI144" s="7">
        <v>22949.53</v>
      </c>
    </row>
    <row r="145" spans="2:35" x14ac:dyDescent="0.3">
      <c r="B145" s="5" t="s">
        <v>3061</v>
      </c>
      <c r="C145" s="5" t="s">
        <v>13</v>
      </c>
      <c r="D145" s="6" t="s">
        <v>14</v>
      </c>
      <c r="E145" s="6" t="s">
        <v>448</v>
      </c>
      <c r="F145" s="6" t="s">
        <v>449</v>
      </c>
      <c r="G145" s="6" t="s">
        <v>450</v>
      </c>
      <c r="H145" s="7" t="str">
        <f t="shared" si="2"/>
        <v>CL3-IPU-F348-01OPERATIONAL</v>
      </c>
      <c r="I145" s="8" t="s">
        <v>24</v>
      </c>
      <c r="J145" s="8" t="s">
        <v>19</v>
      </c>
      <c r="K145" s="8" t="s">
        <v>98</v>
      </c>
      <c r="L145" s="9">
        <v>72785.039999999994</v>
      </c>
      <c r="M145" s="9">
        <v>24943.325000000001</v>
      </c>
      <c r="N145" s="9">
        <v>111888.03</v>
      </c>
      <c r="O145" s="9">
        <v>32795.095000000001</v>
      </c>
      <c r="P145" s="9">
        <v>137411.65</v>
      </c>
      <c r="Q145" s="9">
        <v>67310.884999999995</v>
      </c>
      <c r="R145" s="9">
        <v>171461.33</v>
      </c>
      <c r="S145" s="9">
        <v>98768.665000000008</v>
      </c>
      <c r="T145" s="9">
        <v>204721.86</v>
      </c>
      <c r="U145" s="9">
        <v>108064.86500000001</v>
      </c>
      <c r="V145" s="9"/>
      <c r="W145" s="9"/>
      <c r="X145" s="9">
        <v>310651.17</v>
      </c>
      <c r="Y145" s="9">
        <v>131926.43</v>
      </c>
      <c r="Z145" s="9"/>
      <c r="AA145" s="9"/>
      <c r="AB145" s="9"/>
      <c r="AC145" s="9"/>
      <c r="AD145" s="9"/>
      <c r="AE145" s="9"/>
      <c r="AF145" s="9"/>
      <c r="AG145" s="9"/>
      <c r="AH145" s="7">
        <v>310651.17</v>
      </c>
      <c r="AI145" s="7">
        <v>131926.43</v>
      </c>
    </row>
    <row r="146" spans="2:35" x14ac:dyDescent="0.3">
      <c r="B146" s="5" t="s">
        <v>3061</v>
      </c>
      <c r="C146" s="5" t="s">
        <v>13</v>
      </c>
      <c r="D146" s="6" t="s">
        <v>14</v>
      </c>
      <c r="E146" s="6" t="s">
        <v>451</v>
      </c>
      <c r="F146" s="6" t="s">
        <v>452</v>
      </c>
      <c r="G146" s="6" t="s">
        <v>453</v>
      </c>
      <c r="H146" s="7" t="str">
        <f t="shared" si="2"/>
        <v>SEC-PHV-L736-01OPERATIONAL</v>
      </c>
      <c r="I146" s="8" t="s">
        <v>56</v>
      </c>
      <c r="J146" s="8" t="s">
        <v>454</v>
      </c>
      <c r="K146" s="8" t="s">
        <v>454</v>
      </c>
      <c r="L146" s="9">
        <v>0</v>
      </c>
      <c r="M146" s="9">
        <v>14544.5</v>
      </c>
      <c r="N146" s="9">
        <v>19736.82</v>
      </c>
      <c r="O146" s="9">
        <v>21816.75</v>
      </c>
      <c r="P146" s="9">
        <v>46052.54</v>
      </c>
      <c r="Q146" s="9">
        <v>29089</v>
      </c>
      <c r="R146" s="9">
        <v>32894.68</v>
      </c>
      <c r="S146" s="9">
        <v>36361.25</v>
      </c>
      <c r="T146" s="9">
        <v>39473.620000000003</v>
      </c>
      <c r="U146" s="9">
        <v>43633.5</v>
      </c>
      <c r="V146" s="9"/>
      <c r="W146" s="9"/>
      <c r="X146" s="9">
        <v>106312.8</v>
      </c>
      <c r="Y146" s="9">
        <v>63878</v>
      </c>
      <c r="Z146" s="9"/>
      <c r="AA146" s="9"/>
      <c r="AB146" s="9"/>
      <c r="AC146" s="9"/>
      <c r="AD146" s="9"/>
      <c r="AE146" s="9"/>
      <c r="AF146" s="9"/>
      <c r="AG146" s="9"/>
      <c r="AH146" s="7">
        <v>106312.8</v>
      </c>
      <c r="AI146" s="7">
        <v>63878</v>
      </c>
    </row>
    <row r="147" spans="2:35" x14ac:dyDescent="0.3">
      <c r="B147" s="5" t="s">
        <v>3061</v>
      </c>
      <c r="C147" s="5" t="s">
        <v>13</v>
      </c>
      <c r="D147" s="6" t="s">
        <v>14</v>
      </c>
      <c r="E147" s="6" t="s">
        <v>455</v>
      </c>
      <c r="F147" s="6" t="s">
        <v>456</v>
      </c>
      <c r="G147" s="6" t="s">
        <v>450</v>
      </c>
      <c r="H147" s="7" t="str">
        <f t="shared" si="2"/>
        <v>PPP-IPU-F348-01OPERATIONAL</v>
      </c>
      <c r="I147" s="8" t="s">
        <v>24</v>
      </c>
      <c r="J147" s="8" t="s">
        <v>19</v>
      </c>
      <c r="K147" s="8" t="s">
        <v>20</v>
      </c>
      <c r="L147" s="9">
        <v>0</v>
      </c>
      <c r="M147" s="9">
        <v>165.2</v>
      </c>
      <c r="N147" s="9">
        <v>0</v>
      </c>
      <c r="O147" s="9">
        <v>815.78</v>
      </c>
      <c r="P147" s="9">
        <v>0</v>
      </c>
      <c r="Q147" s="9">
        <v>815.78</v>
      </c>
      <c r="R147" s="9">
        <v>0</v>
      </c>
      <c r="S147" s="9">
        <v>815.78</v>
      </c>
      <c r="T147" s="9">
        <v>0</v>
      </c>
      <c r="U147" s="9">
        <v>8058.8499999999995</v>
      </c>
      <c r="V147" s="9"/>
      <c r="W147" s="9"/>
      <c r="X147" s="9">
        <v>0</v>
      </c>
      <c r="Y147" s="9">
        <v>8058.85</v>
      </c>
      <c r="Z147" s="9"/>
      <c r="AA147" s="9"/>
      <c r="AB147" s="9"/>
      <c r="AC147" s="9"/>
      <c r="AD147" s="9"/>
      <c r="AE147" s="9"/>
      <c r="AF147" s="9"/>
      <c r="AG147" s="9"/>
      <c r="AH147" s="7">
        <v>0</v>
      </c>
      <c r="AI147" s="7">
        <v>8058.85</v>
      </c>
    </row>
    <row r="148" spans="2:35" x14ac:dyDescent="0.3">
      <c r="B148" s="5" t="s">
        <v>3061</v>
      </c>
      <c r="C148" s="5" t="s">
        <v>13</v>
      </c>
      <c r="D148" s="6" t="s">
        <v>14</v>
      </c>
      <c r="E148" s="6" t="s">
        <v>457</v>
      </c>
      <c r="F148" s="6" t="s">
        <v>458</v>
      </c>
      <c r="G148" s="6" t="s">
        <v>459</v>
      </c>
      <c r="H148" s="7" t="str">
        <f t="shared" si="2"/>
        <v>ATI-IPU-G616-01OPERATIONAL</v>
      </c>
      <c r="I148" s="8" t="s">
        <v>18</v>
      </c>
      <c r="J148" s="8" t="s">
        <v>19</v>
      </c>
      <c r="K148" s="8" t="s">
        <v>20</v>
      </c>
      <c r="L148" s="9">
        <v>14947.42</v>
      </c>
      <c r="M148" s="9">
        <v>2447.7000000000003</v>
      </c>
      <c r="N148" s="9">
        <v>22421.13</v>
      </c>
      <c r="O148" s="9">
        <v>3658.7</v>
      </c>
      <c r="P148" s="9">
        <v>22421.13</v>
      </c>
      <c r="Q148" s="9">
        <v>4348.0949999999993</v>
      </c>
      <c r="R148" s="9">
        <v>35330.29</v>
      </c>
      <c r="S148" s="9">
        <v>5092.4850000000006</v>
      </c>
      <c r="T148" s="9">
        <v>41784.870000000003</v>
      </c>
      <c r="U148" s="9">
        <v>5573.92</v>
      </c>
      <c r="V148" s="9"/>
      <c r="W148" s="9"/>
      <c r="X148" s="9">
        <v>48239.45</v>
      </c>
      <c r="Y148" s="9">
        <v>6142.4</v>
      </c>
      <c r="Z148" s="9"/>
      <c r="AA148" s="9"/>
      <c r="AB148" s="9"/>
      <c r="AC148" s="9"/>
      <c r="AD148" s="9"/>
      <c r="AE148" s="9"/>
      <c r="AF148" s="9"/>
      <c r="AG148" s="9"/>
      <c r="AH148" s="7">
        <v>48239.45</v>
      </c>
      <c r="AI148" s="7">
        <v>6142.4</v>
      </c>
    </row>
    <row r="149" spans="2:35" x14ac:dyDescent="0.3">
      <c r="B149" s="5" t="s">
        <v>3061</v>
      </c>
      <c r="C149" s="5" t="s">
        <v>13</v>
      </c>
      <c r="D149" s="6" t="s">
        <v>14</v>
      </c>
      <c r="E149" s="6" t="s">
        <v>460</v>
      </c>
      <c r="F149" s="6" t="s">
        <v>461</v>
      </c>
      <c r="G149" s="6" t="s">
        <v>462</v>
      </c>
      <c r="H149" s="7" t="str">
        <f t="shared" si="2"/>
        <v>PPP-VS-C638-01OPERATIONAL</v>
      </c>
      <c r="I149" s="8" t="s">
        <v>56</v>
      </c>
      <c r="J149" s="8" t="s">
        <v>463</v>
      </c>
      <c r="K149" s="8" t="s">
        <v>463</v>
      </c>
      <c r="L149" s="9">
        <v>0</v>
      </c>
      <c r="M149" s="9">
        <v>2775.58</v>
      </c>
      <c r="N149" s="9">
        <v>0</v>
      </c>
      <c r="O149" s="9">
        <v>11761.79</v>
      </c>
      <c r="P149" s="9">
        <v>0</v>
      </c>
      <c r="Q149" s="9">
        <v>12737.67</v>
      </c>
      <c r="R149" s="9">
        <v>0</v>
      </c>
      <c r="S149" s="9">
        <v>12737.67</v>
      </c>
      <c r="T149" s="9">
        <v>0</v>
      </c>
      <c r="U149" s="9">
        <v>12737.67</v>
      </c>
      <c r="V149" s="9"/>
      <c r="W149" s="9"/>
      <c r="X149" s="9">
        <v>0</v>
      </c>
      <c r="Y149" s="9">
        <v>12737.67</v>
      </c>
      <c r="Z149" s="9"/>
      <c r="AA149" s="9"/>
      <c r="AB149" s="9"/>
      <c r="AC149" s="9"/>
      <c r="AD149" s="9"/>
      <c r="AE149" s="9"/>
      <c r="AF149" s="9"/>
      <c r="AG149" s="9"/>
      <c r="AH149" s="7">
        <v>0</v>
      </c>
      <c r="AI149" s="7">
        <v>12737.67</v>
      </c>
    </row>
    <row r="150" spans="2:35" x14ac:dyDescent="0.3">
      <c r="B150" s="5" t="s">
        <v>3061</v>
      </c>
      <c r="C150" s="5" t="s">
        <v>13</v>
      </c>
      <c r="D150" s="6" t="s">
        <v>14</v>
      </c>
      <c r="E150" s="6" t="s">
        <v>464</v>
      </c>
      <c r="F150" s="6" t="s">
        <v>465</v>
      </c>
      <c r="G150" s="6" t="s">
        <v>466</v>
      </c>
      <c r="H150" s="7" t="str">
        <f t="shared" si="2"/>
        <v>CL3-IPU-B162-01OPERATIONAL</v>
      </c>
      <c r="I150" s="8" t="s">
        <v>49</v>
      </c>
      <c r="J150" s="8" t="s">
        <v>19</v>
      </c>
      <c r="K150" s="8" t="s">
        <v>98</v>
      </c>
      <c r="L150" s="9">
        <v>41350.31</v>
      </c>
      <c r="M150" s="9">
        <v>11971.1</v>
      </c>
      <c r="N150" s="9">
        <v>63587.4</v>
      </c>
      <c r="O150" s="9">
        <v>21688.3</v>
      </c>
      <c r="P150" s="9">
        <v>84545.19</v>
      </c>
      <c r="Q150" s="9">
        <v>31386.66</v>
      </c>
      <c r="R150" s="9">
        <v>107243.43</v>
      </c>
      <c r="S150" s="9">
        <v>38068.29</v>
      </c>
      <c r="T150" s="9">
        <v>128022.71</v>
      </c>
      <c r="U150" s="9">
        <v>44088.659999999996</v>
      </c>
      <c r="V150" s="9"/>
      <c r="W150" s="9"/>
      <c r="X150" s="9">
        <v>175576.16</v>
      </c>
      <c r="Y150" s="9">
        <v>49176.98</v>
      </c>
      <c r="Z150" s="9"/>
      <c r="AA150" s="9"/>
      <c r="AB150" s="9"/>
      <c r="AC150" s="9"/>
      <c r="AD150" s="9"/>
      <c r="AE150" s="9"/>
      <c r="AF150" s="9"/>
      <c r="AG150" s="9"/>
      <c r="AH150" s="7">
        <v>175576.16</v>
      </c>
      <c r="AI150" s="7">
        <v>49176.98</v>
      </c>
    </row>
    <row r="151" spans="2:35" x14ac:dyDescent="0.3">
      <c r="B151" s="5" t="s">
        <v>3061</v>
      </c>
      <c r="C151" s="5" t="s">
        <v>13</v>
      </c>
      <c r="D151" s="6" t="s">
        <v>14</v>
      </c>
      <c r="E151" s="6" t="s">
        <v>467</v>
      </c>
      <c r="F151" s="6" t="s">
        <v>468</v>
      </c>
      <c r="G151" s="6" t="s">
        <v>386</v>
      </c>
      <c r="H151" s="7" t="str">
        <f t="shared" si="2"/>
        <v>PPP-EEE-C638-01OPERATIONAL</v>
      </c>
      <c r="I151" s="8" t="s">
        <v>56</v>
      </c>
      <c r="J151" s="8" t="s">
        <v>202</v>
      </c>
      <c r="K151" s="8" t="s">
        <v>202</v>
      </c>
      <c r="L151" s="9">
        <v>0</v>
      </c>
      <c r="M151" s="9">
        <v>819.78</v>
      </c>
      <c r="N151" s="9">
        <v>0</v>
      </c>
      <c r="O151" s="9">
        <v>1062.78</v>
      </c>
      <c r="P151" s="9">
        <v>0</v>
      </c>
      <c r="Q151" s="9">
        <v>1182.94</v>
      </c>
      <c r="R151" s="9">
        <v>0</v>
      </c>
      <c r="S151" s="9">
        <v>1182.94</v>
      </c>
      <c r="T151" s="9">
        <v>0</v>
      </c>
      <c r="U151" s="9">
        <v>1182.94</v>
      </c>
      <c r="V151" s="9"/>
      <c r="W151" s="9"/>
      <c r="X151" s="9">
        <v>0</v>
      </c>
      <c r="Y151" s="9">
        <v>1182.94</v>
      </c>
      <c r="Z151" s="9"/>
      <c r="AA151" s="9"/>
      <c r="AB151" s="9"/>
      <c r="AC151" s="9"/>
      <c r="AD151" s="9"/>
      <c r="AE151" s="9"/>
      <c r="AF151" s="9"/>
      <c r="AG151" s="9"/>
      <c r="AH151" s="7">
        <v>0</v>
      </c>
      <c r="AI151" s="7">
        <v>1182.94</v>
      </c>
    </row>
    <row r="152" spans="2:35" x14ac:dyDescent="0.3">
      <c r="B152" s="5" t="s">
        <v>3061</v>
      </c>
      <c r="C152" s="5" t="s">
        <v>13</v>
      </c>
      <c r="D152" s="6" t="s">
        <v>14</v>
      </c>
      <c r="E152" s="6" t="s">
        <v>469</v>
      </c>
      <c r="F152" s="6" t="s">
        <v>470</v>
      </c>
      <c r="G152" s="6" t="s">
        <v>471</v>
      </c>
      <c r="H152" s="7" t="str">
        <f t="shared" si="2"/>
        <v>CL3-IPU-A371-01OPERATIONAL</v>
      </c>
      <c r="I152" s="8" t="s">
        <v>49</v>
      </c>
      <c r="J152" s="8" t="s">
        <v>19</v>
      </c>
      <c r="K152" s="8" t="s">
        <v>98</v>
      </c>
      <c r="L152" s="9">
        <v>27686.6</v>
      </c>
      <c r="M152" s="9">
        <v>5368.3</v>
      </c>
      <c r="N152" s="9">
        <v>43020.13</v>
      </c>
      <c r="O152" s="9">
        <v>8594.39</v>
      </c>
      <c r="P152" s="9">
        <v>57210.76</v>
      </c>
      <c r="Q152" s="9">
        <v>13093.699999999999</v>
      </c>
      <c r="R152" s="9">
        <v>71644.320000000007</v>
      </c>
      <c r="S152" s="9">
        <v>17756.830000000002</v>
      </c>
      <c r="T152" s="9">
        <v>86601.32</v>
      </c>
      <c r="U152" s="9">
        <v>21934.89</v>
      </c>
      <c r="V152" s="9"/>
      <c r="W152" s="9"/>
      <c r="X152" s="9">
        <v>117657.60000000001</v>
      </c>
      <c r="Y152" s="9">
        <v>25890.19</v>
      </c>
      <c r="Z152" s="9"/>
      <c r="AA152" s="9"/>
      <c r="AB152" s="9"/>
      <c r="AC152" s="9"/>
      <c r="AD152" s="9"/>
      <c r="AE152" s="9"/>
      <c r="AF152" s="9"/>
      <c r="AG152" s="9"/>
      <c r="AH152" s="7">
        <v>117657.60000000001</v>
      </c>
      <c r="AI152" s="7">
        <v>25890.19</v>
      </c>
    </row>
    <row r="153" spans="2:35" x14ac:dyDescent="0.3">
      <c r="B153" s="5" t="s">
        <v>3061</v>
      </c>
      <c r="C153" s="5" t="s">
        <v>13</v>
      </c>
      <c r="D153" s="6" t="s">
        <v>14</v>
      </c>
      <c r="E153" s="6" t="s">
        <v>472</v>
      </c>
      <c r="F153" s="6" t="s">
        <v>473</v>
      </c>
      <c r="G153" s="6" t="s">
        <v>474</v>
      </c>
      <c r="H153" s="7" t="str">
        <f t="shared" si="2"/>
        <v>AQ1-IPU-D541-01OPERATIONAL</v>
      </c>
      <c r="I153" s="8" t="s">
        <v>24</v>
      </c>
      <c r="J153" s="8" t="s">
        <v>19</v>
      </c>
      <c r="K153" s="8" t="s">
        <v>475</v>
      </c>
      <c r="L153" s="9">
        <v>0</v>
      </c>
      <c r="M153" s="9">
        <v>65.22</v>
      </c>
      <c r="N153" s="9">
        <v>0</v>
      </c>
      <c r="O153" s="9">
        <v>9655.4599999999991</v>
      </c>
      <c r="P153" s="9">
        <v>0</v>
      </c>
      <c r="Q153" s="9">
        <v>10178.460000000001</v>
      </c>
      <c r="R153" s="9">
        <v>0</v>
      </c>
      <c r="S153" s="9">
        <v>9981.2999999999993</v>
      </c>
      <c r="T153" s="9">
        <v>8654.01</v>
      </c>
      <c r="U153" s="9">
        <v>10315.35</v>
      </c>
      <c r="V153" s="9"/>
      <c r="W153" s="9"/>
      <c r="X153" s="9">
        <v>17308.02</v>
      </c>
      <c r="Y153" s="9">
        <v>10515.35</v>
      </c>
      <c r="Z153" s="9"/>
      <c r="AA153" s="9"/>
      <c r="AB153" s="9"/>
      <c r="AC153" s="9"/>
      <c r="AD153" s="9"/>
      <c r="AE153" s="9"/>
      <c r="AF153" s="9"/>
      <c r="AG153" s="9"/>
      <c r="AH153" s="7">
        <v>17308.02</v>
      </c>
      <c r="AI153" s="7">
        <v>10515.35</v>
      </c>
    </row>
    <row r="154" spans="2:35" x14ac:dyDescent="0.3">
      <c r="B154" s="5" t="s">
        <v>3061</v>
      </c>
      <c r="C154" s="5" t="s">
        <v>13</v>
      </c>
      <c r="D154" s="6" t="s">
        <v>14</v>
      </c>
      <c r="E154" s="6" t="s">
        <v>476</v>
      </c>
      <c r="F154" s="6" t="s">
        <v>477</v>
      </c>
      <c r="G154" s="6" t="s">
        <v>478</v>
      </c>
      <c r="H154" s="7" t="str">
        <f t="shared" si="2"/>
        <v>PPP-IPU-F582-01OPERATIONAL</v>
      </c>
      <c r="I154" s="8" t="s">
        <v>24</v>
      </c>
      <c r="J154" s="8" t="s">
        <v>19</v>
      </c>
      <c r="K154" s="8" t="s">
        <v>20</v>
      </c>
      <c r="L154" s="9">
        <v>15066.44</v>
      </c>
      <c r="M154" s="9">
        <v>3510.43</v>
      </c>
      <c r="N154" s="9">
        <v>22599.66</v>
      </c>
      <c r="O154" s="9">
        <v>6203.76</v>
      </c>
      <c r="P154" s="9">
        <v>30132.880000000001</v>
      </c>
      <c r="Q154" s="9">
        <v>9385.1999999999989</v>
      </c>
      <c r="R154" s="9">
        <v>37666.1</v>
      </c>
      <c r="S154" s="9">
        <v>11891.029999999999</v>
      </c>
      <c r="T154" s="9">
        <v>45199.32</v>
      </c>
      <c r="U154" s="9">
        <v>15536.060000000001</v>
      </c>
      <c r="V154" s="9"/>
      <c r="W154" s="9"/>
      <c r="X154" s="9">
        <v>52732.54</v>
      </c>
      <c r="Y154" s="9">
        <v>17858.11</v>
      </c>
      <c r="Z154" s="9"/>
      <c r="AA154" s="9"/>
      <c r="AB154" s="9"/>
      <c r="AC154" s="9"/>
      <c r="AD154" s="9"/>
      <c r="AE154" s="9"/>
      <c r="AF154" s="9"/>
      <c r="AG154" s="9"/>
      <c r="AH154" s="7">
        <v>52732.54</v>
      </c>
      <c r="AI154" s="7">
        <v>17858.11</v>
      </c>
    </row>
    <row r="155" spans="2:35" x14ac:dyDescent="0.3">
      <c r="B155" s="5" t="s">
        <v>3061</v>
      </c>
      <c r="C155" s="5" t="s">
        <v>13</v>
      </c>
      <c r="D155" s="6" t="s">
        <v>14</v>
      </c>
      <c r="E155" s="6" t="s">
        <v>479</v>
      </c>
      <c r="F155" s="6" t="s">
        <v>480</v>
      </c>
      <c r="G155" s="6" t="s">
        <v>481</v>
      </c>
      <c r="H155" s="7" t="str">
        <f t="shared" si="2"/>
        <v>ATI-IPU-H943-01OPERATIONAL</v>
      </c>
      <c r="I155" s="8" t="s">
        <v>18</v>
      </c>
      <c r="J155" s="8" t="s">
        <v>19</v>
      </c>
      <c r="K155" s="8" t="s">
        <v>20</v>
      </c>
      <c r="L155" s="9">
        <v>12030.28</v>
      </c>
      <c r="M155" s="9">
        <v>39.700000000000003</v>
      </c>
      <c r="N155" s="9">
        <v>17455.95</v>
      </c>
      <c r="O155" s="9">
        <v>2213.38</v>
      </c>
      <c r="P155" s="9">
        <v>23274.6</v>
      </c>
      <c r="Q155" s="9">
        <v>2964.4</v>
      </c>
      <c r="R155" s="9">
        <v>29093.25</v>
      </c>
      <c r="S155" s="9">
        <v>3715.43</v>
      </c>
      <c r="T155" s="9">
        <v>34911.9</v>
      </c>
      <c r="U155" s="9">
        <v>4426.75</v>
      </c>
      <c r="V155" s="9"/>
      <c r="W155" s="9"/>
      <c r="X155" s="9">
        <v>40730.550000000003</v>
      </c>
      <c r="Y155" s="9">
        <v>5685.5</v>
      </c>
      <c r="Z155" s="9"/>
      <c r="AA155" s="9"/>
      <c r="AB155" s="9"/>
      <c r="AC155" s="9"/>
      <c r="AD155" s="9"/>
      <c r="AE155" s="9"/>
      <c r="AF155" s="9"/>
      <c r="AG155" s="9"/>
      <c r="AH155" s="7">
        <v>40730.550000000003</v>
      </c>
      <c r="AI155" s="7">
        <v>5685.5</v>
      </c>
    </row>
    <row r="156" spans="2:35" x14ac:dyDescent="0.3">
      <c r="B156" s="5" t="s">
        <v>3061</v>
      </c>
      <c r="C156" s="5" t="s">
        <v>13</v>
      </c>
      <c r="D156" s="6" t="s">
        <v>14</v>
      </c>
      <c r="E156" s="6" t="s">
        <v>482</v>
      </c>
      <c r="F156" s="6" t="s">
        <v>483</v>
      </c>
      <c r="G156" s="6" t="s">
        <v>484</v>
      </c>
      <c r="H156" s="7" t="str">
        <f t="shared" si="2"/>
        <v>PPP-IPU-B476-01OPERATIONAL</v>
      </c>
      <c r="I156" s="8" t="s">
        <v>18</v>
      </c>
      <c r="J156" s="8" t="s">
        <v>19</v>
      </c>
      <c r="K156" s="8" t="s">
        <v>20</v>
      </c>
      <c r="L156" s="9">
        <v>48759.83</v>
      </c>
      <c r="M156" s="9">
        <v>8594.08</v>
      </c>
      <c r="N156" s="9">
        <v>73317.31</v>
      </c>
      <c r="O156" s="9">
        <v>21327.32</v>
      </c>
      <c r="P156" s="9">
        <v>98229.94</v>
      </c>
      <c r="Q156" s="9">
        <v>29761.769999999997</v>
      </c>
      <c r="R156" s="9">
        <v>122787.43</v>
      </c>
      <c r="S156" s="9">
        <v>30603.72</v>
      </c>
      <c r="T156" s="9">
        <v>147344.91</v>
      </c>
      <c r="U156" s="9">
        <v>43627.520000000004</v>
      </c>
      <c r="V156" s="9"/>
      <c r="W156" s="9"/>
      <c r="X156" s="9">
        <v>171902.4</v>
      </c>
      <c r="Y156" s="9">
        <v>49019</v>
      </c>
      <c r="Z156" s="9"/>
      <c r="AA156" s="9"/>
      <c r="AB156" s="9"/>
      <c r="AC156" s="9"/>
      <c r="AD156" s="9"/>
      <c r="AE156" s="9"/>
      <c r="AF156" s="9"/>
      <c r="AG156" s="9"/>
      <c r="AH156" s="7">
        <v>171902.4</v>
      </c>
      <c r="AI156" s="7">
        <v>49019</v>
      </c>
    </row>
    <row r="157" spans="2:35" x14ac:dyDescent="0.3">
      <c r="B157" s="5" t="s">
        <v>3061</v>
      </c>
      <c r="C157" s="5" t="s">
        <v>13</v>
      </c>
      <c r="D157" s="6" t="s">
        <v>14</v>
      </c>
      <c r="E157" s="6" t="s">
        <v>485</v>
      </c>
      <c r="F157" s="6" t="s">
        <v>486</v>
      </c>
      <c r="G157" s="6" t="s">
        <v>487</v>
      </c>
      <c r="H157" s="7" t="str">
        <f t="shared" si="2"/>
        <v>PPP-IPU-C334-01OPERATIONAL</v>
      </c>
      <c r="I157" s="8" t="s">
        <v>18</v>
      </c>
      <c r="J157" s="8" t="s">
        <v>19</v>
      </c>
      <c r="K157" s="8" t="s">
        <v>20</v>
      </c>
      <c r="L157" s="9">
        <v>6060.6</v>
      </c>
      <c r="M157" s="9">
        <v>1240.5899999999999</v>
      </c>
      <c r="N157" s="9">
        <v>8292.08</v>
      </c>
      <c r="O157" s="9">
        <v>3749.69</v>
      </c>
      <c r="P157" s="9">
        <v>11453.8</v>
      </c>
      <c r="Q157" s="9">
        <v>4277.3</v>
      </c>
      <c r="R157" s="9">
        <v>13523.51</v>
      </c>
      <c r="S157" s="9">
        <v>6755.48</v>
      </c>
      <c r="T157" s="9">
        <v>15819.55</v>
      </c>
      <c r="U157" s="9">
        <v>10193.77</v>
      </c>
      <c r="V157" s="9"/>
      <c r="W157" s="9"/>
      <c r="X157" s="9">
        <v>13587.51</v>
      </c>
      <c r="Y157" s="9">
        <v>11650.46</v>
      </c>
      <c r="Z157" s="9"/>
      <c r="AA157" s="9"/>
      <c r="AB157" s="9"/>
      <c r="AC157" s="9"/>
      <c r="AD157" s="9"/>
      <c r="AE157" s="9"/>
      <c r="AF157" s="9"/>
      <c r="AG157" s="9"/>
      <c r="AH157" s="7">
        <v>13587.51</v>
      </c>
      <c r="AI157" s="7">
        <v>11650.46</v>
      </c>
    </row>
    <row r="158" spans="2:35" x14ac:dyDescent="0.3">
      <c r="B158" s="5" t="s">
        <v>3061</v>
      </c>
      <c r="C158" s="5" t="s">
        <v>13</v>
      </c>
      <c r="D158" s="6" t="s">
        <v>14</v>
      </c>
      <c r="E158" s="6" t="s">
        <v>488</v>
      </c>
      <c r="F158" s="6" t="s">
        <v>489</v>
      </c>
      <c r="G158" s="6" t="s">
        <v>490</v>
      </c>
      <c r="H158" s="7" t="str">
        <f t="shared" si="2"/>
        <v>PPP-IPU-G543-01OPERATIONAL</v>
      </c>
      <c r="I158" s="8" t="s">
        <v>18</v>
      </c>
      <c r="J158" s="8" t="s">
        <v>19</v>
      </c>
      <c r="K158" s="8" t="s">
        <v>20</v>
      </c>
      <c r="L158" s="9">
        <v>0</v>
      </c>
      <c r="M158" s="9">
        <v>3946.15</v>
      </c>
      <c r="N158" s="9">
        <v>0</v>
      </c>
      <c r="O158" s="9">
        <v>3946.15</v>
      </c>
      <c r="P158" s="9">
        <v>0</v>
      </c>
      <c r="Q158" s="9">
        <v>3946.15</v>
      </c>
      <c r="R158" s="9">
        <v>0</v>
      </c>
      <c r="S158" s="9">
        <v>3946.15</v>
      </c>
      <c r="T158" s="9">
        <v>0</v>
      </c>
      <c r="U158" s="9">
        <v>3946.15</v>
      </c>
      <c r="V158" s="9"/>
      <c r="W158" s="9"/>
      <c r="X158" s="9">
        <v>0</v>
      </c>
      <c r="Y158" s="9">
        <v>3946.15</v>
      </c>
      <c r="Z158" s="9"/>
      <c r="AA158" s="9"/>
      <c r="AB158" s="9"/>
      <c r="AC158" s="9"/>
      <c r="AD158" s="9"/>
      <c r="AE158" s="9"/>
      <c r="AF158" s="9"/>
      <c r="AG158" s="9"/>
      <c r="AH158" s="7">
        <v>0</v>
      </c>
      <c r="AI158" s="7">
        <v>3946.15</v>
      </c>
    </row>
    <row r="159" spans="2:35" x14ac:dyDescent="0.3">
      <c r="B159" s="5" t="s">
        <v>3061</v>
      </c>
      <c r="C159" s="5" t="s">
        <v>13</v>
      </c>
      <c r="D159" s="6" t="s">
        <v>14</v>
      </c>
      <c r="E159" s="6" t="s">
        <v>491</v>
      </c>
      <c r="F159" s="6" t="s">
        <v>492</v>
      </c>
      <c r="G159" s="6" t="s">
        <v>493</v>
      </c>
      <c r="H159" s="7" t="str">
        <f t="shared" si="2"/>
        <v>PPP-IPU-D593-01OPERATIONAL</v>
      </c>
      <c r="I159" s="8" t="s">
        <v>18</v>
      </c>
      <c r="J159" s="8" t="s">
        <v>19</v>
      </c>
      <c r="K159" s="8" t="s">
        <v>20</v>
      </c>
      <c r="L159" s="9">
        <v>29371.58</v>
      </c>
      <c r="M159" s="9">
        <v>6358.3449999999993</v>
      </c>
      <c r="N159" s="9">
        <v>44057.37</v>
      </c>
      <c r="O159" s="9">
        <v>10818.07</v>
      </c>
      <c r="P159" s="9">
        <v>58743.16</v>
      </c>
      <c r="Q159" s="9">
        <v>16321.8</v>
      </c>
      <c r="R159" s="9">
        <v>73428.95</v>
      </c>
      <c r="S159" s="9">
        <v>20490.690000000002</v>
      </c>
      <c r="T159" s="9">
        <v>88114.74</v>
      </c>
      <c r="U159" s="9">
        <v>24969.394999999997</v>
      </c>
      <c r="V159" s="9"/>
      <c r="W159" s="9"/>
      <c r="X159" s="9">
        <v>88114.74</v>
      </c>
      <c r="Y159" s="9">
        <v>28302.19</v>
      </c>
      <c r="Z159" s="9"/>
      <c r="AA159" s="9"/>
      <c r="AB159" s="9"/>
      <c r="AC159" s="9"/>
      <c r="AD159" s="9"/>
      <c r="AE159" s="9"/>
      <c r="AF159" s="9"/>
      <c r="AG159" s="9"/>
      <c r="AH159" s="7">
        <v>88114.74</v>
      </c>
      <c r="AI159" s="7">
        <v>28302.19</v>
      </c>
    </row>
    <row r="160" spans="2:35" x14ac:dyDescent="0.3">
      <c r="B160" s="5" t="s">
        <v>3061</v>
      </c>
      <c r="C160" s="5" t="s">
        <v>13</v>
      </c>
      <c r="D160" s="6" t="s">
        <v>14</v>
      </c>
      <c r="E160" s="6" t="s">
        <v>494</v>
      </c>
      <c r="F160" s="6" t="s">
        <v>495</v>
      </c>
      <c r="G160" s="6" t="s">
        <v>496</v>
      </c>
      <c r="H160" s="7" t="str">
        <f t="shared" si="2"/>
        <v>PPP-IPU-E026-01OPERATIONAL</v>
      </c>
      <c r="I160" s="8" t="s">
        <v>18</v>
      </c>
      <c r="J160" s="8" t="s">
        <v>19</v>
      </c>
      <c r="K160" s="8" t="s">
        <v>20</v>
      </c>
      <c r="L160" s="9">
        <v>20134.8</v>
      </c>
      <c r="M160" s="9">
        <v>7206.61</v>
      </c>
      <c r="N160" s="9">
        <v>30202.2</v>
      </c>
      <c r="O160" s="9">
        <v>14731.62</v>
      </c>
      <c r="P160" s="9">
        <v>40269.599999999999</v>
      </c>
      <c r="Q160" s="9">
        <v>21636.38</v>
      </c>
      <c r="R160" s="9">
        <v>50337</v>
      </c>
      <c r="S160" s="9">
        <v>27239.84</v>
      </c>
      <c r="T160" s="9">
        <v>60404.4</v>
      </c>
      <c r="U160" s="9">
        <v>27883.64</v>
      </c>
      <c r="V160" s="9"/>
      <c r="W160" s="9"/>
      <c r="X160" s="9">
        <v>70471.8</v>
      </c>
      <c r="Y160" s="9">
        <v>33368.17</v>
      </c>
      <c r="Z160" s="9"/>
      <c r="AA160" s="9"/>
      <c r="AB160" s="9"/>
      <c r="AC160" s="9"/>
      <c r="AD160" s="9"/>
      <c r="AE160" s="9"/>
      <c r="AF160" s="9"/>
      <c r="AG160" s="9"/>
      <c r="AH160" s="7">
        <v>70471.8</v>
      </c>
      <c r="AI160" s="7">
        <v>33368.17</v>
      </c>
    </row>
    <row r="161" spans="2:35" x14ac:dyDescent="0.3">
      <c r="B161" s="5" t="s">
        <v>3061</v>
      </c>
      <c r="C161" s="5" t="s">
        <v>13</v>
      </c>
      <c r="D161" s="6" t="s">
        <v>14</v>
      </c>
      <c r="E161" s="6" t="s">
        <v>497</v>
      </c>
      <c r="F161" s="6" t="s">
        <v>498</v>
      </c>
      <c r="G161" s="6" t="s">
        <v>499</v>
      </c>
      <c r="H161" s="7" t="str">
        <f t="shared" si="2"/>
        <v>SEC-IPU-L781-01OPERATIONAL</v>
      </c>
      <c r="I161" s="8" t="s">
        <v>56</v>
      </c>
      <c r="J161" s="8" t="s">
        <v>19</v>
      </c>
      <c r="K161" s="8" t="s">
        <v>20</v>
      </c>
      <c r="L161" s="9">
        <v>3360</v>
      </c>
      <c r="M161" s="9">
        <v>0</v>
      </c>
      <c r="N161" s="9">
        <v>5040</v>
      </c>
      <c r="O161" s="9">
        <v>0</v>
      </c>
      <c r="P161" s="9">
        <v>6720</v>
      </c>
      <c r="Q161" s="9">
        <v>0</v>
      </c>
      <c r="R161" s="9">
        <v>8400</v>
      </c>
      <c r="S161" s="9">
        <v>1386</v>
      </c>
      <c r="T161" s="9">
        <v>10080</v>
      </c>
      <c r="U161" s="9">
        <v>1386</v>
      </c>
      <c r="V161" s="9"/>
      <c r="W161" s="9"/>
      <c r="X161" s="9">
        <v>11760</v>
      </c>
      <c r="Y161" s="9">
        <v>1386</v>
      </c>
      <c r="Z161" s="9"/>
      <c r="AA161" s="9"/>
      <c r="AB161" s="9"/>
      <c r="AC161" s="9"/>
      <c r="AD161" s="9"/>
      <c r="AE161" s="9"/>
      <c r="AF161" s="9"/>
      <c r="AG161" s="9"/>
      <c r="AH161" s="7">
        <v>11760</v>
      </c>
      <c r="AI161" s="7">
        <v>1386</v>
      </c>
    </row>
    <row r="162" spans="2:35" x14ac:dyDescent="0.3">
      <c r="B162" s="5" t="s">
        <v>3061</v>
      </c>
      <c r="C162" s="5" t="s">
        <v>13</v>
      </c>
      <c r="D162" s="6" t="s">
        <v>14</v>
      </c>
      <c r="E162" s="6" t="s">
        <v>500</v>
      </c>
      <c r="F162" s="6" t="s">
        <v>501</v>
      </c>
      <c r="G162" s="6" t="s">
        <v>502</v>
      </c>
      <c r="H162" s="7" t="str">
        <f t="shared" si="2"/>
        <v>PPP-IPU-H793-01OPERATIONAL</v>
      </c>
      <c r="I162" s="8" t="s">
        <v>18</v>
      </c>
      <c r="J162" s="8" t="s">
        <v>19</v>
      </c>
      <c r="K162" s="8" t="s">
        <v>20</v>
      </c>
      <c r="L162" s="9">
        <v>6333.32</v>
      </c>
      <c r="M162" s="9">
        <v>0</v>
      </c>
      <c r="N162" s="9">
        <v>9499.98</v>
      </c>
      <c r="O162" s="9">
        <v>1397.37</v>
      </c>
      <c r="P162" s="9">
        <v>12666.64</v>
      </c>
      <c r="Q162" s="9">
        <v>2400.52</v>
      </c>
      <c r="R162" s="9">
        <v>15833.3</v>
      </c>
      <c r="S162" s="9">
        <v>3257.35</v>
      </c>
      <c r="T162" s="9">
        <v>18999.96</v>
      </c>
      <c r="U162" s="9">
        <v>3723.14</v>
      </c>
      <c r="V162" s="9"/>
      <c r="W162" s="9"/>
      <c r="X162" s="9">
        <v>22166.62</v>
      </c>
      <c r="Y162" s="9">
        <v>3723.14</v>
      </c>
      <c r="Z162" s="9"/>
      <c r="AA162" s="9"/>
      <c r="AB162" s="9"/>
      <c r="AC162" s="9"/>
      <c r="AD162" s="9"/>
      <c r="AE162" s="9"/>
      <c r="AF162" s="9"/>
      <c r="AG162" s="9"/>
      <c r="AH162" s="7">
        <v>22166.62</v>
      </c>
      <c r="AI162" s="7">
        <v>3723.14</v>
      </c>
    </row>
    <row r="163" spans="2:35" x14ac:dyDescent="0.3">
      <c r="B163" s="5" t="s">
        <v>3061</v>
      </c>
      <c r="C163" s="5" t="s">
        <v>171</v>
      </c>
      <c r="D163" s="6" t="s">
        <v>14</v>
      </c>
      <c r="E163" s="6" t="s">
        <v>503</v>
      </c>
      <c r="F163" s="6" t="s">
        <v>504</v>
      </c>
      <c r="G163" s="6" t="s">
        <v>505</v>
      </c>
      <c r="H163" s="7" t="str">
        <f t="shared" si="2"/>
        <v>PPP-IPU-C824-01OPERATIONAL</v>
      </c>
      <c r="I163" s="8" t="s">
        <v>56</v>
      </c>
      <c r="J163" s="8" t="s">
        <v>19</v>
      </c>
      <c r="K163" s="8" t="s">
        <v>20</v>
      </c>
      <c r="L163" s="9">
        <v>11553.24</v>
      </c>
      <c r="M163" s="9">
        <v>3116.91</v>
      </c>
      <c r="N163" s="9">
        <v>17329.86</v>
      </c>
      <c r="O163" s="9">
        <v>5502.11</v>
      </c>
      <c r="P163" s="9">
        <v>23106.48</v>
      </c>
      <c r="Q163" s="9">
        <v>9901.33</v>
      </c>
      <c r="R163" s="9">
        <v>28883.1</v>
      </c>
      <c r="S163" s="9">
        <v>11314.449999999999</v>
      </c>
      <c r="T163" s="9">
        <v>34659.72</v>
      </c>
      <c r="U163" s="9">
        <v>15844.73</v>
      </c>
      <c r="V163" s="9"/>
      <c r="W163" s="9"/>
      <c r="X163" s="9">
        <v>40436.339999999997</v>
      </c>
      <c r="Y163" s="9">
        <v>17509</v>
      </c>
      <c r="Z163" s="9"/>
      <c r="AA163" s="9"/>
      <c r="AB163" s="9"/>
      <c r="AC163" s="9"/>
      <c r="AD163" s="9"/>
      <c r="AE163" s="9"/>
      <c r="AF163" s="9"/>
      <c r="AG163" s="9"/>
      <c r="AH163" s="7">
        <v>40436.339999999997</v>
      </c>
      <c r="AI163" s="7">
        <v>17509</v>
      </c>
    </row>
    <row r="164" spans="2:35" x14ac:dyDescent="0.3">
      <c r="B164" s="5" t="s">
        <v>3061</v>
      </c>
      <c r="C164" s="5" t="s">
        <v>13</v>
      </c>
      <c r="D164" s="6" t="s">
        <v>14</v>
      </c>
      <c r="E164" s="6" t="s">
        <v>506</v>
      </c>
      <c r="F164" s="6" t="s">
        <v>507</v>
      </c>
      <c r="G164" s="6" t="s">
        <v>508</v>
      </c>
      <c r="H164" s="7" t="str">
        <f t="shared" si="2"/>
        <v>PPP-IPU-G910-01OPERATIONAL</v>
      </c>
      <c r="I164" s="8" t="s">
        <v>24</v>
      </c>
      <c r="J164" s="8" t="s">
        <v>19</v>
      </c>
      <c r="K164" s="8" t="s">
        <v>20</v>
      </c>
      <c r="L164" s="9">
        <v>16172.78</v>
      </c>
      <c r="M164" s="9">
        <v>2907.2299999999996</v>
      </c>
      <c r="N164" s="9">
        <v>24259.17</v>
      </c>
      <c r="O164" s="9">
        <v>5603.48</v>
      </c>
      <c r="P164" s="9">
        <v>32345.56</v>
      </c>
      <c r="Q164" s="9">
        <v>5858.0199999999995</v>
      </c>
      <c r="R164" s="9">
        <v>40431.949999999997</v>
      </c>
      <c r="S164" s="9">
        <v>8333.44</v>
      </c>
      <c r="T164" s="9">
        <v>48518.34</v>
      </c>
      <c r="U164" s="9">
        <v>12263.89</v>
      </c>
      <c r="V164" s="9"/>
      <c r="W164" s="9"/>
      <c r="X164" s="9">
        <v>56604.73</v>
      </c>
      <c r="Y164" s="9">
        <v>14321.48</v>
      </c>
      <c r="Z164" s="9"/>
      <c r="AA164" s="9"/>
      <c r="AB164" s="9"/>
      <c r="AC164" s="9"/>
      <c r="AD164" s="9"/>
      <c r="AE164" s="9"/>
      <c r="AF164" s="9"/>
      <c r="AG164" s="9"/>
      <c r="AH164" s="7">
        <v>56604.73</v>
      </c>
      <c r="AI164" s="7">
        <v>14321.48</v>
      </c>
    </row>
    <row r="165" spans="2:35" x14ac:dyDescent="0.3">
      <c r="B165" s="5" t="s">
        <v>3061</v>
      </c>
      <c r="C165" s="5" t="s">
        <v>13</v>
      </c>
      <c r="D165" s="6" t="s">
        <v>14</v>
      </c>
      <c r="E165" s="6" t="s">
        <v>509</v>
      </c>
      <c r="F165" s="6" t="s">
        <v>510</v>
      </c>
      <c r="G165" s="6" t="s">
        <v>511</v>
      </c>
      <c r="H165" s="7" t="str">
        <f t="shared" si="2"/>
        <v>PPP-IPU-H052-01OPERATIONAL</v>
      </c>
      <c r="I165" s="8" t="s">
        <v>24</v>
      </c>
      <c r="J165" s="8" t="s">
        <v>19</v>
      </c>
      <c r="K165" s="8" t="s">
        <v>20</v>
      </c>
      <c r="L165" s="9">
        <v>15700.44</v>
      </c>
      <c r="M165" s="9">
        <v>2696.27</v>
      </c>
      <c r="N165" s="9">
        <v>23663.74</v>
      </c>
      <c r="O165" s="9">
        <v>4102.78</v>
      </c>
      <c r="P165" s="9">
        <v>31513.96</v>
      </c>
      <c r="Q165" s="9">
        <v>6326.17</v>
      </c>
      <c r="R165" s="9">
        <v>39364.18</v>
      </c>
      <c r="S165" s="9">
        <v>7448.02</v>
      </c>
      <c r="T165" s="9">
        <v>47214.400000000001</v>
      </c>
      <c r="U165" s="9">
        <v>8531.32</v>
      </c>
      <c r="V165" s="9"/>
      <c r="W165" s="9"/>
      <c r="X165" s="9">
        <v>48735.98</v>
      </c>
      <c r="Y165" s="9">
        <v>8048.07</v>
      </c>
      <c r="Z165" s="9"/>
      <c r="AA165" s="9"/>
      <c r="AB165" s="9"/>
      <c r="AC165" s="9"/>
      <c r="AD165" s="9"/>
      <c r="AE165" s="9"/>
      <c r="AF165" s="9"/>
      <c r="AG165" s="9"/>
      <c r="AH165" s="7">
        <v>48735.98</v>
      </c>
      <c r="AI165" s="7">
        <v>8048.07</v>
      </c>
    </row>
    <row r="166" spans="2:35" x14ac:dyDescent="0.3">
      <c r="B166" s="5" t="s">
        <v>3061</v>
      </c>
      <c r="C166" s="5" t="s">
        <v>13</v>
      </c>
      <c r="D166" s="6" t="s">
        <v>14</v>
      </c>
      <c r="E166" s="6" t="s">
        <v>512</v>
      </c>
      <c r="F166" s="6" t="s">
        <v>513</v>
      </c>
      <c r="G166" s="6" t="s">
        <v>514</v>
      </c>
      <c r="H166" s="7" t="str">
        <f t="shared" si="2"/>
        <v>PPP-IPU-L074-01OPERATIONAL</v>
      </c>
      <c r="I166" s="8" t="s">
        <v>18</v>
      </c>
      <c r="J166" s="8" t="s">
        <v>19</v>
      </c>
      <c r="K166" s="8" t="s">
        <v>20</v>
      </c>
      <c r="L166" s="9">
        <v>83745.820000000007</v>
      </c>
      <c r="M166" s="9">
        <v>20899.05</v>
      </c>
      <c r="N166" s="9">
        <v>125618.73</v>
      </c>
      <c r="O166" s="9">
        <v>38646.33</v>
      </c>
      <c r="P166" s="9">
        <v>167491.64000000001</v>
      </c>
      <c r="Q166" s="9">
        <v>56451.18</v>
      </c>
      <c r="R166" s="9">
        <v>209364.55</v>
      </c>
      <c r="S166" s="9">
        <v>87858.19</v>
      </c>
      <c r="T166" s="9">
        <v>251237.46</v>
      </c>
      <c r="U166" s="9">
        <v>100959.52</v>
      </c>
      <c r="V166" s="9"/>
      <c r="W166" s="9"/>
      <c r="X166" s="9">
        <v>293110.37</v>
      </c>
      <c r="Y166" s="9">
        <v>100418.73</v>
      </c>
      <c r="Z166" s="9"/>
      <c r="AA166" s="9"/>
      <c r="AB166" s="9"/>
      <c r="AC166" s="9"/>
      <c r="AD166" s="9"/>
      <c r="AE166" s="9"/>
      <c r="AF166" s="9"/>
      <c r="AG166" s="9"/>
      <c r="AH166" s="7">
        <v>293110.37</v>
      </c>
      <c r="AI166" s="7">
        <v>100418.73</v>
      </c>
    </row>
    <row r="167" spans="2:35" x14ac:dyDescent="0.3">
      <c r="B167" s="5" t="s">
        <v>3061</v>
      </c>
      <c r="C167" s="5" t="s">
        <v>171</v>
      </c>
      <c r="D167" s="6" t="s">
        <v>14</v>
      </c>
      <c r="E167" s="6" t="s">
        <v>515</v>
      </c>
      <c r="F167" s="6" t="s">
        <v>516</v>
      </c>
      <c r="G167" s="6" t="s">
        <v>517</v>
      </c>
      <c r="H167" s="7" t="str">
        <f t="shared" si="2"/>
        <v>PPP-IPU-H580-01OPERATIONAL</v>
      </c>
      <c r="I167" s="8" t="s">
        <v>56</v>
      </c>
      <c r="J167" s="8" t="s">
        <v>19</v>
      </c>
      <c r="K167" s="8" t="s">
        <v>20</v>
      </c>
      <c r="L167" s="9">
        <v>21833.119999999999</v>
      </c>
      <c r="M167" s="9">
        <v>7938.45</v>
      </c>
      <c r="N167" s="9">
        <v>32749.68</v>
      </c>
      <c r="O167" s="9">
        <v>13952.74</v>
      </c>
      <c r="P167" s="9">
        <v>43666.239999999998</v>
      </c>
      <c r="Q167" s="9">
        <v>20471.84</v>
      </c>
      <c r="R167" s="9">
        <v>54582.8</v>
      </c>
      <c r="S167" s="9">
        <v>25443.87</v>
      </c>
      <c r="T167" s="9">
        <v>65499.360000000001</v>
      </c>
      <c r="U167" s="9">
        <v>29869.08</v>
      </c>
      <c r="V167" s="9"/>
      <c r="W167" s="9"/>
      <c r="X167" s="9">
        <v>0</v>
      </c>
      <c r="Y167" s="9">
        <v>33925.94</v>
      </c>
      <c r="Z167" s="9"/>
      <c r="AA167" s="9"/>
      <c r="AB167" s="9"/>
      <c r="AC167" s="9"/>
      <c r="AD167" s="9"/>
      <c r="AE167" s="9"/>
      <c r="AF167" s="9"/>
      <c r="AG167" s="9"/>
      <c r="AH167" s="7">
        <v>0</v>
      </c>
      <c r="AI167" s="7">
        <v>33925.94</v>
      </c>
    </row>
    <row r="168" spans="2:35" x14ac:dyDescent="0.3">
      <c r="B168" s="5" t="s">
        <v>3061</v>
      </c>
      <c r="C168" s="5" t="s">
        <v>13</v>
      </c>
      <c r="D168" s="6" t="s">
        <v>14</v>
      </c>
      <c r="E168" s="6" t="s">
        <v>518</v>
      </c>
      <c r="F168" s="6" t="s">
        <v>519</v>
      </c>
      <c r="G168" s="6" t="s">
        <v>520</v>
      </c>
      <c r="H168" s="7" t="str">
        <f t="shared" si="2"/>
        <v>PPP-IPU-G648-01OPERATIONAL</v>
      </c>
      <c r="I168" s="8" t="s">
        <v>24</v>
      </c>
      <c r="J168" s="8" t="s">
        <v>19</v>
      </c>
      <c r="K168" s="8" t="s">
        <v>20</v>
      </c>
      <c r="L168" s="9">
        <v>16354.55</v>
      </c>
      <c r="M168" s="9">
        <v>8874.6200000000008</v>
      </c>
      <c r="N168" s="9">
        <v>24458.17</v>
      </c>
      <c r="O168" s="9">
        <v>14514.7</v>
      </c>
      <c r="P168" s="9">
        <v>32561.79</v>
      </c>
      <c r="Q168" s="9">
        <v>20459.91</v>
      </c>
      <c r="R168" s="9">
        <v>40665.410000000003</v>
      </c>
      <c r="S168" s="9">
        <v>26117.350000000002</v>
      </c>
      <c r="T168" s="9">
        <v>48769.03</v>
      </c>
      <c r="U168" s="9">
        <v>31722.07</v>
      </c>
      <c r="V168" s="9"/>
      <c r="W168" s="9"/>
      <c r="X168" s="9">
        <v>56872.65</v>
      </c>
      <c r="Y168" s="9">
        <v>35253.89</v>
      </c>
      <c r="Z168" s="9"/>
      <c r="AA168" s="9"/>
      <c r="AB168" s="9"/>
      <c r="AC168" s="9"/>
      <c r="AD168" s="9"/>
      <c r="AE168" s="9"/>
      <c r="AF168" s="9"/>
      <c r="AG168" s="9"/>
      <c r="AH168" s="7">
        <v>56872.65</v>
      </c>
      <c r="AI168" s="7">
        <v>35253.89</v>
      </c>
    </row>
    <row r="169" spans="2:35" x14ac:dyDescent="0.3">
      <c r="B169" s="5" t="s">
        <v>3061</v>
      </c>
      <c r="C169" s="5" t="s">
        <v>13</v>
      </c>
      <c r="D169" s="6" t="s">
        <v>14</v>
      </c>
      <c r="E169" s="6" t="s">
        <v>521</v>
      </c>
      <c r="F169" s="6" t="s">
        <v>522</v>
      </c>
      <c r="G169" s="6" t="s">
        <v>523</v>
      </c>
      <c r="H169" s="7" t="str">
        <f t="shared" si="2"/>
        <v>CL3-IPU-B731-01OPERATIONAL</v>
      </c>
      <c r="I169" s="8" t="s">
        <v>49</v>
      </c>
      <c r="J169" s="8" t="s">
        <v>19</v>
      </c>
      <c r="K169" s="8" t="s">
        <v>98</v>
      </c>
      <c r="L169" s="9">
        <v>69573.45</v>
      </c>
      <c r="M169" s="9">
        <v>27697.439999999999</v>
      </c>
      <c r="N169" s="9">
        <v>110147.31</v>
      </c>
      <c r="O169" s="9">
        <v>41884.03</v>
      </c>
      <c r="P169" s="9">
        <v>146503.41</v>
      </c>
      <c r="Q169" s="9">
        <v>42112.43</v>
      </c>
      <c r="R169" s="9">
        <v>179778.14</v>
      </c>
      <c r="S169" s="9">
        <v>56691.380000000005</v>
      </c>
      <c r="T169" s="9">
        <v>221512.48</v>
      </c>
      <c r="U169" s="9">
        <v>70809.340000000011</v>
      </c>
      <c r="V169" s="9"/>
      <c r="W169" s="9"/>
      <c r="X169" s="9">
        <v>297710.40999999997</v>
      </c>
      <c r="Y169" s="9">
        <v>83621.740000000005</v>
      </c>
      <c r="Z169" s="9"/>
      <c r="AA169" s="9"/>
      <c r="AB169" s="9"/>
      <c r="AC169" s="9"/>
      <c r="AD169" s="9"/>
      <c r="AE169" s="9"/>
      <c r="AF169" s="9"/>
      <c r="AG169" s="9"/>
      <c r="AH169" s="7">
        <v>297710.40999999997</v>
      </c>
      <c r="AI169" s="7">
        <v>83621.740000000005</v>
      </c>
    </row>
    <row r="170" spans="2:35" x14ac:dyDescent="0.3">
      <c r="B170" s="5" t="s">
        <v>3061</v>
      </c>
      <c r="C170" s="5" t="s">
        <v>13</v>
      </c>
      <c r="D170" s="6" t="s">
        <v>14</v>
      </c>
      <c r="E170" s="6" t="s">
        <v>524</v>
      </c>
      <c r="F170" s="6" t="s">
        <v>525</v>
      </c>
      <c r="G170" s="6" t="s">
        <v>526</v>
      </c>
      <c r="H170" s="7" t="str">
        <f t="shared" si="2"/>
        <v>PPP-IPU-A746-01OPERATIONAL</v>
      </c>
      <c r="I170" s="8" t="s">
        <v>24</v>
      </c>
      <c r="J170" s="8" t="s">
        <v>19</v>
      </c>
      <c r="K170" s="8" t="s">
        <v>20</v>
      </c>
      <c r="L170" s="9">
        <v>24530.06</v>
      </c>
      <c r="M170" s="9">
        <v>12218.61</v>
      </c>
      <c r="N170" s="9">
        <v>44955.67</v>
      </c>
      <c r="O170" s="9">
        <v>17015.370000000003</v>
      </c>
      <c r="P170" s="9">
        <v>57220.7</v>
      </c>
      <c r="Q170" s="9">
        <v>21947.719999999998</v>
      </c>
      <c r="R170" s="9">
        <v>69485.73</v>
      </c>
      <c r="S170" s="9">
        <v>27412.559999999998</v>
      </c>
      <c r="T170" s="9">
        <v>81750.759999999995</v>
      </c>
      <c r="U170" s="9">
        <v>37807.93</v>
      </c>
      <c r="V170" s="9"/>
      <c r="W170" s="9"/>
      <c r="X170" s="9">
        <v>44955.67</v>
      </c>
      <c r="Y170" s="9">
        <v>39935.440000000002</v>
      </c>
      <c r="Z170" s="9"/>
      <c r="AA170" s="9"/>
      <c r="AB170" s="9"/>
      <c r="AC170" s="9"/>
      <c r="AD170" s="9"/>
      <c r="AE170" s="9"/>
      <c r="AF170" s="9"/>
      <c r="AG170" s="9"/>
      <c r="AH170" s="7">
        <v>44955.67</v>
      </c>
      <c r="AI170" s="7">
        <v>39935.440000000002</v>
      </c>
    </row>
    <row r="171" spans="2:35" x14ac:dyDescent="0.3">
      <c r="B171" s="5" t="s">
        <v>3061</v>
      </c>
      <c r="C171" s="5" t="s">
        <v>13</v>
      </c>
      <c r="D171" s="6" t="s">
        <v>14</v>
      </c>
      <c r="E171" s="6" t="s">
        <v>527</v>
      </c>
      <c r="F171" s="6" t="s">
        <v>528</v>
      </c>
      <c r="G171" s="6" t="s">
        <v>529</v>
      </c>
      <c r="H171" s="7" t="str">
        <f t="shared" si="2"/>
        <v>PPP-IPU-G226-01OPERATIONAL</v>
      </c>
      <c r="I171" s="8" t="s">
        <v>18</v>
      </c>
      <c r="J171" s="8" t="s">
        <v>19</v>
      </c>
      <c r="K171" s="8" t="s">
        <v>20</v>
      </c>
      <c r="L171" s="9">
        <v>45832.74</v>
      </c>
      <c r="M171" s="9">
        <v>8367.64</v>
      </c>
      <c r="N171" s="9">
        <v>68749.11</v>
      </c>
      <c r="O171" s="9">
        <v>16854.87</v>
      </c>
      <c r="P171" s="9">
        <v>91665.48</v>
      </c>
      <c r="Q171" s="9">
        <v>24633.32</v>
      </c>
      <c r="R171" s="9">
        <v>114581.85</v>
      </c>
      <c r="S171" s="9">
        <v>31548.614999999998</v>
      </c>
      <c r="T171" s="9">
        <v>137498.22</v>
      </c>
      <c r="U171" s="9">
        <v>37634.145000000004</v>
      </c>
      <c r="V171" s="9"/>
      <c r="W171" s="9"/>
      <c r="X171" s="9">
        <v>160414.59</v>
      </c>
      <c r="Y171" s="9">
        <v>42972.959999999999</v>
      </c>
      <c r="Z171" s="9"/>
      <c r="AA171" s="9"/>
      <c r="AB171" s="9"/>
      <c r="AC171" s="9"/>
      <c r="AD171" s="9"/>
      <c r="AE171" s="9"/>
      <c r="AF171" s="9"/>
      <c r="AG171" s="9"/>
      <c r="AH171" s="7">
        <v>160414.59</v>
      </c>
      <c r="AI171" s="7">
        <v>42972.959999999999</v>
      </c>
    </row>
    <row r="172" spans="2:35" x14ac:dyDescent="0.3">
      <c r="B172" s="5" t="s">
        <v>3061</v>
      </c>
      <c r="C172" s="5" t="s">
        <v>13</v>
      </c>
      <c r="D172" s="6" t="s">
        <v>14</v>
      </c>
      <c r="E172" s="6" t="s">
        <v>530</v>
      </c>
      <c r="F172" s="6" t="s">
        <v>531</v>
      </c>
      <c r="G172" s="6" t="s">
        <v>532</v>
      </c>
      <c r="H172" s="7" t="str">
        <f t="shared" si="2"/>
        <v>PPP-IPU-C492-01OPERATIONAL</v>
      </c>
      <c r="I172" s="8" t="s">
        <v>24</v>
      </c>
      <c r="J172" s="8" t="s">
        <v>19</v>
      </c>
      <c r="K172" s="8" t="s">
        <v>20</v>
      </c>
      <c r="L172" s="9">
        <v>9911.18</v>
      </c>
      <c r="M172" s="9">
        <v>5555.05</v>
      </c>
      <c r="N172" s="9">
        <v>20611.48</v>
      </c>
      <c r="O172" s="9">
        <v>7571.7199999999993</v>
      </c>
      <c r="P172" s="9">
        <v>25567.07</v>
      </c>
      <c r="Q172" s="9">
        <v>7661.5300000000007</v>
      </c>
      <c r="R172" s="9">
        <v>30522.66</v>
      </c>
      <c r="S172" s="9">
        <v>9345.74</v>
      </c>
      <c r="T172" s="9">
        <v>35478.25</v>
      </c>
      <c r="U172" s="9">
        <v>18519.810000000001</v>
      </c>
      <c r="V172" s="9"/>
      <c r="W172" s="9"/>
      <c r="X172" s="9">
        <v>20611.48</v>
      </c>
      <c r="Y172" s="9">
        <v>20014.919999999998</v>
      </c>
      <c r="Z172" s="9"/>
      <c r="AA172" s="9"/>
      <c r="AB172" s="9"/>
      <c r="AC172" s="9"/>
      <c r="AD172" s="9"/>
      <c r="AE172" s="9"/>
      <c r="AF172" s="9"/>
      <c r="AG172" s="9"/>
      <c r="AH172" s="7">
        <v>20611.48</v>
      </c>
      <c r="AI172" s="7">
        <v>20014.919999999998</v>
      </c>
    </row>
    <row r="173" spans="2:35" x14ac:dyDescent="0.3">
      <c r="B173" s="5" t="s">
        <v>3061</v>
      </c>
      <c r="C173" s="5" t="s">
        <v>13</v>
      </c>
      <c r="D173" s="6" t="s">
        <v>14</v>
      </c>
      <c r="E173" s="6" t="s">
        <v>533</v>
      </c>
      <c r="F173" s="6" t="s">
        <v>534</v>
      </c>
      <c r="G173" s="6" t="s">
        <v>535</v>
      </c>
      <c r="H173" s="7" t="str">
        <f t="shared" si="2"/>
        <v>PPP-IPU-G590-01OPERATIONAL</v>
      </c>
      <c r="I173" s="8" t="s">
        <v>18</v>
      </c>
      <c r="J173" s="8" t="s">
        <v>19</v>
      </c>
      <c r="K173" s="8" t="s">
        <v>20</v>
      </c>
      <c r="L173" s="9">
        <v>20514.66</v>
      </c>
      <c r="M173" s="9">
        <v>6618.96</v>
      </c>
      <c r="N173" s="9">
        <v>30732.959999999999</v>
      </c>
      <c r="O173" s="9">
        <v>12380.36</v>
      </c>
      <c r="P173" s="9">
        <v>40977.279999999999</v>
      </c>
      <c r="Q173" s="9">
        <v>17191.14</v>
      </c>
      <c r="R173" s="9">
        <v>51221.599999999999</v>
      </c>
      <c r="S173" s="9">
        <v>21629.89</v>
      </c>
      <c r="T173" s="9">
        <v>61465.919999999998</v>
      </c>
      <c r="U173" s="9">
        <v>26049.11</v>
      </c>
      <c r="V173" s="9"/>
      <c r="W173" s="9"/>
      <c r="X173" s="9">
        <v>71710.240000000005</v>
      </c>
      <c r="Y173" s="9">
        <v>29649.51</v>
      </c>
      <c r="Z173" s="9"/>
      <c r="AA173" s="9"/>
      <c r="AB173" s="9"/>
      <c r="AC173" s="9"/>
      <c r="AD173" s="9"/>
      <c r="AE173" s="9"/>
      <c r="AF173" s="9"/>
      <c r="AG173" s="9"/>
      <c r="AH173" s="7">
        <v>71710.240000000005</v>
      </c>
      <c r="AI173" s="7">
        <v>29649.51</v>
      </c>
    </row>
    <row r="174" spans="2:35" x14ac:dyDescent="0.3">
      <c r="B174" s="5" t="s">
        <v>3061</v>
      </c>
      <c r="C174" s="5" t="s">
        <v>13</v>
      </c>
      <c r="D174" s="6" t="s">
        <v>14</v>
      </c>
      <c r="E174" s="6" t="s">
        <v>536</v>
      </c>
      <c r="F174" s="6" t="s">
        <v>537</v>
      </c>
      <c r="G174" s="6" t="s">
        <v>538</v>
      </c>
      <c r="H174" s="7" t="str">
        <f t="shared" si="2"/>
        <v>PPP-IPU-I019-01OPERATIONAL</v>
      </c>
      <c r="I174" s="8" t="s">
        <v>18</v>
      </c>
      <c r="J174" s="8" t="s">
        <v>19</v>
      </c>
      <c r="K174" s="8" t="s">
        <v>20</v>
      </c>
      <c r="L174" s="9">
        <v>29826.28</v>
      </c>
      <c r="M174" s="9">
        <v>8381.15</v>
      </c>
      <c r="N174" s="9">
        <v>44739.42</v>
      </c>
      <c r="O174" s="9">
        <v>14875.42</v>
      </c>
      <c r="P174" s="9">
        <v>59652.56</v>
      </c>
      <c r="Q174" s="9">
        <v>21972.34</v>
      </c>
      <c r="R174" s="9">
        <v>74565.7</v>
      </c>
      <c r="S174" s="9">
        <v>27830.15</v>
      </c>
      <c r="T174" s="9">
        <v>89478.84</v>
      </c>
      <c r="U174" s="9">
        <v>32038.68</v>
      </c>
      <c r="V174" s="9"/>
      <c r="W174" s="9"/>
      <c r="X174" s="9">
        <v>104391.98</v>
      </c>
      <c r="Y174" s="9">
        <v>36651.57</v>
      </c>
      <c r="Z174" s="9"/>
      <c r="AA174" s="9"/>
      <c r="AB174" s="9"/>
      <c r="AC174" s="9"/>
      <c r="AD174" s="9"/>
      <c r="AE174" s="9"/>
      <c r="AF174" s="9"/>
      <c r="AG174" s="9"/>
      <c r="AH174" s="7">
        <v>104391.98</v>
      </c>
      <c r="AI174" s="7">
        <v>36651.57</v>
      </c>
    </row>
    <row r="175" spans="2:35" x14ac:dyDescent="0.3">
      <c r="B175" s="5" t="s">
        <v>3061</v>
      </c>
      <c r="C175" s="5" t="s">
        <v>13</v>
      </c>
      <c r="D175" s="6" t="s">
        <v>14</v>
      </c>
      <c r="E175" s="6" t="s">
        <v>539</v>
      </c>
      <c r="F175" s="6" t="s">
        <v>540</v>
      </c>
      <c r="G175" s="6" t="s">
        <v>386</v>
      </c>
      <c r="H175" s="7" t="str">
        <f t="shared" si="2"/>
        <v>PPP-EEE-C638-03OPERATIONAL</v>
      </c>
      <c r="I175" s="8" t="s">
        <v>56</v>
      </c>
      <c r="J175" s="8" t="s">
        <v>202</v>
      </c>
      <c r="K175" s="8" t="s">
        <v>202</v>
      </c>
      <c r="L175" s="9">
        <v>0</v>
      </c>
      <c r="M175" s="9">
        <v>16036.17</v>
      </c>
      <c r="N175" s="9">
        <v>0</v>
      </c>
      <c r="O175" s="9">
        <v>39725.129999999997</v>
      </c>
      <c r="P175" s="9">
        <v>0</v>
      </c>
      <c r="Q175" s="9">
        <v>39725.129999999997</v>
      </c>
      <c r="R175" s="9">
        <v>0</v>
      </c>
      <c r="S175" s="9">
        <v>39908.29</v>
      </c>
      <c r="T175" s="9">
        <v>0</v>
      </c>
      <c r="U175" s="9">
        <v>42134.51</v>
      </c>
      <c r="V175" s="9"/>
      <c r="W175" s="9"/>
      <c r="X175" s="9">
        <v>0</v>
      </c>
      <c r="Y175" s="9">
        <v>44222.34</v>
      </c>
      <c r="Z175" s="9"/>
      <c r="AA175" s="9"/>
      <c r="AB175" s="9"/>
      <c r="AC175" s="9"/>
      <c r="AD175" s="9"/>
      <c r="AE175" s="9"/>
      <c r="AF175" s="9"/>
      <c r="AG175" s="9"/>
      <c r="AH175" s="7">
        <v>0</v>
      </c>
      <c r="AI175" s="7">
        <v>44222.34</v>
      </c>
    </row>
    <row r="176" spans="2:35" x14ac:dyDescent="0.3">
      <c r="B176" s="5" t="s">
        <v>3061</v>
      </c>
      <c r="C176" s="5" t="s">
        <v>13</v>
      </c>
      <c r="D176" s="6" t="s">
        <v>14</v>
      </c>
      <c r="E176" s="6" t="s">
        <v>541</v>
      </c>
      <c r="F176" s="6" t="s">
        <v>542</v>
      </c>
      <c r="G176" s="6" t="s">
        <v>543</v>
      </c>
      <c r="H176" s="7" t="str">
        <f t="shared" si="2"/>
        <v>SEC-IPU-F573-01OPERATIONAL</v>
      </c>
      <c r="I176" s="8" t="s">
        <v>18</v>
      </c>
      <c r="J176" s="8" t="s">
        <v>19</v>
      </c>
      <c r="K176" s="8" t="s">
        <v>20</v>
      </c>
      <c r="L176" s="9">
        <v>1316.74</v>
      </c>
      <c r="M176" s="9">
        <v>580.99</v>
      </c>
      <c r="N176" s="9">
        <v>1316.74</v>
      </c>
      <c r="O176" s="9">
        <v>580.99</v>
      </c>
      <c r="P176" s="9">
        <v>2633.48</v>
      </c>
      <c r="Q176" s="9">
        <v>580.99</v>
      </c>
      <c r="R176" s="9">
        <v>3291.85</v>
      </c>
      <c r="S176" s="9">
        <v>580.99</v>
      </c>
      <c r="T176" s="9">
        <v>3291.85</v>
      </c>
      <c r="U176" s="9">
        <v>580.99</v>
      </c>
      <c r="V176" s="9"/>
      <c r="W176" s="9"/>
      <c r="X176" s="9">
        <v>3291.85</v>
      </c>
      <c r="Y176" s="9">
        <v>580.99</v>
      </c>
      <c r="Z176" s="9"/>
      <c r="AA176" s="9"/>
      <c r="AB176" s="9"/>
      <c r="AC176" s="9"/>
      <c r="AD176" s="9"/>
      <c r="AE176" s="9"/>
      <c r="AF176" s="9"/>
      <c r="AG176" s="9"/>
      <c r="AH176" s="7">
        <v>3291.85</v>
      </c>
      <c r="AI176" s="7">
        <v>580.99</v>
      </c>
    </row>
    <row r="177" spans="2:35" x14ac:dyDescent="0.3">
      <c r="B177" s="5" t="s">
        <v>3061</v>
      </c>
      <c r="C177" s="5" t="s">
        <v>13</v>
      </c>
      <c r="D177" s="6" t="s">
        <v>14</v>
      </c>
      <c r="E177" s="6" t="s">
        <v>544</v>
      </c>
      <c r="F177" s="6" t="s">
        <v>545</v>
      </c>
      <c r="G177" s="6" t="s">
        <v>546</v>
      </c>
      <c r="H177" s="7" t="str">
        <f t="shared" si="2"/>
        <v>ATI-IPU-M122-01OPERATIONAL</v>
      </c>
      <c r="I177" s="8" t="s">
        <v>49</v>
      </c>
      <c r="J177" s="8" t="s">
        <v>19</v>
      </c>
      <c r="K177" s="8" t="s">
        <v>20</v>
      </c>
      <c r="L177" s="9">
        <v>10155.34</v>
      </c>
      <c r="M177" s="9">
        <v>0</v>
      </c>
      <c r="N177" s="9">
        <v>15233.01</v>
      </c>
      <c r="O177" s="9">
        <v>2932.01</v>
      </c>
      <c r="P177" s="9">
        <v>20310.68</v>
      </c>
      <c r="Q177" s="9">
        <v>4097.18</v>
      </c>
      <c r="R177" s="9">
        <v>25388.35</v>
      </c>
      <c r="S177" s="9">
        <v>5334.04</v>
      </c>
      <c r="T177" s="9">
        <v>30466.02</v>
      </c>
      <c r="U177" s="9">
        <v>6446.89</v>
      </c>
      <c r="V177" s="9"/>
      <c r="W177" s="9"/>
      <c r="X177" s="9">
        <v>35543.69</v>
      </c>
      <c r="Y177" s="9">
        <v>6632.89</v>
      </c>
      <c r="Z177" s="9"/>
      <c r="AA177" s="9"/>
      <c r="AB177" s="9"/>
      <c r="AC177" s="9"/>
      <c r="AD177" s="9"/>
      <c r="AE177" s="9"/>
      <c r="AF177" s="9"/>
      <c r="AG177" s="9"/>
      <c r="AH177" s="7">
        <v>35543.69</v>
      </c>
      <c r="AI177" s="7">
        <v>6632.89</v>
      </c>
    </row>
    <row r="178" spans="2:35" x14ac:dyDescent="0.3">
      <c r="B178" s="5" t="s">
        <v>3061</v>
      </c>
      <c r="C178" s="5" t="s">
        <v>13</v>
      </c>
      <c r="D178" s="6" t="s">
        <v>14</v>
      </c>
      <c r="E178" s="6" t="s">
        <v>547</v>
      </c>
      <c r="F178" s="6" t="s">
        <v>548</v>
      </c>
      <c r="G178" s="6" t="s">
        <v>315</v>
      </c>
      <c r="H178" s="7" t="str">
        <f t="shared" si="2"/>
        <v>PPP-IPU-G514-01OPERATIONAL</v>
      </c>
      <c r="I178" s="8" t="s">
        <v>24</v>
      </c>
      <c r="J178" s="8" t="s">
        <v>19</v>
      </c>
      <c r="K178" s="8" t="s">
        <v>20</v>
      </c>
      <c r="L178" s="9">
        <v>8250</v>
      </c>
      <c r="M178" s="9">
        <v>0</v>
      </c>
      <c r="N178" s="9">
        <v>0</v>
      </c>
      <c r="O178" s="9">
        <v>0</v>
      </c>
      <c r="P178" s="9">
        <v>12375</v>
      </c>
      <c r="Q178" s="9">
        <v>0</v>
      </c>
      <c r="R178" s="9">
        <v>12375</v>
      </c>
      <c r="S178" s="9">
        <v>0</v>
      </c>
      <c r="T178" s="9">
        <v>12375</v>
      </c>
      <c r="U178" s="9">
        <v>0</v>
      </c>
      <c r="V178" s="9"/>
      <c r="W178" s="9"/>
      <c r="X178" s="9">
        <v>24750</v>
      </c>
      <c r="Y178" s="9">
        <v>0</v>
      </c>
      <c r="Z178" s="9"/>
      <c r="AA178" s="9"/>
      <c r="AB178" s="9"/>
      <c r="AC178" s="9"/>
      <c r="AD178" s="9"/>
      <c r="AE178" s="9"/>
      <c r="AF178" s="9"/>
      <c r="AG178" s="9"/>
      <c r="AH178" s="7">
        <v>24750</v>
      </c>
      <c r="AI178" s="7">
        <v>0</v>
      </c>
    </row>
    <row r="179" spans="2:35" x14ac:dyDescent="0.3">
      <c r="B179" s="5" t="s">
        <v>3061</v>
      </c>
      <c r="C179" s="5" t="s">
        <v>13</v>
      </c>
      <c r="D179" s="6" t="s">
        <v>14</v>
      </c>
      <c r="E179" s="6" t="s">
        <v>549</v>
      </c>
      <c r="F179" s="6" t="s">
        <v>550</v>
      </c>
      <c r="G179" s="6" t="s">
        <v>551</v>
      </c>
      <c r="H179" s="7" t="str">
        <f t="shared" si="2"/>
        <v>PPP-IPU-C767-01OPERATIONAL</v>
      </c>
      <c r="I179" s="8" t="s">
        <v>24</v>
      </c>
      <c r="J179" s="8" t="s">
        <v>19</v>
      </c>
      <c r="K179" s="8" t="s">
        <v>20</v>
      </c>
      <c r="L179" s="9">
        <v>42424.800000000003</v>
      </c>
      <c r="M179" s="9">
        <v>15852.08</v>
      </c>
      <c r="N179" s="9">
        <v>79670.02</v>
      </c>
      <c r="O179" s="9">
        <v>24801.710000000003</v>
      </c>
      <c r="P179" s="9">
        <v>100882.42</v>
      </c>
      <c r="Q179" s="9">
        <v>34010.32</v>
      </c>
      <c r="R179" s="9">
        <v>41264.97</v>
      </c>
      <c r="S179" s="9">
        <v>41618.5</v>
      </c>
      <c r="T179" s="9">
        <v>62477.37</v>
      </c>
      <c r="U179" s="9">
        <v>50356.71</v>
      </c>
      <c r="V179" s="9"/>
      <c r="W179" s="9"/>
      <c r="X179" s="9">
        <v>84677.67</v>
      </c>
      <c r="Y179" s="9">
        <v>76294.350000000006</v>
      </c>
      <c r="Z179" s="9"/>
      <c r="AA179" s="9"/>
      <c r="AB179" s="9"/>
      <c r="AC179" s="9"/>
      <c r="AD179" s="9"/>
      <c r="AE179" s="9"/>
      <c r="AF179" s="9"/>
      <c r="AG179" s="9"/>
      <c r="AH179" s="7">
        <v>84677.67</v>
      </c>
      <c r="AI179" s="7">
        <v>76294.350000000006</v>
      </c>
    </row>
    <row r="180" spans="2:35" x14ac:dyDescent="0.3">
      <c r="B180" s="5" t="s">
        <v>3061</v>
      </c>
      <c r="C180" s="5" t="s">
        <v>13</v>
      </c>
      <c r="D180" s="6" t="s">
        <v>14</v>
      </c>
      <c r="E180" s="6" t="s">
        <v>552</v>
      </c>
      <c r="F180" s="6" t="s">
        <v>553</v>
      </c>
      <c r="G180" s="6" t="s">
        <v>554</v>
      </c>
      <c r="H180" s="7" t="str">
        <f t="shared" si="2"/>
        <v>PPP-IPU-F916-01OPERATIONAL</v>
      </c>
      <c r="I180" s="8" t="s">
        <v>18</v>
      </c>
      <c r="J180" s="8" t="s">
        <v>19</v>
      </c>
      <c r="K180" s="8" t="s">
        <v>20</v>
      </c>
      <c r="L180" s="9">
        <v>19216.66</v>
      </c>
      <c r="M180" s="9">
        <v>844.17</v>
      </c>
      <c r="N180" s="9">
        <v>16868.240000000002</v>
      </c>
      <c r="O180" s="9">
        <v>3111.4</v>
      </c>
      <c r="P180" s="9">
        <v>17624.87</v>
      </c>
      <c r="Q180" s="9">
        <v>8315.6</v>
      </c>
      <c r="R180" s="9">
        <v>26409.65</v>
      </c>
      <c r="S180" s="9">
        <v>12486.18</v>
      </c>
      <c r="T180" s="9">
        <v>36017.980000000003</v>
      </c>
      <c r="U180" s="9">
        <v>16066.43</v>
      </c>
      <c r="V180" s="9"/>
      <c r="W180" s="9"/>
      <c r="X180" s="9">
        <v>45626.31</v>
      </c>
      <c r="Y180" s="9">
        <v>19962.89</v>
      </c>
      <c r="Z180" s="9"/>
      <c r="AA180" s="9"/>
      <c r="AB180" s="9"/>
      <c r="AC180" s="9"/>
      <c r="AD180" s="9"/>
      <c r="AE180" s="9"/>
      <c r="AF180" s="9"/>
      <c r="AG180" s="9"/>
      <c r="AH180" s="7">
        <v>45626.31</v>
      </c>
      <c r="AI180" s="7">
        <v>19962.89</v>
      </c>
    </row>
    <row r="181" spans="2:35" x14ac:dyDescent="0.3">
      <c r="B181" s="5" t="s">
        <v>3061</v>
      </c>
      <c r="C181" s="5" t="s">
        <v>13</v>
      </c>
      <c r="D181" s="6" t="s">
        <v>14</v>
      </c>
      <c r="E181" s="6" t="s">
        <v>555</v>
      </c>
      <c r="F181" s="6" t="s">
        <v>556</v>
      </c>
      <c r="G181" s="6" t="s">
        <v>557</v>
      </c>
      <c r="H181" s="7" t="str">
        <f t="shared" si="2"/>
        <v>PPP-IPU-D361-01OPERATIONAL</v>
      </c>
      <c r="I181" s="8" t="s">
        <v>18</v>
      </c>
      <c r="J181" s="8" t="s">
        <v>19</v>
      </c>
      <c r="K181" s="8" t="s">
        <v>20</v>
      </c>
      <c r="L181" s="9">
        <v>20838.82</v>
      </c>
      <c r="M181" s="9">
        <v>508.7</v>
      </c>
      <c r="N181" s="9">
        <v>31258.23</v>
      </c>
      <c r="O181" s="9">
        <v>5879.98</v>
      </c>
      <c r="P181" s="9">
        <v>41677.64</v>
      </c>
      <c r="Q181" s="9">
        <v>8556.94</v>
      </c>
      <c r="R181" s="9">
        <v>52097.05</v>
      </c>
      <c r="S181" s="9">
        <v>10723.22</v>
      </c>
      <c r="T181" s="9">
        <v>62516.46</v>
      </c>
      <c r="U181" s="9">
        <v>12890.15</v>
      </c>
      <c r="V181" s="9"/>
      <c r="W181" s="9"/>
      <c r="X181" s="9">
        <v>72935.87</v>
      </c>
      <c r="Y181" s="9">
        <v>14548.11</v>
      </c>
      <c r="Z181" s="9"/>
      <c r="AA181" s="9"/>
      <c r="AB181" s="9"/>
      <c r="AC181" s="9"/>
      <c r="AD181" s="9"/>
      <c r="AE181" s="9"/>
      <c r="AF181" s="9"/>
      <c r="AG181" s="9"/>
      <c r="AH181" s="7">
        <v>72935.87</v>
      </c>
      <c r="AI181" s="7">
        <v>14548.11</v>
      </c>
    </row>
    <row r="182" spans="2:35" x14ac:dyDescent="0.3">
      <c r="B182" s="5" t="s">
        <v>3061</v>
      </c>
      <c r="C182" s="5" t="s">
        <v>13</v>
      </c>
      <c r="D182" s="6" t="s">
        <v>14</v>
      </c>
      <c r="E182" s="6" t="s">
        <v>558</v>
      </c>
      <c r="F182" s="6" t="s">
        <v>559</v>
      </c>
      <c r="G182" s="6" t="s">
        <v>560</v>
      </c>
      <c r="H182" s="7" t="str">
        <f t="shared" si="2"/>
        <v>CL3-IPU-C752-01OPERATIONAL</v>
      </c>
      <c r="I182" s="8" t="s">
        <v>49</v>
      </c>
      <c r="J182" s="8" t="s">
        <v>19</v>
      </c>
      <c r="K182" s="8" t="s">
        <v>98</v>
      </c>
      <c r="L182" s="9">
        <v>20952.34</v>
      </c>
      <c r="M182" s="9">
        <v>6409.95</v>
      </c>
      <c r="N182" s="9">
        <v>32173.37</v>
      </c>
      <c r="O182" s="9">
        <v>10917.52</v>
      </c>
      <c r="P182" s="9">
        <v>42784.85</v>
      </c>
      <c r="Q182" s="9">
        <v>15839.23</v>
      </c>
      <c r="R182" s="9">
        <v>53960.89</v>
      </c>
      <c r="S182" s="9">
        <v>19829.96</v>
      </c>
      <c r="T182" s="9">
        <v>65046.68</v>
      </c>
      <c r="U182" s="9">
        <v>23960.41</v>
      </c>
      <c r="V182" s="9"/>
      <c r="W182" s="9"/>
      <c r="X182" s="9">
        <v>89283.96</v>
      </c>
      <c r="Y182" s="9">
        <v>27428.46</v>
      </c>
      <c r="Z182" s="9"/>
      <c r="AA182" s="9"/>
      <c r="AB182" s="9"/>
      <c r="AC182" s="9"/>
      <c r="AD182" s="9"/>
      <c r="AE182" s="9"/>
      <c r="AF182" s="9"/>
      <c r="AG182" s="9"/>
      <c r="AH182" s="7">
        <v>89283.96</v>
      </c>
      <c r="AI182" s="7">
        <v>27428.46</v>
      </c>
    </row>
    <row r="183" spans="2:35" x14ac:dyDescent="0.3">
      <c r="B183" s="5" t="s">
        <v>3061</v>
      </c>
      <c r="C183" s="5" t="s">
        <v>13</v>
      </c>
      <c r="D183" s="6" t="s">
        <v>14</v>
      </c>
      <c r="E183" s="6" t="s">
        <v>561</v>
      </c>
      <c r="F183" s="6" t="s">
        <v>562</v>
      </c>
      <c r="G183" s="6" t="s">
        <v>563</v>
      </c>
      <c r="H183" s="7" t="str">
        <f t="shared" si="2"/>
        <v>PPP-IPU-A479-01OPERATIONAL</v>
      </c>
      <c r="I183" s="8" t="s">
        <v>49</v>
      </c>
      <c r="J183" s="8" t="s">
        <v>19</v>
      </c>
      <c r="K183" s="8" t="s">
        <v>20</v>
      </c>
      <c r="L183" s="9">
        <v>0</v>
      </c>
      <c r="M183" s="9">
        <v>3652.7</v>
      </c>
      <c r="N183" s="9">
        <v>0</v>
      </c>
      <c r="O183" s="9">
        <v>3652.7</v>
      </c>
      <c r="P183" s="9">
        <v>0</v>
      </c>
      <c r="Q183" s="9">
        <v>3652.7</v>
      </c>
      <c r="R183" s="9">
        <v>0</v>
      </c>
      <c r="S183" s="9">
        <v>3652.7</v>
      </c>
      <c r="T183" s="9">
        <v>0</v>
      </c>
      <c r="U183" s="9">
        <v>3652.7</v>
      </c>
      <c r="V183" s="9"/>
      <c r="W183" s="9"/>
      <c r="X183" s="9">
        <v>0</v>
      </c>
      <c r="Y183" s="9">
        <v>3652.7</v>
      </c>
      <c r="Z183" s="9"/>
      <c r="AA183" s="9"/>
      <c r="AB183" s="9"/>
      <c r="AC183" s="9"/>
      <c r="AD183" s="9"/>
      <c r="AE183" s="9"/>
      <c r="AF183" s="9"/>
      <c r="AG183" s="9"/>
      <c r="AH183" s="7">
        <v>0</v>
      </c>
      <c r="AI183" s="7">
        <v>3652.7</v>
      </c>
    </row>
    <row r="184" spans="2:35" x14ac:dyDescent="0.3">
      <c r="B184" s="5" t="s">
        <v>3061</v>
      </c>
      <c r="C184" s="5" t="s">
        <v>13</v>
      </c>
      <c r="D184" s="6" t="s">
        <v>14</v>
      </c>
      <c r="E184" s="6" t="s">
        <v>564</v>
      </c>
      <c r="F184" s="6" t="s">
        <v>565</v>
      </c>
      <c r="G184" s="6" t="s">
        <v>566</v>
      </c>
      <c r="H184" s="7" t="str">
        <f t="shared" si="2"/>
        <v>AQ1-IPU-L191-02OPERATIONAL</v>
      </c>
      <c r="I184" s="8" t="s">
        <v>24</v>
      </c>
      <c r="J184" s="8" t="s">
        <v>19</v>
      </c>
      <c r="K184" s="8" t="s">
        <v>475</v>
      </c>
      <c r="L184" s="9">
        <v>0</v>
      </c>
      <c r="M184" s="9">
        <v>2657.1550000000002</v>
      </c>
      <c r="N184" s="9">
        <v>0</v>
      </c>
      <c r="O184" s="9">
        <v>8865.994999999999</v>
      </c>
      <c r="P184" s="9">
        <v>0</v>
      </c>
      <c r="Q184" s="9">
        <v>25139.119999999999</v>
      </c>
      <c r="R184" s="9">
        <v>0</v>
      </c>
      <c r="S184" s="9">
        <v>0</v>
      </c>
      <c r="T184" s="9">
        <v>0</v>
      </c>
      <c r="U184" s="9">
        <v>0</v>
      </c>
      <c r="V184" s="9"/>
      <c r="W184" s="9"/>
      <c r="X184" s="9">
        <v>0</v>
      </c>
      <c r="Y184" s="9">
        <v>0</v>
      </c>
      <c r="Z184" s="9"/>
      <c r="AA184" s="9"/>
      <c r="AB184" s="9"/>
      <c r="AC184" s="9"/>
      <c r="AD184" s="9"/>
      <c r="AE184" s="9"/>
      <c r="AF184" s="9"/>
      <c r="AG184" s="9"/>
      <c r="AH184" s="7">
        <v>0</v>
      </c>
      <c r="AI184" s="7">
        <v>0</v>
      </c>
    </row>
    <row r="185" spans="2:35" x14ac:dyDescent="0.3">
      <c r="B185" s="5" t="s">
        <v>3061</v>
      </c>
      <c r="C185" s="5" t="s">
        <v>13</v>
      </c>
      <c r="D185" s="6" t="s">
        <v>14</v>
      </c>
      <c r="E185" s="6" t="s">
        <v>567</v>
      </c>
      <c r="F185" s="6" t="s">
        <v>568</v>
      </c>
      <c r="G185" s="6" t="s">
        <v>569</v>
      </c>
      <c r="H185" s="7" t="str">
        <f t="shared" si="2"/>
        <v>AQ1-IPU-A845-01OPERATIONAL</v>
      </c>
      <c r="I185" s="8" t="s">
        <v>49</v>
      </c>
      <c r="J185" s="8" t="s">
        <v>19</v>
      </c>
      <c r="K185" s="8" t="s">
        <v>475</v>
      </c>
      <c r="L185" s="9">
        <v>3653.62</v>
      </c>
      <c r="M185" s="9">
        <v>1692.03</v>
      </c>
      <c r="N185" s="9">
        <v>5480.43</v>
      </c>
      <c r="O185" s="9">
        <v>8969.3799999999992</v>
      </c>
      <c r="P185" s="9">
        <v>12787.630000000001</v>
      </c>
      <c r="Q185" s="9">
        <v>3336.98</v>
      </c>
      <c r="R185" s="9">
        <v>9134.0300000000007</v>
      </c>
      <c r="S185" s="9">
        <v>4139.5599999999995</v>
      </c>
      <c r="T185" s="9">
        <v>10960.84</v>
      </c>
      <c r="U185" s="9">
        <v>6513.9</v>
      </c>
      <c r="V185" s="9"/>
      <c r="W185" s="9"/>
      <c r="X185" s="9">
        <v>14614.44</v>
      </c>
      <c r="Y185" s="9">
        <v>6513.9</v>
      </c>
      <c r="Z185" s="9"/>
      <c r="AA185" s="9"/>
      <c r="AB185" s="9"/>
      <c r="AC185" s="9"/>
      <c r="AD185" s="9"/>
      <c r="AE185" s="9"/>
      <c r="AF185" s="9"/>
      <c r="AG185" s="9"/>
      <c r="AH185" s="7">
        <v>14614.44</v>
      </c>
      <c r="AI185" s="7">
        <v>6513.9</v>
      </c>
    </row>
    <row r="186" spans="2:35" x14ac:dyDescent="0.3">
      <c r="B186" s="5" t="s">
        <v>3061</v>
      </c>
      <c r="C186" s="5" t="s">
        <v>13</v>
      </c>
      <c r="D186" s="6" t="s">
        <v>14</v>
      </c>
      <c r="E186" s="6" t="s">
        <v>570</v>
      </c>
      <c r="F186" s="6" t="s">
        <v>571</v>
      </c>
      <c r="G186" s="6" t="s">
        <v>572</v>
      </c>
      <c r="H186" s="7" t="str">
        <f t="shared" si="2"/>
        <v>CL4-IPU-H703-01OPERATIONAL</v>
      </c>
      <c r="I186" s="8" t="s">
        <v>18</v>
      </c>
      <c r="J186" s="8" t="s">
        <v>19</v>
      </c>
      <c r="K186" s="8" t="s">
        <v>573</v>
      </c>
      <c r="L186" s="9">
        <v>77331.78</v>
      </c>
      <c r="M186" s="9">
        <v>333.33</v>
      </c>
      <c r="N186" s="9">
        <v>127395.56</v>
      </c>
      <c r="O186" s="9">
        <v>51989.48</v>
      </c>
      <c r="P186" s="9">
        <v>167047.59</v>
      </c>
      <c r="Q186" s="9">
        <v>69319.31</v>
      </c>
      <c r="R186" s="9">
        <v>216624.58</v>
      </c>
      <c r="S186" s="9">
        <v>93917.38</v>
      </c>
      <c r="T186" s="9">
        <v>258261.6</v>
      </c>
      <c r="U186" s="9">
        <v>112700.86</v>
      </c>
      <c r="V186" s="9"/>
      <c r="W186" s="9"/>
      <c r="X186" s="9">
        <v>341535.64</v>
      </c>
      <c r="Y186" s="9">
        <v>151601.07</v>
      </c>
      <c r="Z186" s="9"/>
      <c r="AA186" s="9"/>
      <c r="AB186" s="9"/>
      <c r="AC186" s="9"/>
      <c r="AD186" s="9"/>
      <c r="AE186" s="9"/>
      <c r="AF186" s="9"/>
      <c r="AG186" s="9"/>
      <c r="AH186" s="7">
        <v>341535.64</v>
      </c>
      <c r="AI186" s="7">
        <v>151601.07</v>
      </c>
    </row>
    <row r="187" spans="2:35" x14ac:dyDescent="0.3">
      <c r="B187" s="5" t="s">
        <v>3061</v>
      </c>
      <c r="C187" s="5" t="s">
        <v>13</v>
      </c>
      <c r="D187" s="6" t="s">
        <v>14</v>
      </c>
      <c r="E187" s="6" t="s">
        <v>574</v>
      </c>
      <c r="F187" s="6" t="s">
        <v>575</v>
      </c>
      <c r="G187" s="6" t="s">
        <v>576</v>
      </c>
      <c r="H187" s="7" t="str">
        <f t="shared" si="2"/>
        <v>CL3-IPU-I441-01OPERATIONAL</v>
      </c>
      <c r="I187" s="8" t="s">
        <v>49</v>
      </c>
      <c r="J187" s="8" t="s">
        <v>19</v>
      </c>
      <c r="K187" s="8" t="s">
        <v>98</v>
      </c>
      <c r="L187" s="9">
        <v>131468.31</v>
      </c>
      <c r="M187" s="9">
        <v>83833.900000000009</v>
      </c>
      <c r="N187" s="9">
        <v>191744.81</v>
      </c>
      <c r="O187" s="9">
        <v>181954.39</v>
      </c>
      <c r="P187" s="9">
        <v>254959.68</v>
      </c>
      <c r="Q187" s="9">
        <v>183035.93</v>
      </c>
      <c r="R187" s="9">
        <v>323096.55</v>
      </c>
      <c r="S187" s="9">
        <v>324904.375</v>
      </c>
      <c r="T187" s="9">
        <v>386348.47</v>
      </c>
      <c r="U187" s="9">
        <v>343817.20499999996</v>
      </c>
      <c r="V187" s="9"/>
      <c r="W187" s="9"/>
      <c r="X187" s="9">
        <v>517223.31</v>
      </c>
      <c r="Y187" s="9">
        <v>344013.25</v>
      </c>
      <c r="Z187" s="9"/>
      <c r="AA187" s="9"/>
      <c r="AB187" s="9"/>
      <c r="AC187" s="9"/>
      <c r="AD187" s="9"/>
      <c r="AE187" s="9"/>
      <c r="AF187" s="9"/>
      <c r="AG187" s="9"/>
      <c r="AH187" s="7">
        <v>517223.31</v>
      </c>
      <c r="AI187" s="7">
        <v>344013.25</v>
      </c>
    </row>
    <row r="188" spans="2:35" x14ac:dyDescent="0.3">
      <c r="B188" s="5" t="s">
        <v>3061</v>
      </c>
      <c r="C188" s="5" t="s">
        <v>13</v>
      </c>
      <c r="D188" s="6" t="s">
        <v>14</v>
      </c>
      <c r="E188" s="6" t="s">
        <v>577</v>
      </c>
      <c r="F188" s="6" t="s">
        <v>578</v>
      </c>
      <c r="G188" s="6" t="s">
        <v>579</v>
      </c>
      <c r="H188" s="7" t="str">
        <f t="shared" si="2"/>
        <v>PPP-EEE-L736-01OPERATIONAL</v>
      </c>
      <c r="I188" s="8" t="s">
        <v>56</v>
      </c>
      <c r="J188" s="8" t="s">
        <v>202</v>
      </c>
      <c r="K188" s="8" t="s">
        <v>202</v>
      </c>
      <c r="L188" s="9">
        <v>231876.68</v>
      </c>
      <c r="M188" s="9">
        <v>311518.99</v>
      </c>
      <c r="N188" s="9">
        <v>347815</v>
      </c>
      <c r="O188" s="9">
        <v>454355.82999999996</v>
      </c>
      <c r="P188" s="9">
        <v>456022.44</v>
      </c>
      <c r="Q188" s="9">
        <v>365106.26</v>
      </c>
      <c r="R188" s="9">
        <v>570031.80000000005</v>
      </c>
      <c r="S188" s="9">
        <v>484571.26</v>
      </c>
      <c r="T188" s="9">
        <v>584347.06999999995</v>
      </c>
      <c r="U188" s="9">
        <v>484571.26</v>
      </c>
      <c r="V188" s="9"/>
      <c r="W188" s="9"/>
      <c r="X188" s="9">
        <v>473424.82</v>
      </c>
      <c r="Y188" s="9">
        <v>626973.91</v>
      </c>
      <c r="Z188" s="9"/>
      <c r="AA188" s="9"/>
      <c r="AB188" s="9"/>
      <c r="AC188" s="9"/>
      <c r="AD188" s="9"/>
      <c r="AE188" s="9"/>
      <c r="AF188" s="9"/>
      <c r="AG188" s="9"/>
      <c r="AH188" s="7">
        <v>473424.82</v>
      </c>
      <c r="AI188" s="7">
        <v>626973.91</v>
      </c>
    </row>
    <row r="189" spans="2:35" x14ac:dyDescent="0.3">
      <c r="B189" s="5" t="s">
        <v>3061</v>
      </c>
      <c r="C189" s="5" t="s">
        <v>13</v>
      </c>
      <c r="D189" s="6" t="s">
        <v>14</v>
      </c>
      <c r="E189" s="6" t="s">
        <v>580</v>
      </c>
      <c r="F189" s="6" t="s">
        <v>581</v>
      </c>
      <c r="G189" s="6" t="s">
        <v>566</v>
      </c>
      <c r="H189" s="7" t="str">
        <f t="shared" si="2"/>
        <v>AQ1-IPU-L191-01OPERATIONAL</v>
      </c>
      <c r="I189" s="8" t="s">
        <v>24</v>
      </c>
      <c r="J189" s="8" t="s">
        <v>19</v>
      </c>
      <c r="K189" s="8" t="s">
        <v>475</v>
      </c>
      <c r="L189" s="9">
        <v>43994.76</v>
      </c>
      <c r="M189" s="9">
        <v>0</v>
      </c>
      <c r="N189" s="9">
        <v>65992.14</v>
      </c>
      <c r="O189" s="9">
        <v>14451.074999999999</v>
      </c>
      <c r="P189" s="9">
        <v>150981.66</v>
      </c>
      <c r="Q189" s="9">
        <v>6354.1149999999998</v>
      </c>
      <c r="R189" s="9">
        <v>109986.9</v>
      </c>
      <c r="S189" s="9">
        <v>35154.044999999998</v>
      </c>
      <c r="T189" s="9">
        <v>131984.28</v>
      </c>
      <c r="U189" s="9">
        <v>41622.79</v>
      </c>
      <c r="V189" s="9"/>
      <c r="W189" s="9"/>
      <c r="X189" s="9">
        <v>175979.04</v>
      </c>
      <c r="Y189" s="9">
        <v>54742.98</v>
      </c>
      <c r="Z189" s="9"/>
      <c r="AA189" s="9"/>
      <c r="AB189" s="9"/>
      <c r="AC189" s="9"/>
      <c r="AD189" s="9"/>
      <c r="AE189" s="9"/>
      <c r="AF189" s="9"/>
      <c r="AG189" s="9"/>
      <c r="AH189" s="7">
        <v>175979.04</v>
      </c>
      <c r="AI189" s="7">
        <v>54742.98</v>
      </c>
    </row>
    <row r="190" spans="2:35" x14ac:dyDescent="0.3">
      <c r="B190" s="5" t="s">
        <v>3061</v>
      </c>
      <c r="C190" s="5" t="s">
        <v>13</v>
      </c>
      <c r="D190" s="6" t="s">
        <v>14</v>
      </c>
      <c r="E190" s="6" t="s">
        <v>582</v>
      </c>
      <c r="F190" s="6" t="s">
        <v>583</v>
      </c>
      <c r="G190" s="6" t="s">
        <v>584</v>
      </c>
      <c r="H190" s="7" t="str">
        <f t="shared" si="2"/>
        <v>PPP-IPU-L424-01OPERATIONAL</v>
      </c>
      <c r="I190" s="8" t="s">
        <v>56</v>
      </c>
      <c r="J190" s="8" t="s">
        <v>19</v>
      </c>
      <c r="K190" s="8" t="s">
        <v>20</v>
      </c>
      <c r="L190" s="9">
        <v>216430.26</v>
      </c>
      <c r="M190" s="9">
        <v>79917.64</v>
      </c>
      <c r="N190" s="9">
        <v>324686.89</v>
      </c>
      <c r="O190" s="9">
        <v>244950.28999999998</v>
      </c>
      <c r="P190" s="9">
        <v>432918.88</v>
      </c>
      <c r="Q190" s="9">
        <v>322794.26</v>
      </c>
      <c r="R190" s="9">
        <v>541144.85</v>
      </c>
      <c r="S190" s="9">
        <v>418017.5</v>
      </c>
      <c r="T190" s="9">
        <v>649373.78</v>
      </c>
      <c r="U190" s="9">
        <v>495657.53</v>
      </c>
      <c r="V190" s="9"/>
      <c r="W190" s="9"/>
      <c r="X190" s="9">
        <v>865831.76</v>
      </c>
      <c r="Y190" s="9">
        <v>541561.66</v>
      </c>
      <c r="Z190" s="9"/>
      <c r="AA190" s="9"/>
      <c r="AB190" s="9"/>
      <c r="AC190" s="9"/>
      <c r="AD190" s="9"/>
      <c r="AE190" s="9"/>
      <c r="AF190" s="9"/>
      <c r="AG190" s="9"/>
      <c r="AH190" s="7">
        <v>865831.76</v>
      </c>
      <c r="AI190" s="7">
        <v>541561.66</v>
      </c>
    </row>
    <row r="191" spans="2:35" x14ac:dyDescent="0.3">
      <c r="B191" s="5" t="s">
        <v>3061</v>
      </c>
      <c r="C191" s="5" t="s">
        <v>13</v>
      </c>
      <c r="D191" s="6" t="s">
        <v>14</v>
      </c>
      <c r="E191" s="6" t="s">
        <v>585</v>
      </c>
      <c r="F191" s="6" t="s">
        <v>586</v>
      </c>
      <c r="G191" s="6" t="s">
        <v>587</v>
      </c>
      <c r="H191" s="7" t="str">
        <f t="shared" si="2"/>
        <v>PPP-IPU-L736-02OPERATIONAL</v>
      </c>
      <c r="I191" s="8" t="s">
        <v>56</v>
      </c>
      <c r="J191" s="8" t="s">
        <v>19</v>
      </c>
      <c r="K191" s="8" t="s">
        <v>20</v>
      </c>
      <c r="L191" s="9">
        <v>501829.54</v>
      </c>
      <c r="M191" s="9">
        <v>198717.53</v>
      </c>
      <c r="N191" s="9">
        <v>752744.31</v>
      </c>
      <c r="O191" s="9">
        <v>171379.94</v>
      </c>
      <c r="P191" s="9">
        <v>1074498.24</v>
      </c>
      <c r="Q191" s="9">
        <v>251407.46</v>
      </c>
      <c r="R191" s="9" t="e">
        <v>#REF!</v>
      </c>
      <c r="S191" s="9" t="e">
        <v>#REF!</v>
      </c>
      <c r="T191" s="9">
        <v>1177098.51</v>
      </c>
      <c r="U191" s="9">
        <v>257156.39</v>
      </c>
      <c r="V191" s="9"/>
      <c r="W191" s="9"/>
      <c r="X191" s="9">
        <v>948553.48</v>
      </c>
      <c r="Y191" s="9">
        <v>338709.91</v>
      </c>
      <c r="Z191" s="9"/>
      <c r="AA191" s="9"/>
      <c r="AB191" s="9"/>
      <c r="AC191" s="9"/>
      <c r="AD191" s="9"/>
      <c r="AE191" s="9"/>
      <c r="AF191" s="9"/>
      <c r="AG191" s="9"/>
      <c r="AH191" s="7">
        <v>948553.48</v>
      </c>
      <c r="AI191" s="7">
        <v>338709.91</v>
      </c>
    </row>
    <row r="192" spans="2:35" x14ac:dyDescent="0.3">
      <c r="B192" s="5" t="s">
        <v>3061</v>
      </c>
      <c r="C192" s="5" t="s">
        <v>13</v>
      </c>
      <c r="D192" s="6" t="s">
        <v>14</v>
      </c>
      <c r="E192" s="6" t="s">
        <v>588</v>
      </c>
      <c r="F192" s="6" t="s">
        <v>589</v>
      </c>
      <c r="G192" s="6" t="s">
        <v>590</v>
      </c>
      <c r="H192" s="7" t="str">
        <f t="shared" si="2"/>
        <v>AQ1-IPU-D946-01OPERATIONAL</v>
      </c>
      <c r="I192" s="8" t="s">
        <v>49</v>
      </c>
      <c r="J192" s="8" t="s">
        <v>19</v>
      </c>
      <c r="K192" s="8" t="s">
        <v>475</v>
      </c>
      <c r="L192" s="9">
        <v>13897.74</v>
      </c>
      <c r="M192" s="9">
        <v>866.65000000000009</v>
      </c>
      <c r="N192" s="9">
        <v>20846.61</v>
      </c>
      <c r="O192" s="9">
        <v>5854.5700000000006</v>
      </c>
      <c r="P192" s="9">
        <v>48642.09</v>
      </c>
      <c r="Q192" s="9">
        <v>11418.84</v>
      </c>
      <c r="R192" s="9">
        <v>34744.35</v>
      </c>
      <c r="S192" s="9">
        <v>11835.5</v>
      </c>
      <c r="T192" s="9">
        <v>41693.22</v>
      </c>
      <c r="U192" s="9">
        <v>15206.11</v>
      </c>
      <c r="V192" s="9"/>
      <c r="W192" s="9"/>
      <c r="X192" s="9">
        <v>55590.96</v>
      </c>
      <c r="Y192" s="9">
        <v>18182.11</v>
      </c>
      <c r="Z192" s="9"/>
      <c r="AA192" s="9"/>
      <c r="AB192" s="9"/>
      <c r="AC192" s="9"/>
      <c r="AD192" s="9"/>
      <c r="AE192" s="9"/>
      <c r="AF192" s="9"/>
      <c r="AG192" s="9"/>
      <c r="AH192" s="7">
        <v>55590.96</v>
      </c>
      <c r="AI192" s="7">
        <v>18182.11</v>
      </c>
    </row>
    <row r="193" spans="2:35" x14ac:dyDescent="0.3">
      <c r="B193" s="5" t="s">
        <v>3061</v>
      </c>
      <c r="C193" s="5" t="s">
        <v>13</v>
      </c>
      <c r="D193" s="6" t="s">
        <v>72</v>
      </c>
      <c r="E193" s="6" t="s">
        <v>591</v>
      </c>
      <c r="F193" s="6" t="s">
        <v>592</v>
      </c>
      <c r="G193" s="6" t="s">
        <v>298</v>
      </c>
      <c r="H193" s="7" t="str">
        <f t="shared" si="2"/>
        <v>EPC-IPU-G426-02EXTRA LAVORI</v>
      </c>
      <c r="I193" s="8" t="s">
        <v>18</v>
      </c>
      <c r="J193" s="8" t="s">
        <v>76</v>
      </c>
      <c r="K193" s="8" t="s">
        <v>76</v>
      </c>
      <c r="L193" s="9">
        <v>0</v>
      </c>
      <c r="M193" s="9">
        <v>445.2700000000001</v>
      </c>
      <c r="N193" s="9">
        <v>0</v>
      </c>
      <c r="O193" s="9">
        <v>5862.5499999999993</v>
      </c>
      <c r="P193" s="9">
        <v>0</v>
      </c>
      <c r="Q193" s="9">
        <v>674.11000000000013</v>
      </c>
      <c r="R193" s="9">
        <v>0</v>
      </c>
      <c r="S193" s="9">
        <v>774.11000000000013</v>
      </c>
      <c r="T193" s="9">
        <v>0</v>
      </c>
      <c r="U193" s="9">
        <v>774.11</v>
      </c>
      <c r="V193" s="9"/>
      <c r="W193" s="9"/>
      <c r="X193" s="9">
        <v>0</v>
      </c>
      <c r="Y193" s="9">
        <v>774.11</v>
      </c>
      <c r="Z193" s="9"/>
      <c r="AA193" s="9"/>
      <c r="AB193" s="9"/>
      <c r="AC193" s="9"/>
      <c r="AD193" s="9"/>
      <c r="AE193" s="9"/>
      <c r="AF193" s="9"/>
      <c r="AG193" s="9"/>
      <c r="AH193" s="7">
        <v>0</v>
      </c>
      <c r="AI193" s="7">
        <v>774.11</v>
      </c>
    </row>
    <row r="194" spans="2:35" x14ac:dyDescent="0.3">
      <c r="B194" s="5" t="s">
        <v>3061</v>
      </c>
      <c r="C194" s="5" t="s">
        <v>13</v>
      </c>
      <c r="D194" s="6" t="s">
        <v>72</v>
      </c>
      <c r="E194" s="6" t="s">
        <v>593</v>
      </c>
      <c r="F194" s="6" t="s">
        <v>594</v>
      </c>
      <c r="G194" s="6" t="s">
        <v>252</v>
      </c>
      <c r="H194" s="7" t="str">
        <f t="shared" si="2"/>
        <v>EPC-IPU-D542-01EXTRA LAVORI</v>
      </c>
      <c r="I194" s="8" t="s">
        <v>24</v>
      </c>
      <c r="J194" s="8" t="s">
        <v>76</v>
      </c>
      <c r="K194" s="8" t="s">
        <v>76</v>
      </c>
      <c r="L194" s="9">
        <v>0</v>
      </c>
      <c r="M194" s="9">
        <v>4393.1000000000004</v>
      </c>
      <c r="N194" s="9">
        <v>0</v>
      </c>
      <c r="O194" s="9">
        <v>4502.22</v>
      </c>
      <c r="P194" s="9">
        <v>0</v>
      </c>
      <c r="Q194" s="9">
        <v>4808.41</v>
      </c>
      <c r="R194" s="9">
        <v>0</v>
      </c>
      <c r="S194" s="9">
        <v>4808.41</v>
      </c>
      <c r="T194" s="9">
        <v>0</v>
      </c>
      <c r="U194" s="9">
        <v>4951.75</v>
      </c>
      <c r="V194" s="9"/>
      <c r="W194" s="9"/>
      <c r="X194" s="9">
        <v>0</v>
      </c>
      <c r="Y194" s="9">
        <v>4928.3900000000003</v>
      </c>
      <c r="Z194" s="9"/>
      <c r="AA194" s="9"/>
      <c r="AB194" s="9"/>
      <c r="AC194" s="9"/>
      <c r="AD194" s="9"/>
      <c r="AE194" s="9"/>
      <c r="AF194" s="9"/>
      <c r="AG194" s="9"/>
      <c r="AH194" s="7">
        <v>0</v>
      </c>
      <c r="AI194" s="7">
        <v>4928.3900000000003</v>
      </c>
    </row>
    <row r="195" spans="2:35" x14ac:dyDescent="0.3">
      <c r="B195" s="5" t="s">
        <v>3061</v>
      </c>
      <c r="C195" s="5" t="s">
        <v>13</v>
      </c>
      <c r="D195" s="6" t="s">
        <v>72</v>
      </c>
      <c r="E195" s="6" t="s">
        <v>595</v>
      </c>
      <c r="F195" s="6" t="s">
        <v>596</v>
      </c>
      <c r="G195" s="6" t="s">
        <v>597</v>
      </c>
      <c r="H195" s="7" t="str">
        <f t="shared" ref="H195:H258" si="3">+F195&amp;D195</f>
        <v>EPC-IPU-L736-01EXTRA LAVORI</v>
      </c>
      <c r="I195" s="8" t="s">
        <v>56</v>
      </c>
      <c r="J195" s="8" t="s">
        <v>76</v>
      </c>
      <c r="K195" s="8" t="s">
        <v>76</v>
      </c>
      <c r="L195" s="9">
        <v>191631.62</v>
      </c>
      <c r="M195" s="9">
        <v>8076.34</v>
      </c>
      <c r="N195" s="9">
        <v>324315.39</v>
      </c>
      <c r="O195" s="9">
        <v>8076.34</v>
      </c>
      <c r="P195" s="9">
        <v>321543.8</v>
      </c>
      <c r="Q195" s="9">
        <v>15688.130000000001</v>
      </c>
      <c r="R195" s="9">
        <v>383736.32000000001</v>
      </c>
      <c r="S195" s="9">
        <v>8966.83</v>
      </c>
      <c r="T195" s="9">
        <v>332614.79000000004</v>
      </c>
      <c r="U195" s="9">
        <v>8226.7800000000007</v>
      </c>
      <c r="V195" s="9"/>
      <c r="W195" s="9"/>
      <c r="X195" s="9">
        <v>194595.31</v>
      </c>
      <c r="Y195" s="9">
        <v>8562.7999999999993</v>
      </c>
      <c r="Z195" s="9"/>
      <c r="AA195" s="9"/>
      <c r="AB195" s="9"/>
      <c r="AC195" s="9"/>
      <c r="AD195" s="9"/>
      <c r="AE195" s="9"/>
      <c r="AF195" s="9"/>
      <c r="AG195" s="9"/>
      <c r="AH195" s="7">
        <v>194595.31</v>
      </c>
      <c r="AI195" s="7">
        <v>8562.7999999999993</v>
      </c>
    </row>
    <row r="196" spans="2:35" x14ac:dyDescent="0.3">
      <c r="B196" s="5" t="s">
        <v>3061</v>
      </c>
      <c r="C196" s="5" t="s">
        <v>13</v>
      </c>
      <c r="D196" s="6" t="s">
        <v>72</v>
      </c>
      <c r="E196" s="6" t="s">
        <v>598</v>
      </c>
      <c r="F196" s="6" t="s">
        <v>599</v>
      </c>
      <c r="G196" s="6" t="s">
        <v>466</v>
      </c>
      <c r="H196" s="7" t="str">
        <f t="shared" si="3"/>
        <v>EPC-IPU-B162-03EXTRA LAVORI</v>
      </c>
      <c r="I196" s="8" t="s">
        <v>49</v>
      </c>
      <c r="J196" s="8" t="s">
        <v>76</v>
      </c>
      <c r="K196" s="8" t="s">
        <v>76</v>
      </c>
      <c r="L196" s="9">
        <v>4511.68</v>
      </c>
      <c r="M196" s="9">
        <v>0</v>
      </c>
      <c r="N196" s="9">
        <v>0</v>
      </c>
      <c r="O196" s="9">
        <v>0</v>
      </c>
      <c r="P196" s="9">
        <v>4511.68</v>
      </c>
      <c r="Q196" s="9">
        <v>0</v>
      </c>
      <c r="R196" s="9">
        <v>4511.68</v>
      </c>
      <c r="S196" s="9">
        <v>0</v>
      </c>
      <c r="T196" s="9">
        <v>4511.68</v>
      </c>
      <c r="U196" s="9">
        <v>0</v>
      </c>
      <c r="V196" s="9"/>
      <c r="W196" s="9"/>
      <c r="X196" s="9">
        <v>4511.68</v>
      </c>
      <c r="Y196" s="9">
        <v>0</v>
      </c>
      <c r="Z196" s="9"/>
      <c r="AA196" s="9"/>
      <c r="AB196" s="9"/>
      <c r="AC196" s="9"/>
      <c r="AD196" s="9"/>
      <c r="AE196" s="9"/>
      <c r="AF196" s="9"/>
      <c r="AG196" s="9"/>
      <c r="AH196" s="7">
        <v>4511.68</v>
      </c>
      <c r="AI196" s="7">
        <v>0</v>
      </c>
    </row>
    <row r="197" spans="2:35" x14ac:dyDescent="0.3">
      <c r="B197" s="5" t="s">
        <v>3061</v>
      </c>
      <c r="C197" s="5" t="s">
        <v>13</v>
      </c>
      <c r="D197" s="6" t="s">
        <v>72</v>
      </c>
      <c r="E197" s="6" t="s">
        <v>600</v>
      </c>
      <c r="F197" s="6" t="s">
        <v>601</v>
      </c>
      <c r="G197" s="6" t="s">
        <v>372</v>
      </c>
      <c r="H197" s="7" t="str">
        <f t="shared" si="3"/>
        <v>EPC-IPU-L415-01EXTRA LAVORI</v>
      </c>
      <c r="I197" s="8" t="s">
        <v>49</v>
      </c>
      <c r="J197" s="8" t="s">
        <v>76</v>
      </c>
      <c r="K197" s="8" t="s">
        <v>76</v>
      </c>
      <c r="L197" s="9">
        <v>3661.92</v>
      </c>
      <c r="M197" s="9">
        <v>602.64</v>
      </c>
      <c r="N197" s="9">
        <v>0</v>
      </c>
      <c r="O197" s="9">
        <v>1095.02</v>
      </c>
      <c r="P197" s="9">
        <v>0</v>
      </c>
      <c r="Q197" s="9">
        <v>1233.6199999999999</v>
      </c>
      <c r="R197" s="9">
        <v>-180</v>
      </c>
      <c r="S197" s="9">
        <v>1413.62</v>
      </c>
      <c r="T197" s="9">
        <v>-180</v>
      </c>
      <c r="U197" s="9">
        <v>1477.34</v>
      </c>
      <c r="V197" s="9"/>
      <c r="W197" s="9"/>
      <c r="X197" s="9">
        <v>-180</v>
      </c>
      <c r="Y197" s="9">
        <v>1477.34</v>
      </c>
      <c r="Z197" s="9"/>
      <c r="AA197" s="9"/>
      <c r="AB197" s="9"/>
      <c r="AC197" s="9"/>
      <c r="AD197" s="9"/>
      <c r="AE197" s="9"/>
      <c r="AF197" s="9"/>
      <c r="AG197" s="9"/>
      <c r="AH197" s="7">
        <v>-180</v>
      </c>
      <c r="AI197" s="7">
        <v>1477.34</v>
      </c>
    </row>
    <row r="198" spans="2:35" x14ac:dyDescent="0.3">
      <c r="B198" s="5" t="s">
        <v>3061</v>
      </c>
      <c r="C198" s="5" t="s">
        <v>13</v>
      </c>
      <c r="D198" s="6" t="s">
        <v>14</v>
      </c>
      <c r="E198" s="6" t="s">
        <v>602</v>
      </c>
      <c r="F198" s="6" t="s">
        <v>603</v>
      </c>
      <c r="G198" s="6" t="s">
        <v>604</v>
      </c>
      <c r="H198" s="7" t="str">
        <f t="shared" si="3"/>
        <v>CL3-IPU-D472-01OPERATIONAL</v>
      </c>
      <c r="I198" s="8" t="s">
        <v>24</v>
      </c>
      <c r="J198" s="8" t="s">
        <v>19</v>
      </c>
      <c r="K198" s="8" t="s">
        <v>98</v>
      </c>
      <c r="L198" s="9">
        <v>104242.8</v>
      </c>
      <c r="M198" s="9">
        <v>26118.875</v>
      </c>
      <c r="N198" s="9">
        <v>160302.14000000001</v>
      </c>
      <c r="O198" s="9">
        <v>44081.165000000001</v>
      </c>
      <c r="P198" s="9">
        <v>213136.12</v>
      </c>
      <c r="Q198" s="9">
        <v>63682.784999999996</v>
      </c>
      <c r="R198" s="9">
        <v>270358.09999999998</v>
      </c>
      <c r="S198" s="9">
        <v>79894.824999999997</v>
      </c>
      <c r="T198" s="9">
        <v>322742.03000000003</v>
      </c>
      <c r="U198" s="9">
        <v>97116.384999999995</v>
      </c>
      <c r="V198" s="9"/>
      <c r="W198" s="9"/>
      <c r="X198" s="9">
        <v>400994.42</v>
      </c>
      <c r="Y198" s="9">
        <v>114508.71</v>
      </c>
      <c r="Z198" s="9"/>
      <c r="AA198" s="9"/>
      <c r="AB198" s="9"/>
      <c r="AC198" s="9"/>
      <c r="AD198" s="9"/>
      <c r="AE198" s="9"/>
      <c r="AF198" s="9"/>
      <c r="AG198" s="9"/>
      <c r="AH198" s="7">
        <v>400994.42</v>
      </c>
      <c r="AI198" s="7">
        <v>114508.71</v>
      </c>
    </row>
    <row r="199" spans="2:35" x14ac:dyDescent="0.3">
      <c r="B199" s="5" t="s">
        <v>3061</v>
      </c>
      <c r="C199" s="5" t="s">
        <v>13</v>
      </c>
      <c r="D199" s="6" t="s">
        <v>72</v>
      </c>
      <c r="E199" s="6" t="s">
        <v>605</v>
      </c>
      <c r="F199" s="6" t="s">
        <v>606</v>
      </c>
      <c r="G199" s="6" t="s">
        <v>459</v>
      </c>
      <c r="H199" s="7" t="str">
        <f t="shared" si="3"/>
        <v>EPC-IPU-G616-01EXTRA LAVORI</v>
      </c>
      <c r="I199" s="8" t="s">
        <v>18</v>
      </c>
      <c r="J199" s="8" t="s">
        <v>76</v>
      </c>
      <c r="K199" s="8" t="s">
        <v>76</v>
      </c>
      <c r="L199" s="9">
        <v>0</v>
      </c>
      <c r="M199" s="9">
        <v>130.255</v>
      </c>
      <c r="N199" s="9">
        <v>0</v>
      </c>
      <c r="O199" s="9">
        <v>130.255</v>
      </c>
      <c r="P199" s="9">
        <v>0</v>
      </c>
      <c r="Q199" s="9">
        <v>130.255</v>
      </c>
      <c r="R199" s="9">
        <v>951.89</v>
      </c>
      <c r="S199" s="9">
        <v>293.755</v>
      </c>
      <c r="T199" s="9">
        <v>951.89</v>
      </c>
      <c r="U199" s="9">
        <v>293.755</v>
      </c>
      <c r="V199" s="9"/>
      <c r="W199" s="9"/>
      <c r="X199" s="9">
        <v>951.89</v>
      </c>
      <c r="Y199" s="9">
        <v>293.76</v>
      </c>
      <c r="Z199" s="9"/>
      <c r="AA199" s="9"/>
      <c r="AB199" s="9"/>
      <c r="AC199" s="9"/>
      <c r="AD199" s="9"/>
      <c r="AE199" s="9"/>
      <c r="AF199" s="9"/>
      <c r="AG199" s="9"/>
      <c r="AH199" s="7">
        <v>951.89</v>
      </c>
      <c r="AI199" s="7">
        <v>293.76</v>
      </c>
    </row>
    <row r="200" spans="2:35" x14ac:dyDescent="0.3">
      <c r="B200" s="5" t="s">
        <v>3061</v>
      </c>
      <c r="C200" s="5" t="s">
        <v>13</v>
      </c>
      <c r="D200" s="6" t="s">
        <v>72</v>
      </c>
      <c r="E200" s="6" t="s">
        <v>607</v>
      </c>
      <c r="F200" s="6" t="s">
        <v>608</v>
      </c>
      <c r="G200" s="6" t="s">
        <v>551</v>
      </c>
      <c r="H200" s="7" t="str">
        <f t="shared" si="3"/>
        <v>EPC-IPU-C767-02EXTRA LAVORI</v>
      </c>
      <c r="I200" s="8" t="s">
        <v>24</v>
      </c>
      <c r="J200" s="8" t="s">
        <v>76</v>
      </c>
      <c r="K200" s="8" t="s">
        <v>76</v>
      </c>
      <c r="L200" s="9">
        <v>0</v>
      </c>
      <c r="M200" s="9">
        <v>876</v>
      </c>
      <c r="N200" s="9">
        <v>0</v>
      </c>
      <c r="O200" s="9">
        <v>876</v>
      </c>
      <c r="P200" s="9">
        <v>0</v>
      </c>
      <c r="Q200" s="9">
        <v>14202.63</v>
      </c>
      <c r="R200" s="9">
        <v>0</v>
      </c>
      <c r="S200" s="9">
        <v>17830.689999999999</v>
      </c>
      <c r="T200" s="9">
        <v>0</v>
      </c>
      <c r="U200" s="9">
        <v>17830.689999999999</v>
      </c>
      <c r="V200" s="9"/>
      <c r="W200" s="9"/>
      <c r="X200" s="9">
        <v>0</v>
      </c>
      <c r="Y200" s="9">
        <v>17830.689999999999</v>
      </c>
      <c r="Z200" s="9"/>
      <c r="AA200" s="9"/>
      <c r="AB200" s="9"/>
      <c r="AC200" s="9"/>
      <c r="AD200" s="9"/>
      <c r="AE200" s="9"/>
      <c r="AF200" s="9"/>
      <c r="AG200" s="9"/>
      <c r="AH200" s="7">
        <v>0</v>
      </c>
      <c r="AI200" s="7">
        <v>17830.689999999999</v>
      </c>
    </row>
    <row r="201" spans="2:35" x14ac:dyDescent="0.3">
      <c r="B201" s="5" t="s">
        <v>3061</v>
      </c>
      <c r="C201" s="5" t="s">
        <v>13</v>
      </c>
      <c r="D201" s="6" t="s">
        <v>72</v>
      </c>
      <c r="E201" s="6" t="s">
        <v>609</v>
      </c>
      <c r="F201" s="6" t="s">
        <v>610</v>
      </c>
      <c r="G201" s="6" t="s">
        <v>611</v>
      </c>
      <c r="H201" s="7" t="str">
        <f t="shared" si="3"/>
        <v>EPC-IPU-C717-02EXTRA LAVORI</v>
      </c>
      <c r="I201" s="8" t="s">
        <v>18</v>
      </c>
      <c r="J201" s="8" t="s">
        <v>76</v>
      </c>
      <c r="K201" s="8" t="s">
        <v>76</v>
      </c>
      <c r="L201" s="9">
        <v>17282.98</v>
      </c>
      <c r="M201" s="9">
        <v>0</v>
      </c>
      <c r="N201" s="9">
        <v>17282.98</v>
      </c>
      <c r="O201" s="9">
        <v>0</v>
      </c>
      <c r="P201" s="9">
        <v>20240.71</v>
      </c>
      <c r="Q201" s="9">
        <v>0</v>
      </c>
      <c r="R201" s="9">
        <v>20240.71</v>
      </c>
      <c r="S201" s="9">
        <v>0</v>
      </c>
      <c r="T201" s="9">
        <v>20240.71</v>
      </c>
      <c r="U201" s="9">
        <v>0</v>
      </c>
      <c r="V201" s="9"/>
      <c r="W201" s="9"/>
      <c r="X201" s="9">
        <v>20240.71</v>
      </c>
      <c r="Y201" s="9">
        <v>0</v>
      </c>
      <c r="Z201" s="9"/>
      <c r="AA201" s="9"/>
      <c r="AB201" s="9"/>
      <c r="AC201" s="9"/>
      <c r="AD201" s="9"/>
      <c r="AE201" s="9"/>
      <c r="AF201" s="9"/>
      <c r="AG201" s="9"/>
      <c r="AH201" s="7">
        <v>20240.71</v>
      </c>
      <c r="AI201" s="7">
        <v>0</v>
      </c>
    </row>
    <row r="202" spans="2:35" x14ac:dyDescent="0.3">
      <c r="B202" s="5" t="s">
        <v>3061</v>
      </c>
      <c r="C202" s="5" t="s">
        <v>13</v>
      </c>
      <c r="D202" s="6" t="s">
        <v>72</v>
      </c>
      <c r="E202" s="6" t="s">
        <v>612</v>
      </c>
      <c r="F202" s="6" t="s">
        <v>613</v>
      </c>
      <c r="G202" s="6" t="s">
        <v>286</v>
      </c>
      <c r="H202" s="7" t="str">
        <f t="shared" si="3"/>
        <v>EPC-IPU-I696-01EXTRA LAVORI</v>
      </c>
      <c r="I202" s="8" t="s">
        <v>49</v>
      </c>
      <c r="J202" s="8" t="s">
        <v>76</v>
      </c>
      <c r="K202" s="8" t="s">
        <v>76</v>
      </c>
      <c r="L202" s="9">
        <v>0</v>
      </c>
      <c r="M202" s="9">
        <v>502.2</v>
      </c>
      <c r="N202" s="9">
        <v>0</v>
      </c>
      <c r="O202" s="9">
        <v>994.58</v>
      </c>
      <c r="P202" s="9">
        <v>0</v>
      </c>
      <c r="Q202" s="9">
        <v>994.58</v>
      </c>
      <c r="R202" s="9">
        <v>0</v>
      </c>
      <c r="S202" s="9">
        <v>1854.8</v>
      </c>
      <c r="T202" s="9">
        <v>0</v>
      </c>
      <c r="U202" s="9">
        <v>1854.8</v>
      </c>
      <c r="V202" s="9"/>
      <c r="W202" s="9"/>
      <c r="X202" s="9">
        <v>0</v>
      </c>
      <c r="Y202" s="9">
        <v>1854.8</v>
      </c>
      <c r="Z202" s="9"/>
      <c r="AA202" s="9"/>
      <c r="AB202" s="9"/>
      <c r="AC202" s="9"/>
      <c r="AD202" s="9"/>
      <c r="AE202" s="9"/>
      <c r="AF202" s="9"/>
      <c r="AG202" s="9"/>
      <c r="AH202" s="7">
        <v>0</v>
      </c>
      <c r="AI202" s="7">
        <v>1854.8</v>
      </c>
    </row>
    <row r="203" spans="2:35" x14ac:dyDescent="0.3">
      <c r="B203" s="5" t="s">
        <v>3061</v>
      </c>
      <c r="C203" s="5" t="s">
        <v>13</v>
      </c>
      <c r="D203" s="6" t="s">
        <v>14</v>
      </c>
      <c r="E203" s="6" t="s">
        <v>614</v>
      </c>
      <c r="F203" s="6" t="s">
        <v>615</v>
      </c>
      <c r="G203" s="6" t="s">
        <v>616</v>
      </c>
      <c r="H203" s="7" t="str">
        <f t="shared" si="3"/>
        <v>CL3-IPU-F632-01OPERATIONAL</v>
      </c>
      <c r="I203" s="8" t="s">
        <v>24</v>
      </c>
      <c r="J203" s="8" t="s">
        <v>19</v>
      </c>
      <c r="K203" s="8" t="s">
        <v>98</v>
      </c>
      <c r="L203" s="9">
        <v>16137.97</v>
      </c>
      <c r="M203" s="9">
        <v>39772.794999999998</v>
      </c>
      <c r="N203" s="9">
        <v>73700.75</v>
      </c>
      <c r="O203" s="9">
        <v>80421.824999999997</v>
      </c>
      <c r="P203" s="9">
        <v>87240.040000000008</v>
      </c>
      <c r="Q203" s="9">
        <v>91948.615000000005</v>
      </c>
      <c r="R203" s="9">
        <v>85563.45</v>
      </c>
      <c r="S203" s="9">
        <v>86778.614999999991</v>
      </c>
      <c r="T203" s="9">
        <v>75085</v>
      </c>
      <c r="U203" s="9">
        <v>76373.115000000005</v>
      </c>
      <c r="V203" s="9"/>
      <c r="W203" s="9"/>
      <c r="X203" s="9">
        <v>97445.83</v>
      </c>
      <c r="Y203" s="9">
        <v>185530.89</v>
      </c>
      <c r="Z203" s="9"/>
      <c r="AA203" s="9"/>
      <c r="AB203" s="9"/>
      <c r="AC203" s="9"/>
      <c r="AD203" s="9"/>
      <c r="AE203" s="9"/>
      <c r="AF203" s="9"/>
      <c r="AG203" s="9"/>
      <c r="AH203" s="7">
        <v>97445.83</v>
      </c>
      <c r="AI203" s="7">
        <v>185530.89</v>
      </c>
    </row>
    <row r="204" spans="2:35" x14ac:dyDescent="0.3">
      <c r="B204" s="5" t="s">
        <v>3061</v>
      </c>
      <c r="C204" s="5" t="s">
        <v>13</v>
      </c>
      <c r="D204" s="6" t="s">
        <v>72</v>
      </c>
      <c r="E204" s="6" t="s">
        <v>617</v>
      </c>
      <c r="F204" s="6" t="s">
        <v>618</v>
      </c>
      <c r="G204" s="6" t="s">
        <v>466</v>
      </c>
      <c r="H204" s="7" t="str">
        <f t="shared" si="3"/>
        <v>EPC-IPU-B162-01EXTRA LAVORI</v>
      </c>
      <c r="I204" s="8" t="s">
        <v>49</v>
      </c>
      <c r="J204" s="8" t="s">
        <v>76</v>
      </c>
      <c r="K204" s="8" t="s">
        <v>76</v>
      </c>
      <c r="L204" s="9">
        <v>0</v>
      </c>
      <c r="M204" s="9">
        <v>1711.44</v>
      </c>
      <c r="N204" s="9">
        <v>0</v>
      </c>
      <c r="O204" s="9">
        <v>1922.46</v>
      </c>
      <c r="P204" s="9">
        <v>0</v>
      </c>
      <c r="Q204" s="9">
        <v>2145.48</v>
      </c>
      <c r="R204" s="9">
        <v>0</v>
      </c>
      <c r="S204" s="9">
        <v>2718.96</v>
      </c>
      <c r="T204" s="9">
        <v>0</v>
      </c>
      <c r="U204" s="9">
        <v>3292.44</v>
      </c>
      <c r="V204" s="9"/>
      <c r="W204" s="9"/>
      <c r="X204" s="9">
        <v>0</v>
      </c>
      <c r="Y204" s="9">
        <v>3292.44</v>
      </c>
      <c r="Z204" s="9"/>
      <c r="AA204" s="9"/>
      <c r="AB204" s="9"/>
      <c r="AC204" s="9"/>
      <c r="AD204" s="9"/>
      <c r="AE204" s="9"/>
      <c r="AF204" s="9"/>
      <c r="AG204" s="9"/>
      <c r="AH204" s="7">
        <v>0</v>
      </c>
      <c r="AI204" s="7">
        <v>3292.44</v>
      </c>
    </row>
    <row r="205" spans="2:35" x14ac:dyDescent="0.3">
      <c r="B205" s="5" t="s">
        <v>3061</v>
      </c>
      <c r="C205" s="5" t="s">
        <v>13</v>
      </c>
      <c r="D205" s="6" t="s">
        <v>619</v>
      </c>
      <c r="E205" s="6" t="s">
        <v>620</v>
      </c>
      <c r="F205" s="6" t="s">
        <v>621</v>
      </c>
      <c r="G205" s="6" t="s">
        <v>622</v>
      </c>
      <c r="H205" s="7" t="str">
        <f t="shared" si="3"/>
        <v>EPC-IPU-E951-04EXTRA LAVORI : Spot</v>
      </c>
      <c r="I205" s="8" t="s">
        <v>49</v>
      </c>
      <c r="J205" s="8" t="s">
        <v>259</v>
      </c>
      <c r="K205" s="8" t="s">
        <v>259</v>
      </c>
      <c r="L205" s="9">
        <v>1115.5</v>
      </c>
      <c r="M205" s="9">
        <v>0</v>
      </c>
      <c r="N205" s="9">
        <v>3536.47</v>
      </c>
      <c r="O205" s="9">
        <v>0</v>
      </c>
      <c r="P205" s="9">
        <v>7072.94</v>
      </c>
      <c r="Q205" s="9">
        <v>0</v>
      </c>
      <c r="R205" s="9">
        <v>3536.47</v>
      </c>
      <c r="S205" s="9">
        <v>0</v>
      </c>
      <c r="T205" s="9">
        <v>3536.47</v>
      </c>
      <c r="U205" s="9">
        <v>0</v>
      </c>
      <c r="V205" s="9"/>
      <c r="W205" s="9"/>
      <c r="X205" s="9">
        <v>0</v>
      </c>
      <c r="Y205" s="9">
        <v>0</v>
      </c>
      <c r="Z205" s="9"/>
      <c r="AA205" s="9"/>
      <c r="AB205" s="9"/>
      <c r="AC205" s="9"/>
      <c r="AD205" s="9"/>
      <c r="AE205" s="9"/>
      <c r="AF205" s="9"/>
      <c r="AG205" s="9"/>
      <c r="AH205" s="7">
        <v>0</v>
      </c>
      <c r="AI205" s="7">
        <v>0</v>
      </c>
    </row>
    <row r="206" spans="2:35" x14ac:dyDescent="0.3">
      <c r="B206" s="5" t="s">
        <v>3061</v>
      </c>
      <c r="C206" s="5" t="s">
        <v>13</v>
      </c>
      <c r="D206" s="6" t="s">
        <v>72</v>
      </c>
      <c r="E206" s="6" t="s">
        <v>623</v>
      </c>
      <c r="F206" s="6" t="s">
        <v>624</v>
      </c>
      <c r="G206" s="6" t="s">
        <v>616</v>
      </c>
      <c r="H206" s="7" t="str">
        <f t="shared" si="3"/>
        <v>EPC-IPU-F632-02EXTRA LAVORI</v>
      </c>
      <c r="I206" s="8" t="s">
        <v>24</v>
      </c>
      <c r="J206" s="5" t="s">
        <v>76</v>
      </c>
      <c r="K206" s="8" t="s">
        <v>76</v>
      </c>
      <c r="L206" s="9">
        <v>28519.9</v>
      </c>
      <c r="M206" s="9">
        <v>17226.020000000004</v>
      </c>
      <c r="N206" s="10">
        <v>35733.760000000002</v>
      </c>
      <c r="O206" s="9">
        <v>17412.770000000004</v>
      </c>
      <c r="P206" s="9">
        <v>0</v>
      </c>
      <c r="Q206" s="9">
        <v>17412.770000000004</v>
      </c>
      <c r="R206" s="9">
        <v>0</v>
      </c>
      <c r="S206" s="9">
        <v>17412.770000000004</v>
      </c>
      <c r="T206" s="9">
        <v>0</v>
      </c>
      <c r="U206" s="9">
        <v>540.55000000000007</v>
      </c>
      <c r="V206" s="9"/>
      <c r="W206" s="9"/>
      <c r="X206" s="9">
        <v>0</v>
      </c>
      <c r="Y206" s="9">
        <v>540.54999999999995</v>
      </c>
      <c r="Z206" s="9"/>
      <c r="AA206" s="9"/>
      <c r="AB206" s="9"/>
      <c r="AC206" s="9"/>
      <c r="AD206" s="9"/>
      <c r="AE206" s="9"/>
      <c r="AF206" s="9"/>
      <c r="AG206" s="9"/>
      <c r="AH206" s="7">
        <v>0</v>
      </c>
      <c r="AI206" s="7">
        <v>540.54999999999995</v>
      </c>
    </row>
    <row r="207" spans="2:35" x14ac:dyDescent="0.3">
      <c r="B207" s="5" t="s">
        <v>3061</v>
      </c>
      <c r="C207" s="5" t="s">
        <v>13</v>
      </c>
      <c r="D207" s="6" t="s">
        <v>72</v>
      </c>
      <c r="E207" s="6" t="s">
        <v>625</v>
      </c>
      <c r="F207" s="6" t="s">
        <v>626</v>
      </c>
      <c r="G207" s="6" t="s">
        <v>125</v>
      </c>
      <c r="H207" s="7" t="str">
        <f t="shared" si="3"/>
        <v>EPC-IPU-D869-02EXTRA LAVORI</v>
      </c>
      <c r="I207" s="5" t="s">
        <v>49</v>
      </c>
      <c r="J207" s="5" t="s">
        <v>76</v>
      </c>
      <c r="K207" s="8" t="s">
        <v>76</v>
      </c>
      <c r="L207" s="9">
        <v>0</v>
      </c>
      <c r="M207" s="9">
        <v>1101.99</v>
      </c>
      <c r="N207" s="9">
        <v>0</v>
      </c>
      <c r="O207" s="9">
        <v>10112.810000000001</v>
      </c>
      <c r="P207" s="9">
        <v>0</v>
      </c>
      <c r="Q207" s="9">
        <v>10282.070000000002</v>
      </c>
      <c r="R207" s="9">
        <v>0</v>
      </c>
      <c r="S207" s="9">
        <v>11462.89</v>
      </c>
      <c r="T207" s="9">
        <v>0</v>
      </c>
      <c r="U207" s="9">
        <v>2788.4700000000003</v>
      </c>
      <c r="V207" s="9"/>
      <c r="W207" s="9"/>
      <c r="X207" s="9">
        <v>0</v>
      </c>
      <c r="Y207" s="9">
        <v>3141.67</v>
      </c>
      <c r="Z207" s="9"/>
      <c r="AA207" s="9"/>
      <c r="AB207" s="9"/>
      <c r="AC207" s="9"/>
      <c r="AD207" s="9"/>
      <c r="AE207" s="9"/>
      <c r="AF207" s="9"/>
      <c r="AG207" s="9"/>
      <c r="AH207" s="7">
        <v>0</v>
      </c>
      <c r="AI207" s="7">
        <v>3141.67</v>
      </c>
    </row>
    <row r="208" spans="2:35" x14ac:dyDescent="0.3">
      <c r="B208" s="5" t="s">
        <v>3061</v>
      </c>
      <c r="C208" s="5" t="s">
        <v>13</v>
      </c>
      <c r="D208" s="6" t="s">
        <v>72</v>
      </c>
      <c r="E208" s="6" t="s">
        <v>627</v>
      </c>
      <c r="F208" s="6" t="s">
        <v>628</v>
      </c>
      <c r="G208" s="6" t="s">
        <v>155</v>
      </c>
      <c r="H208" s="7" t="str">
        <f t="shared" si="3"/>
        <v>EPC-IPU-A413-06EXTRA LAVORI</v>
      </c>
      <c r="I208" s="5" t="s">
        <v>49</v>
      </c>
      <c r="J208" s="5" t="s">
        <v>76</v>
      </c>
      <c r="K208" s="8" t="s">
        <v>76</v>
      </c>
      <c r="L208" s="9">
        <v>16400</v>
      </c>
      <c r="M208" s="9">
        <v>0</v>
      </c>
      <c r="N208" s="9">
        <v>0</v>
      </c>
      <c r="O208" s="9">
        <v>0</v>
      </c>
      <c r="P208" s="9">
        <v>0</v>
      </c>
      <c r="Q208" s="9">
        <v>0</v>
      </c>
      <c r="R208" s="9">
        <v>0</v>
      </c>
      <c r="S208" s="9">
        <v>0</v>
      </c>
      <c r="T208" s="9">
        <v>0</v>
      </c>
      <c r="U208" s="9">
        <v>0</v>
      </c>
      <c r="V208" s="9"/>
      <c r="W208" s="9"/>
      <c r="X208" s="9">
        <v>0</v>
      </c>
      <c r="Y208" s="9">
        <v>0</v>
      </c>
      <c r="Z208" s="9"/>
      <c r="AA208" s="9"/>
      <c r="AB208" s="9"/>
      <c r="AC208" s="9"/>
      <c r="AD208" s="9"/>
      <c r="AE208" s="9"/>
      <c r="AF208" s="9"/>
      <c r="AG208" s="9"/>
      <c r="AH208" s="7">
        <v>0</v>
      </c>
      <c r="AI208" s="7">
        <v>0</v>
      </c>
    </row>
    <row r="209" spans="2:35" x14ac:dyDescent="0.3">
      <c r="B209" s="5" t="s">
        <v>3061</v>
      </c>
      <c r="C209" s="5" t="s">
        <v>13</v>
      </c>
      <c r="D209" s="6" t="s">
        <v>72</v>
      </c>
      <c r="E209" s="6" t="s">
        <v>629</v>
      </c>
      <c r="F209" s="6" t="s">
        <v>630</v>
      </c>
      <c r="G209" s="6" t="s">
        <v>466</v>
      </c>
      <c r="H209" s="7" t="str">
        <f t="shared" si="3"/>
        <v>EPC-IPU-B162-04EXTRA LAVORI</v>
      </c>
      <c r="I209" s="5" t="s">
        <v>49</v>
      </c>
      <c r="J209" s="5" t="s">
        <v>76</v>
      </c>
      <c r="K209" s="8" t="s">
        <v>76</v>
      </c>
      <c r="L209" s="9">
        <v>11873</v>
      </c>
      <c r="M209" s="9">
        <v>0</v>
      </c>
      <c r="N209" s="9">
        <v>0</v>
      </c>
      <c r="O209" s="9">
        <v>0</v>
      </c>
      <c r="P209" s="9">
        <v>0</v>
      </c>
      <c r="Q209" s="9">
        <v>0</v>
      </c>
      <c r="R209" s="9">
        <v>0</v>
      </c>
      <c r="S209" s="9">
        <v>0</v>
      </c>
      <c r="T209" s="9">
        <v>0</v>
      </c>
      <c r="U209" s="9">
        <v>0</v>
      </c>
      <c r="V209" s="9"/>
      <c r="W209" s="9"/>
      <c r="X209" s="9">
        <v>0</v>
      </c>
      <c r="Y209" s="9">
        <v>0</v>
      </c>
      <c r="Z209" s="9"/>
      <c r="AA209" s="9"/>
      <c r="AB209" s="9"/>
      <c r="AC209" s="9"/>
      <c r="AD209" s="9"/>
      <c r="AE209" s="9"/>
      <c r="AF209" s="9"/>
      <c r="AG209" s="9"/>
      <c r="AH209" s="7">
        <v>0</v>
      </c>
      <c r="AI209" s="7">
        <v>0</v>
      </c>
    </row>
    <row r="210" spans="2:35" x14ac:dyDescent="0.3">
      <c r="B210" s="5" t="s">
        <v>3061</v>
      </c>
      <c r="C210" s="5" t="s">
        <v>13</v>
      </c>
      <c r="D210" s="6" t="s">
        <v>619</v>
      </c>
      <c r="E210" s="6" t="s">
        <v>631</v>
      </c>
      <c r="F210" s="6" t="s">
        <v>632</v>
      </c>
      <c r="G210" s="6" t="s">
        <v>633</v>
      </c>
      <c r="H210" s="7" t="str">
        <f t="shared" si="3"/>
        <v>EPC-IPU-F736-02EXTRA LAVORI : Spot</v>
      </c>
      <c r="I210" s="5" t="s">
        <v>49</v>
      </c>
      <c r="J210" s="8" t="s">
        <v>259</v>
      </c>
      <c r="K210" s="8" t="s">
        <v>259</v>
      </c>
      <c r="L210" s="9">
        <v>1179.0999999999999</v>
      </c>
      <c r="M210" s="9">
        <v>0</v>
      </c>
      <c r="N210" s="9">
        <v>1179.0999999999999</v>
      </c>
      <c r="O210" s="9">
        <v>0</v>
      </c>
      <c r="P210" s="9">
        <v>2358.1999999999998</v>
      </c>
      <c r="Q210" s="9">
        <v>0</v>
      </c>
      <c r="R210" s="9">
        <v>1179.0999999999999</v>
      </c>
      <c r="S210" s="9">
        <v>0</v>
      </c>
      <c r="T210" s="9">
        <v>1179.0999999999999</v>
      </c>
      <c r="U210" s="9">
        <v>0</v>
      </c>
      <c r="V210" s="9"/>
      <c r="W210" s="9"/>
      <c r="X210" s="9">
        <v>0</v>
      </c>
      <c r="Y210" s="9">
        <v>0</v>
      </c>
      <c r="Z210" s="9"/>
      <c r="AA210" s="9"/>
      <c r="AB210" s="9"/>
      <c r="AC210" s="9"/>
      <c r="AD210" s="9"/>
      <c r="AE210" s="9"/>
      <c r="AF210" s="9"/>
      <c r="AG210" s="9"/>
      <c r="AH210" s="7">
        <v>0</v>
      </c>
      <c r="AI210" s="7">
        <v>0</v>
      </c>
    </row>
    <row r="211" spans="2:35" x14ac:dyDescent="0.3">
      <c r="B211" s="5" t="s">
        <v>3061</v>
      </c>
      <c r="C211" s="5" t="s">
        <v>13</v>
      </c>
      <c r="D211" s="6" t="s">
        <v>14</v>
      </c>
      <c r="E211" s="6" t="s">
        <v>634</v>
      </c>
      <c r="F211" s="6" t="s">
        <v>635</v>
      </c>
      <c r="G211" s="6" t="s">
        <v>636</v>
      </c>
      <c r="H211" s="7" t="str">
        <f t="shared" si="3"/>
        <v>CL3-IPU-F522-01OPERATIONAL</v>
      </c>
      <c r="I211" s="5" t="s">
        <v>24</v>
      </c>
      <c r="J211" s="8" t="s">
        <v>19</v>
      </c>
      <c r="K211" s="8" t="s">
        <v>98</v>
      </c>
      <c r="L211" s="9">
        <v>58628.07</v>
      </c>
      <c r="M211" s="9">
        <v>-5250.2300000000005</v>
      </c>
      <c r="N211" s="9">
        <v>90138.78</v>
      </c>
      <c r="O211" s="9">
        <v>16234.770000000002</v>
      </c>
      <c r="P211" s="9">
        <v>98762.18</v>
      </c>
      <c r="Q211" s="9">
        <v>30668.129999999997</v>
      </c>
      <c r="R211" s="9">
        <v>130921.44</v>
      </c>
      <c r="S211" s="9">
        <v>41469.800000000003</v>
      </c>
      <c r="T211" s="9">
        <v>160381.92000000001</v>
      </c>
      <c r="U211" s="9">
        <v>52017.38</v>
      </c>
      <c r="V211" s="9"/>
      <c r="W211" s="9"/>
      <c r="X211" s="9">
        <v>227733.94</v>
      </c>
      <c r="Y211" s="9">
        <v>64373.75</v>
      </c>
      <c r="Z211" s="9"/>
      <c r="AA211" s="9"/>
      <c r="AB211" s="9"/>
      <c r="AC211" s="9"/>
      <c r="AD211" s="9"/>
      <c r="AE211" s="9"/>
      <c r="AF211" s="9"/>
      <c r="AG211" s="9"/>
      <c r="AH211" s="7">
        <v>227733.94</v>
      </c>
      <c r="AI211" s="7">
        <v>64373.75</v>
      </c>
    </row>
    <row r="212" spans="2:35" x14ac:dyDescent="0.3">
      <c r="B212" s="5" t="s">
        <v>3061</v>
      </c>
      <c r="C212" s="5" t="s">
        <v>13</v>
      </c>
      <c r="D212" s="6" t="s">
        <v>72</v>
      </c>
      <c r="E212" s="6" t="s">
        <v>637</v>
      </c>
      <c r="F212" s="6" t="s">
        <v>638</v>
      </c>
      <c r="G212" s="6" t="s">
        <v>450</v>
      </c>
      <c r="H212" s="7" t="str">
        <f t="shared" si="3"/>
        <v>EPC-IPU-F348-04EXTRA LAVORI</v>
      </c>
      <c r="I212" s="5" t="s">
        <v>24</v>
      </c>
      <c r="J212" s="8" t="s">
        <v>76</v>
      </c>
      <c r="K212" s="8" t="s">
        <v>76</v>
      </c>
      <c r="L212" s="9">
        <v>0</v>
      </c>
      <c r="M212" s="9">
        <v>72.275000000000006</v>
      </c>
      <c r="N212" s="9">
        <v>0</v>
      </c>
      <c r="O212" s="9">
        <v>72.275000000000006</v>
      </c>
      <c r="P212" s="9">
        <v>0</v>
      </c>
      <c r="Q212" s="9">
        <v>72.275000000000006</v>
      </c>
      <c r="R212" s="9">
        <v>0</v>
      </c>
      <c r="S212" s="9">
        <v>72.275000000000006</v>
      </c>
      <c r="T212" s="9">
        <v>0</v>
      </c>
      <c r="U212" s="9">
        <v>72.275000000000006</v>
      </c>
      <c r="V212" s="9"/>
      <c r="W212" s="9"/>
      <c r="X212" s="9">
        <v>0</v>
      </c>
      <c r="Y212" s="9">
        <v>72.28</v>
      </c>
      <c r="Z212" s="9"/>
      <c r="AA212" s="9"/>
      <c r="AB212" s="9"/>
      <c r="AC212" s="9"/>
      <c r="AD212" s="9"/>
      <c r="AE212" s="9"/>
      <c r="AF212" s="9"/>
      <c r="AG212" s="9"/>
      <c r="AH212" s="7">
        <v>0</v>
      </c>
      <c r="AI212" s="7">
        <v>72.28</v>
      </c>
    </row>
    <row r="213" spans="2:35" x14ac:dyDescent="0.3">
      <c r="B213" s="5" t="s">
        <v>3061</v>
      </c>
      <c r="C213" s="5" t="s">
        <v>13</v>
      </c>
      <c r="D213" s="6" t="s">
        <v>72</v>
      </c>
      <c r="E213" s="6" t="s">
        <v>639</v>
      </c>
      <c r="F213" s="6" t="s">
        <v>640</v>
      </c>
      <c r="G213" s="6" t="s">
        <v>641</v>
      </c>
      <c r="H213" s="7" t="str">
        <f t="shared" si="3"/>
        <v>EPC-IPU-F201-01EXTRA LAVORI</v>
      </c>
      <c r="I213" s="5" t="s">
        <v>18</v>
      </c>
      <c r="J213" s="8" t="s">
        <v>76</v>
      </c>
      <c r="K213" s="8" t="s">
        <v>76</v>
      </c>
      <c r="L213" s="9">
        <v>0</v>
      </c>
      <c r="M213" s="9">
        <v>811.64</v>
      </c>
      <c r="N213" s="9">
        <v>0</v>
      </c>
      <c r="O213" s="9">
        <v>811.64</v>
      </c>
      <c r="P213" s="9">
        <v>0</v>
      </c>
      <c r="Q213" s="9">
        <v>811.64</v>
      </c>
      <c r="R213" s="9">
        <v>0</v>
      </c>
      <c r="S213" s="9">
        <v>811.64</v>
      </c>
      <c r="T213" s="9">
        <v>0</v>
      </c>
      <c r="U213" s="9">
        <v>811.64</v>
      </c>
      <c r="V213" s="9"/>
      <c r="W213" s="9"/>
      <c r="X213" s="9">
        <v>0</v>
      </c>
      <c r="Y213" s="9">
        <v>811.64</v>
      </c>
      <c r="Z213" s="9"/>
      <c r="AA213" s="9"/>
      <c r="AB213" s="9"/>
      <c r="AC213" s="9"/>
      <c r="AD213" s="9"/>
      <c r="AE213" s="9"/>
      <c r="AF213" s="9"/>
      <c r="AG213" s="9"/>
      <c r="AH213" s="7">
        <v>0</v>
      </c>
      <c r="AI213" s="7">
        <v>811.64</v>
      </c>
    </row>
    <row r="214" spans="2:35" x14ac:dyDescent="0.3">
      <c r="B214" s="5" t="s">
        <v>3061</v>
      </c>
      <c r="C214" s="5" t="s">
        <v>13</v>
      </c>
      <c r="D214" s="6" t="s">
        <v>72</v>
      </c>
      <c r="E214" s="6" t="s">
        <v>642</v>
      </c>
      <c r="F214" s="6" t="s">
        <v>643</v>
      </c>
      <c r="G214" s="6" t="s">
        <v>576</v>
      </c>
      <c r="H214" s="7" t="str">
        <f t="shared" si="3"/>
        <v>EPC-IPU-I441-04EXTRA LAVORI</v>
      </c>
      <c r="I214" s="5" t="s">
        <v>49</v>
      </c>
      <c r="J214" s="8" t="s">
        <v>76</v>
      </c>
      <c r="K214" s="8" t="s">
        <v>76</v>
      </c>
      <c r="L214" s="9">
        <v>37048.58</v>
      </c>
      <c r="M214" s="9">
        <v>22377.34</v>
      </c>
      <c r="N214" s="9">
        <v>0</v>
      </c>
      <c r="O214" s="9">
        <v>83894.5</v>
      </c>
      <c r="P214" s="9">
        <v>0</v>
      </c>
      <c r="Q214" s="9">
        <v>84228.71</v>
      </c>
      <c r="R214" s="9">
        <v>101074.5</v>
      </c>
      <c r="S214" s="9">
        <v>85891.430000000008</v>
      </c>
      <c r="T214" s="9">
        <v>414231.28</v>
      </c>
      <c r="U214" s="9">
        <v>68879.05</v>
      </c>
      <c r="V214" s="9"/>
      <c r="W214" s="9"/>
      <c r="X214" s="9">
        <v>414231.28</v>
      </c>
      <c r="Y214" s="9">
        <v>68879.05</v>
      </c>
      <c r="Z214" s="9"/>
      <c r="AA214" s="9"/>
      <c r="AB214" s="9"/>
      <c r="AC214" s="9"/>
      <c r="AD214" s="9"/>
      <c r="AE214" s="9"/>
      <c r="AF214" s="9"/>
      <c r="AG214" s="9"/>
      <c r="AH214" s="7">
        <v>414231.28</v>
      </c>
      <c r="AI214" s="7">
        <v>68879.05</v>
      </c>
    </row>
    <row r="215" spans="2:35" x14ac:dyDescent="0.3">
      <c r="B215" s="5" t="s">
        <v>3061</v>
      </c>
      <c r="C215" s="5" t="s">
        <v>171</v>
      </c>
      <c r="D215" s="6" t="s">
        <v>72</v>
      </c>
      <c r="E215" s="6" t="s">
        <v>644</v>
      </c>
      <c r="F215" s="6" t="s">
        <v>645</v>
      </c>
      <c r="G215" s="6" t="s">
        <v>646</v>
      </c>
      <c r="H215" s="7" t="str">
        <f t="shared" si="3"/>
        <v>EPC-IPU-M426-02EXTRA LAVORI</v>
      </c>
      <c r="I215" s="5" t="s">
        <v>56</v>
      </c>
      <c r="J215" s="8" t="s">
        <v>76</v>
      </c>
      <c r="K215" s="8" t="s">
        <v>76</v>
      </c>
      <c r="L215" s="9">
        <v>0</v>
      </c>
      <c r="M215" s="9">
        <v>825</v>
      </c>
      <c r="N215" s="9">
        <v>0</v>
      </c>
      <c r="O215" s="9">
        <v>825</v>
      </c>
      <c r="P215" s="9">
        <v>1380.67</v>
      </c>
      <c r="Q215" s="9">
        <v>2066</v>
      </c>
      <c r="R215" s="9">
        <v>1380.67</v>
      </c>
      <c r="S215" s="9">
        <v>2066</v>
      </c>
      <c r="T215" s="9">
        <v>1380.67</v>
      </c>
      <c r="U215" s="9">
        <v>2066</v>
      </c>
      <c r="V215" s="9"/>
      <c r="W215" s="9"/>
      <c r="X215" s="9">
        <v>1380.67</v>
      </c>
      <c r="Y215" s="9">
        <v>2066</v>
      </c>
      <c r="Z215" s="9"/>
      <c r="AA215" s="9"/>
      <c r="AB215" s="9"/>
      <c r="AC215" s="9"/>
      <c r="AD215" s="9"/>
      <c r="AE215" s="9"/>
      <c r="AF215" s="9"/>
      <c r="AG215" s="9"/>
      <c r="AH215" s="7">
        <v>1380.67</v>
      </c>
      <c r="AI215" s="7">
        <v>2066</v>
      </c>
    </row>
    <row r="216" spans="2:35" x14ac:dyDescent="0.3">
      <c r="B216" s="5" t="s">
        <v>3061</v>
      </c>
      <c r="C216" s="5" t="s">
        <v>13</v>
      </c>
      <c r="D216" s="6" t="s">
        <v>72</v>
      </c>
      <c r="E216" s="6" t="s">
        <v>647</v>
      </c>
      <c r="F216" s="6" t="s">
        <v>648</v>
      </c>
      <c r="G216" s="6" t="s">
        <v>286</v>
      </c>
      <c r="H216" s="7" t="str">
        <f t="shared" si="3"/>
        <v>EPC-IPU-I696-02EXTRA LAVORI</v>
      </c>
      <c r="I216" s="5" t="s">
        <v>49</v>
      </c>
      <c r="J216" s="8" t="s">
        <v>76</v>
      </c>
      <c r="K216" s="8" t="s">
        <v>76</v>
      </c>
      <c r="L216" s="9">
        <v>0</v>
      </c>
      <c r="M216" s="9">
        <v>2038.28</v>
      </c>
      <c r="N216" s="9">
        <v>0</v>
      </c>
      <c r="O216" s="9">
        <v>2178.96</v>
      </c>
      <c r="P216" s="9">
        <v>0</v>
      </c>
      <c r="Q216" s="9">
        <v>2178.96</v>
      </c>
      <c r="R216" s="9">
        <v>0</v>
      </c>
      <c r="S216" s="9">
        <v>2178.96</v>
      </c>
      <c r="T216" s="9">
        <v>0</v>
      </c>
      <c r="U216" s="9">
        <v>2178.96</v>
      </c>
      <c r="V216" s="9"/>
      <c r="W216" s="9"/>
      <c r="X216" s="9">
        <v>0</v>
      </c>
      <c r="Y216" s="9">
        <v>2178.96</v>
      </c>
      <c r="Z216" s="9"/>
      <c r="AA216" s="9"/>
      <c r="AB216" s="9"/>
      <c r="AC216" s="9"/>
      <c r="AD216" s="9"/>
      <c r="AE216" s="9"/>
      <c r="AF216" s="9"/>
      <c r="AG216" s="9"/>
      <c r="AH216" s="7">
        <v>0</v>
      </c>
      <c r="AI216" s="7">
        <v>2178.96</v>
      </c>
    </row>
    <row r="217" spans="2:35" x14ac:dyDescent="0.3">
      <c r="B217" s="5" t="s">
        <v>3061</v>
      </c>
      <c r="C217" s="5" t="s">
        <v>13</v>
      </c>
      <c r="D217" s="6" t="s">
        <v>72</v>
      </c>
      <c r="E217" s="6" t="s">
        <v>649</v>
      </c>
      <c r="F217" s="6" t="s">
        <v>650</v>
      </c>
      <c r="G217" s="6" t="s">
        <v>450</v>
      </c>
      <c r="H217" s="7" t="str">
        <f t="shared" si="3"/>
        <v>EPC-IPU-F348-01EXTRA LAVORI</v>
      </c>
      <c r="I217" s="5" t="s">
        <v>24</v>
      </c>
      <c r="J217" s="5" t="s">
        <v>76</v>
      </c>
      <c r="K217" s="8" t="s">
        <v>76</v>
      </c>
      <c r="L217" s="9">
        <v>0</v>
      </c>
      <c r="M217" s="9">
        <v>41.3</v>
      </c>
      <c r="N217" s="9">
        <v>0</v>
      </c>
      <c r="O217" s="9">
        <v>41.3</v>
      </c>
      <c r="P217" s="9">
        <v>0</v>
      </c>
      <c r="Q217" s="9">
        <v>41.3</v>
      </c>
      <c r="R217" s="9">
        <v>0</v>
      </c>
      <c r="S217" s="9">
        <v>41.3</v>
      </c>
      <c r="T217" s="9">
        <v>0</v>
      </c>
      <c r="U217" s="9">
        <v>41.3</v>
      </c>
      <c r="V217" s="9"/>
      <c r="W217" s="9"/>
      <c r="X217" s="9">
        <v>0</v>
      </c>
      <c r="Y217" s="9">
        <v>41.3</v>
      </c>
      <c r="Z217" s="9"/>
      <c r="AA217" s="9"/>
      <c r="AB217" s="9"/>
      <c r="AC217" s="9"/>
      <c r="AD217" s="9"/>
      <c r="AE217" s="9"/>
      <c r="AF217" s="9"/>
      <c r="AG217" s="9"/>
      <c r="AH217" s="7">
        <v>0</v>
      </c>
      <c r="AI217" s="7">
        <v>41.3</v>
      </c>
    </row>
    <row r="218" spans="2:35" x14ac:dyDescent="0.3">
      <c r="B218" s="5" t="s">
        <v>3061</v>
      </c>
      <c r="C218" s="5" t="s">
        <v>13</v>
      </c>
      <c r="D218" s="6" t="s">
        <v>14</v>
      </c>
      <c r="E218" s="6" t="s">
        <v>651</v>
      </c>
      <c r="F218" s="6" t="s">
        <v>652</v>
      </c>
      <c r="G218" s="6" t="s">
        <v>653</v>
      </c>
      <c r="H218" s="7" t="str">
        <f t="shared" si="3"/>
        <v>CL3-IPU-B352-01OPERATIONAL</v>
      </c>
      <c r="I218" s="5" t="s">
        <v>24</v>
      </c>
      <c r="J218" s="5" t="s">
        <v>19</v>
      </c>
      <c r="K218" s="8" t="s">
        <v>98</v>
      </c>
      <c r="L218" s="9">
        <v>33592.14</v>
      </c>
      <c r="M218" s="9">
        <v>4633.7550000000001</v>
      </c>
      <c r="N218" s="9">
        <v>0</v>
      </c>
      <c r="O218" s="9">
        <v>6520.5750000000007</v>
      </c>
      <c r="P218" s="9">
        <v>-8246</v>
      </c>
      <c r="Q218" s="9">
        <v>4484.4550000000008</v>
      </c>
      <c r="R218" s="9">
        <v>-8246</v>
      </c>
      <c r="S218" s="9">
        <v>5378.2049999999999</v>
      </c>
      <c r="T218" s="9">
        <v>-8246</v>
      </c>
      <c r="U218" s="9">
        <v>6276.6849999999995</v>
      </c>
      <c r="V218" s="9"/>
      <c r="W218" s="9"/>
      <c r="X218" s="9">
        <v>-8246</v>
      </c>
      <c r="Y218" s="9">
        <v>8073.66</v>
      </c>
      <c r="Z218" s="9"/>
      <c r="AA218" s="9"/>
      <c r="AB218" s="9"/>
      <c r="AC218" s="9"/>
      <c r="AD218" s="9"/>
      <c r="AE218" s="9"/>
      <c r="AF218" s="9"/>
      <c r="AG218" s="9"/>
      <c r="AH218" s="7">
        <v>-8246</v>
      </c>
      <c r="AI218" s="7">
        <v>8073.66</v>
      </c>
    </row>
    <row r="219" spans="2:35" x14ac:dyDescent="0.3">
      <c r="B219" s="5" t="s">
        <v>3061</v>
      </c>
      <c r="C219" s="5" t="s">
        <v>13</v>
      </c>
      <c r="D219" s="6" t="s">
        <v>72</v>
      </c>
      <c r="E219" s="6" t="s">
        <v>654</v>
      </c>
      <c r="F219" s="6" t="s">
        <v>655</v>
      </c>
      <c r="G219" s="6" t="s">
        <v>158</v>
      </c>
      <c r="H219" s="7" t="str">
        <f t="shared" si="3"/>
        <v>EPC-IPU-F952-03EXTRA LAVORI</v>
      </c>
      <c r="I219" s="5" t="s">
        <v>49</v>
      </c>
      <c r="J219" s="5" t="s">
        <v>76</v>
      </c>
      <c r="K219" s="8" t="s">
        <v>76</v>
      </c>
      <c r="L219" s="9">
        <v>0</v>
      </c>
      <c r="M219" s="9">
        <v>40</v>
      </c>
      <c r="N219" s="9">
        <v>0</v>
      </c>
      <c r="O219" s="9">
        <v>40</v>
      </c>
      <c r="P219" s="9">
        <v>0</v>
      </c>
      <c r="Q219" s="9">
        <v>40</v>
      </c>
      <c r="R219" s="9">
        <v>0</v>
      </c>
      <c r="S219" s="9">
        <v>40</v>
      </c>
      <c r="T219" s="9">
        <v>0</v>
      </c>
      <c r="U219" s="9">
        <v>40</v>
      </c>
      <c r="V219" s="9"/>
      <c r="W219" s="9"/>
      <c r="X219" s="9">
        <v>0</v>
      </c>
      <c r="Y219" s="9">
        <v>40</v>
      </c>
      <c r="Z219" s="9"/>
      <c r="AA219" s="9"/>
      <c r="AB219" s="9"/>
      <c r="AC219" s="9"/>
      <c r="AD219" s="9"/>
      <c r="AE219" s="9"/>
      <c r="AF219" s="9"/>
      <c r="AG219" s="9"/>
      <c r="AH219" s="7">
        <v>0</v>
      </c>
      <c r="AI219" s="7">
        <v>40</v>
      </c>
    </row>
    <row r="220" spans="2:35" x14ac:dyDescent="0.3">
      <c r="B220" s="5" t="s">
        <v>3061</v>
      </c>
      <c r="C220" s="5" t="s">
        <v>13</v>
      </c>
      <c r="D220" s="6" t="s">
        <v>72</v>
      </c>
      <c r="E220" s="6" t="s">
        <v>656</v>
      </c>
      <c r="F220" s="6" t="s">
        <v>657</v>
      </c>
      <c r="G220" s="6" t="s">
        <v>658</v>
      </c>
      <c r="H220" s="7" t="str">
        <f t="shared" si="3"/>
        <v>EPC-IPU-E951-03EXTRA LAVORI</v>
      </c>
      <c r="I220" s="5" t="s">
        <v>49</v>
      </c>
      <c r="J220" s="5" t="s">
        <v>76</v>
      </c>
      <c r="K220" s="8" t="s">
        <v>76</v>
      </c>
      <c r="L220" s="9">
        <v>0</v>
      </c>
      <c r="M220" s="9">
        <v>40</v>
      </c>
      <c r="N220" s="9">
        <v>0</v>
      </c>
      <c r="O220" s="9">
        <v>40</v>
      </c>
      <c r="P220" s="9">
        <v>0</v>
      </c>
      <c r="Q220" s="9">
        <v>40</v>
      </c>
      <c r="R220" s="9">
        <v>0</v>
      </c>
      <c r="S220" s="9">
        <v>724</v>
      </c>
      <c r="T220" s="9">
        <v>0</v>
      </c>
      <c r="U220" s="9">
        <v>724</v>
      </c>
      <c r="V220" s="9"/>
      <c r="W220" s="9"/>
      <c r="X220" s="9">
        <v>0</v>
      </c>
      <c r="Y220" s="9">
        <v>724</v>
      </c>
      <c r="Z220" s="9"/>
      <c r="AA220" s="9"/>
      <c r="AB220" s="9"/>
      <c r="AC220" s="9"/>
      <c r="AD220" s="9"/>
      <c r="AE220" s="9"/>
      <c r="AF220" s="9"/>
      <c r="AG220" s="9"/>
      <c r="AH220" s="7">
        <v>0</v>
      </c>
      <c r="AI220" s="7">
        <v>724</v>
      </c>
    </row>
    <row r="221" spans="2:35" x14ac:dyDescent="0.3">
      <c r="B221" s="5" t="s">
        <v>3061</v>
      </c>
      <c r="C221" s="5" t="s">
        <v>171</v>
      </c>
      <c r="D221" s="6" t="s">
        <v>72</v>
      </c>
      <c r="E221" s="6" t="s">
        <v>659</v>
      </c>
      <c r="F221" s="6" t="s">
        <v>660</v>
      </c>
      <c r="G221" s="6" t="s">
        <v>186</v>
      </c>
      <c r="H221" s="7" t="str">
        <f t="shared" si="3"/>
        <v>EPC-IPU-G560-03EXTRA LAVORI</v>
      </c>
      <c r="I221" s="5" t="s">
        <v>56</v>
      </c>
      <c r="J221" s="8" t="s">
        <v>76</v>
      </c>
      <c r="K221" s="8" t="s">
        <v>76</v>
      </c>
      <c r="L221" s="9">
        <v>0</v>
      </c>
      <c r="M221" s="9">
        <v>2010</v>
      </c>
      <c r="N221" s="9">
        <v>0</v>
      </c>
      <c r="O221" s="9">
        <v>2010</v>
      </c>
      <c r="P221" s="9">
        <v>0</v>
      </c>
      <c r="Q221" s="9">
        <v>2010</v>
      </c>
      <c r="R221" s="9">
        <v>0</v>
      </c>
      <c r="S221" s="9">
        <v>2010</v>
      </c>
      <c r="T221" s="9">
        <v>0</v>
      </c>
      <c r="U221" s="9">
        <v>2010</v>
      </c>
      <c r="V221" s="9"/>
      <c r="W221" s="9"/>
      <c r="X221" s="9">
        <v>0</v>
      </c>
      <c r="Y221" s="9">
        <v>2010</v>
      </c>
      <c r="Z221" s="9"/>
      <c r="AA221" s="9"/>
      <c r="AB221" s="9"/>
      <c r="AC221" s="9"/>
      <c r="AD221" s="9"/>
      <c r="AE221" s="9"/>
      <c r="AF221" s="9"/>
      <c r="AG221" s="9"/>
      <c r="AH221" s="7">
        <v>0</v>
      </c>
      <c r="AI221" s="7">
        <v>2010</v>
      </c>
    </row>
    <row r="222" spans="2:35" x14ac:dyDescent="0.3">
      <c r="B222" s="5" t="s">
        <v>3061</v>
      </c>
      <c r="C222" s="5" t="s">
        <v>13</v>
      </c>
      <c r="D222" s="6" t="s">
        <v>72</v>
      </c>
      <c r="E222" s="6" t="s">
        <v>661</v>
      </c>
      <c r="F222" s="6" t="s">
        <v>662</v>
      </c>
      <c r="G222" s="6" t="s">
        <v>386</v>
      </c>
      <c r="H222" s="7" t="str">
        <f t="shared" si="3"/>
        <v>EPC-IPU-C638-01EXTRA LAVORI</v>
      </c>
      <c r="I222" s="5" t="s">
        <v>56</v>
      </c>
      <c r="J222" s="5" t="s">
        <v>76</v>
      </c>
      <c r="K222" s="8" t="s">
        <v>76</v>
      </c>
      <c r="L222" s="9">
        <v>0</v>
      </c>
      <c r="M222" s="9">
        <v>44329.21</v>
      </c>
      <c r="N222" s="9">
        <v>0</v>
      </c>
      <c r="O222" s="9">
        <v>97736.66</v>
      </c>
      <c r="P222" s="9">
        <v>0</v>
      </c>
      <c r="Q222" s="9">
        <v>159432.93</v>
      </c>
      <c r="R222" s="9">
        <v>0</v>
      </c>
      <c r="S222" s="9">
        <v>188591.27000000002</v>
      </c>
      <c r="T222" s="9">
        <v>0</v>
      </c>
      <c r="U222" s="9">
        <v>221060.61</v>
      </c>
      <c r="V222" s="9"/>
      <c r="W222" s="9"/>
      <c r="X222" s="9">
        <v>0</v>
      </c>
      <c r="Y222" s="9">
        <v>312583.5</v>
      </c>
      <c r="Z222" s="9"/>
      <c r="AA222" s="9"/>
      <c r="AB222" s="9"/>
      <c r="AC222" s="9"/>
      <c r="AD222" s="9"/>
      <c r="AE222" s="9"/>
      <c r="AF222" s="9"/>
      <c r="AG222" s="9"/>
      <c r="AH222" s="7">
        <v>0</v>
      </c>
      <c r="AI222" s="7">
        <v>312583.5</v>
      </c>
    </row>
    <row r="223" spans="2:35" x14ac:dyDescent="0.3">
      <c r="B223" s="5" t="s">
        <v>3061</v>
      </c>
      <c r="C223" s="5" t="s">
        <v>13</v>
      </c>
      <c r="D223" s="6" t="s">
        <v>72</v>
      </c>
      <c r="E223" s="6" t="s">
        <v>663</v>
      </c>
      <c r="F223" s="6" t="s">
        <v>664</v>
      </c>
      <c r="G223" s="6" t="s">
        <v>636</v>
      </c>
      <c r="H223" s="7" t="str">
        <f t="shared" si="3"/>
        <v>EPC-IPU-F522-01EXTRA LAVORI</v>
      </c>
      <c r="I223" s="5" t="s">
        <v>24</v>
      </c>
      <c r="J223" s="5" t="s">
        <v>76</v>
      </c>
      <c r="K223" s="8" t="s">
        <v>76</v>
      </c>
      <c r="L223" s="9">
        <v>0</v>
      </c>
      <c r="M223" s="9">
        <v>41.3</v>
      </c>
      <c r="N223" s="9">
        <v>0</v>
      </c>
      <c r="O223" s="9">
        <v>10815.1</v>
      </c>
      <c r="P223" s="9">
        <v>0</v>
      </c>
      <c r="Q223" s="9">
        <v>10815.1</v>
      </c>
      <c r="R223" s="9">
        <v>0</v>
      </c>
      <c r="S223" s="9">
        <v>10815.1</v>
      </c>
      <c r="T223" s="9">
        <v>0</v>
      </c>
      <c r="U223" s="9">
        <v>13640.82</v>
      </c>
      <c r="V223" s="9"/>
      <c r="W223" s="9"/>
      <c r="X223" s="9">
        <v>0</v>
      </c>
      <c r="Y223" s="9">
        <v>10815.1</v>
      </c>
      <c r="Z223" s="9"/>
      <c r="AA223" s="9"/>
      <c r="AB223" s="9"/>
      <c r="AC223" s="9"/>
      <c r="AD223" s="9"/>
      <c r="AE223" s="9"/>
      <c r="AF223" s="9"/>
      <c r="AG223" s="9"/>
      <c r="AH223" s="7">
        <v>0</v>
      </c>
      <c r="AI223" s="7">
        <v>10815.1</v>
      </c>
    </row>
    <row r="224" spans="2:35" x14ac:dyDescent="0.3">
      <c r="B224" s="5" t="s">
        <v>3061</v>
      </c>
      <c r="C224" s="5" t="s">
        <v>13</v>
      </c>
      <c r="D224" s="6" t="s">
        <v>72</v>
      </c>
      <c r="E224" s="6" t="s">
        <v>665</v>
      </c>
      <c r="F224" s="6" t="s">
        <v>666</v>
      </c>
      <c r="G224" s="6" t="s">
        <v>616</v>
      </c>
      <c r="H224" s="7" t="str">
        <f t="shared" si="3"/>
        <v>EPC-IPU-F632-01EXTRA LAVORI</v>
      </c>
      <c r="I224" s="5" t="s">
        <v>24</v>
      </c>
      <c r="J224" s="5" t="s">
        <v>76</v>
      </c>
      <c r="K224" s="8" t="s">
        <v>76</v>
      </c>
      <c r="L224" s="9">
        <v>0</v>
      </c>
      <c r="M224" s="9">
        <v>72.275000000000006</v>
      </c>
      <c r="N224" s="9">
        <v>8196.7099999999991</v>
      </c>
      <c r="O224" s="9">
        <v>72.275000000000006</v>
      </c>
      <c r="P224" s="9">
        <v>8196.7099999999991</v>
      </c>
      <c r="Q224" s="9">
        <v>72.275000000000006</v>
      </c>
      <c r="R224" s="9">
        <v>8196.7099999999991</v>
      </c>
      <c r="S224" s="9">
        <v>72.275000000000006</v>
      </c>
      <c r="T224" s="9">
        <v>8196.7099999999991</v>
      </c>
      <c r="U224" s="9">
        <v>72.275000000000006</v>
      </c>
      <c r="V224" s="9"/>
      <c r="W224" s="9"/>
      <c r="X224" s="9">
        <v>8196.7099999999991</v>
      </c>
      <c r="Y224" s="9">
        <v>72.28</v>
      </c>
      <c r="Z224" s="9"/>
      <c r="AA224" s="9"/>
      <c r="AB224" s="9"/>
      <c r="AC224" s="9"/>
      <c r="AD224" s="9"/>
      <c r="AE224" s="9"/>
      <c r="AF224" s="9"/>
      <c r="AG224" s="9"/>
      <c r="AH224" s="7">
        <v>8196.7099999999991</v>
      </c>
      <c r="AI224" s="7">
        <v>72.28</v>
      </c>
    </row>
    <row r="225" spans="2:35" x14ac:dyDescent="0.3">
      <c r="B225" s="5" t="s">
        <v>3061</v>
      </c>
      <c r="C225" s="5" t="s">
        <v>13</v>
      </c>
      <c r="D225" s="6" t="s">
        <v>72</v>
      </c>
      <c r="E225" s="6" t="s">
        <v>667</v>
      </c>
      <c r="F225" s="6" t="s">
        <v>668</v>
      </c>
      <c r="G225" s="6" t="s">
        <v>158</v>
      </c>
      <c r="H225" s="7" t="str">
        <f t="shared" si="3"/>
        <v>EPC-IPU-F952-02EXTRA LAVORI</v>
      </c>
      <c r="I225" s="5" t="s">
        <v>49</v>
      </c>
      <c r="J225" s="5" t="s">
        <v>76</v>
      </c>
      <c r="K225" s="8" t="s">
        <v>76</v>
      </c>
      <c r="L225" s="9">
        <v>0</v>
      </c>
      <c r="M225" s="9">
        <v>1515.7</v>
      </c>
      <c r="N225" s="9">
        <v>16679.53</v>
      </c>
      <c r="O225" s="9">
        <v>43954.34</v>
      </c>
      <c r="P225" s="9">
        <v>16679.53</v>
      </c>
      <c r="Q225" s="9">
        <v>63654.34</v>
      </c>
      <c r="R225" s="9">
        <v>16679.53</v>
      </c>
      <c r="S225" s="9">
        <v>64535.34</v>
      </c>
      <c r="T225" s="9">
        <v>16679.53</v>
      </c>
      <c r="U225" s="9">
        <v>73199.34</v>
      </c>
      <c r="V225" s="9"/>
      <c r="W225" s="9"/>
      <c r="X225" s="9">
        <v>16679.53</v>
      </c>
      <c r="Y225" s="9">
        <v>73292.490000000005</v>
      </c>
      <c r="Z225" s="9"/>
      <c r="AA225" s="9"/>
      <c r="AB225" s="9"/>
      <c r="AC225" s="9"/>
      <c r="AD225" s="9"/>
      <c r="AE225" s="9"/>
      <c r="AF225" s="9"/>
      <c r="AG225" s="9"/>
      <c r="AH225" s="7">
        <v>16679.53</v>
      </c>
      <c r="AI225" s="7">
        <v>73292.490000000005</v>
      </c>
    </row>
    <row r="226" spans="2:35" x14ac:dyDescent="0.3">
      <c r="B226" s="5" t="s">
        <v>3061</v>
      </c>
      <c r="C226" s="5" t="s">
        <v>13</v>
      </c>
      <c r="D226" s="6" t="s">
        <v>72</v>
      </c>
      <c r="E226" s="6" t="s">
        <v>669</v>
      </c>
      <c r="F226" s="6" t="s">
        <v>670</v>
      </c>
      <c r="G226" s="6" t="s">
        <v>386</v>
      </c>
      <c r="H226" s="7" t="str">
        <f t="shared" si="3"/>
        <v>EPC-EEE-C638-01EXTRA LAVORI</v>
      </c>
      <c r="I226" s="5" t="s">
        <v>56</v>
      </c>
      <c r="J226" s="5" t="s">
        <v>76</v>
      </c>
      <c r="K226" s="8" t="s">
        <v>76</v>
      </c>
      <c r="L226" s="9">
        <v>13596.66</v>
      </c>
      <c r="M226" s="9">
        <v>0</v>
      </c>
      <c r="N226" s="9">
        <v>20394.990000000002</v>
      </c>
      <c r="O226" s="9">
        <v>0</v>
      </c>
      <c r="P226" s="9">
        <v>27193.32</v>
      </c>
      <c r="Q226" s="9">
        <v>0</v>
      </c>
      <c r="R226" s="9">
        <v>33991.65</v>
      </c>
      <c r="S226" s="9">
        <v>0</v>
      </c>
      <c r="T226" s="9">
        <v>40789.980000000003</v>
      </c>
      <c r="U226" s="9">
        <v>0</v>
      </c>
      <c r="V226" s="9"/>
      <c r="W226" s="9"/>
      <c r="X226" s="9">
        <v>13596.66</v>
      </c>
      <c r="Y226" s="9">
        <v>0</v>
      </c>
      <c r="Z226" s="9"/>
      <c r="AA226" s="9"/>
      <c r="AB226" s="9"/>
      <c r="AC226" s="9"/>
      <c r="AD226" s="9"/>
      <c r="AE226" s="9"/>
      <c r="AF226" s="9"/>
      <c r="AG226" s="9"/>
      <c r="AH226" s="7">
        <v>13596.66</v>
      </c>
      <c r="AI226" s="7">
        <v>0</v>
      </c>
    </row>
    <row r="227" spans="2:35" x14ac:dyDescent="0.3">
      <c r="B227" s="5" t="s">
        <v>3061</v>
      </c>
      <c r="C227" s="5" t="s">
        <v>13</v>
      </c>
      <c r="D227" s="6" t="s">
        <v>72</v>
      </c>
      <c r="E227" s="6" t="s">
        <v>671</v>
      </c>
      <c r="F227" s="6" t="s">
        <v>672</v>
      </c>
      <c r="G227" s="6" t="s">
        <v>27</v>
      </c>
      <c r="H227" s="7" t="str">
        <f t="shared" si="3"/>
        <v>EPC-IPU-G136-01EXTRA LAVORI</v>
      </c>
      <c r="I227" s="5" t="s">
        <v>18</v>
      </c>
      <c r="J227" s="5" t="s">
        <v>76</v>
      </c>
      <c r="K227" s="8" t="s">
        <v>76</v>
      </c>
      <c r="L227" s="9">
        <v>0</v>
      </c>
      <c r="M227" s="9">
        <v>0</v>
      </c>
      <c r="N227" s="9">
        <v>0</v>
      </c>
      <c r="O227" s="9">
        <v>0</v>
      </c>
      <c r="P227" s="9">
        <v>0</v>
      </c>
      <c r="Q227" s="9">
        <v>0</v>
      </c>
      <c r="R227" s="9">
        <v>0</v>
      </c>
      <c r="S227" s="9">
        <v>0</v>
      </c>
      <c r="T227" s="9">
        <v>0</v>
      </c>
      <c r="U227" s="9">
        <v>0</v>
      </c>
      <c r="V227" s="9"/>
      <c r="W227" s="9"/>
      <c r="X227" s="9">
        <v>0</v>
      </c>
      <c r="Y227" s="9">
        <v>0</v>
      </c>
      <c r="Z227" s="9"/>
      <c r="AA227" s="9"/>
      <c r="AB227" s="9"/>
      <c r="AC227" s="9"/>
      <c r="AD227" s="9"/>
      <c r="AE227" s="9"/>
      <c r="AF227" s="9"/>
      <c r="AG227" s="9"/>
      <c r="AH227" s="7">
        <v>0</v>
      </c>
      <c r="AI227" s="7">
        <v>0</v>
      </c>
    </row>
    <row r="228" spans="2:35" x14ac:dyDescent="0.3">
      <c r="B228" s="5" t="s">
        <v>3061</v>
      </c>
      <c r="C228" s="5" t="s">
        <v>13</v>
      </c>
      <c r="D228" s="6" t="s">
        <v>72</v>
      </c>
      <c r="E228" s="6" t="s">
        <v>673</v>
      </c>
      <c r="F228" s="6" t="s">
        <v>674</v>
      </c>
      <c r="G228" s="6" t="s">
        <v>134</v>
      </c>
      <c r="H228" s="7" t="str">
        <f t="shared" si="3"/>
        <v>EPC-IPU-E919-02EXTRA LAVORI</v>
      </c>
      <c r="I228" s="5" t="s">
        <v>18</v>
      </c>
      <c r="J228" s="5" t="s">
        <v>76</v>
      </c>
      <c r="K228" s="8" t="s">
        <v>76</v>
      </c>
      <c r="L228" s="9">
        <v>5574.12</v>
      </c>
      <c r="M228" s="9">
        <v>0</v>
      </c>
      <c r="N228" s="9">
        <v>5574.12</v>
      </c>
      <c r="O228" s="9">
        <v>0</v>
      </c>
      <c r="P228" s="9">
        <v>11503.63</v>
      </c>
      <c r="Q228" s="9">
        <v>0</v>
      </c>
      <c r="R228" s="9">
        <v>11503.63</v>
      </c>
      <c r="S228" s="9">
        <v>0</v>
      </c>
      <c r="T228" s="9">
        <v>11503.63</v>
      </c>
      <c r="U228" s="9">
        <v>0</v>
      </c>
      <c r="V228" s="9"/>
      <c r="W228" s="9"/>
      <c r="X228" s="9">
        <v>11503.63</v>
      </c>
      <c r="Y228" s="9">
        <v>0</v>
      </c>
      <c r="Z228" s="9"/>
      <c r="AA228" s="9"/>
      <c r="AB228" s="9"/>
      <c r="AC228" s="9"/>
      <c r="AD228" s="9"/>
      <c r="AE228" s="9"/>
      <c r="AF228" s="9"/>
      <c r="AG228" s="9"/>
      <c r="AH228" s="7">
        <v>11503.63</v>
      </c>
      <c r="AI228" s="7">
        <v>0</v>
      </c>
    </row>
    <row r="229" spans="2:35" x14ac:dyDescent="0.3">
      <c r="B229" s="5" t="s">
        <v>3061</v>
      </c>
      <c r="C229" s="5" t="s">
        <v>13</v>
      </c>
      <c r="D229" s="6" t="s">
        <v>72</v>
      </c>
      <c r="E229" s="6" t="s">
        <v>675</v>
      </c>
      <c r="F229" s="6" t="s">
        <v>676</v>
      </c>
      <c r="G229" s="6" t="s">
        <v>354</v>
      </c>
      <c r="H229" s="7" t="str">
        <f t="shared" si="3"/>
        <v>EPC-IPU-I608-04EXTRA LAVORI</v>
      </c>
      <c r="I229" s="8" t="s">
        <v>24</v>
      </c>
      <c r="J229" s="5" t="s">
        <v>76</v>
      </c>
      <c r="K229" s="8" t="s">
        <v>76</v>
      </c>
      <c r="L229" s="9">
        <v>0</v>
      </c>
      <c r="M229" s="9">
        <v>154.875</v>
      </c>
      <c r="N229" s="9">
        <v>0</v>
      </c>
      <c r="O229" s="9">
        <v>154.875</v>
      </c>
      <c r="P229" s="9">
        <v>0</v>
      </c>
      <c r="Q229" s="9">
        <v>154.875</v>
      </c>
      <c r="R229" s="9">
        <v>0</v>
      </c>
      <c r="S229" s="9">
        <v>154.875</v>
      </c>
      <c r="T229" s="9">
        <v>0</v>
      </c>
      <c r="U229" s="9">
        <v>154.875</v>
      </c>
      <c r="V229" s="9"/>
      <c r="W229" s="9"/>
      <c r="X229" s="9">
        <v>0</v>
      </c>
      <c r="Y229" s="9">
        <v>154.88</v>
      </c>
      <c r="Z229" s="9"/>
      <c r="AA229" s="9"/>
      <c r="AB229" s="9"/>
      <c r="AC229" s="9"/>
      <c r="AD229" s="9"/>
      <c r="AE229" s="9"/>
      <c r="AF229" s="9"/>
      <c r="AG229" s="9"/>
      <c r="AH229" s="7">
        <v>0</v>
      </c>
      <c r="AI229" s="7">
        <v>154.88</v>
      </c>
    </row>
    <row r="230" spans="2:35" x14ac:dyDescent="0.3">
      <c r="B230" s="5" t="s">
        <v>3061</v>
      </c>
      <c r="C230" s="5" t="s">
        <v>13</v>
      </c>
      <c r="D230" s="6" t="s">
        <v>72</v>
      </c>
      <c r="E230" s="6" t="s">
        <v>677</v>
      </c>
      <c r="F230" s="6" t="s">
        <v>678</v>
      </c>
      <c r="G230" s="6" t="s">
        <v>330</v>
      </c>
      <c r="H230" s="7" t="str">
        <f t="shared" si="3"/>
        <v>EPC-IPU-D458-01EXTRA LAVORI</v>
      </c>
      <c r="I230" s="5" t="s">
        <v>24</v>
      </c>
      <c r="J230" s="5" t="s">
        <v>76</v>
      </c>
      <c r="K230" s="8" t="s">
        <v>76</v>
      </c>
      <c r="L230" s="9">
        <v>0</v>
      </c>
      <c r="M230" s="9">
        <v>128</v>
      </c>
      <c r="N230" s="9">
        <v>0</v>
      </c>
      <c r="O230" s="9">
        <v>128</v>
      </c>
      <c r="P230" s="9">
        <v>0</v>
      </c>
      <c r="Q230" s="9">
        <v>128</v>
      </c>
      <c r="R230" s="9">
        <v>0</v>
      </c>
      <c r="S230" s="9">
        <v>128</v>
      </c>
      <c r="T230" s="9">
        <v>0</v>
      </c>
      <c r="U230" s="9">
        <v>128</v>
      </c>
      <c r="V230" s="9"/>
      <c r="W230" s="9"/>
      <c r="X230" s="9">
        <v>0</v>
      </c>
      <c r="Y230" s="9">
        <v>128</v>
      </c>
      <c r="Z230" s="9"/>
      <c r="AA230" s="9"/>
      <c r="AB230" s="9"/>
      <c r="AC230" s="9"/>
      <c r="AD230" s="9"/>
      <c r="AE230" s="9"/>
      <c r="AF230" s="9"/>
      <c r="AG230" s="9"/>
      <c r="AH230" s="7">
        <v>0</v>
      </c>
      <c r="AI230" s="7">
        <v>128</v>
      </c>
    </row>
    <row r="231" spans="2:35" x14ac:dyDescent="0.3">
      <c r="B231" s="5" t="s">
        <v>3061</v>
      </c>
      <c r="C231" s="5" t="s">
        <v>13</v>
      </c>
      <c r="D231" s="6" t="s">
        <v>619</v>
      </c>
      <c r="E231" s="6" t="s">
        <v>679</v>
      </c>
      <c r="F231" s="6" t="s">
        <v>680</v>
      </c>
      <c r="G231" s="6" t="s">
        <v>681</v>
      </c>
      <c r="H231" s="7" t="str">
        <f t="shared" si="3"/>
        <v>EPC-IPU-F736-03EXTRA LAVORI : Spot</v>
      </c>
      <c r="I231" s="5" t="s">
        <v>49</v>
      </c>
      <c r="J231" s="8" t="s">
        <v>259</v>
      </c>
      <c r="K231" s="8" t="s">
        <v>259</v>
      </c>
      <c r="L231" s="9">
        <v>1179.0999999999999</v>
      </c>
      <c r="M231" s="9">
        <v>0</v>
      </c>
      <c r="N231" s="9">
        <v>1179.0999999999999</v>
      </c>
      <c r="O231" s="9">
        <v>0</v>
      </c>
      <c r="P231" s="9">
        <v>2358.1999999999998</v>
      </c>
      <c r="Q231" s="9">
        <v>0</v>
      </c>
      <c r="R231" s="9">
        <v>1179.0999999999999</v>
      </c>
      <c r="S231" s="9">
        <v>0</v>
      </c>
      <c r="T231" s="9">
        <v>1179.0999999999999</v>
      </c>
      <c r="U231" s="9">
        <v>0</v>
      </c>
      <c r="V231" s="9"/>
      <c r="W231" s="9"/>
      <c r="X231" s="9">
        <v>0</v>
      </c>
      <c r="Y231" s="9">
        <v>0</v>
      </c>
      <c r="Z231" s="9"/>
      <c r="AA231" s="9"/>
      <c r="AB231" s="9"/>
      <c r="AC231" s="9"/>
      <c r="AD231" s="9"/>
      <c r="AE231" s="9"/>
      <c r="AF231" s="9"/>
      <c r="AG231" s="9"/>
      <c r="AH231" s="7">
        <v>0</v>
      </c>
      <c r="AI231" s="7">
        <v>0</v>
      </c>
    </row>
    <row r="232" spans="2:35" x14ac:dyDescent="0.3">
      <c r="B232" s="5" t="s">
        <v>3061</v>
      </c>
      <c r="C232" s="5" t="s">
        <v>13</v>
      </c>
      <c r="D232" s="6" t="s">
        <v>14</v>
      </c>
      <c r="E232" s="6" t="s">
        <v>682</v>
      </c>
      <c r="F232" s="6" t="s">
        <v>683</v>
      </c>
      <c r="G232" s="6" t="s">
        <v>658</v>
      </c>
      <c r="H232" s="7" t="str">
        <f t="shared" si="3"/>
        <v>CL3-IPU-E951-01OPERATIONAL</v>
      </c>
      <c r="I232" s="5" t="s">
        <v>49</v>
      </c>
      <c r="J232" s="8" t="s">
        <v>19</v>
      </c>
      <c r="K232" s="8" t="s">
        <v>98</v>
      </c>
      <c r="L232" s="9">
        <v>85889.75</v>
      </c>
      <c r="M232" s="9">
        <v>2472.7600000000002</v>
      </c>
      <c r="N232" s="9">
        <v>128762.68</v>
      </c>
      <c r="O232" s="9">
        <v>40484.53</v>
      </c>
      <c r="P232" s="9">
        <v>174190.02000000002</v>
      </c>
      <c r="Q232" s="9">
        <v>59267.73</v>
      </c>
      <c r="R232" s="9">
        <v>217355.99</v>
      </c>
      <c r="S232" s="9">
        <v>76597.2</v>
      </c>
      <c r="T232" s="9">
        <v>261609</v>
      </c>
      <c r="U232" s="9">
        <v>93844.930000000008</v>
      </c>
      <c r="V232" s="9"/>
      <c r="W232" s="9"/>
      <c r="X232" s="9">
        <v>356198.36</v>
      </c>
      <c r="Y232" s="9">
        <v>107153.42</v>
      </c>
      <c r="Z232" s="9"/>
      <c r="AA232" s="9"/>
      <c r="AB232" s="9"/>
      <c r="AC232" s="9"/>
      <c r="AD232" s="9"/>
      <c r="AE232" s="9"/>
      <c r="AF232" s="9"/>
      <c r="AG232" s="9"/>
      <c r="AH232" s="7">
        <v>356198.36</v>
      </c>
      <c r="AI232" s="7">
        <v>107153.42</v>
      </c>
    </row>
    <row r="233" spans="2:35" x14ac:dyDescent="0.3">
      <c r="B233" s="5" t="s">
        <v>3061</v>
      </c>
      <c r="C233" s="5" t="s">
        <v>13</v>
      </c>
      <c r="D233" s="6" t="s">
        <v>72</v>
      </c>
      <c r="E233" s="6" t="s">
        <v>684</v>
      </c>
      <c r="F233" s="6" t="s">
        <v>685</v>
      </c>
      <c r="G233" s="6" t="s">
        <v>158</v>
      </c>
      <c r="H233" s="7" t="str">
        <f t="shared" si="3"/>
        <v>EPC-IPU-F952-01EXTRA LAVORI</v>
      </c>
      <c r="I233" s="5" t="s">
        <v>49</v>
      </c>
      <c r="J233" s="8" t="s">
        <v>76</v>
      </c>
      <c r="K233" s="8" t="s">
        <v>76</v>
      </c>
      <c r="L233" s="9">
        <v>0</v>
      </c>
      <c r="M233" s="9">
        <v>73.92</v>
      </c>
      <c r="N233" s="9">
        <v>0</v>
      </c>
      <c r="O233" s="9">
        <v>73.92</v>
      </c>
      <c r="P233" s="9">
        <v>0</v>
      </c>
      <c r="Q233" s="9">
        <v>73.92</v>
      </c>
      <c r="R233" s="9">
        <v>0</v>
      </c>
      <c r="S233" s="9">
        <v>73.92</v>
      </c>
      <c r="T233" s="9">
        <v>0</v>
      </c>
      <c r="U233" s="9">
        <v>73.92</v>
      </c>
      <c r="V233" s="9"/>
      <c r="W233" s="9"/>
      <c r="X233" s="9">
        <v>0</v>
      </c>
      <c r="Y233" s="9">
        <v>73.92</v>
      </c>
      <c r="Z233" s="9"/>
      <c r="AA233" s="9"/>
      <c r="AB233" s="9"/>
      <c r="AC233" s="9"/>
      <c r="AD233" s="9"/>
      <c r="AE233" s="9"/>
      <c r="AF233" s="9"/>
      <c r="AG233" s="9"/>
      <c r="AH233" s="7">
        <v>0</v>
      </c>
      <c r="AI233" s="7">
        <v>73.92</v>
      </c>
    </row>
    <row r="234" spans="2:35" x14ac:dyDescent="0.3">
      <c r="B234" s="5" t="s">
        <v>3061</v>
      </c>
      <c r="C234" s="5" t="s">
        <v>13</v>
      </c>
      <c r="D234" s="6" t="s">
        <v>686</v>
      </c>
      <c r="E234" s="6" t="s">
        <v>687</v>
      </c>
      <c r="F234" s="6" t="s">
        <v>687</v>
      </c>
      <c r="G234" s="6" t="s">
        <v>688</v>
      </c>
      <c r="H234" s="7" t="str">
        <f t="shared" si="3"/>
        <v>SINISTRI- No Activity Code -</v>
      </c>
      <c r="I234" s="5" t="s">
        <v>689</v>
      </c>
      <c r="J234" s="5" t="s">
        <v>690</v>
      </c>
      <c r="K234" s="8" t="s">
        <v>690</v>
      </c>
      <c r="L234" s="9">
        <v>0</v>
      </c>
      <c r="M234" s="9">
        <v>4846.7</v>
      </c>
      <c r="N234" s="9">
        <v>0</v>
      </c>
      <c r="O234" s="9">
        <v>6938.04</v>
      </c>
      <c r="P234" s="9">
        <v>0</v>
      </c>
      <c r="Q234" s="9">
        <v>8288.0400000000009</v>
      </c>
      <c r="R234" s="9">
        <v>0</v>
      </c>
      <c r="S234" s="9">
        <v>11816.53</v>
      </c>
      <c r="T234" s="9">
        <v>0</v>
      </c>
      <c r="U234" s="9">
        <v>13766.53</v>
      </c>
      <c r="V234" s="9"/>
      <c r="W234" s="9"/>
      <c r="X234" s="9">
        <v>0</v>
      </c>
      <c r="Y234" s="9">
        <v>0</v>
      </c>
      <c r="Z234" s="9"/>
      <c r="AA234" s="9"/>
      <c r="AB234" s="9"/>
      <c r="AC234" s="9"/>
      <c r="AD234" s="9"/>
      <c r="AE234" s="9"/>
      <c r="AF234" s="9"/>
      <c r="AG234" s="9"/>
      <c r="AH234" s="7">
        <v>0</v>
      </c>
      <c r="AI234" s="7">
        <v>0</v>
      </c>
    </row>
    <row r="235" spans="2:35" x14ac:dyDescent="0.3">
      <c r="B235" s="5" t="s">
        <v>3061</v>
      </c>
      <c r="C235" s="5" t="s">
        <v>13</v>
      </c>
      <c r="D235" s="6" t="s">
        <v>686</v>
      </c>
      <c r="E235" s="6" t="s">
        <v>691</v>
      </c>
      <c r="F235" s="6" t="s">
        <v>691</v>
      </c>
      <c r="G235" s="6" t="s">
        <v>688</v>
      </c>
      <c r="H235" s="7" t="str">
        <f t="shared" si="3"/>
        <v>STRUTTURA BU NORD- No Activity Code -</v>
      </c>
      <c r="I235" s="5" t="s">
        <v>689</v>
      </c>
      <c r="J235" s="8" t="s">
        <v>690</v>
      </c>
      <c r="K235" s="8" t="s">
        <v>690</v>
      </c>
      <c r="L235" s="9">
        <v>0</v>
      </c>
      <c r="M235" s="9">
        <v>13750.800000000001</v>
      </c>
      <c r="N235" s="9">
        <v>0</v>
      </c>
      <c r="O235" s="9">
        <v>23178.52</v>
      </c>
      <c r="P235" s="9">
        <v>0</v>
      </c>
      <c r="Q235" s="9">
        <v>29956.5</v>
      </c>
      <c r="R235" s="9">
        <v>0</v>
      </c>
      <c r="S235" s="9">
        <v>38407.54</v>
      </c>
      <c r="T235" s="9">
        <v>0</v>
      </c>
      <c r="U235" s="9">
        <v>46818.990000000005</v>
      </c>
      <c r="V235" s="9"/>
      <c r="W235" s="9"/>
      <c r="X235" s="9">
        <v>0</v>
      </c>
      <c r="Y235" s="9">
        <v>0</v>
      </c>
      <c r="Z235" s="9"/>
      <c r="AA235" s="9"/>
      <c r="AB235" s="9"/>
      <c r="AC235" s="9"/>
      <c r="AD235" s="9"/>
      <c r="AE235" s="9"/>
      <c r="AF235" s="9"/>
      <c r="AG235" s="9"/>
      <c r="AH235" s="7">
        <v>0</v>
      </c>
      <c r="AI235" s="7">
        <v>0</v>
      </c>
    </row>
    <row r="236" spans="2:35" x14ac:dyDescent="0.3">
      <c r="B236" s="5" t="s">
        <v>3061</v>
      </c>
      <c r="C236" s="5" t="s">
        <v>13</v>
      </c>
      <c r="D236" s="6" t="s">
        <v>686</v>
      </c>
      <c r="E236" s="6" t="s">
        <v>692</v>
      </c>
      <c r="F236" s="6" t="s">
        <v>693</v>
      </c>
      <c r="G236" s="6" t="s">
        <v>694</v>
      </c>
      <c r="H236" s="7" t="str">
        <f t="shared" si="3"/>
        <v>SEC-CIM-D593-01- No Activity Code -</v>
      </c>
      <c r="I236" s="5" t="s">
        <v>18</v>
      </c>
      <c r="J236" s="8" t="s">
        <v>695</v>
      </c>
      <c r="K236" s="8" t="s">
        <v>695</v>
      </c>
      <c r="L236" s="9">
        <v>9411.9500000000007</v>
      </c>
      <c r="M236" s="9">
        <v>3895.9250000000002</v>
      </c>
      <c r="N236" s="9">
        <v>9411.9500000000007</v>
      </c>
      <c r="O236" s="9">
        <v>8140.2649999999994</v>
      </c>
      <c r="P236" s="9">
        <v>9411.9500000000007</v>
      </c>
      <c r="Q236" s="9">
        <v>8740.02</v>
      </c>
      <c r="R236" s="9">
        <v>9411.9500000000007</v>
      </c>
      <c r="S236" s="9">
        <v>9594.36</v>
      </c>
      <c r="T236" s="9">
        <v>9411.9500000000007</v>
      </c>
      <c r="U236" s="9">
        <v>11749.089999999998</v>
      </c>
      <c r="V236" s="9"/>
      <c r="W236" s="9"/>
      <c r="X236" s="9">
        <v>0</v>
      </c>
      <c r="Y236" s="9">
        <v>0</v>
      </c>
      <c r="Z236" s="9"/>
      <c r="AA236" s="9"/>
      <c r="AB236" s="9"/>
      <c r="AC236" s="9"/>
      <c r="AD236" s="9"/>
      <c r="AE236" s="9"/>
      <c r="AF236" s="9"/>
      <c r="AG236" s="9"/>
      <c r="AH236" s="7">
        <v>0</v>
      </c>
      <c r="AI236" s="7">
        <v>0</v>
      </c>
    </row>
    <row r="237" spans="2:35" x14ac:dyDescent="0.3">
      <c r="B237" s="5" t="s">
        <v>3061</v>
      </c>
      <c r="C237" s="5" t="s">
        <v>13</v>
      </c>
      <c r="D237" s="6" t="s">
        <v>686</v>
      </c>
      <c r="E237" s="6" t="s">
        <v>696</v>
      </c>
      <c r="F237" s="6" t="s">
        <v>696</v>
      </c>
      <c r="G237" s="6" t="s">
        <v>688</v>
      </c>
      <c r="H237" s="7" t="str">
        <f t="shared" si="3"/>
        <v>CABLAGGIO MLS- No Activity Code -</v>
      </c>
      <c r="I237" s="5" t="s">
        <v>689</v>
      </c>
      <c r="J237" s="8" t="s">
        <v>690</v>
      </c>
      <c r="K237" s="8" t="s">
        <v>690</v>
      </c>
      <c r="L237" s="9">
        <v>0</v>
      </c>
      <c r="M237" s="9">
        <v>15865.074999999999</v>
      </c>
      <c r="N237" s="9">
        <v>0</v>
      </c>
      <c r="O237" s="9">
        <v>27451.224999999999</v>
      </c>
      <c r="P237" s="9">
        <v>0</v>
      </c>
      <c r="Q237" s="9">
        <v>37619.26</v>
      </c>
      <c r="R237" s="9">
        <v>0</v>
      </c>
      <c r="S237" s="9">
        <v>45275.69</v>
      </c>
      <c r="T237" s="9">
        <v>0</v>
      </c>
      <c r="U237" s="9">
        <v>52487.58</v>
      </c>
      <c r="V237" s="9"/>
      <c r="W237" s="9"/>
      <c r="X237" s="9">
        <v>0</v>
      </c>
      <c r="Y237" s="9">
        <v>0</v>
      </c>
      <c r="Z237" s="9"/>
      <c r="AA237" s="9"/>
      <c r="AB237" s="9"/>
      <c r="AC237" s="9"/>
      <c r="AD237" s="9"/>
      <c r="AE237" s="9"/>
      <c r="AF237" s="9"/>
      <c r="AG237" s="9"/>
      <c r="AH237" s="7">
        <v>0</v>
      </c>
      <c r="AI237" s="7">
        <v>0</v>
      </c>
    </row>
    <row r="238" spans="2:35" x14ac:dyDescent="0.3">
      <c r="B238" s="5" t="s">
        <v>3061</v>
      </c>
      <c r="C238" s="5" t="s">
        <v>13</v>
      </c>
      <c r="D238" s="6" t="s">
        <v>686</v>
      </c>
      <c r="E238" s="6" t="s">
        <v>697</v>
      </c>
      <c r="F238" s="6" t="s">
        <v>698</v>
      </c>
      <c r="G238" s="6" t="s">
        <v>694</v>
      </c>
      <c r="H238" s="7" t="str">
        <f t="shared" si="3"/>
        <v>SEC-PHV-D593-01- No Activity Code -</v>
      </c>
      <c r="I238" s="5" t="s">
        <v>18</v>
      </c>
      <c r="J238" s="5" t="s">
        <v>454</v>
      </c>
      <c r="K238" s="8" t="s">
        <v>454</v>
      </c>
      <c r="L238" s="9">
        <v>0</v>
      </c>
      <c r="M238" s="9">
        <v>173.2</v>
      </c>
      <c r="N238" s="9">
        <v>0</v>
      </c>
      <c r="O238" s="9">
        <v>3540.25</v>
      </c>
      <c r="P238" s="9">
        <v>0</v>
      </c>
      <c r="Q238" s="9">
        <v>3620.81</v>
      </c>
      <c r="R238" s="9">
        <v>0</v>
      </c>
      <c r="S238" s="9">
        <v>3701.37</v>
      </c>
      <c r="T238" s="9">
        <v>0</v>
      </c>
      <c r="U238" s="9">
        <v>5456.12</v>
      </c>
      <c r="V238" s="9"/>
      <c r="W238" s="9"/>
      <c r="X238" s="9">
        <v>0</v>
      </c>
      <c r="Y238" s="9">
        <v>0</v>
      </c>
      <c r="Z238" s="9"/>
      <c r="AA238" s="9"/>
      <c r="AB238" s="9"/>
      <c r="AC238" s="9"/>
      <c r="AD238" s="9"/>
      <c r="AE238" s="9"/>
      <c r="AF238" s="9"/>
      <c r="AG238" s="9"/>
      <c r="AH238" s="7">
        <v>0</v>
      </c>
      <c r="AI238" s="7">
        <v>0</v>
      </c>
    </row>
    <row r="239" spans="2:35" x14ac:dyDescent="0.3">
      <c r="B239" s="5" t="s">
        <v>3061</v>
      </c>
      <c r="C239" s="5" t="s">
        <v>13</v>
      </c>
      <c r="D239" s="6" t="s">
        <v>686</v>
      </c>
      <c r="E239" s="6" t="s">
        <v>699</v>
      </c>
      <c r="F239" s="6" t="s">
        <v>699</v>
      </c>
      <c r="G239" s="6" t="s">
        <v>688</v>
      </c>
      <c r="H239" s="7" t="str">
        <f t="shared" si="3"/>
        <v>STRUTTURA- No Activity Code -</v>
      </c>
      <c r="I239" s="5" t="s">
        <v>689</v>
      </c>
      <c r="J239" s="5" t="s">
        <v>690</v>
      </c>
      <c r="K239" s="8" t="s">
        <v>690</v>
      </c>
      <c r="L239" s="9">
        <v>0</v>
      </c>
      <c r="M239" s="9">
        <v>343865.92499999999</v>
      </c>
      <c r="N239" s="9">
        <v>0</v>
      </c>
      <c r="O239" s="9">
        <v>638703.21</v>
      </c>
      <c r="P239" s="9">
        <v>0</v>
      </c>
      <c r="Q239" s="9">
        <v>836190.66500000004</v>
      </c>
      <c r="R239" s="9">
        <v>0</v>
      </c>
      <c r="S239" s="9">
        <v>1046715.43</v>
      </c>
      <c r="T239" s="9">
        <v>0</v>
      </c>
      <c r="U239" s="9">
        <v>1254482.42</v>
      </c>
      <c r="V239" s="9"/>
      <c r="W239" s="9"/>
      <c r="X239" s="9">
        <v>0</v>
      </c>
      <c r="Y239" s="9">
        <v>0</v>
      </c>
      <c r="Z239" s="9"/>
      <c r="AA239" s="9"/>
      <c r="AB239" s="9"/>
      <c r="AC239" s="9"/>
      <c r="AD239" s="9"/>
      <c r="AE239" s="9"/>
      <c r="AF239" s="9"/>
      <c r="AG239" s="9"/>
      <c r="AH239" s="7">
        <v>0</v>
      </c>
      <c r="AI239" s="7">
        <v>0</v>
      </c>
    </row>
    <row r="240" spans="2:35" x14ac:dyDescent="0.3">
      <c r="B240" s="5" t="s">
        <v>3061</v>
      </c>
      <c r="C240" s="5" t="s">
        <v>13</v>
      </c>
      <c r="D240" s="6" t="s">
        <v>686</v>
      </c>
      <c r="E240" s="6" t="s">
        <v>700</v>
      </c>
      <c r="F240" s="6" t="s">
        <v>701</v>
      </c>
      <c r="G240" s="6" t="s">
        <v>702</v>
      </c>
      <c r="H240" s="7" t="str">
        <f t="shared" si="3"/>
        <v>SEC-CIM-A519-01- No Activity Code -</v>
      </c>
      <c r="I240" s="8" t="s">
        <v>18</v>
      </c>
      <c r="J240" s="8" t="s">
        <v>695</v>
      </c>
      <c r="K240" s="8" t="s">
        <v>695</v>
      </c>
      <c r="L240" s="9">
        <v>0</v>
      </c>
      <c r="M240" s="9">
        <v>20920.654999999999</v>
      </c>
      <c r="N240" s="9">
        <v>0</v>
      </c>
      <c r="O240" s="9">
        <v>32874.5</v>
      </c>
      <c r="P240" s="9">
        <v>0</v>
      </c>
      <c r="Q240" s="9">
        <v>40328.210000000006</v>
      </c>
      <c r="R240" s="9">
        <v>-28560</v>
      </c>
      <c r="S240" s="9">
        <v>49154.45</v>
      </c>
      <c r="T240" s="9">
        <v>-28560</v>
      </c>
      <c r="U240" s="9">
        <v>58089.885000000002</v>
      </c>
      <c r="V240" s="9"/>
      <c r="W240" s="9"/>
      <c r="X240" s="9">
        <v>0</v>
      </c>
      <c r="Y240" s="9">
        <v>0</v>
      </c>
      <c r="Z240" s="9"/>
      <c r="AA240" s="9"/>
      <c r="AB240" s="9"/>
      <c r="AC240" s="9"/>
      <c r="AD240" s="9"/>
      <c r="AE240" s="9"/>
      <c r="AF240" s="9"/>
      <c r="AG240" s="9"/>
      <c r="AH240" s="7">
        <v>0</v>
      </c>
      <c r="AI240" s="7">
        <v>0</v>
      </c>
    </row>
    <row r="241" spans="2:35" x14ac:dyDescent="0.3">
      <c r="B241" s="5" t="s">
        <v>3061</v>
      </c>
      <c r="C241" s="5" t="s">
        <v>13</v>
      </c>
      <c r="D241" s="6" t="s">
        <v>686</v>
      </c>
      <c r="E241" s="6" t="s">
        <v>703</v>
      </c>
      <c r="F241" s="6" t="s">
        <v>704</v>
      </c>
      <c r="G241" s="6" t="s">
        <v>295</v>
      </c>
      <c r="H241" s="7" t="str">
        <f t="shared" si="3"/>
        <v>SEC-CIM-E033-01- No Activity Code -</v>
      </c>
      <c r="I241" s="5" t="s">
        <v>18</v>
      </c>
      <c r="J241" s="8" t="s">
        <v>695</v>
      </c>
      <c r="K241" s="8" t="s">
        <v>695</v>
      </c>
      <c r="L241" s="9">
        <v>0</v>
      </c>
      <c r="M241" s="9">
        <v>126.51</v>
      </c>
      <c r="N241" s="9">
        <v>0</v>
      </c>
      <c r="O241" s="9">
        <v>126.51</v>
      </c>
      <c r="P241" s="9">
        <v>0</v>
      </c>
      <c r="Q241" s="9">
        <v>126.51</v>
      </c>
      <c r="R241" s="9">
        <v>0</v>
      </c>
      <c r="S241" s="9">
        <v>126.51</v>
      </c>
      <c r="T241" s="9">
        <v>0</v>
      </c>
      <c r="U241" s="9">
        <v>126.51</v>
      </c>
      <c r="V241" s="9"/>
      <c r="W241" s="9"/>
      <c r="X241" s="9">
        <v>0</v>
      </c>
      <c r="Y241" s="9">
        <v>0</v>
      </c>
      <c r="Z241" s="9"/>
      <c r="AA241" s="9"/>
      <c r="AB241" s="9"/>
      <c r="AC241" s="9"/>
      <c r="AD241" s="9"/>
      <c r="AE241" s="9"/>
      <c r="AF241" s="9"/>
      <c r="AG241" s="9"/>
      <c r="AH241" s="7">
        <v>0</v>
      </c>
      <c r="AI241" s="7">
        <v>0</v>
      </c>
    </row>
    <row r="242" spans="2:35" x14ac:dyDescent="0.3">
      <c r="B242" s="5" t="s">
        <v>3061</v>
      </c>
      <c r="C242" s="5" t="s">
        <v>13</v>
      </c>
      <c r="D242" s="6" t="s">
        <v>686</v>
      </c>
      <c r="E242" s="6" t="s">
        <v>705</v>
      </c>
      <c r="F242" s="6" t="s">
        <v>705</v>
      </c>
      <c r="G242" s="6" t="s">
        <v>688</v>
      </c>
      <c r="H242" s="7" t="str">
        <f t="shared" si="3"/>
        <v>PREVENTIVI SELETTRA- No Activity Code -</v>
      </c>
      <c r="I242" s="5" t="s">
        <v>689</v>
      </c>
      <c r="J242" s="5" t="s">
        <v>690</v>
      </c>
      <c r="K242" s="8" t="s">
        <v>690</v>
      </c>
      <c r="L242" s="9">
        <v>0</v>
      </c>
      <c r="M242" s="9">
        <v>5183.2</v>
      </c>
      <c r="N242" s="9">
        <v>0</v>
      </c>
      <c r="O242" s="9">
        <v>8284</v>
      </c>
      <c r="P242" s="9">
        <v>0</v>
      </c>
      <c r="Q242" s="9">
        <v>10561.72</v>
      </c>
      <c r="R242" s="9">
        <v>0</v>
      </c>
      <c r="S242" s="9">
        <v>13769.56</v>
      </c>
      <c r="T242" s="9">
        <v>0</v>
      </c>
      <c r="U242" s="9">
        <v>16644.88</v>
      </c>
      <c r="V242" s="9"/>
      <c r="W242" s="9"/>
      <c r="X242" s="9">
        <v>0</v>
      </c>
      <c r="Y242" s="9">
        <v>0</v>
      </c>
      <c r="Z242" s="9"/>
      <c r="AA242" s="9"/>
      <c r="AB242" s="9"/>
      <c r="AC242" s="9"/>
      <c r="AD242" s="9"/>
      <c r="AE242" s="9"/>
      <c r="AF242" s="9"/>
      <c r="AG242" s="9"/>
      <c r="AH242" s="7">
        <v>0</v>
      </c>
      <c r="AI242" s="7">
        <v>0</v>
      </c>
    </row>
    <row r="243" spans="2:35" x14ac:dyDescent="0.3">
      <c r="B243" s="5" t="s">
        <v>3061</v>
      </c>
      <c r="C243" s="5" t="s">
        <v>13</v>
      </c>
      <c r="D243" s="6" t="s">
        <v>686</v>
      </c>
      <c r="E243" s="6" t="s">
        <v>706</v>
      </c>
      <c r="F243" s="6" t="s">
        <v>706</v>
      </c>
      <c r="G243" s="6" t="s">
        <v>688</v>
      </c>
      <c r="H243" s="7" t="str">
        <f t="shared" si="3"/>
        <v>STRUTTURA BU CENTRO- No Activity Code -</v>
      </c>
      <c r="I243" s="5" t="s">
        <v>24</v>
      </c>
      <c r="J243" s="8" t="s">
        <v>690</v>
      </c>
      <c r="K243" s="8" t="s">
        <v>690</v>
      </c>
      <c r="L243" s="9">
        <v>0</v>
      </c>
      <c r="M243" s="9">
        <v>83551.654999999999</v>
      </c>
      <c r="N243" s="9">
        <v>0</v>
      </c>
      <c r="O243" s="9">
        <v>137000.435</v>
      </c>
      <c r="P243" s="9">
        <v>0</v>
      </c>
      <c r="Q243" s="9">
        <v>172418.98499999999</v>
      </c>
      <c r="R243" s="9">
        <v>0</v>
      </c>
      <c r="S243" s="9">
        <v>218305.18</v>
      </c>
      <c r="T243" s="9">
        <v>0</v>
      </c>
      <c r="U243" s="9">
        <v>259151.63999999998</v>
      </c>
      <c r="V243" s="9"/>
      <c r="W243" s="9"/>
      <c r="X243" s="9">
        <v>0</v>
      </c>
      <c r="Y243" s="9">
        <v>0</v>
      </c>
      <c r="Z243" s="9"/>
      <c r="AA243" s="9"/>
      <c r="AB243" s="9"/>
      <c r="AC243" s="9"/>
      <c r="AD243" s="9"/>
      <c r="AE243" s="9"/>
      <c r="AF243" s="9"/>
      <c r="AG243" s="9"/>
      <c r="AH243" s="7">
        <v>0</v>
      </c>
      <c r="AI243" s="7">
        <v>0</v>
      </c>
    </row>
    <row r="244" spans="2:35" x14ac:dyDescent="0.3">
      <c r="B244" s="5" t="s">
        <v>3061</v>
      </c>
      <c r="C244" s="5" t="s">
        <v>13</v>
      </c>
      <c r="D244" s="6" t="s">
        <v>686</v>
      </c>
      <c r="E244" s="6" t="s">
        <v>707</v>
      </c>
      <c r="F244" s="6" t="s">
        <v>707</v>
      </c>
      <c r="G244" s="6" t="s">
        <v>688</v>
      </c>
      <c r="H244" s="7" t="str">
        <f t="shared" si="3"/>
        <v>STRUTTURA BU SUD- No Activity Code -</v>
      </c>
      <c r="I244" s="5" t="s">
        <v>18</v>
      </c>
      <c r="J244" s="8" t="s">
        <v>690</v>
      </c>
      <c r="K244" s="8" t="s">
        <v>690</v>
      </c>
      <c r="L244" s="9">
        <v>0</v>
      </c>
      <c r="M244" s="9">
        <v>5033.84</v>
      </c>
      <c r="N244" s="9">
        <v>0</v>
      </c>
      <c r="O244" s="9">
        <v>9498.41</v>
      </c>
      <c r="P244" s="9">
        <v>0</v>
      </c>
      <c r="Q244" s="9">
        <v>12226.014999999999</v>
      </c>
      <c r="R244" s="9">
        <v>0</v>
      </c>
      <c r="S244" s="9">
        <v>23079.09</v>
      </c>
      <c r="T244" s="9">
        <v>0</v>
      </c>
      <c r="U244" s="9">
        <v>35955.870000000003</v>
      </c>
      <c r="V244" s="9"/>
      <c r="W244" s="9"/>
      <c r="X244" s="9">
        <v>0</v>
      </c>
      <c r="Y244" s="9">
        <v>0</v>
      </c>
      <c r="Z244" s="9"/>
      <c r="AA244" s="9"/>
      <c r="AB244" s="9"/>
      <c r="AC244" s="9"/>
      <c r="AD244" s="9"/>
      <c r="AE244" s="9"/>
      <c r="AF244" s="9"/>
      <c r="AG244" s="9"/>
      <c r="AH244" s="7">
        <v>0</v>
      </c>
      <c r="AI244" s="7">
        <v>0</v>
      </c>
    </row>
    <row r="245" spans="2:35" x14ac:dyDescent="0.3">
      <c r="B245" s="5" t="s">
        <v>3061</v>
      </c>
      <c r="C245" s="5" t="s">
        <v>13</v>
      </c>
      <c r="D245" s="6" t="s">
        <v>686</v>
      </c>
      <c r="E245" s="6" t="s">
        <v>708</v>
      </c>
      <c r="F245" s="6" t="s">
        <v>709</v>
      </c>
      <c r="G245" s="6" t="s">
        <v>688</v>
      </c>
      <c r="H245" s="7" t="str">
        <f t="shared" si="3"/>
        <v>MANUTENZIONE MEZZI AZIENDALI- No Activity Code -</v>
      </c>
      <c r="I245" s="5" t="s">
        <v>689</v>
      </c>
      <c r="J245" s="8" t="s">
        <v>690</v>
      </c>
      <c r="K245" s="8" t="s">
        <v>690</v>
      </c>
      <c r="L245" s="9">
        <v>0</v>
      </c>
      <c r="M245" s="9">
        <v>11557.17</v>
      </c>
      <c r="N245" s="9">
        <v>0</v>
      </c>
      <c r="O245" s="9">
        <v>21266.18</v>
      </c>
      <c r="P245" s="9">
        <v>0</v>
      </c>
      <c r="Q245" s="9">
        <v>54737.52</v>
      </c>
      <c r="R245" s="9">
        <v>0</v>
      </c>
      <c r="S245" s="9">
        <v>62686.44</v>
      </c>
      <c r="T245" s="9">
        <v>0</v>
      </c>
      <c r="U245" s="9">
        <v>65500.23</v>
      </c>
      <c r="V245" s="9"/>
      <c r="W245" s="9"/>
      <c r="X245" s="9">
        <v>0</v>
      </c>
      <c r="Y245" s="9">
        <v>0</v>
      </c>
      <c r="Z245" s="9"/>
      <c r="AA245" s="9"/>
      <c r="AB245" s="9"/>
      <c r="AC245" s="9"/>
      <c r="AD245" s="9"/>
      <c r="AE245" s="9"/>
      <c r="AF245" s="9"/>
      <c r="AG245" s="9"/>
      <c r="AH245" s="7">
        <v>0</v>
      </c>
      <c r="AI245" s="7">
        <v>0</v>
      </c>
    </row>
    <row r="246" spans="2:35" x14ac:dyDescent="0.3">
      <c r="B246" s="5" t="s">
        <v>3061</v>
      </c>
      <c r="C246" s="5" t="s">
        <v>13</v>
      </c>
      <c r="D246" s="6" t="s">
        <v>686</v>
      </c>
      <c r="E246" s="6" t="s">
        <v>710</v>
      </c>
      <c r="F246" s="6" t="s">
        <v>710</v>
      </c>
      <c r="G246" s="6" t="s">
        <v>688</v>
      </c>
      <c r="H246" s="7" t="str">
        <f t="shared" si="3"/>
        <v>CONSUMABILI- No Activity Code -</v>
      </c>
      <c r="I246" s="5" t="s">
        <v>689</v>
      </c>
      <c r="J246" s="8" t="s">
        <v>690</v>
      </c>
      <c r="K246" s="8" t="s">
        <v>690</v>
      </c>
      <c r="L246" s="9">
        <v>0</v>
      </c>
      <c r="M246" s="9">
        <v>300.20999999999998</v>
      </c>
      <c r="N246" s="9">
        <v>0</v>
      </c>
      <c r="O246" s="9">
        <v>605.53</v>
      </c>
      <c r="P246" s="9">
        <v>0</v>
      </c>
      <c r="Q246" s="9">
        <v>605.53</v>
      </c>
      <c r="R246" s="9">
        <v>0</v>
      </c>
      <c r="S246" s="9">
        <v>937.59</v>
      </c>
      <c r="T246" s="9">
        <v>0</v>
      </c>
      <c r="U246" s="9">
        <v>1491.59</v>
      </c>
      <c r="V246" s="9"/>
      <c r="W246" s="9"/>
      <c r="X246" s="9">
        <v>0</v>
      </c>
      <c r="Y246" s="9">
        <v>0</v>
      </c>
      <c r="Z246" s="9"/>
      <c r="AA246" s="9"/>
      <c r="AB246" s="9"/>
      <c r="AC246" s="9"/>
      <c r="AD246" s="9"/>
      <c r="AE246" s="9"/>
      <c r="AF246" s="9"/>
      <c r="AG246" s="9"/>
      <c r="AH246" s="7">
        <v>0</v>
      </c>
      <c r="AI246" s="7">
        <v>0</v>
      </c>
    </row>
    <row r="247" spans="2:35" x14ac:dyDescent="0.3">
      <c r="B247" s="5" t="s">
        <v>3061</v>
      </c>
      <c r="C247" s="5" t="s">
        <v>13</v>
      </c>
      <c r="D247" s="6" t="s">
        <v>686</v>
      </c>
      <c r="E247" s="6" t="s">
        <v>711</v>
      </c>
      <c r="F247" s="6" t="s">
        <v>711</v>
      </c>
      <c r="G247" s="6" t="s">
        <v>688</v>
      </c>
      <c r="H247" s="7" t="str">
        <f t="shared" si="3"/>
        <v>STRUTTURA BU NORD OVEST- No Activity Code -</v>
      </c>
      <c r="I247" s="5" t="s">
        <v>49</v>
      </c>
      <c r="J247" s="8" t="s">
        <v>690</v>
      </c>
      <c r="K247" s="8" t="s">
        <v>690</v>
      </c>
      <c r="L247" s="9">
        <v>0</v>
      </c>
      <c r="M247" s="9">
        <v>28784.65</v>
      </c>
      <c r="N247" s="9">
        <v>0</v>
      </c>
      <c r="O247" s="9">
        <v>43642.57</v>
      </c>
      <c r="P247" s="9">
        <v>0</v>
      </c>
      <c r="Q247" s="9">
        <v>48821.729999999996</v>
      </c>
      <c r="R247" s="9">
        <v>0</v>
      </c>
      <c r="S247" s="9">
        <v>55227.770000000004</v>
      </c>
      <c r="T247" s="9">
        <v>0</v>
      </c>
      <c r="U247" s="9">
        <v>63469.429999999993</v>
      </c>
      <c r="V247" s="9"/>
      <c r="W247" s="9"/>
      <c r="X247" s="9">
        <v>0</v>
      </c>
      <c r="Y247" s="9">
        <v>0</v>
      </c>
      <c r="Z247" s="9"/>
      <c r="AA247" s="9"/>
      <c r="AB247" s="9"/>
      <c r="AC247" s="9"/>
      <c r="AD247" s="9"/>
      <c r="AE247" s="9"/>
      <c r="AF247" s="9"/>
      <c r="AG247" s="9"/>
      <c r="AH247" s="7">
        <v>0</v>
      </c>
      <c r="AI247" s="7">
        <v>0</v>
      </c>
    </row>
    <row r="248" spans="2:35" x14ac:dyDescent="0.3">
      <c r="B248" s="5" t="s">
        <v>3061</v>
      </c>
      <c r="C248" s="5" t="s">
        <v>13</v>
      </c>
      <c r="D248" s="6" t="s">
        <v>686</v>
      </c>
      <c r="E248" s="6" t="s">
        <v>712</v>
      </c>
      <c r="F248" s="6" t="s">
        <v>713</v>
      </c>
      <c r="G248" s="6" t="s">
        <v>702</v>
      </c>
      <c r="H248" s="7" t="str">
        <f t="shared" si="3"/>
        <v>SEC-PHV-A519-06- No Activity Code -</v>
      </c>
      <c r="I248" s="5" t="s">
        <v>18</v>
      </c>
      <c r="J248" s="8" t="s">
        <v>454</v>
      </c>
      <c r="K248" s="8" t="s">
        <v>454</v>
      </c>
      <c r="L248" s="9">
        <v>0</v>
      </c>
      <c r="M248" s="9">
        <v>244</v>
      </c>
      <c r="N248" s="9">
        <v>0</v>
      </c>
      <c r="O248" s="9">
        <v>0</v>
      </c>
      <c r="P248" s="9">
        <v>0</v>
      </c>
      <c r="Q248" s="9">
        <v>0</v>
      </c>
      <c r="R248" s="9">
        <v>0</v>
      </c>
      <c r="S248" s="9">
        <v>0</v>
      </c>
      <c r="T248" s="9">
        <v>0</v>
      </c>
      <c r="U248" s="9">
        <v>0</v>
      </c>
      <c r="V248" s="9"/>
      <c r="W248" s="9"/>
      <c r="X248" s="9">
        <v>0</v>
      </c>
      <c r="Y248" s="9">
        <v>0</v>
      </c>
      <c r="Z248" s="9"/>
      <c r="AA248" s="9"/>
      <c r="AB248" s="9"/>
      <c r="AC248" s="9"/>
      <c r="AD248" s="9"/>
      <c r="AE248" s="9"/>
      <c r="AF248" s="9"/>
      <c r="AG248" s="9"/>
      <c r="AH248" s="7">
        <v>0</v>
      </c>
      <c r="AI248" s="7">
        <v>0</v>
      </c>
    </row>
    <row r="249" spans="2:35" x14ac:dyDescent="0.3">
      <c r="B249" s="5" t="s">
        <v>3061</v>
      </c>
      <c r="C249" s="5" t="s">
        <v>13</v>
      </c>
      <c r="D249" s="6" t="s">
        <v>686</v>
      </c>
      <c r="E249" s="6" t="s">
        <v>714</v>
      </c>
      <c r="F249" s="6" t="s">
        <v>715</v>
      </c>
      <c r="G249" s="6" t="s">
        <v>716</v>
      </c>
      <c r="H249" s="7" t="str">
        <f t="shared" si="3"/>
        <v>SEC-PHV-F415-01- No Activity Code -</v>
      </c>
      <c r="I249" s="5" t="s">
        <v>24</v>
      </c>
      <c r="J249" s="8" t="s">
        <v>454</v>
      </c>
      <c r="K249" s="8" t="s">
        <v>454</v>
      </c>
      <c r="L249" s="9">
        <v>0</v>
      </c>
      <c r="M249" s="9">
        <v>76.400000000000006</v>
      </c>
      <c r="N249" s="9">
        <v>0</v>
      </c>
      <c r="O249" s="9">
        <v>76.400000000000006</v>
      </c>
      <c r="P249" s="9">
        <v>0</v>
      </c>
      <c r="Q249" s="9">
        <v>152.41999999999999</v>
      </c>
      <c r="R249" s="9">
        <v>0</v>
      </c>
      <c r="S249" s="9">
        <v>185.8</v>
      </c>
      <c r="T249" s="9">
        <v>0</v>
      </c>
      <c r="U249" s="9">
        <v>185.8</v>
      </c>
      <c r="V249" s="9"/>
      <c r="W249" s="9"/>
      <c r="X249" s="9">
        <v>0</v>
      </c>
      <c r="Y249" s="9">
        <v>0</v>
      </c>
      <c r="Z249" s="9"/>
      <c r="AA249" s="9"/>
      <c r="AB249" s="9"/>
      <c r="AC249" s="9"/>
      <c r="AD249" s="9"/>
      <c r="AE249" s="9"/>
      <c r="AF249" s="9"/>
      <c r="AG249" s="9"/>
      <c r="AH249" s="7">
        <v>0</v>
      </c>
      <c r="AI249" s="7">
        <v>0</v>
      </c>
    </row>
    <row r="250" spans="2:35" x14ac:dyDescent="0.3">
      <c r="B250" s="5" t="s">
        <v>3061</v>
      </c>
      <c r="C250" s="5" t="s">
        <v>13</v>
      </c>
      <c r="D250" s="6" t="s">
        <v>686</v>
      </c>
      <c r="E250" s="6" t="s">
        <v>717</v>
      </c>
      <c r="F250" s="6" t="s">
        <v>718</v>
      </c>
      <c r="G250" s="6" t="s">
        <v>719</v>
      </c>
      <c r="H250" s="7" t="str">
        <f t="shared" si="3"/>
        <v>SEC-PHV-M269-01- No Activity Code -</v>
      </c>
      <c r="I250" s="5" t="s">
        <v>18</v>
      </c>
      <c r="J250" s="8" t="s">
        <v>454</v>
      </c>
      <c r="K250" s="8" t="s">
        <v>454</v>
      </c>
      <c r="L250" s="9">
        <v>0</v>
      </c>
      <c r="M250" s="9">
        <v>64.95</v>
      </c>
      <c r="N250" s="9">
        <v>0</v>
      </c>
      <c r="O250" s="9">
        <v>100.35</v>
      </c>
      <c r="P250" s="9">
        <v>0</v>
      </c>
      <c r="Q250" s="9">
        <v>130.56</v>
      </c>
      <c r="R250" s="9">
        <v>0</v>
      </c>
      <c r="S250" s="9">
        <v>160.77000000000001</v>
      </c>
      <c r="T250" s="9">
        <v>0</v>
      </c>
      <c r="U250" s="9">
        <v>190.98</v>
      </c>
      <c r="V250" s="9"/>
      <c r="W250" s="9"/>
      <c r="X250" s="9">
        <v>0</v>
      </c>
      <c r="Y250" s="9">
        <v>0</v>
      </c>
      <c r="Z250" s="9"/>
      <c r="AA250" s="9"/>
      <c r="AB250" s="9"/>
      <c r="AC250" s="9"/>
      <c r="AD250" s="9"/>
      <c r="AE250" s="9"/>
      <c r="AF250" s="9"/>
      <c r="AG250" s="9"/>
      <c r="AH250" s="7">
        <v>0</v>
      </c>
      <c r="AI250" s="7">
        <v>0</v>
      </c>
    </row>
    <row r="251" spans="2:35" x14ac:dyDescent="0.3">
      <c r="B251" s="5" t="s">
        <v>3061</v>
      </c>
      <c r="C251" s="5" t="s">
        <v>13</v>
      </c>
      <c r="D251" s="6" t="s">
        <v>686</v>
      </c>
      <c r="E251" s="6" t="s">
        <v>720</v>
      </c>
      <c r="F251" s="6" t="s">
        <v>721</v>
      </c>
      <c r="G251" s="6" t="s">
        <v>719</v>
      </c>
      <c r="H251" s="7" t="str">
        <f t="shared" si="3"/>
        <v>SEC-PHV-M269-03- No Activity Code -</v>
      </c>
      <c r="I251" s="5" t="s">
        <v>18</v>
      </c>
      <c r="J251" s="8" t="s">
        <v>454</v>
      </c>
      <c r="K251" s="8" t="s">
        <v>454</v>
      </c>
      <c r="L251" s="9">
        <v>0</v>
      </c>
      <c r="M251" s="9">
        <v>556.21</v>
      </c>
      <c r="N251" s="9">
        <v>0</v>
      </c>
      <c r="O251" s="9">
        <v>556.21</v>
      </c>
      <c r="P251" s="9">
        <v>0</v>
      </c>
      <c r="Q251" s="9">
        <v>556.21</v>
      </c>
      <c r="R251" s="9">
        <v>0</v>
      </c>
      <c r="S251" s="9">
        <v>556.21</v>
      </c>
      <c r="T251" s="9">
        <v>1662.3</v>
      </c>
      <c r="U251" s="9">
        <v>1593.18</v>
      </c>
      <c r="V251" s="9"/>
      <c r="W251" s="9"/>
      <c r="X251" s="9">
        <v>0</v>
      </c>
      <c r="Y251" s="9">
        <v>0</v>
      </c>
      <c r="Z251" s="9"/>
      <c r="AA251" s="9"/>
      <c r="AB251" s="9"/>
      <c r="AC251" s="9"/>
      <c r="AD251" s="9"/>
      <c r="AE251" s="9"/>
      <c r="AF251" s="9"/>
      <c r="AG251" s="9"/>
      <c r="AH251" s="7">
        <v>0</v>
      </c>
      <c r="AI251" s="7">
        <v>0</v>
      </c>
    </row>
    <row r="252" spans="2:35" x14ac:dyDescent="0.3">
      <c r="B252" s="5" t="s">
        <v>3061</v>
      </c>
      <c r="C252" s="5" t="s">
        <v>13</v>
      </c>
      <c r="D252" s="6" t="s">
        <v>686</v>
      </c>
      <c r="E252" s="6" t="s">
        <v>722</v>
      </c>
      <c r="F252" s="6" t="s">
        <v>722</v>
      </c>
      <c r="G252" s="6" t="s">
        <v>688</v>
      </c>
      <c r="H252" s="7" t="str">
        <f t="shared" si="3"/>
        <v>L104 PERMESSI- No Activity Code -</v>
      </c>
      <c r="I252" s="5" t="s">
        <v>689</v>
      </c>
      <c r="J252" s="8" t="s">
        <v>690</v>
      </c>
      <c r="K252" s="8" t="s">
        <v>690</v>
      </c>
      <c r="L252" s="9">
        <v>0</v>
      </c>
      <c r="M252" s="9">
        <v>1321.39</v>
      </c>
      <c r="N252" s="9">
        <v>0</v>
      </c>
      <c r="O252" s="9">
        <v>2228.75</v>
      </c>
      <c r="P252" s="9">
        <v>0</v>
      </c>
      <c r="Q252" s="9">
        <v>3109.39</v>
      </c>
      <c r="R252" s="9">
        <v>0</v>
      </c>
      <c r="S252" s="9">
        <v>3940.15</v>
      </c>
      <c r="T252" s="9">
        <v>0</v>
      </c>
      <c r="U252" s="9">
        <v>4513.7299999999996</v>
      </c>
      <c r="V252" s="9"/>
      <c r="W252" s="9"/>
      <c r="X252" s="9">
        <v>0</v>
      </c>
      <c r="Y252" s="9">
        <v>0</v>
      </c>
      <c r="Z252" s="9"/>
      <c r="AA252" s="9"/>
      <c r="AB252" s="9"/>
      <c r="AC252" s="9"/>
      <c r="AD252" s="9"/>
      <c r="AE252" s="9"/>
      <c r="AF252" s="9"/>
      <c r="AG252" s="9"/>
      <c r="AH252" s="7">
        <v>0</v>
      </c>
      <c r="AI252" s="7">
        <v>0</v>
      </c>
    </row>
    <row r="253" spans="2:35" x14ac:dyDescent="0.3">
      <c r="B253" s="5" t="s">
        <v>3061</v>
      </c>
      <c r="C253" s="5" t="s">
        <v>13</v>
      </c>
      <c r="D253" s="6" t="s">
        <v>14</v>
      </c>
      <c r="E253" s="6" t="s">
        <v>723</v>
      </c>
      <c r="F253" s="6" t="s">
        <v>724</v>
      </c>
      <c r="G253" s="6" t="s">
        <v>386</v>
      </c>
      <c r="H253" s="7" t="str">
        <f t="shared" si="3"/>
        <v>PPP-EEE-C638-02OPERATIONAL</v>
      </c>
      <c r="I253" s="5" t="s">
        <v>56</v>
      </c>
      <c r="J253" s="8" t="s">
        <v>202</v>
      </c>
      <c r="K253" s="8" t="s">
        <v>202</v>
      </c>
      <c r="L253" s="9">
        <v>41333.300000000003</v>
      </c>
      <c r="M253" s="9">
        <v>10808.33</v>
      </c>
      <c r="N253" s="9">
        <v>61999.96</v>
      </c>
      <c r="O253" s="9">
        <v>43043.91</v>
      </c>
      <c r="P253" s="9">
        <v>82666.62</v>
      </c>
      <c r="Q253" s="9">
        <v>46628.47</v>
      </c>
      <c r="R253" s="9">
        <v>103333.32</v>
      </c>
      <c r="S253" s="9">
        <v>60164.25</v>
      </c>
      <c r="T253" s="9">
        <v>123999.98</v>
      </c>
      <c r="U253" s="9">
        <v>52731.26</v>
      </c>
      <c r="V253" s="9"/>
      <c r="W253" s="9"/>
      <c r="X253" s="9">
        <v>62000</v>
      </c>
      <c r="Y253" s="9">
        <v>52731.18</v>
      </c>
      <c r="Z253" s="9"/>
      <c r="AA253" s="9"/>
      <c r="AB253" s="9"/>
      <c r="AC253" s="9"/>
      <c r="AD253" s="9"/>
      <c r="AE253" s="9"/>
      <c r="AF253" s="9"/>
      <c r="AG253" s="9"/>
      <c r="AH253" s="7">
        <v>62000</v>
      </c>
      <c r="AI253" s="7">
        <v>52731.18</v>
      </c>
    </row>
    <row r="254" spans="2:35" x14ac:dyDescent="0.3">
      <c r="B254" s="5" t="s">
        <v>3061</v>
      </c>
      <c r="C254" s="5" t="s">
        <v>13</v>
      </c>
      <c r="D254" s="11" t="s">
        <v>686</v>
      </c>
      <c r="E254" s="6" t="s">
        <v>725</v>
      </c>
      <c r="F254" s="6" t="s">
        <v>726</v>
      </c>
      <c r="G254" s="6" t="s">
        <v>727</v>
      </c>
      <c r="H254" s="7" t="str">
        <f t="shared" si="3"/>
        <v>SEC-PHV-I457-01- No Activity Code -</v>
      </c>
      <c r="I254" s="8" t="s">
        <v>18</v>
      </c>
      <c r="J254" s="8" t="s">
        <v>454</v>
      </c>
      <c r="K254" s="8" t="s">
        <v>454</v>
      </c>
      <c r="L254" s="9">
        <v>0</v>
      </c>
      <c r="M254" s="9">
        <v>64.95</v>
      </c>
      <c r="N254" s="9">
        <v>0</v>
      </c>
      <c r="O254" s="9">
        <v>100.35</v>
      </c>
      <c r="P254" s="9">
        <v>0</v>
      </c>
      <c r="Q254" s="9">
        <v>130.56</v>
      </c>
      <c r="R254" s="9">
        <v>0</v>
      </c>
      <c r="S254" s="9">
        <v>400.98</v>
      </c>
      <c r="T254" s="9">
        <v>0</v>
      </c>
      <c r="U254" s="9">
        <v>431.19</v>
      </c>
      <c r="V254" s="9"/>
      <c r="W254" s="9"/>
      <c r="X254" s="9">
        <v>0</v>
      </c>
      <c r="Y254" s="9">
        <v>0</v>
      </c>
      <c r="Z254" s="9"/>
      <c r="AA254" s="9"/>
      <c r="AB254" s="9"/>
      <c r="AC254" s="9"/>
      <c r="AD254" s="9"/>
      <c r="AE254" s="9"/>
      <c r="AF254" s="9"/>
      <c r="AG254" s="9"/>
      <c r="AH254" s="7">
        <v>0</v>
      </c>
      <c r="AI254" s="7">
        <v>0</v>
      </c>
    </row>
    <row r="255" spans="2:35" x14ac:dyDescent="0.3">
      <c r="B255" s="5" t="s">
        <v>3061</v>
      </c>
      <c r="C255" s="5" t="s">
        <v>13</v>
      </c>
      <c r="D255" s="11" t="s">
        <v>14</v>
      </c>
      <c r="E255" s="6" t="s">
        <v>728</v>
      </c>
      <c r="F255" s="6" t="s">
        <v>729</v>
      </c>
      <c r="G255" s="6" t="s">
        <v>730</v>
      </c>
      <c r="H255" s="7" t="str">
        <f t="shared" si="3"/>
        <v>PPP-IPU-H834-01OPERATIONAL</v>
      </c>
      <c r="I255" s="5" t="s">
        <v>18</v>
      </c>
      <c r="J255" s="5" t="s">
        <v>19</v>
      </c>
      <c r="K255" s="8" t="s">
        <v>20</v>
      </c>
      <c r="L255" s="9">
        <v>0</v>
      </c>
      <c r="M255" s="9">
        <v>231</v>
      </c>
      <c r="N255" s="9">
        <v>0</v>
      </c>
      <c r="O255" s="9">
        <v>0</v>
      </c>
      <c r="P255" s="9">
        <v>0</v>
      </c>
      <c r="Q255" s="9">
        <v>0</v>
      </c>
      <c r="R255" s="9">
        <v>0</v>
      </c>
      <c r="S255" s="9">
        <v>0</v>
      </c>
      <c r="T255" s="9">
        <v>0</v>
      </c>
      <c r="U255" s="9">
        <v>0</v>
      </c>
      <c r="V255" s="9"/>
      <c r="W255" s="9"/>
      <c r="X255" s="9">
        <v>0</v>
      </c>
      <c r="Y255" s="9">
        <v>0</v>
      </c>
      <c r="Z255" s="9"/>
      <c r="AA255" s="9"/>
      <c r="AB255" s="9"/>
      <c r="AC255" s="9"/>
      <c r="AD255" s="9"/>
      <c r="AE255" s="9"/>
      <c r="AF255" s="9"/>
      <c r="AG255" s="9"/>
      <c r="AH255" s="7">
        <v>0</v>
      </c>
      <c r="AI255" s="7">
        <v>0</v>
      </c>
    </row>
    <row r="256" spans="2:35" x14ac:dyDescent="0.3">
      <c r="B256" s="5" t="s">
        <v>3061</v>
      </c>
      <c r="C256" s="5" t="s">
        <v>13</v>
      </c>
      <c r="D256" s="11" t="s">
        <v>14</v>
      </c>
      <c r="E256" s="6" t="s">
        <v>731</v>
      </c>
      <c r="F256" s="6" t="s">
        <v>732</v>
      </c>
      <c r="G256" s="6" t="s">
        <v>733</v>
      </c>
      <c r="H256" s="7" t="str">
        <f t="shared" si="3"/>
        <v>PPP-IPU-C485-01OPERATIONAL</v>
      </c>
      <c r="I256" s="5" t="s">
        <v>18</v>
      </c>
      <c r="J256" s="8" t="s">
        <v>19</v>
      </c>
      <c r="K256" s="8" t="s">
        <v>20</v>
      </c>
      <c r="L256" s="9">
        <v>17092.62</v>
      </c>
      <c r="M256" s="9">
        <v>2758.77</v>
      </c>
      <c r="N256" s="9">
        <v>27101.279999999999</v>
      </c>
      <c r="O256" s="9">
        <v>6831.45</v>
      </c>
      <c r="P256" s="9">
        <v>34185.24</v>
      </c>
      <c r="Q256" s="9">
        <v>9742.4699999999993</v>
      </c>
      <c r="R256" s="9">
        <v>44193.9</v>
      </c>
      <c r="S256" s="9">
        <v>14348</v>
      </c>
      <c r="T256" s="9">
        <v>51277.86</v>
      </c>
      <c r="U256" s="9">
        <v>16725.059999999998</v>
      </c>
      <c r="V256" s="9"/>
      <c r="W256" s="9"/>
      <c r="X256" s="9">
        <v>51277.86</v>
      </c>
      <c r="Y256" s="9">
        <v>18995.900000000001</v>
      </c>
      <c r="Z256" s="9"/>
      <c r="AA256" s="9"/>
      <c r="AB256" s="9"/>
      <c r="AC256" s="9"/>
      <c r="AD256" s="9"/>
      <c r="AE256" s="9"/>
      <c r="AF256" s="9"/>
      <c r="AG256" s="9"/>
      <c r="AH256" s="7">
        <v>51277.86</v>
      </c>
      <c r="AI256" s="7">
        <v>18995.900000000001</v>
      </c>
    </row>
    <row r="257" spans="2:35" x14ac:dyDescent="0.3">
      <c r="B257" s="5" t="s">
        <v>3061</v>
      </c>
      <c r="C257" s="5" t="s">
        <v>13</v>
      </c>
      <c r="D257" s="11" t="s">
        <v>686</v>
      </c>
      <c r="E257" s="6" t="s">
        <v>734</v>
      </c>
      <c r="F257" s="6" t="s">
        <v>735</v>
      </c>
      <c r="G257" s="6" t="s">
        <v>702</v>
      </c>
      <c r="H257" s="7" t="str">
        <f t="shared" si="3"/>
        <v>SEC-PHV-A519-05- No Activity Code -</v>
      </c>
      <c r="I257" s="5" t="s">
        <v>18</v>
      </c>
      <c r="J257" s="8" t="s">
        <v>454</v>
      </c>
      <c r="K257" s="8" t="s">
        <v>454</v>
      </c>
      <c r="L257" s="9">
        <v>0</v>
      </c>
      <c r="M257" s="9">
        <v>244</v>
      </c>
      <c r="N257" s="9">
        <v>0</v>
      </c>
      <c r="O257" s="9">
        <v>200</v>
      </c>
      <c r="P257" s="9">
        <v>0</v>
      </c>
      <c r="Q257" s="9">
        <v>9980</v>
      </c>
      <c r="R257" s="9">
        <v>0</v>
      </c>
      <c r="S257" s="9">
        <v>9980</v>
      </c>
      <c r="T257" s="9">
        <v>0</v>
      </c>
      <c r="U257" s="9">
        <v>9980</v>
      </c>
      <c r="V257" s="9"/>
      <c r="W257" s="9"/>
      <c r="X257" s="9">
        <v>0</v>
      </c>
      <c r="Y257" s="9">
        <v>0</v>
      </c>
      <c r="Z257" s="9"/>
      <c r="AA257" s="9"/>
      <c r="AB257" s="9"/>
      <c r="AC257" s="9"/>
      <c r="AD257" s="9"/>
      <c r="AE257" s="9"/>
      <c r="AF257" s="9"/>
      <c r="AG257" s="9"/>
      <c r="AH257" s="7">
        <v>0</v>
      </c>
      <c r="AI257" s="7">
        <v>0</v>
      </c>
    </row>
    <row r="258" spans="2:35" x14ac:dyDescent="0.3">
      <c r="B258" s="5" t="s">
        <v>3061</v>
      </c>
      <c r="C258" s="5" t="s">
        <v>13</v>
      </c>
      <c r="D258" s="11" t="s">
        <v>686</v>
      </c>
      <c r="E258" s="6" t="s">
        <v>736</v>
      </c>
      <c r="F258" s="6" t="s">
        <v>736</v>
      </c>
      <c r="G258" s="6" t="s">
        <v>688</v>
      </c>
      <c r="H258" s="7" t="str">
        <f t="shared" si="3"/>
        <v>NUMERO VERDE- No Activity Code -</v>
      </c>
      <c r="I258" s="5" t="s">
        <v>689</v>
      </c>
      <c r="J258" s="8" t="s">
        <v>690</v>
      </c>
      <c r="K258" s="8" t="s">
        <v>690</v>
      </c>
      <c r="L258" s="9">
        <v>0</v>
      </c>
      <c r="M258" s="9">
        <v>3431.14</v>
      </c>
      <c r="N258" s="9">
        <v>0</v>
      </c>
      <c r="O258" s="9">
        <v>5087.9399999999996</v>
      </c>
      <c r="P258" s="9">
        <v>0</v>
      </c>
      <c r="Q258" s="9">
        <v>6767.84</v>
      </c>
      <c r="R258" s="9">
        <v>0</v>
      </c>
      <c r="S258" s="9">
        <v>7727.37</v>
      </c>
      <c r="T258" s="9">
        <v>0</v>
      </c>
      <c r="U258" s="9">
        <v>9650.48</v>
      </c>
      <c r="V258" s="9"/>
      <c r="W258" s="9"/>
      <c r="X258" s="9">
        <v>0</v>
      </c>
      <c r="Y258" s="9">
        <v>0</v>
      </c>
      <c r="Z258" s="9"/>
      <c r="AA258" s="9"/>
      <c r="AB258" s="9"/>
      <c r="AC258" s="9"/>
      <c r="AD258" s="9"/>
      <c r="AE258" s="9"/>
      <c r="AF258" s="9"/>
      <c r="AG258" s="9"/>
      <c r="AH258" s="7">
        <v>0</v>
      </c>
      <c r="AI258" s="7">
        <v>0</v>
      </c>
    </row>
    <row r="259" spans="2:35" x14ac:dyDescent="0.3">
      <c r="B259" s="5" t="s">
        <v>3061</v>
      </c>
      <c r="C259" s="5" t="s">
        <v>13</v>
      </c>
      <c r="D259" s="11" t="s">
        <v>14</v>
      </c>
      <c r="E259" s="6" t="s">
        <v>737</v>
      </c>
      <c r="F259" s="6" t="s">
        <v>738</v>
      </c>
      <c r="G259" s="6" t="s">
        <v>354</v>
      </c>
      <c r="H259" s="7" t="str">
        <f t="shared" ref="H259:H322" si="4">+F259&amp;D259</f>
        <v>PPP-IPU-I608-01OPERATIONAL</v>
      </c>
      <c r="I259" s="8" t="s">
        <v>24</v>
      </c>
      <c r="J259" s="5" t="s">
        <v>19</v>
      </c>
      <c r="K259" s="8" t="s">
        <v>20</v>
      </c>
      <c r="L259" s="9">
        <v>218618.58</v>
      </c>
      <c r="M259" s="9">
        <v>3437.87</v>
      </c>
      <c r="N259" s="9">
        <v>329901.61</v>
      </c>
      <c r="O259" s="9">
        <v>67726.375</v>
      </c>
      <c r="P259" s="9">
        <v>439868.82</v>
      </c>
      <c r="Q259" s="9">
        <v>30691.755000000001</v>
      </c>
      <c r="R259" s="9">
        <v>549836.03</v>
      </c>
      <c r="S259" s="9">
        <v>59524.955000000002</v>
      </c>
      <c r="T259" s="9">
        <v>633016.32999999996</v>
      </c>
      <c r="U259" s="9">
        <v>96152.214999999997</v>
      </c>
      <c r="V259" s="9"/>
      <c r="W259" s="9"/>
      <c r="X259" s="9">
        <v>835092.83</v>
      </c>
      <c r="Y259" s="9">
        <v>143356.35999999999</v>
      </c>
      <c r="Z259" s="9"/>
      <c r="AA259" s="9"/>
      <c r="AB259" s="9"/>
      <c r="AC259" s="9"/>
      <c r="AD259" s="9"/>
      <c r="AE259" s="9"/>
      <c r="AF259" s="9"/>
      <c r="AG259" s="9"/>
      <c r="AH259" s="7">
        <v>835092.83</v>
      </c>
      <c r="AI259" s="7">
        <v>143356.35999999999</v>
      </c>
    </row>
    <row r="260" spans="2:35" x14ac:dyDescent="0.3">
      <c r="B260" s="5" t="s">
        <v>3061</v>
      </c>
      <c r="C260" s="5" t="s">
        <v>13</v>
      </c>
      <c r="D260" s="11" t="s">
        <v>686</v>
      </c>
      <c r="E260" s="6" t="s">
        <v>739</v>
      </c>
      <c r="F260" s="6" t="s">
        <v>739</v>
      </c>
      <c r="G260" s="6" t="s">
        <v>688</v>
      </c>
      <c r="H260" s="7" t="str">
        <f t="shared" si="4"/>
        <v>STRUTTURA BU NORD EST- No Activity Code -</v>
      </c>
      <c r="I260" s="5" t="s">
        <v>56</v>
      </c>
      <c r="J260" s="5" t="s">
        <v>690</v>
      </c>
      <c r="K260" s="8" t="s">
        <v>690</v>
      </c>
      <c r="L260" s="9">
        <v>0</v>
      </c>
      <c r="M260" s="9">
        <v>72015.06</v>
      </c>
      <c r="N260" s="9">
        <v>0</v>
      </c>
      <c r="O260" s="9">
        <v>95425.02</v>
      </c>
      <c r="P260" s="9">
        <v>0</v>
      </c>
      <c r="Q260" s="9">
        <v>112364.22</v>
      </c>
      <c r="R260" s="9">
        <v>0</v>
      </c>
      <c r="S260" s="9">
        <v>129240.04999999999</v>
      </c>
      <c r="T260" s="9">
        <v>0</v>
      </c>
      <c r="U260" s="9">
        <v>155049.11000000002</v>
      </c>
      <c r="V260" s="9"/>
      <c r="W260" s="9"/>
      <c r="X260" s="9">
        <v>0</v>
      </c>
      <c r="Y260" s="9">
        <v>0</v>
      </c>
      <c r="Z260" s="9"/>
      <c r="AA260" s="9"/>
      <c r="AB260" s="9"/>
      <c r="AC260" s="9"/>
      <c r="AD260" s="9"/>
      <c r="AE260" s="9"/>
      <c r="AF260" s="9"/>
      <c r="AG260" s="9"/>
      <c r="AH260" s="7">
        <v>0</v>
      </c>
      <c r="AI260" s="7">
        <v>0</v>
      </c>
    </row>
    <row r="261" spans="2:35" x14ac:dyDescent="0.3">
      <c r="B261" s="5" t="s">
        <v>3061</v>
      </c>
      <c r="C261" s="5" t="s">
        <v>13</v>
      </c>
      <c r="D261" s="12" t="s">
        <v>686</v>
      </c>
      <c r="E261" s="6" t="s">
        <v>740</v>
      </c>
      <c r="F261" s="13" t="s">
        <v>741</v>
      </c>
      <c r="G261" s="6" t="s">
        <v>702</v>
      </c>
      <c r="H261" s="7" t="str">
        <f t="shared" si="4"/>
        <v>SEC-PHV-A519-01- No Activity Code -</v>
      </c>
      <c r="I261" s="5" t="s">
        <v>18</v>
      </c>
      <c r="J261" s="5" t="s">
        <v>454</v>
      </c>
      <c r="K261" s="8" t="s">
        <v>454</v>
      </c>
      <c r="L261" s="9">
        <v>0</v>
      </c>
      <c r="M261" s="9">
        <v>797.62</v>
      </c>
      <c r="N261" s="9">
        <v>0</v>
      </c>
      <c r="O261" s="9">
        <v>1347.27</v>
      </c>
      <c r="P261" s="9">
        <v>97.82</v>
      </c>
      <c r="Q261" s="9">
        <v>1415.28</v>
      </c>
      <c r="R261" s="9">
        <v>97.82</v>
      </c>
      <c r="S261" s="9">
        <v>1415.28</v>
      </c>
      <c r="T261" s="9">
        <v>97.82</v>
      </c>
      <c r="U261" s="9">
        <v>1415.28</v>
      </c>
      <c r="V261" s="9"/>
      <c r="W261" s="9"/>
      <c r="X261" s="9">
        <v>0</v>
      </c>
      <c r="Y261" s="9">
        <v>0</v>
      </c>
      <c r="Z261" s="9"/>
      <c r="AA261" s="9"/>
      <c r="AB261" s="9"/>
      <c r="AC261" s="9"/>
      <c r="AD261" s="9"/>
      <c r="AE261" s="9"/>
      <c r="AF261" s="9"/>
      <c r="AG261" s="9"/>
      <c r="AH261" s="7">
        <v>0</v>
      </c>
      <c r="AI261" s="7">
        <v>0</v>
      </c>
    </row>
    <row r="262" spans="2:35" x14ac:dyDescent="0.3">
      <c r="B262" s="5" t="s">
        <v>3061</v>
      </c>
      <c r="C262" s="5" t="s">
        <v>13</v>
      </c>
      <c r="D262" s="12" t="s">
        <v>686</v>
      </c>
      <c r="E262" s="6" t="s">
        <v>742</v>
      </c>
      <c r="F262" s="6" t="s">
        <v>742</v>
      </c>
      <c r="G262" s="6" t="s">
        <v>688</v>
      </c>
      <c r="H262" s="7" t="str">
        <f t="shared" si="4"/>
        <v>MALATTIA- No Activity Code -</v>
      </c>
      <c r="I262" s="5" t="s">
        <v>689</v>
      </c>
      <c r="J262" s="5" t="s">
        <v>690</v>
      </c>
      <c r="K262" s="8" t="s">
        <v>690</v>
      </c>
      <c r="L262" s="9">
        <v>0</v>
      </c>
      <c r="M262" s="9">
        <v>23564.29</v>
      </c>
      <c r="N262" s="9">
        <v>0</v>
      </c>
      <c r="O262" s="9">
        <v>31750.59</v>
      </c>
      <c r="P262" s="9">
        <v>0</v>
      </c>
      <c r="Q262" s="9">
        <v>43771.89</v>
      </c>
      <c r="R262" s="9">
        <v>0</v>
      </c>
      <c r="S262" s="9">
        <v>53069.89</v>
      </c>
      <c r="T262" s="9">
        <v>0</v>
      </c>
      <c r="U262" s="9">
        <v>54880.61</v>
      </c>
      <c r="V262" s="9"/>
      <c r="W262" s="9"/>
      <c r="X262" s="9">
        <v>0</v>
      </c>
      <c r="Y262" s="9">
        <v>0</v>
      </c>
      <c r="Z262" s="9"/>
      <c r="AA262" s="9"/>
      <c r="AB262" s="9"/>
      <c r="AC262" s="9"/>
      <c r="AD262" s="9"/>
      <c r="AE262" s="9"/>
      <c r="AF262" s="9"/>
      <c r="AG262" s="9"/>
      <c r="AH262" s="7">
        <v>0</v>
      </c>
      <c r="AI262" s="7">
        <v>0</v>
      </c>
    </row>
    <row r="263" spans="2:35" x14ac:dyDescent="0.3">
      <c r="B263" s="5" t="s">
        <v>3061</v>
      </c>
      <c r="C263" s="5" t="s">
        <v>13</v>
      </c>
      <c r="D263" s="12" t="s">
        <v>619</v>
      </c>
      <c r="E263" s="6" t="s">
        <v>743</v>
      </c>
      <c r="F263" s="13" t="s">
        <v>744</v>
      </c>
      <c r="G263" s="6" t="s">
        <v>745</v>
      </c>
      <c r="H263" s="7" t="str">
        <f t="shared" si="4"/>
        <v>EPC-IPU-A683-02EXTRA LAVORI : Spot</v>
      </c>
      <c r="I263" s="5" t="s">
        <v>49</v>
      </c>
      <c r="J263" s="8" t="s">
        <v>259</v>
      </c>
      <c r="K263" s="8" t="s">
        <v>259</v>
      </c>
      <c r="L263" s="9">
        <v>298.18</v>
      </c>
      <c r="M263" s="9">
        <v>0</v>
      </c>
      <c r="N263" s="9">
        <v>880.47</v>
      </c>
      <c r="O263" s="9">
        <v>0</v>
      </c>
      <c r="P263" s="9">
        <v>2150.1</v>
      </c>
      <c r="Q263" s="9">
        <v>0</v>
      </c>
      <c r="R263" s="9">
        <v>1571.73</v>
      </c>
      <c r="S263" s="9">
        <v>0</v>
      </c>
      <c r="T263" s="9">
        <v>1571.73</v>
      </c>
      <c r="U263" s="9">
        <v>0</v>
      </c>
      <c r="V263" s="9"/>
      <c r="W263" s="9"/>
      <c r="X263" s="9">
        <v>0</v>
      </c>
      <c r="Y263" s="9">
        <v>0</v>
      </c>
      <c r="Z263" s="9"/>
      <c r="AA263" s="9"/>
      <c r="AB263" s="9"/>
      <c r="AC263" s="9"/>
      <c r="AD263" s="9"/>
      <c r="AE263" s="9"/>
      <c r="AF263" s="9"/>
      <c r="AG263" s="9"/>
      <c r="AH263" s="7">
        <v>0</v>
      </c>
      <c r="AI263" s="7">
        <v>0</v>
      </c>
    </row>
    <row r="264" spans="2:35" x14ac:dyDescent="0.3">
      <c r="B264" s="5" t="s">
        <v>3061</v>
      </c>
      <c r="C264" s="5" t="s">
        <v>13</v>
      </c>
      <c r="D264" s="12" t="s">
        <v>619</v>
      </c>
      <c r="E264" s="6" t="s">
        <v>746</v>
      </c>
      <c r="F264" s="13" t="s">
        <v>747</v>
      </c>
      <c r="G264" s="6" t="s">
        <v>748</v>
      </c>
      <c r="H264" s="7" t="str">
        <f t="shared" si="4"/>
        <v>EPC-IPU-E951-08EXTRA LAVORI : Spot</v>
      </c>
      <c r="I264" s="5" t="s">
        <v>49</v>
      </c>
      <c r="J264" s="5" t="s">
        <v>259</v>
      </c>
      <c r="K264" s="8" t="s">
        <v>259</v>
      </c>
      <c r="L264" s="9">
        <v>313.37</v>
      </c>
      <c r="M264" s="9">
        <v>0</v>
      </c>
      <c r="N264" s="9">
        <v>313.37</v>
      </c>
      <c r="O264" s="9">
        <v>0</v>
      </c>
      <c r="P264" s="9">
        <v>626.74</v>
      </c>
      <c r="Q264" s="9">
        <v>0</v>
      </c>
      <c r="R264" s="9">
        <v>313.37</v>
      </c>
      <c r="S264" s="9">
        <v>0</v>
      </c>
      <c r="T264" s="9">
        <v>626.74</v>
      </c>
      <c r="U264" s="9">
        <v>0</v>
      </c>
      <c r="V264" s="9"/>
      <c r="W264" s="9"/>
      <c r="X264" s="9">
        <v>0</v>
      </c>
      <c r="Y264" s="9">
        <v>0</v>
      </c>
      <c r="Z264" s="9"/>
      <c r="AA264" s="9"/>
      <c r="AB264" s="9"/>
      <c r="AC264" s="9"/>
      <c r="AD264" s="9"/>
      <c r="AE264" s="9"/>
      <c r="AF264" s="9"/>
      <c r="AG264" s="9"/>
      <c r="AH264" s="7">
        <v>0</v>
      </c>
      <c r="AI264" s="7">
        <v>0</v>
      </c>
    </row>
    <row r="265" spans="2:35" x14ac:dyDescent="0.3">
      <c r="B265" s="5" t="s">
        <v>3061</v>
      </c>
      <c r="C265" s="5" t="s">
        <v>13</v>
      </c>
      <c r="D265" s="12" t="s">
        <v>14</v>
      </c>
      <c r="E265" s="6" t="s">
        <v>749</v>
      </c>
      <c r="F265" s="13" t="s">
        <v>750</v>
      </c>
      <c r="G265" s="6" t="s">
        <v>751</v>
      </c>
      <c r="H265" s="7" t="str">
        <f t="shared" si="4"/>
        <v>CL4-IPU-L142-01OPERATIONAL</v>
      </c>
      <c r="I265" s="5" t="s">
        <v>18</v>
      </c>
      <c r="J265" s="5" t="s">
        <v>19</v>
      </c>
      <c r="K265" s="8" t="s">
        <v>573</v>
      </c>
      <c r="L265" s="9">
        <v>9577.2199999999993</v>
      </c>
      <c r="M265" s="9">
        <v>333.33</v>
      </c>
      <c r="N265" s="9">
        <v>14365.83</v>
      </c>
      <c r="O265" s="9">
        <v>6379.94</v>
      </c>
      <c r="P265" s="9">
        <v>21276.25</v>
      </c>
      <c r="Q265" s="9">
        <v>8506.6</v>
      </c>
      <c r="R265" s="9">
        <v>25638.91</v>
      </c>
      <c r="S265" s="9">
        <v>11578.18</v>
      </c>
      <c r="T265" s="9">
        <v>30648.76</v>
      </c>
      <c r="U265" s="9">
        <v>13893.82</v>
      </c>
      <c r="V265" s="9"/>
      <c r="W265" s="9"/>
      <c r="X265" s="9">
        <v>40317.9</v>
      </c>
      <c r="Y265" s="9">
        <v>18525.080000000002</v>
      </c>
      <c r="Z265" s="9"/>
      <c r="AA265" s="9"/>
      <c r="AB265" s="9"/>
      <c r="AC265" s="9"/>
      <c r="AD265" s="9"/>
      <c r="AE265" s="9"/>
      <c r="AF265" s="9"/>
      <c r="AG265" s="9"/>
      <c r="AH265" s="7">
        <v>40317.9</v>
      </c>
      <c r="AI265" s="7">
        <v>18525.080000000002</v>
      </c>
    </row>
    <row r="266" spans="2:35" x14ac:dyDescent="0.3">
      <c r="B266" s="5" t="s">
        <v>3061</v>
      </c>
      <c r="C266" s="5" t="s">
        <v>13</v>
      </c>
      <c r="D266" s="12" t="s">
        <v>14</v>
      </c>
      <c r="E266" s="6" t="s">
        <v>752</v>
      </c>
      <c r="F266" s="13" t="s">
        <v>753</v>
      </c>
      <c r="G266" s="6" t="s">
        <v>754</v>
      </c>
      <c r="H266" s="7" t="str">
        <f t="shared" si="4"/>
        <v>CL4-IPU-B946-01OPERATIONAL</v>
      </c>
      <c r="I266" s="5" t="s">
        <v>18</v>
      </c>
      <c r="J266" s="5" t="s">
        <v>19</v>
      </c>
      <c r="K266" s="8" t="s">
        <v>573</v>
      </c>
      <c r="L266" s="9">
        <v>3503.96</v>
      </c>
      <c r="M266" s="9">
        <v>333.33</v>
      </c>
      <c r="N266" s="9">
        <v>5255.94</v>
      </c>
      <c r="O266" s="9">
        <v>3598.69</v>
      </c>
      <c r="P266" s="9">
        <v>7341.68</v>
      </c>
      <c r="Q266" s="9">
        <v>4798.26</v>
      </c>
      <c r="R266" s="9">
        <v>9177.1</v>
      </c>
      <c r="S266" s="9">
        <v>6291.57</v>
      </c>
      <c r="T266" s="9">
        <v>11012.52</v>
      </c>
      <c r="U266" s="9">
        <v>7549.89</v>
      </c>
      <c r="V266" s="9"/>
      <c r="W266" s="9"/>
      <c r="X266" s="9">
        <v>14522.87</v>
      </c>
      <c r="Y266" s="9">
        <v>10066.51</v>
      </c>
      <c r="Z266" s="9"/>
      <c r="AA266" s="9"/>
      <c r="AB266" s="9"/>
      <c r="AC266" s="9"/>
      <c r="AD266" s="9"/>
      <c r="AE266" s="9"/>
      <c r="AF266" s="9"/>
      <c r="AG266" s="9"/>
      <c r="AH266" s="7">
        <v>14522.87</v>
      </c>
      <c r="AI266" s="7">
        <v>10066.51</v>
      </c>
    </row>
    <row r="267" spans="2:35" x14ac:dyDescent="0.3">
      <c r="B267" s="5" t="s">
        <v>3061</v>
      </c>
      <c r="C267" s="5" t="s">
        <v>13</v>
      </c>
      <c r="D267" s="12" t="s">
        <v>14</v>
      </c>
      <c r="E267" s="6" t="s">
        <v>755</v>
      </c>
      <c r="F267" s="13" t="s">
        <v>756</v>
      </c>
      <c r="G267" s="6" t="s">
        <v>757</v>
      </c>
      <c r="H267" s="7" t="str">
        <f t="shared" si="4"/>
        <v>CL4-IPU-H985-01OPERATIONAL</v>
      </c>
      <c r="I267" s="5" t="s">
        <v>18</v>
      </c>
      <c r="J267" s="8" t="s">
        <v>19</v>
      </c>
      <c r="K267" s="8" t="s">
        <v>573</v>
      </c>
      <c r="L267" s="9">
        <v>8014.78</v>
      </c>
      <c r="M267" s="9">
        <v>333.33</v>
      </c>
      <c r="N267" s="9">
        <v>12022.17</v>
      </c>
      <c r="O267" s="9">
        <v>9871.8700000000008</v>
      </c>
      <c r="P267" s="9">
        <v>16029.56</v>
      </c>
      <c r="Q267" s="9">
        <v>13162.5</v>
      </c>
      <c r="R267" s="9">
        <v>21064.85</v>
      </c>
      <c r="S267" s="9">
        <v>17385.240000000002</v>
      </c>
      <c r="T267" s="9">
        <v>25265.14</v>
      </c>
      <c r="U267" s="9">
        <v>20838.939999999999</v>
      </c>
      <c r="V267" s="9"/>
      <c r="W267" s="9"/>
      <c r="X267" s="9">
        <v>33665.72</v>
      </c>
      <c r="Y267" s="9">
        <v>27746.33</v>
      </c>
      <c r="Z267" s="9"/>
      <c r="AA267" s="9"/>
      <c r="AB267" s="9"/>
      <c r="AC267" s="9"/>
      <c r="AD267" s="9"/>
      <c r="AE267" s="9"/>
      <c r="AF267" s="9"/>
      <c r="AG267" s="9"/>
      <c r="AH267" s="7">
        <v>33665.72</v>
      </c>
      <c r="AI267" s="7">
        <v>27746.33</v>
      </c>
    </row>
    <row r="268" spans="2:35" x14ac:dyDescent="0.3">
      <c r="B268" s="5" t="s">
        <v>3061</v>
      </c>
      <c r="C268" s="5" t="s">
        <v>13</v>
      </c>
      <c r="D268" s="12" t="s">
        <v>14</v>
      </c>
      <c r="E268" s="6" t="s">
        <v>758</v>
      </c>
      <c r="F268" s="13" t="s">
        <v>759</v>
      </c>
      <c r="G268" s="6" t="s">
        <v>760</v>
      </c>
      <c r="H268" s="7" t="str">
        <f t="shared" si="4"/>
        <v>CL4-IPU-E885-01OPERATIONAL</v>
      </c>
      <c r="I268" s="5" t="s">
        <v>18</v>
      </c>
      <c r="J268" s="8" t="s">
        <v>19</v>
      </c>
      <c r="K268" s="8" t="s">
        <v>573</v>
      </c>
      <c r="L268" s="9">
        <v>34451.22</v>
      </c>
      <c r="M268" s="9">
        <v>333.33</v>
      </c>
      <c r="N268" s="9">
        <v>51676.83</v>
      </c>
      <c r="O268" s="9">
        <v>41068.980000000003</v>
      </c>
      <c r="P268" s="9">
        <v>68902.44</v>
      </c>
      <c r="Q268" s="9">
        <v>54758.64</v>
      </c>
      <c r="R268" s="9">
        <v>75549.64</v>
      </c>
      <c r="S268" s="9">
        <v>72721.259999999995</v>
      </c>
      <c r="T268" s="9">
        <v>93230.79</v>
      </c>
      <c r="U268" s="9">
        <v>87265.51</v>
      </c>
      <c r="V268" s="9"/>
      <c r="W268" s="9"/>
      <c r="X268" s="9">
        <v>128095.78</v>
      </c>
      <c r="Y268" s="9">
        <v>116842.17</v>
      </c>
      <c r="Z268" s="9"/>
      <c r="AA268" s="9"/>
      <c r="AB268" s="9"/>
      <c r="AC268" s="9"/>
      <c r="AD268" s="9"/>
      <c r="AE268" s="9"/>
      <c r="AF268" s="9"/>
      <c r="AG268" s="9"/>
      <c r="AH268" s="7">
        <v>128095.78</v>
      </c>
      <c r="AI268" s="7">
        <v>116842.17</v>
      </c>
    </row>
    <row r="269" spans="2:35" x14ac:dyDescent="0.3">
      <c r="B269" s="5" t="s">
        <v>3061</v>
      </c>
      <c r="C269" s="5" t="s">
        <v>13</v>
      </c>
      <c r="D269" s="12" t="s">
        <v>14</v>
      </c>
      <c r="E269" s="6" t="s">
        <v>761</v>
      </c>
      <c r="F269" s="13" t="s">
        <v>762</v>
      </c>
      <c r="G269" s="6" t="s">
        <v>763</v>
      </c>
      <c r="H269" s="7" t="str">
        <f t="shared" si="4"/>
        <v>CL4-IPU-I054-01OPERATIONAL</v>
      </c>
      <c r="I269" s="5" t="s">
        <v>18</v>
      </c>
      <c r="J269" s="5" t="s">
        <v>19</v>
      </c>
      <c r="K269" s="8" t="s">
        <v>573</v>
      </c>
      <c r="L269" s="9">
        <v>10685.1</v>
      </c>
      <c r="M269" s="9">
        <v>333.33</v>
      </c>
      <c r="N269" s="9">
        <v>16027.65</v>
      </c>
      <c r="O269" s="9">
        <v>12237.88</v>
      </c>
      <c r="P269" s="9">
        <v>27023.59</v>
      </c>
      <c r="Q269" s="9">
        <v>16317.17</v>
      </c>
      <c r="R269" s="9">
        <v>10942.88</v>
      </c>
      <c r="S269" s="9">
        <v>21426.49</v>
      </c>
      <c r="T269" s="9">
        <v>16532.37</v>
      </c>
      <c r="U269" s="9">
        <v>25711.79</v>
      </c>
      <c r="V269" s="9"/>
      <c r="W269" s="9"/>
      <c r="X269" s="9">
        <v>27711.35</v>
      </c>
      <c r="Y269" s="9">
        <v>34439.339999999997</v>
      </c>
      <c r="Z269" s="9"/>
      <c r="AA269" s="9"/>
      <c r="AB269" s="9"/>
      <c r="AC269" s="9"/>
      <c r="AD269" s="9"/>
      <c r="AE269" s="9"/>
      <c r="AF269" s="9"/>
      <c r="AG269" s="9"/>
      <c r="AH269" s="7">
        <v>27711.35</v>
      </c>
      <c r="AI269" s="7">
        <v>34439.339999999997</v>
      </c>
    </row>
    <row r="270" spans="2:35" x14ac:dyDescent="0.3">
      <c r="B270" s="5" t="s">
        <v>3061</v>
      </c>
      <c r="C270" s="5" t="s">
        <v>13</v>
      </c>
      <c r="D270" s="12" t="s">
        <v>14</v>
      </c>
      <c r="E270" s="6" t="s">
        <v>764</v>
      </c>
      <c r="F270" s="13" t="s">
        <v>765</v>
      </c>
      <c r="G270" s="6" t="s">
        <v>766</v>
      </c>
      <c r="H270" s="7" t="str">
        <f t="shared" si="4"/>
        <v>CL4-IPU-I540-01OPERATIONAL</v>
      </c>
      <c r="I270" s="5" t="s">
        <v>18</v>
      </c>
      <c r="J270" s="5" t="s">
        <v>19</v>
      </c>
      <c r="K270" s="8" t="s">
        <v>573</v>
      </c>
      <c r="L270" s="9">
        <v>3283.6</v>
      </c>
      <c r="M270" s="9">
        <v>333.33</v>
      </c>
      <c r="N270" s="9">
        <v>5266.86</v>
      </c>
      <c r="O270" s="9">
        <v>3297.74</v>
      </c>
      <c r="P270" s="9">
        <v>6994.03</v>
      </c>
      <c r="Q270" s="9">
        <v>4392.99</v>
      </c>
      <c r="R270" s="9">
        <v>8849.2099999999991</v>
      </c>
      <c r="S270" s="9">
        <v>5700.86</v>
      </c>
      <c r="T270" s="9">
        <v>10617.68</v>
      </c>
      <c r="U270" s="9">
        <v>6836.23</v>
      </c>
      <c r="V270" s="9"/>
      <c r="W270" s="9"/>
      <c r="X270" s="9">
        <v>14156.68</v>
      </c>
      <c r="Y270" s="9">
        <v>9106.9699999999993</v>
      </c>
      <c r="Z270" s="9"/>
      <c r="AA270" s="9"/>
      <c r="AB270" s="9"/>
      <c r="AC270" s="9"/>
      <c r="AD270" s="9"/>
      <c r="AE270" s="9"/>
      <c r="AF270" s="9"/>
      <c r="AG270" s="9"/>
      <c r="AH270" s="7">
        <v>14156.68</v>
      </c>
      <c r="AI270" s="7">
        <v>9106.9699999999993</v>
      </c>
    </row>
    <row r="271" spans="2:35" x14ac:dyDescent="0.3">
      <c r="B271" s="5" t="s">
        <v>3061</v>
      </c>
      <c r="C271" s="5" t="s">
        <v>13</v>
      </c>
      <c r="D271" s="12" t="s">
        <v>14</v>
      </c>
      <c r="E271" s="6" t="s">
        <v>767</v>
      </c>
      <c r="F271" s="13" t="s">
        <v>768</v>
      </c>
      <c r="G271" s="6" t="s">
        <v>769</v>
      </c>
      <c r="H271" s="7" t="str">
        <f t="shared" si="4"/>
        <v>CL4-IPU-D170-01OPERATIONAL</v>
      </c>
      <c r="I271" s="5" t="s">
        <v>18</v>
      </c>
      <c r="J271" s="5" t="s">
        <v>19</v>
      </c>
      <c r="K271" s="8" t="s">
        <v>573</v>
      </c>
      <c r="L271" s="9">
        <v>3494.8</v>
      </c>
      <c r="M271" s="9">
        <v>333.33</v>
      </c>
      <c r="N271" s="9">
        <v>5224.74</v>
      </c>
      <c r="O271" s="9">
        <v>3737.22</v>
      </c>
      <c r="P271" s="9">
        <v>6963.41</v>
      </c>
      <c r="Q271" s="9">
        <v>4982.97</v>
      </c>
      <c r="R271" s="9">
        <v>8902.86</v>
      </c>
      <c r="S271" s="9">
        <v>7097.67</v>
      </c>
      <c r="T271" s="9">
        <v>10685.01</v>
      </c>
      <c r="U271" s="9">
        <v>8566.56</v>
      </c>
      <c r="V271" s="9"/>
      <c r="W271" s="9"/>
      <c r="X271" s="9">
        <v>14249.31</v>
      </c>
      <c r="Y271" s="9">
        <v>11405.62</v>
      </c>
      <c r="Z271" s="9"/>
      <c r="AA271" s="9"/>
      <c r="AB271" s="9"/>
      <c r="AC271" s="9"/>
      <c r="AD271" s="9"/>
      <c r="AE271" s="9"/>
      <c r="AF271" s="9"/>
      <c r="AG271" s="9"/>
      <c r="AH271" s="7">
        <v>14249.31</v>
      </c>
      <c r="AI271" s="7">
        <v>11405.62</v>
      </c>
    </row>
    <row r="272" spans="2:35" x14ac:dyDescent="0.3">
      <c r="B272" s="5" t="s">
        <v>3061</v>
      </c>
      <c r="C272" s="5" t="s">
        <v>13</v>
      </c>
      <c r="D272" s="12" t="s">
        <v>14</v>
      </c>
      <c r="E272" s="6" t="s">
        <v>770</v>
      </c>
      <c r="F272" s="13" t="s">
        <v>771</v>
      </c>
      <c r="G272" s="6" t="s">
        <v>772</v>
      </c>
      <c r="H272" s="7" t="str">
        <f t="shared" si="4"/>
        <v>CL4-IPU-M115-01OPERATIONAL</v>
      </c>
      <c r="I272" s="5" t="s">
        <v>18</v>
      </c>
      <c r="J272" s="5" t="s">
        <v>19</v>
      </c>
      <c r="K272" s="8" t="s">
        <v>573</v>
      </c>
      <c r="L272" s="9">
        <v>6499.54</v>
      </c>
      <c r="M272" s="9">
        <v>333.33</v>
      </c>
      <c r="N272" s="9">
        <v>10018.129999999999</v>
      </c>
      <c r="O272" s="9">
        <v>7124.64</v>
      </c>
      <c r="P272" s="9">
        <v>13335.11</v>
      </c>
      <c r="Q272" s="9">
        <v>9499.5300000000007</v>
      </c>
      <c r="R272" s="9">
        <v>16752.86</v>
      </c>
      <c r="S272" s="9">
        <v>12477.46</v>
      </c>
      <c r="T272" s="9">
        <v>19704.95</v>
      </c>
      <c r="U272" s="9">
        <v>14972.95</v>
      </c>
      <c r="V272" s="9"/>
      <c r="W272" s="9"/>
      <c r="X272" s="9">
        <v>26206.85</v>
      </c>
      <c r="Y272" s="9">
        <v>20052.18</v>
      </c>
      <c r="Z272" s="9"/>
      <c r="AA272" s="9"/>
      <c r="AB272" s="9"/>
      <c r="AC272" s="9"/>
      <c r="AD272" s="9"/>
      <c r="AE272" s="9"/>
      <c r="AF272" s="9"/>
      <c r="AG272" s="9"/>
      <c r="AH272" s="7">
        <v>26206.85</v>
      </c>
      <c r="AI272" s="7">
        <v>20052.18</v>
      </c>
    </row>
    <row r="273" spans="2:35" x14ac:dyDescent="0.3">
      <c r="B273" s="5" t="s">
        <v>3061</v>
      </c>
      <c r="C273" s="5" t="s">
        <v>13</v>
      </c>
      <c r="D273" s="12" t="s">
        <v>14</v>
      </c>
      <c r="E273" s="6" t="s">
        <v>773</v>
      </c>
      <c r="F273" s="13" t="s">
        <v>774</v>
      </c>
      <c r="G273" s="6" t="s">
        <v>775</v>
      </c>
      <c r="H273" s="7" t="str">
        <f t="shared" si="4"/>
        <v>CL4-IPU-E955-01OPERATIONAL</v>
      </c>
      <c r="I273" s="5" t="s">
        <v>18</v>
      </c>
      <c r="J273" s="5" t="s">
        <v>19</v>
      </c>
      <c r="K273" s="8" t="s">
        <v>573</v>
      </c>
      <c r="L273" s="9">
        <v>12499.45</v>
      </c>
      <c r="M273" s="9">
        <v>333.33</v>
      </c>
      <c r="N273" s="9">
        <v>12499.44</v>
      </c>
      <c r="O273" s="9">
        <v>9184.34</v>
      </c>
      <c r="P273" s="9">
        <v>18749.16</v>
      </c>
      <c r="Q273" s="9">
        <v>12245.79</v>
      </c>
      <c r="R273" s="9">
        <v>31248.6</v>
      </c>
      <c r="S273" s="9">
        <v>15875.74</v>
      </c>
      <c r="T273" s="9">
        <v>37498.32</v>
      </c>
      <c r="U273" s="9">
        <v>19210.84</v>
      </c>
      <c r="V273" s="9"/>
      <c r="W273" s="9"/>
      <c r="X273" s="9">
        <v>49997.760000000002</v>
      </c>
      <c r="Y273" s="9">
        <v>25561.13</v>
      </c>
      <c r="Z273" s="9"/>
      <c r="AA273" s="9"/>
      <c r="AB273" s="9"/>
      <c r="AC273" s="9"/>
      <c r="AD273" s="9"/>
      <c r="AE273" s="9"/>
      <c r="AF273" s="9"/>
      <c r="AG273" s="9"/>
      <c r="AH273" s="7">
        <v>49997.760000000002</v>
      </c>
      <c r="AI273" s="7">
        <v>25561.13</v>
      </c>
    </row>
    <row r="274" spans="2:35" x14ac:dyDescent="0.3">
      <c r="B274" s="5" t="s">
        <v>3061</v>
      </c>
      <c r="C274" s="5" t="s">
        <v>13</v>
      </c>
      <c r="D274" s="12" t="s">
        <v>14</v>
      </c>
      <c r="E274" s="6" t="s">
        <v>776</v>
      </c>
      <c r="F274" s="13" t="s">
        <v>777</v>
      </c>
      <c r="G274" s="6" t="s">
        <v>641</v>
      </c>
      <c r="H274" s="7" t="str">
        <f t="shared" si="4"/>
        <v>PPP-IPU-F201-01OPERATIONAL</v>
      </c>
      <c r="I274" s="5" t="s">
        <v>18</v>
      </c>
      <c r="J274" s="5" t="s">
        <v>19</v>
      </c>
      <c r="K274" s="8" t="s">
        <v>20</v>
      </c>
      <c r="L274" s="9">
        <v>18048.8</v>
      </c>
      <c r="M274" s="9">
        <v>3908.73</v>
      </c>
      <c r="N274" s="9">
        <v>27073.200000000001</v>
      </c>
      <c r="O274" s="9">
        <v>9406.9699999999993</v>
      </c>
      <c r="P274" s="9">
        <v>36097.599999999999</v>
      </c>
      <c r="Q274" s="9">
        <v>12466.83</v>
      </c>
      <c r="R274" s="9">
        <v>45122</v>
      </c>
      <c r="S274" s="9">
        <v>17729.780000000002</v>
      </c>
      <c r="T274" s="9">
        <v>54146.400000000001</v>
      </c>
      <c r="U274" s="9">
        <v>20749.82</v>
      </c>
      <c r="V274" s="9"/>
      <c r="W274" s="9"/>
      <c r="X274" s="9">
        <v>63170.8</v>
      </c>
      <c r="Y274" s="9">
        <v>24744.91</v>
      </c>
      <c r="Z274" s="9"/>
      <c r="AA274" s="9"/>
      <c r="AB274" s="9"/>
      <c r="AC274" s="9"/>
      <c r="AD274" s="9"/>
      <c r="AE274" s="9"/>
      <c r="AF274" s="9"/>
      <c r="AG274" s="9"/>
      <c r="AH274" s="7">
        <v>63170.8</v>
      </c>
      <c r="AI274" s="7">
        <v>24744.91</v>
      </c>
    </row>
    <row r="275" spans="2:35" x14ac:dyDescent="0.3">
      <c r="B275" s="5" t="s">
        <v>3061</v>
      </c>
      <c r="C275" s="5" t="s">
        <v>13</v>
      </c>
      <c r="D275" s="12" t="s">
        <v>14</v>
      </c>
      <c r="E275" s="6" t="s">
        <v>778</v>
      </c>
      <c r="F275" s="13" t="s">
        <v>779</v>
      </c>
      <c r="G275" s="6" t="s">
        <v>780</v>
      </c>
      <c r="H275" s="7" t="str">
        <f t="shared" si="4"/>
        <v>CL4-IPU-A024-01OPERATIONAL</v>
      </c>
      <c r="I275" s="5" t="s">
        <v>18</v>
      </c>
      <c r="J275" s="5" t="s">
        <v>19</v>
      </c>
      <c r="K275" s="8" t="s">
        <v>573</v>
      </c>
      <c r="L275" s="9">
        <v>13097.02</v>
      </c>
      <c r="M275" s="9">
        <v>333.33</v>
      </c>
      <c r="N275" s="9">
        <v>19645.53</v>
      </c>
      <c r="O275" s="9">
        <v>12990.9</v>
      </c>
      <c r="P275" s="9">
        <v>28235.39</v>
      </c>
      <c r="Q275" s="9">
        <v>17321.2</v>
      </c>
      <c r="R275" s="9">
        <v>35294.239999999998</v>
      </c>
      <c r="S275" s="9">
        <v>25096.23</v>
      </c>
      <c r="T275" s="9">
        <v>42353.09</v>
      </c>
      <c r="U275" s="9">
        <v>30285.93</v>
      </c>
      <c r="V275" s="9"/>
      <c r="W275" s="9"/>
      <c r="X275" s="9">
        <v>54842.14</v>
      </c>
      <c r="Y275" s="9">
        <v>40324.449999999997</v>
      </c>
      <c r="Z275" s="9"/>
      <c r="AA275" s="9"/>
      <c r="AB275" s="9"/>
      <c r="AC275" s="9"/>
      <c r="AD275" s="9"/>
      <c r="AE275" s="9"/>
      <c r="AF275" s="9"/>
      <c r="AG275" s="9"/>
      <c r="AH275" s="7">
        <v>54842.14</v>
      </c>
      <c r="AI275" s="7">
        <v>40324.449999999997</v>
      </c>
    </row>
    <row r="276" spans="2:35" x14ac:dyDescent="0.3">
      <c r="B276" s="5" t="s">
        <v>3061</v>
      </c>
      <c r="C276" s="5" t="s">
        <v>13</v>
      </c>
      <c r="D276" s="12" t="s">
        <v>14</v>
      </c>
      <c r="E276" s="6" t="s">
        <v>781</v>
      </c>
      <c r="F276" s="6" t="s">
        <v>782</v>
      </c>
      <c r="G276" s="6" t="s">
        <v>783</v>
      </c>
      <c r="H276" s="7" t="str">
        <f t="shared" si="4"/>
        <v>PPP-IPU-B415-01OPERATIONAL</v>
      </c>
      <c r="I276" s="5" t="s">
        <v>18</v>
      </c>
      <c r="J276" s="5" t="s">
        <v>19</v>
      </c>
      <c r="K276" s="8" t="s">
        <v>20</v>
      </c>
      <c r="L276" s="9">
        <v>33552.879999999997</v>
      </c>
      <c r="M276" s="9">
        <v>11401.305</v>
      </c>
      <c r="N276" s="9">
        <v>50329.32</v>
      </c>
      <c r="O276" s="9">
        <v>19631.129999999997</v>
      </c>
      <c r="P276" s="9">
        <v>67105.759999999995</v>
      </c>
      <c r="Q276" s="9">
        <v>28009.174999999999</v>
      </c>
      <c r="R276" s="9">
        <v>83882.2</v>
      </c>
      <c r="S276" s="9">
        <v>34532.83</v>
      </c>
      <c r="T276" s="9">
        <v>145787.37</v>
      </c>
      <c r="U276" s="9">
        <v>40940.664999999994</v>
      </c>
      <c r="V276" s="9"/>
      <c r="W276" s="9"/>
      <c r="X276" s="9">
        <v>100658.64</v>
      </c>
      <c r="Y276" s="9">
        <v>46850.34</v>
      </c>
      <c r="Z276" s="9"/>
      <c r="AA276" s="9"/>
      <c r="AB276" s="9"/>
      <c r="AC276" s="9"/>
      <c r="AD276" s="9"/>
      <c r="AE276" s="9"/>
      <c r="AF276" s="9"/>
      <c r="AG276" s="9"/>
      <c r="AH276" s="7">
        <v>100658.64</v>
      </c>
      <c r="AI276" s="7">
        <v>46850.34</v>
      </c>
    </row>
    <row r="277" spans="2:35" x14ac:dyDescent="0.3">
      <c r="B277" s="5" t="s">
        <v>3061</v>
      </c>
      <c r="C277" s="5" t="s">
        <v>13</v>
      </c>
      <c r="D277" s="12" t="s">
        <v>14</v>
      </c>
      <c r="E277" s="6" t="s">
        <v>784</v>
      </c>
      <c r="F277" s="13" t="s">
        <v>785</v>
      </c>
      <c r="G277" s="6" t="s">
        <v>786</v>
      </c>
      <c r="H277" s="7" t="str">
        <f t="shared" si="4"/>
        <v>CL4-IPU-D643-01OPERATIONAL</v>
      </c>
      <c r="I277" s="5" t="s">
        <v>18</v>
      </c>
      <c r="J277" s="5" t="s">
        <v>19</v>
      </c>
      <c r="K277" s="8" t="s">
        <v>573</v>
      </c>
      <c r="L277" s="9">
        <v>67908.52</v>
      </c>
      <c r="M277" s="9">
        <v>333.33</v>
      </c>
      <c r="N277" s="9">
        <v>108877.46</v>
      </c>
      <c r="O277" s="9">
        <v>45167.87</v>
      </c>
      <c r="P277" s="9">
        <v>144585.39000000001</v>
      </c>
      <c r="Q277" s="9">
        <v>60223.83</v>
      </c>
      <c r="R277" s="9">
        <v>182923.81</v>
      </c>
      <c r="S277" s="9">
        <v>87224.5</v>
      </c>
      <c r="T277" s="9">
        <v>215201.81</v>
      </c>
      <c r="U277" s="9">
        <v>104669.4</v>
      </c>
      <c r="V277" s="9"/>
      <c r="W277" s="9"/>
      <c r="X277" s="9">
        <v>286217.95</v>
      </c>
      <c r="Y277" s="9">
        <v>139559.20000000001</v>
      </c>
      <c r="Z277" s="9"/>
      <c r="AA277" s="9"/>
      <c r="AB277" s="9"/>
      <c r="AC277" s="9"/>
      <c r="AD277" s="9"/>
      <c r="AE277" s="9"/>
      <c r="AF277" s="9"/>
      <c r="AG277" s="9"/>
      <c r="AH277" s="7">
        <v>286217.95</v>
      </c>
      <c r="AI277" s="7">
        <v>139559.20000000001</v>
      </c>
    </row>
    <row r="278" spans="2:35" x14ac:dyDescent="0.3">
      <c r="B278" s="5" t="s">
        <v>3061</v>
      </c>
      <c r="C278" s="5" t="s">
        <v>13</v>
      </c>
      <c r="D278" s="12" t="s">
        <v>14</v>
      </c>
      <c r="E278" s="6" t="s">
        <v>787</v>
      </c>
      <c r="F278" s="13" t="s">
        <v>788</v>
      </c>
      <c r="G278" s="6" t="s">
        <v>789</v>
      </c>
      <c r="H278" s="7" t="str">
        <f t="shared" si="4"/>
        <v>CL4-IPU-B925-01OPERATIONAL</v>
      </c>
      <c r="I278" s="5" t="s">
        <v>18</v>
      </c>
      <c r="J278" s="5" t="s">
        <v>19</v>
      </c>
      <c r="K278" s="8" t="s">
        <v>573</v>
      </c>
      <c r="L278" s="9">
        <v>3851.52</v>
      </c>
      <c r="M278" s="9">
        <v>390.18</v>
      </c>
      <c r="N278" s="9">
        <v>6173.74</v>
      </c>
      <c r="O278" s="9">
        <v>3107.37</v>
      </c>
      <c r="P278" s="9">
        <v>8198.6200000000008</v>
      </c>
      <c r="Q278" s="9">
        <v>4124.21</v>
      </c>
      <c r="R278" s="9">
        <v>10372.15</v>
      </c>
      <c r="S278" s="9">
        <v>6262.58</v>
      </c>
      <c r="T278" s="9">
        <v>12212.54</v>
      </c>
      <c r="U278" s="9">
        <v>7503.73</v>
      </c>
      <c r="V278" s="9"/>
      <c r="W278" s="9"/>
      <c r="X278" s="9">
        <v>16244.38</v>
      </c>
      <c r="Y278" s="9">
        <v>9986.0300000000007</v>
      </c>
      <c r="Z278" s="9"/>
      <c r="AA278" s="9"/>
      <c r="AB278" s="9"/>
      <c r="AC278" s="9"/>
      <c r="AD278" s="9"/>
      <c r="AE278" s="9"/>
      <c r="AF278" s="9"/>
      <c r="AG278" s="9"/>
      <c r="AH278" s="7">
        <v>16244.38</v>
      </c>
      <c r="AI278" s="7">
        <v>9986.0300000000007</v>
      </c>
    </row>
    <row r="279" spans="2:35" x14ac:dyDescent="0.3">
      <c r="B279" s="5" t="s">
        <v>3061</v>
      </c>
      <c r="C279" s="5" t="s">
        <v>13</v>
      </c>
      <c r="D279" s="12" t="s">
        <v>14</v>
      </c>
      <c r="E279" s="6" t="s">
        <v>790</v>
      </c>
      <c r="F279" s="6" t="s">
        <v>791</v>
      </c>
      <c r="G279" s="6" t="s">
        <v>792</v>
      </c>
      <c r="H279" s="7" t="str">
        <f t="shared" si="4"/>
        <v>CL4-IPU-G762-01OPERATIONAL</v>
      </c>
      <c r="I279" s="5" t="s">
        <v>18</v>
      </c>
      <c r="J279" s="5" t="s">
        <v>19</v>
      </c>
      <c r="K279" s="8" t="s">
        <v>573</v>
      </c>
      <c r="L279" s="9">
        <v>6060.22</v>
      </c>
      <c r="M279" s="9">
        <v>333.33</v>
      </c>
      <c r="N279" s="9">
        <v>9090.33</v>
      </c>
      <c r="O279" s="9">
        <v>5912.7</v>
      </c>
      <c r="P279" s="9">
        <v>18057.63</v>
      </c>
      <c r="Q279" s="9">
        <v>7883.6</v>
      </c>
      <c r="R279" s="9">
        <v>17922.34</v>
      </c>
      <c r="S279" s="9">
        <v>11298.09</v>
      </c>
      <c r="T279" s="9">
        <v>21189.62</v>
      </c>
      <c r="U279" s="9">
        <v>13557.71</v>
      </c>
      <c r="V279" s="9"/>
      <c r="W279" s="9"/>
      <c r="X279" s="9">
        <v>27440.43</v>
      </c>
      <c r="Y279" s="9">
        <v>18167.59</v>
      </c>
      <c r="Z279" s="9"/>
      <c r="AA279" s="9"/>
      <c r="AB279" s="9"/>
      <c r="AC279" s="9"/>
      <c r="AD279" s="9"/>
      <c r="AE279" s="9"/>
      <c r="AF279" s="9"/>
      <c r="AG279" s="9"/>
      <c r="AH279" s="7">
        <v>27440.43</v>
      </c>
      <c r="AI279" s="7">
        <v>18167.59</v>
      </c>
    </row>
    <row r="280" spans="2:35" x14ac:dyDescent="0.3">
      <c r="B280" s="5" t="s">
        <v>3061</v>
      </c>
      <c r="C280" s="5" t="s">
        <v>13</v>
      </c>
      <c r="D280" s="12" t="s">
        <v>14</v>
      </c>
      <c r="E280" s="6" t="s">
        <v>793</v>
      </c>
      <c r="F280" s="6" t="s">
        <v>794</v>
      </c>
      <c r="G280" s="6" t="s">
        <v>795</v>
      </c>
      <c r="H280" s="7" t="str">
        <f t="shared" si="4"/>
        <v>CL4-IPU-G283-01OPERATIONAL</v>
      </c>
      <c r="I280" s="5" t="s">
        <v>18</v>
      </c>
      <c r="J280" s="5" t="s">
        <v>19</v>
      </c>
      <c r="K280" s="8" t="s">
        <v>573</v>
      </c>
      <c r="L280" s="9">
        <v>9979.7000000000007</v>
      </c>
      <c r="M280" s="9">
        <v>333.33</v>
      </c>
      <c r="N280" s="9">
        <v>14969.550000000001</v>
      </c>
      <c r="O280" s="9">
        <v>10194.82</v>
      </c>
      <c r="P280" s="9">
        <v>19959.400000000001</v>
      </c>
      <c r="Q280" s="9">
        <v>13593.09</v>
      </c>
      <c r="R280" s="9">
        <v>25513.38</v>
      </c>
      <c r="S280" s="9">
        <v>13127.51</v>
      </c>
      <c r="T280" s="9">
        <v>30644.26</v>
      </c>
      <c r="U280" s="9">
        <v>15725.17</v>
      </c>
      <c r="V280" s="9"/>
      <c r="W280" s="9"/>
      <c r="X280" s="9">
        <v>40906.019999999997</v>
      </c>
      <c r="Y280" s="9">
        <v>20920.47</v>
      </c>
      <c r="Z280" s="9"/>
      <c r="AA280" s="9"/>
      <c r="AB280" s="9"/>
      <c r="AC280" s="9"/>
      <c r="AD280" s="9"/>
      <c r="AE280" s="9"/>
      <c r="AF280" s="9"/>
      <c r="AG280" s="9"/>
      <c r="AH280" s="7">
        <v>40906.019999999997</v>
      </c>
      <c r="AI280" s="7">
        <v>20920.47</v>
      </c>
    </row>
    <row r="281" spans="2:35" x14ac:dyDescent="0.3">
      <c r="B281" s="5" t="s">
        <v>3061</v>
      </c>
      <c r="C281" s="5" t="s">
        <v>13</v>
      </c>
      <c r="D281" s="12" t="s">
        <v>14</v>
      </c>
      <c r="E281" s="6" t="s">
        <v>796</v>
      </c>
      <c r="F281" s="13" t="s">
        <v>797</v>
      </c>
      <c r="G281" s="6" t="s">
        <v>798</v>
      </c>
      <c r="H281" s="7" t="str">
        <f t="shared" si="4"/>
        <v>CL3-IPU-E783-01OPERATIONAL</v>
      </c>
      <c r="I281" s="5" t="s">
        <v>24</v>
      </c>
      <c r="J281" s="5" t="s">
        <v>19</v>
      </c>
      <c r="K281" s="8" t="s">
        <v>98</v>
      </c>
      <c r="L281" s="9">
        <v>214234.95</v>
      </c>
      <c r="M281" s="9">
        <v>7428.32</v>
      </c>
      <c r="N281" s="9">
        <v>0</v>
      </c>
      <c r="O281" s="9">
        <v>11260.339999999998</v>
      </c>
      <c r="P281" s="9">
        <v>-82457.350000000006</v>
      </c>
      <c r="Q281" s="9">
        <v>14315.224999999999</v>
      </c>
      <c r="R281" s="9">
        <v>-82457.350000000006</v>
      </c>
      <c r="S281" s="9">
        <v>32374.455000000002</v>
      </c>
      <c r="T281" s="9">
        <v>-82457.350000000006</v>
      </c>
      <c r="U281" s="9">
        <v>61839.084999999999</v>
      </c>
      <c r="V281" s="9"/>
      <c r="W281" s="9"/>
      <c r="X281" s="9">
        <v>-82457.350000000006</v>
      </c>
      <c r="Y281" s="9">
        <v>63636.06</v>
      </c>
      <c r="Z281" s="9"/>
      <c r="AA281" s="9"/>
      <c r="AB281" s="9"/>
      <c r="AC281" s="9"/>
      <c r="AD281" s="9"/>
      <c r="AE281" s="9"/>
      <c r="AF281" s="9"/>
      <c r="AG281" s="9"/>
      <c r="AH281" s="7">
        <v>-82457.350000000006</v>
      </c>
      <c r="AI281" s="7">
        <v>63636.06</v>
      </c>
    </row>
    <row r="282" spans="2:35" x14ac:dyDescent="0.3">
      <c r="B282" s="5" t="s">
        <v>3061</v>
      </c>
      <c r="C282" s="5" t="s">
        <v>13</v>
      </c>
      <c r="D282" s="12" t="s">
        <v>619</v>
      </c>
      <c r="E282" s="6" t="s">
        <v>799</v>
      </c>
      <c r="F282" s="6" t="s">
        <v>800</v>
      </c>
      <c r="G282" s="6" t="s">
        <v>801</v>
      </c>
      <c r="H282" s="7" t="str">
        <f t="shared" si="4"/>
        <v>EPC-IPU-A519-04EXTRA LAVORI : Spot</v>
      </c>
      <c r="I282" s="5" t="s">
        <v>18</v>
      </c>
      <c r="J282" s="8" t="s">
        <v>259</v>
      </c>
      <c r="K282" s="8" t="s">
        <v>259</v>
      </c>
      <c r="L282" s="9">
        <v>0</v>
      </c>
      <c r="M282" s="9">
        <v>250</v>
      </c>
      <c r="N282" s="9">
        <v>0</v>
      </c>
      <c r="O282" s="9">
        <v>250</v>
      </c>
      <c r="P282" s="9">
        <v>0</v>
      </c>
      <c r="Q282" s="9">
        <v>250</v>
      </c>
      <c r="R282" s="9">
        <v>0</v>
      </c>
      <c r="S282" s="9">
        <v>250</v>
      </c>
      <c r="T282" s="9">
        <v>0</v>
      </c>
      <c r="U282" s="9">
        <v>250</v>
      </c>
      <c r="V282" s="9"/>
      <c r="W282" s="9"/>
      <c r="X282" s="9">
        <v>0</v>
      </c>
      <c r="Y282" s="9">
        <v>0</v>
      </c>
      <c r="Z282" s="9"/>
      <c r="AA282" s="9"/>
      <c r="AB282" s="9"/>
      <c r="AC282" s="9"/>
      <c r="AD282" s="9"/>
      <c r="AE282" s="9"/>
      <c r="AF282" s="9"/>
      <c r="AG282" s="9"/>
      <c r="AH282" s="7">
        <v>0</v>
      </c>
      <c r="AI282" s="7">
        <v>0</v>
      </c>
    </row>
    <row r="283" spans="2:35" x14ac:dyDescent="0.3">
      <c r="B283" s="5" t="s">
        <v>3061</v>
      </c>
      <c r="C283" s="5" t="s">
        <v>13</v>
      </c>
      <c r="D283" s="12" t="s">
        <v>619</v>
      </c>
      <c r="E283" s="6" t="s">
        <v>802</v>
      </c>
      <c r="F283" s="13" t="s">
        <v>803</v>
      </c>
      <c r="G283" s="6" t="s">
        <v>804</v>
      </c>
      <c r="H283" s="7" t="str">
        <f t="shared" si="4"/>
        <v>EPC-PHV-L736-03EXTRA LAVORI : Spot</v>
      </c>
      <c r="I283" s="5" t="s">
        <v>56</v>
      </c>
      <c r="J283" s="5" t="s">
        <v>259</v>
      </c>
      <c r="K283" s="8" t="s">
        <v>259</v>
      </c>
      <c r="L283" s="9">
        <v>0</v>
      </c>
      <c r="M283" s="9">
        <v>157620</v>
      </c>
      <c r="N283" s="9">
        <v>0</v>
      </c>
      <c r="O283" s="9">
        <v>3870</v>
      </c>
      <c r="P283" s="9">
        <v>0</v>
      </c>
      <c r="Q283" s="9">
        <v>3870</v>
      </c>
      <c r="R283" s="9">
        <v>0</v>
      </c>
      <c r="S283" s="9">
        <v>8178.76</v>
      </c>
      <c r="T283" s="9">
        <v>0</v>
      </c>
      <c r="U283" s="9">
        <v>8178.76</v>
      </c>
      <c r="V283" s="9"/>
      <c r="W283" s="9"/>
      <c r="X283" s="9">
        <v>0</v>
      </c>
      <c r="Y283" s="9">
        <v>0</v>
      </c>
      <c r="Z283" s="9"/>
      <c r="AA283" s="9"/>
      <c r="AB283" s="9"/>
      <c r="AC283" s="9"/>
      <c r="AD283" s="9"/>
      <c r="AE283" s="9"/>
      <c r="AF283" s="9"/>
      <c r="AG283" s="9"/>
      <c r="AH283" s="7">
        <v>0</v>
      </c>
      <c r="AI283" s="7">
        <v>0</v>
      </c>
    </row>
    <row r="284" spans="2:35" x14ac:dyDescent="0.3">
      <c r="B284" s="5" t="s">
        <v>3061</v>
      </c>
      <c r="C284" s="5" t="s">
        <v>13</v>
      </c>
      <c r="D284" s="12" t="s">
        <v>619</v>
      </c>
      <c r="E284" s="6" t="s">
        <v>805</v>
      </c>
      <c r="F284" s="13" t="s">
        <v>806</v>
      </c>
      <c r="G284" s="6" t="s">
        <v>807</v>
      </c>
      <c r="H284" s="7" t="str">
        <f t="shared" si="4"/>
        <v>EPC-IPU-B258-01EXTRA LAVORI : Spot</v>
      </c>
      <c r="I284" s="5" t="s">
        <v>49</v>
      </c>
      <c r="J284" s="5" t="s">
        <v>259</v>
      </c>
      <c r="K284" s="8" t="s">
        <v>259</v>
      </c>
      <c r="L284" s="9">
        <v>0</v>
      </c>
      <c r="M284" s="9">
        <v>0</v>
      </c>
      <c r="N284" s="9">
        <v>0</v>
      </c>
      <c r="O284" s="9">
        <v>0</v>
      </c>
      <c r="P284" s="9">
        <v>1871.9</v>
      </c>
      <c r="Q284" s="9">
        <v>0</v>
      </c>
      <c r="R284" s="9">
        <v>1871.9</v>
      </c>
      <c r="S284" s="9">
        <v>0</v>
      </c>
      <c r="T284" s="9">
        <v>1871.9</v>
      </c>
      <c r="U284" s="9">
        <v>0</v>
      </c>
      <c r="V284" s="9"/>
      <c r="W284" s="9"/>
      <c r="X284" s="9">
        <v>0</v>
      </c>
      <c r="Y284" s="9">
        <v>0</v>
      </c>
      <c r="Z284" s="9"/>
      <c r="AA284" s="9"/>
      <c r="AB284" s="9"/>
      <c r="AC284" s="9"/>
      <c r="AD284" s="9"/>
      <c r="AE284" s="9"/>
      <c r="AF284" s="9"/>
      <c r="AG284" s="9"/>
      <c r="AH284" s="7">
        <v>0</v>
      </c>
      <c r="AI284" s="7">
        <v>0</v>
      </c>
    </row>
    <row r="285" spans="2:35" x14ac:dyDescent="0.3">
      <c r="B285" s="5" t="s">
        <v>3061</v>
      </c>
      <c r="C285" s="5" t="s">
        <v>13</v>
      </c>
      <c r="D285" s="12" t="s">
        <v>619</v>
      </c>
      <c r="E285" s="6" t="s">
        <v>808</v>
      </c>
      <c r="F285" s="13" t="s">
        <v>809</v>
      </c>
      <c r="G285" s="6" t="s">
        <v>810</v>
      </c>
      <c r="H285" s="7" t="str">
        <f t="shared" si="4"/>
        <v>EPC-IPU-L357-01EXTRA LAVORI : Spot</v>
      </c>
      <c r="I285" s="5" t="s">
        <v>18</v>
      </c>
      <c r="J285" s="5" t="s">
        <v>259</v>
      </c>
      <c r="K285" s="8" t="s">
        <v>259</v>
      </c>
      <c r="L285" s="9">
        <v>823.27</v>
      </c>
      <c r="M285" s="9">
        <v>1101.1400000000001</v>
      </c>
      <c r="N285" s="9">
        <v>3877.9</v>
      </c>
      <c r="O285" s="9">
        <v>1101.1399999999999</v>
      </c>
      <c r="P285" s="9">
        <v>3877.9</v>
      </c>
      <c r="Q285" s="9">
        <v>1101.1399999999999</v>
      </c>
      <c r="R285" s="9">
        <v>3877.9</v>
      </c>
      <c r="S285" s="9">
        <v>1101.1399999999999</v>
      </c>
      <c r="T285" s="9">
        <v>3877.9</v>
      </c>
      <c r="U285" s="9">
        <v>1101.1400000000001</v>
      </c>
      <c r="V285" s="9"/>
      <c r="W285" s="9"/>
      <c r="X285" s="9">
        <v>0</v>
      </c>
      <c r="Y285" s="9">
        <v>6.85</v>
      </c>
      <c r="Z285" s="9"/>
      <c r="AA285" s="9"/>
      <c r="AB285" s="9"/>
      <c r="AC285" s="9"/>
      <c r="AD285" s="9"/>
      <c r="AE285" s="9"/>
      <c r="AF285" s="9"/>
      <c r="AG285" s="9"/>
      <c r="AH285" s="7">
        <v>0</v>
      </c>
      <c r="AI285" s="7">
        <v>6.85</v>
      </c>
    </row>
    <row r="286" spans="2:35" x14ac:dyDescent="0.3">
      <c r="B286" s="5" t="s">
        <v>3061</v>
      </c>
      <c r="C286" s="5" t="s">
        <v>13</v>
      </c>
      <c r="D286" s="12" t="s">
        <v>619</v>
      </c>
      <c r="E286" s="6" t="s">
        <v>811</v>
      </c>
      <c r="F286" s="13" t="s">
        <v>812</v>
      </c>
      <c r="G286" s="6" t="s">
        <v>813</v>
      </c>
      <c r="H286" s="7" t="str">
        <f t="shared" si="4"/>
        <v>EPC-IPU-M269-04EXTRA LAVORI : Spot</v>
      </c>
      <c r="I286" s="5" t="s">
        <v>18</v>
      </c>
      <c r="J286" s="5" t="s">
        <v>259</v>
      </c>
      <c r="K286" s="8" t="s">
        <v>259</v>
      </c>
      <c r="L286" s="9">
        <v>4350.6000000000004</v>
      </c>
      <c r="M286" s="9">
        <v>2279.5399999999995</v>
      </c>
      <c r="N286" s="9">
        <v>7698.67</v>
      </c>
      <c r="O286" s="9">
        <v>4228.54</v>
      </c>
      <c r="P286" s="9">
        <v>7698.67</v>
      </c>
      <c r="Q286" s="9">
        <v>7830.87</v>
      </c>
      <c r="R286" s="9">
        <v>11383.85</v>
      </c>
      <c r="S286" s="9">
        <v>8122.58</v>
      </c>
      <c r="T286" s="9">
        <v>11383.85</v>
      </c>
      <c r="U286" s="9">
        <v>8376.5</v>
      </c>
      <c r="V286" s="9"/>
      <c r="W286" s="9"/>
      <c r="X286" s="9">
        <v>0</v>
      </c>
      <c r="Y286" s="9">
        <v>0</v>
      </c>
      <c r="Z286" s="9"/>
      <c r="AA286" s="9"/>
      <c r="AB286" s="9"/>
      <c r="AC286" s="9"/>
      <c r="AD286" s="9"/>
      <c r="AE286" s="9"/>
      <c r="AF286" s="9"/>
      <c r="AG286" s="9"/>
      <c r="AH286" s="7">
        <v>0</v>
      </c>
      <c r="AI286" s="7">
        <v>0</v>
      </c>
    </row>
    <row r="287" spans="2:35" x14ac:dyDescent="0.3">
      <c r="B287" s="5" t="s">
        <v>3061</v>
      </c>
      <c r="C287" s="5" t="s">
        <v>13</v>
      </c>
      <c r="D287" s="12" t="s">
        <v>619</v>
      </c>
      <c r="E287" s="6" t="s">
        <v>814</v>
      </c>
      <c r="F287" s="13" t="s">
        <v>815</v>
      </c>
      <c r="G287" s="6" t="s">
        <v>816</v>
      </c>
      <c r="H287" s="7" t="str">
        <f t="shared" si="4"/>
        <v>EPC-IPU-C058-01EXTRA LAVORI : Spot</v>
      </c>
      <c r="I287" s="5" t="s">
        <v>18</v>
      </c>
      <c r="J287" s="5" t="s">
        <v>259</v>
      </c>
      <c r="K287" s="8" t="s">
        <v>259</v>
      </c>
      <c r="L287" s="9">
        <v>0</v>
      </c>
      <c r="M287" s="9">
        <v>1445.345</v>
      </c>
      <c r="N287" s="9">
        <v>0</v>
      </c>
      <c r="O287" s="9">
        <v>1445.345</v>
      </c>
      <c r="P287" s="9">
        <v>0</v>
      </c>
      <c r="Q287" s="9">
        <v>1445.345</v>
      </c>
      <c r="R287" s="9">
        <v>0</v>
      </c>
      <c r="S287" s="9">
        <v>1445.345</v>
      </c>
      <c r="T287" s="9">
        <v>0</v>
      </c>
      <c r="U287" s="9">
        <v>1445.345</v>
      </c>
      <c r="V287" s="9"/>
      <c r="W287" s="9"/>
      <c r="X287" s="9">
        <v>0</v>
      </c>
      <c r="Y287" s="9">
        <v>0</v>
      </c>
      <c r="Z287" s="9"/>
      <c r="AA287" s="9"/>
      <c r="AB287" s="9"/>
      <c r="AC287" s="9"/>
      <c r="AD287" s="9"/>
      <c r="AE287" s="9"/>
      <c r="AF287" s="9"/>
      <c r="AG287" s="9"/>
      <c r="AH287" s="7">
        <v>0</v>
      </c>
      <c r="AI287" s="7">
        <v>0</v>
      </c>
    </row>
    <row r="288" spans="2:35" x14ac:dyDescent="0.3">
      <c r="B288" s="5" t="s">
        <v>3061</v>
      </c>
      <c r="C288" s="5" t="s">
        <v>13</v>
      </c>
      <c r="D288" s="12" t="s">
        <v>619</v>
      </c>
      <c r="E288" s="6" t="s">
        <v>817</v>
      </c>
      <c r="F288" s="13" t="s">
        <v>818</v>
      </c>
      <c r="G288" s="6" t="s">
        <v>819</v>
      </c>
      <c r="H288" s="7" t="str">
        <f t="shared" si="4"/>
        <v>EPC-EEE-L736-01EXTRA LAVORI : Spot</v>
      </c>
      <c r="I288" s="5" t="s">
        <v>56</v>
      </c>
      <c r="J288" s="5" t="s">
        <v>259</v>
      </c>
      <c r="K288" s="8" t="s">
        <v>259</v>
      </c>
      <c r="L288" s="9">
        <v>378114.55</v>
      </c>
      <c r="M288" s="9">
        <v>55615.33</v>
      </c>
      <c r="N288" s="9">
        <v>0</v>
      </c>
      <c r="O288" s="9">
        <v>293757.57</v>
      </c>
      <c r="P288" s="9">
        <v>654894.28</v>
      </c>
      <c r="Q288" s="9">
        <v>371417.92</v>
      </c>
      <c r="R288" s="9">
        <v>1055099.2</v>
      </c>
      <c r="S288" s="9">
        <v>773113.66999999993</v>
      </c>
      <c r="T288" s="9">
        <v>1055099.2</v>
      </c>
      <c r="U288" s="9">
        <v>603164.25</v>
      </c>
      <c r="V288" s="9"/>
      <c r="W288" s="9"/>
      <c r="X288" s="9">
        <v>0</v>
      </c>
      <c r="Y288" s="9">
        <v>0</v>
      </c>
      <c r="Z288" s="9"/>
      <c r="AA288" s="9"/>
      <c r="AB288" s="9"/>
      <c r="AC288" s="9"/>
      <c r="AD288" s="9"/>
      <c r="AE288" s="9"/>
      <c r="AF288" s="9"/>
      <c r="AG288" s="9"/>
      <c r="AH288" s="7">
        <v>0</v>
      </c>
      <c r="AI288" s="7">
        <v>0</v>
      </c>
    </row>
    <row r="289" spans="2:35" x14ac:dyDescent="0.3">
      <c r="B289" s="5" t="s">
        <v>3061</v>
      </c>
      <c r="C289" s="5" t="s">
        <v>13</v>
      </c>
      <c r="D289" s="12" t="s">
        <v>619</v>
      </c>
      <c r="E289" s="6" t="s">
        <v>820</v>
      </c>
      <c r="F289" s="13" t="s">
        <v>821</v>
      </c>
      <c r="G289" s="6" t="s">
        <v>822</v>
      </c>
      <c r="H289" s="7" t="str">
        <f t="shared" si="4"/>
        <v>EPC-IPU-F704-03EXTRA LAVORI : Spot</v>
      </c>
      <c r="I289" s="5" t="s">
        <v>49</v>
      </c>
      <c r="J289" s="8" t="s">
        <v>259</v>
      </c>
      <c r="K289" s="8" t="s">
        <v>259</v>
      </c>
      <c r="L289" s="9">
        <v>0</v>
      </c>
      <c r="M289" s="9">
        <v>200</v>
      </c>
      <c r="N289" s="9">
        <v>0</v>
      </c>
      <c r="O289" s="9">
        <v>200</v>
      </c>
      <c r="P289" s="9">
        <v>0</v>
      </c>
      <c r="Q289" s="9">
        <v>200</v>
      </c>
      <c r="R289" s="9">
        <v>0</v>
      </c>
      <c r="S289" s="9">
        <v>320.39999999999998</v>
      </c>
      <c r="T289" s="9">
        <v>0</v>
      </c>
      <c r="U289" s="9">
        <v>320.39999999999998</v>
      </c>
      <c r="V289" s="9"/>
      <c r="W289" s="9"/>
      <c r="X289" s="9">
        <v>0</v>
      </c>
      <c r="Y289" s="9">
        <v>0</v>
      </c>
      <c r="Z289" s="9"/>
      <c r="AA289" s="9"/>
      <c r="AB289" s="9"/>
      <c r="AC289" s="9"/>
      <c r="AD289" s="9"/>
      <c r="AE289" s="9"/>
      <c r="AF289" s="9"/>
      <c r="AG289" s="9"/>
      <c r="AH289" s="7">
        <v>0</v>
      </c>
      <c r="AI289" s="7">
        <v>0</v>
      </c>
    </row>
    <row r="290" spans="2:35" x14ac:dyDescent="0.3">
      <c r="B290" s="5" t="s">
        <v>3061</v>
      </c>
      <c r="C290" s="5" t="s">
        <v>13</v>
      </c>
      <c r="D290" s="12" t="s">
        <v>619</v>
      </c>
      <c r="E290" s="6" t="s">
        <v>823</v>
      </c>
      <c r="F290" s="13" t="s">
        <v>824</v>
      </c>
      <c r="G290" s="6" t="s">
        <v>825</v>
      </c>
      <c r="H290" s="7" t="str">
        <f t="shared" si="4"/>
        <v>EPC-IPU-I465-01EXTRA LAVORI : Spot</v>
      </c>
      <c r="I290" s="5" t="s">
        <v>49</v>
      </c>
      <c r="J290" s="5" t="s">
        <v>259</v>
      </c>
      <c r="K290" s="8" t="s">
        <v>259</v>
      </c>
      <c r="L290" s="9">
        <v>0</v>
      </c>
      <c r="M290" s="9">
        <v>0</v>
      </c>
      <c r="N290" s="9">
        <v>0</v>
      </c>
      <c r="O290" s="9">
        <v>0</v>
      </c>
      <c r="P290" s="9">
        <v>0</v>
      </c>
      <c r="Q290" s="9">
        <v>0</v>
      </c>
      <c r="R290" s="9">
        <v>0</v>
      </c>
      <c r="S290" s="9">
        <v>0</v>
      </c>
      <c r="T290" s="9">
        <v>0</v>
      </c>
      <c r="U290" s="9">
        <v>0</v>
      </c>
      <c r="V290" s="9"/>
      <c r="W290" s="9"/>
      <c r="X290" s="9">
        <v>0</v>
      </c>
      <c r="Y290" s="9">
        <v>0</v>
      </c>
      <c r="Z290" s="9"/>
      <c r="AA290" s="9"/>
      <c r="AB290" s="9"/>
      <c r="AC290" s="9"/>
      <c r="AD290" s="9"/>
      <c r="AE290" s="9"/>
      <c r="AF290" s="9"/>
      <c r="AG290" s="9"/>
      <c r="AH290" s="7">
        <v>0</v>
      </c>
      <c r="AI290" s="7">
        <v>0</v>
      </c>
    </row>
    <row r="291" spans="2:35" x14ac:dyDescent="0.3">
      <c r="B291" s="5" t="s">
        <v>3061</v>
      </c>
      <c r="C291" s="5" t="s">
        <v>13</v>
      </c>
      <c r="D291" s="12" t="s">
        <v>619</v>
      </c>
      <c r="E291" s="6" t="s">
        <v>826</v>
      </c>
      <c r="F291" s="13" t="s">
        <v>827</v>
      </c>
      <c r="G291" s="6" t="s">
        <v>828</v>
      </c>
      <c r="H291" s="7" t="str">
        <f t="shared" si="4"/>
        <v>EPC-IPU-E716-05EXTRA LAVORI : Spot</v>
      </c>
      <c r="I291" s="5" t="s">
        <v>18</v>
      </c>
      <c r="J291" s="5" t="s">
        <v>259</v>
      </c>
      <c r="K291" s="8" t="s">
        <v>259</v>
      </c>
      <c r="L291" s="9">
        <v>0</v>
      </c>
      <c r="M291" s="9">
        <v>6840.4999999999991</v>
      </c>
      <c r="N291" s="9">
        <v>0</v>
      </c>
      <c r="O291" s="9">
        <v>6840.4999999999991</v>
      </c>
      <c r="P291" s="9">
        <v>13367.17</v>
      </c>
      <c r="Q291" s="9">
        <v>7304.54</v>
      </c>
      <c r="R291" s="9">
        <v>13367.17</v>
      </c>
      <c r="S291" s="9">
        <v>7304.54</v>
      </c>
      <c r="T291" s="9">
        <v>13367.17</v>
      </c>
      <c r="U291" s="9">
        <v>7304.54</v>
      </c>
      <c r="V291" s="9"/>
      <c r="W291" s="9"/>
      <c r="X291" s="9">
        <v>0</v>
      </c>
      <c r="Y291" s="9">
        <v>0</v>
      </c>
      <c r="Z291" s="9"/>
      <c r="AA291" s="9"/>
      <c r="AB291" s="9"/>
      <c r="AC291" s="9"/>
      <c r="AD291" s="9"/>
      <c r="AE291" s="9"/>
      <c r="AF291" s="9"/>
      <c r="AG291" s="9"/>
      <c r="AH291" s="7">
        <v>0</v>
      </c>
      <c r="AI291" s="7">
        <v>0</v>
      </c>
    </row>
    <row r="292" spans="2:35" x14ac:dyDescent="0.3">
      <c r="B292" s="5" t="s">
        <v>3061</v>
      </c>
      <c r="C292" s="5" t="s">
        <v>13</v>
      </c>
      <c r="D292" s="12" t="s">
        <v>619</v>
      </c>
      <c r="E292" s="6" t="s">
        <v>829</v>
      </c>
      <c r="F292" s="13" t="s">
        <v>830</v>
      </c>
      <c r="G292" s="6" t="s">
        <v>831</v>
      </c>
      <c r="H292" s="7" t="str">
        <f t="shared" si="4"/>
        <v>EPC-IPU-G712-01EXTRA LAVORI : Spot</v>
      </c>
      <c r="I292" s="5" t="s">
        <v>18</v>
      </c>
      <c r="J292" s="5" t="s">
        <v>259</v>
      </c>
      <c r="K292" s="8" t="s">
        <v>259</v>
      </c>
      <c r="L292" s="9">
        <v>0</v>
      </c>
      <c r="M292" s="9">
        <v>921.75</v>
      </c>
      <c r="N292" s="9">
        <v>0</v>
      </c>
      <c r="O292" s="9">
        <v>921.75</v>
      </c>
      <c r="P292" s="9">
        <v>0</v>
      </c>
      <c r="Q292" s="9">
        <v>921.75</v>
      </c>
      <c r="R292" s="9">
        <v>0</v>
      </c>
      <c r="S292" s="9">
        <v>3104.35</v>
      </c>
      <c r="T292" s="9">
        <v>0</v>
      </c>
      <c r="U292" s="9">
        <v>7825.89</v>
      </c>
      <c r="V292" s="9"/>
      <c r="W292" s="9"/>
      <c r="X292" s="9">
        <v>0</v>
      </c>
      <c r="Y292" s="9">
        <v>0</v>
      </c>
      <c r="Z292" s="9"/>
      <c r="AA292" s="9"/>
      <c r="AB292" s="9"/>
      <c r="AC292" s="9"/>
      <c r="AD292" s="9"/>
      <c r="AE292" s="9"/>
      <c r="AF292" s="9"/>
      <c r="AG292" s="9"/>
      <c r="AH292" s="7">
        <v>0</v>
      </c>
      <c r="AI292" s="7">
        <v>0</v>
      </c>
    </row>
    <row r="293" spans="2:35" x14ac:dyDescent="0.3">
      <c r="B293" s="5" t="s">
        <v>3061</v>
      </c>
      <c r="C293" s="5" t="s">
        <v>13</v>
      </c>
      <c r="D293" s="12" t="s">
        <v>619</v>
      </c>
      <c r="E293" s="6" t="s">
        <v>832</v>
      </c>
      <c r="F293" s="13" t="s">
        <v>833</v>
      </c>
      <c r="G293" s="6" t="s">
        <v>834</v>
      </c>
      <c r="H293" s="7" t="str">
        <f t="shared" si="4"/>
        <v>EPC-IPU-E951-05EXTRA LAVORI : Spot</v>
      </c>
      <c r="I293" s="5" t="s">
        <v>49</v>
      </c>
      <c r="J293" s="5" t="s">
        <v>259</v>
      </c>
      <c r="K293" s="8" t="s">
        <v>259</v>
      </c>
      <c r="L293" s="9">
        <v>1461.38</v>
      </c>
      <c r="M293" s="9">
        <v>0</v>
      </c>
      <c r="N293" s="9">
        <v>1461.38</v>
      </c>
      <c r="O293" s="9">
        <v>0</v>
      </c>
      <c r="P293" s="9">
        <v>2922.76</v>
      </c>
      <c r="Q293" s="9">
        <v>0</v>
      </c>
      <c r="R293" s="9">
        <v>1461.38</v>
      </c>
      <c r="S293" s="9">
        <v>0</v>
      </c>
      <c r="T293" s="9">
        <v>1461.38</v>
      </c>
      <c r="U293" s="9">
        <v>0</v>
      </c>
      <c r="V293" s="9"/>
      <c r="W293" s="9"/>
      <c r="X293" s="9">
        <v>0</v>
      </c>
      <c r="Y293" s="9">
        <v>0</v>
      </c>
      <c r="Z293" s="9"/>
      <c r="AA293" s="9"/>
      <c r="AB293" s="9"/>
      <c r="AC293" s="9"/>
      <c r="AD293" s="9"/>
      <c r="AE293" s="9"/>
      <c r="AF293" s="9"/>
      <c r="AG293" s="9"/>
      <c r="AH293" s="7">
        <v>0</v>
      </c>
      <c r="AI293" s="7">
        <v>0</v>
      </c>
    </row>
    <row r="294" spans="2:35" x14ac:dyDescent="0.3">
      <c r="B294" s="5" t="s">
        <v>3061</v>
      </c>
      <c r="C294" s="5" t="s">
        <v>13</v>
      </c>
      <c r="D294" s="12" t="s">
        <v>619</v>
      </c>
      <c r="E294" s="6" t="s">
        <v>835</v>
      </c>
      <c r="F294" s="6" t="s">
        <v>836</v>
      </c>
      <c r="G294" s="6" t="s">
        <v>837</v>
      </c>
      <c r="H294" s="7" t="str">
        <f t="shared" si="4"/>
        <v>SEC-IPU-A087-01EXTRA LAVORI : Spot</v>
      </c>
      <c r="I294" s="5" t="s">
        <v>49</v>
      </c>
      <c r="J294" s="5" t="s">
        <v>259</v>
      </c>
      <c r="K294" s="8" t="s">
        <v>259</v>
      </c>
      <c r="L294" s="9">
        <v>232.17</v>
      </c>
      <c r="M294" s="9">
        <v>0</v>
      </c>
      <c r="N294" s="9">
        <v>348.26</v>
      </c>
      <c r="O294" s="9">
        <v>0</v>
      </c>
      <c r="P294" s="9">
        <v>464.34</v>
      </c>
      <c r="Q294" s="9">
        <v>0</v>
      </c>
      <c r="R294" s="9">
        <v>580.42999999999995</v>
      </c>
      <c r="S294" s="9">
        <v>0</v>
      </c>
      <c r="T294" s="9">
        <v>696.52</v>
      </c>
      <c r="U294" s="9">
        <v>0</v>
      </c>
      <c r="V294" s="9"/>
      <c r="W294" s="9"/>
      <c r="X294" s="9">
        <v>0</v>
      </c>
      <c r="Y294" s="9">
        <v>0</v>
      </c>
      <c r="Z294" s="9"/>
      <c r="AA294" s="9"/>
      <c r="AB294" s="9"/>
      <c r="AC294" s="9"/>
      <c r="AD294" s="9"/>
      <c r="AE294" s="9"/>
      <c r="AF294" s="9"/>
      <c r="AG294" s="9"/>
      <c r="AH294" s="7">
        <v>0</v>
      </c>
      <c r="AI294" s="7">
        <v>0</v>
      </c>
    </row>
    <row r="295" spans="2:35" x14ac:dyDescent="0.3">
      <c r="B295" s="5" t="s">
        <v>3061</v>
      </c>
      <c r="C295" s="5" t="s">
        <v>13</v>
      </c>
      <c r="D295" s="12" t="s">
        <v>619</v>
      </c>
      <c r="E295" s="6" t="s">
        <v>838</v>
      </c>
      <c r="F295" s="6" t="s">
        <v>839</v>
      </c>
      <c r="G295" s="6" t="s">
        <v>840</v>
      </c>
      <c r="H295" s="7" t="str">
        <f t="shared" si="4"/>
        <v>EPC-IPU-A697-02EXTRA LAVORI : Spot</v>
      </c>
      <c r="I295" s="5" t="s">
        <v>49</v>
      </c>
      <c r="J295" s="5" t="s">
        <v>76</v>
      </c>
      <c r="K295" s="5" t="s">
        <v>76</v>
      </c>
      <c r="L295" s="9">
        <v>0</v>
      </c>
      <c r="M295" s="9">
        <v>312.95999999999998</v>
      </c>
      <c r="N295" s="9">
        <v>0</v>
      </c>
      <c r="O295" s="9">
        <v>679.2</v>
      </c>
      <c r="P295" s="9">
        <v>0</v>
      </c>
      <c r="Q295" s="9">
        <v>877.76</v>
      </c>
      <c r="R295" s="9">
        <v>0</v>
      </c>
      <c r="S295" s="9">
        <v>1416.92</v>
      </c>
      <c r="T295" s="9">
        <v>0</v>
      </c>
      <c r="U295" s="9">
        <v>1778.12</v>
      </c>
      <c r="V295" s="9"/>
      <c r="W295" s="9"/>
      <c r="X295" s="9">
        <v>0</v>
      </c>
      <c r="Y295" s="9">
        <v>115</v>
      </c>
      <c r="Z295" s="9"/>
      <c r="AA295" s="9"/>
      <c r="AB295" s="9"/>
      <c r="AC295" s="9"/>
      <c r="AD295" s="9"/>
      <c r="AE295" s="9"/>
      <c r="AF295" s="9"/>
      <c r="AG295" s="9"/>
      <c r="AH295" s="7">
        <v>0</v>
      </c>
      <c r="AI295" s="7">
        <v>115</v>
      </c>
    </row>
    <row r="296" spans="2:35" x14ac:dyDescent="0.3">
      <c r="B296" s="5" t="s">
        <v>3061</v>
      </c>
      <c r="C296" s="5" t="s">
        <v>13</v>
      </c>
      <c r="D296" s="12" t="s">
        <v>619</v>
      </c>
      <c r="E296" s="6" t="s">
        <v>841</v>
      </c>
      <c r="F296" s="13" t="s">
        <v>842</v>
      </c>
      <c r="G296" s="6" t="s">
        <v>843</v>
      </c>
      <c r="H296" s="7" t="str">
        <f t="shared" si="4"/>
        <v>EPC-PHV-L736-02EXTRA LAVORI : Spot</v>
      </c>
      <c r="I296" s="5" t="s">
        <v>56</v>
      </c>
      <c r="J296" s="5" t="s">
        <v>259</v>
      </c>
      <c r="K296" s="8" t="s">
        <v>259</v>
      </c>
      <c r="L296" s="9">
        <v>300000</v>
      </c>
      <c r="M296" s="9">
        <v>180000</v>
      </c>
      <c r="N296" s="9">
        <v>306000</v>
      </c>
      <c r="O296" s="9">
        <v>148791.63</v>
      </c>
      <c r="P296" s="9">
        <v>306000</v>
      </c>
      <c r="Q296" s="9">
        <v>252679.33000000002</v>
      </c>
      <c r="R296" s="9">
        <v>355849.44</v>
      </c>
      <c r="S296" s="9">
        <v>259256.83000000002</v>
      </c>
      <c r="T296" s="9">
        <v>355849.44</v>
      </c>
      <c r="U296" s="9">
        <v>207410.66</v>
      </c>
      <c r="V296" s="9"/>
      <c r="W296" s="9"/>
      <c r="X296" s="9">
        <v>0</v>
      </c>
      <c r="Y296" s="9">
        <v>0</v>
      </c>
      <c r="Z296" s="9"/>
      <c r="AA296" s="9"/>
      <c r="AB296" s="9"/>
      <c r="AC296" s="9"/>
      <c r="AD296" s="9"/>
      <c r="AE296" s="9"/>
      <c r="AF296" s="9"/>
      <c r="AG296" s="9"/>
      <c r="AH296" s="7">
        <v>0</v>
      </c>
      <c r="AI296" s="7">
        <v>0</v>
      </c>
    </row>
    <row r="297" spans="2:35" x14ac:dyDescent="0.3">
      <c r="B297" s="5" t="s">
        <v>3061</v>
      </c>
      <c r="C297" s="5" t="s">
        <v>13</v>
      </c>
      <c r="D297" s="12" t="s">
        <v>619</v>
      </c>
      <c r="E297" s="6" t="s">
        <v>820</v>
      </c>
      <c r="F297" s="13" t="s">
        <v>844</v>
      </c>
      <c r="G297" s="6" t="s">
        <v>822</v>
      </c>
      <c r="H297" s="7" t="str">
        <f t="shared" si="4"/>
        <v>EPC-IPU-F704-04EXTRA LAVORI : Spot</v>
      </c>
      <c r="I297" s="5" t="s">
        <v>49</v>
      </c>
      <c r="J297" s="5" t="s">
        <v>259</v>
      </c>
      <c r="K297" s="8" t="s">
        <v>259</v>
      </c>
      <c r="L297" s="9">
        <v>0</v>
      </c>
      <c r="M297" s="9">
        <v>104.32</v>
      </c>
      <c r="N297" s="9">
        <v>0</v>
      </c>
      <c r="O297" s="9">
        <v>226.4</v>
      </c>
      <c r="P297" s="9">
        <v>0</v>
      </c>
      <c r="Q297" s="9">
        <v>325.68</v>
      </c>
      <c r="R297" s="9">
        <v>0</v>
      </c>
      <c r="S297" s="9">
        <v>446.08</v>
      </c>
      <c r="T297" s="9">
        <v>1484.7</v>
      </c>
      <c r="U297" s="9">
        <v>446.08</v>
      </c>
      <c r="V297" s="9"/>
      <c r="W297" s="9"/>
      <c r="X297" s="9">
        <v>0</v>
      </c>
      <c r="Y297" s="9">
        <v>0</v>
      </c>
      <c r="Z297" s="9"/>
      <c r="AA297" s="9"/>
      <c r="AB297" s="9"/>
      <c r="AC297" s="9"/>
      <c r="AD297" s="9"/>
      <c r="AE297" s="9"/>
      <c r="AF297" s="9"/>
      <c r="AG297" s="9"/>
      <c r="AH297" s="7">
        <v>0</v>
      </c>
      <c r="AI297" s="7">
        <v>0</v>
      </c>
    </row>
    <row r="298" spans="2:35" x14ac:dyDescent="0.3">
      <c r="B298" s="5" t="s">
        <v>3061</v>
      </c>
      <c r="C298" s="5" t="s">
        <v>13</v>
      </c>
      <c r="D298" s="12" t="s">
        <v>619</v>
      </c>
      <c r="E298" s="6" t="s">
        <v>845</v>
      </c>
      <c r="F298" s="13" t="s">
        <v>846</v>
      </c>
      <c r="G298" s="6" t="s">
        <v>847</v>
      </c>
      <c r="H298" s="7" t="str">
        <f t="shared" si="4"/>
        <v>EPC-IPU-A512-01EXTRA LAVORI : Spot</v>
      </c>
      <c r="I298" s="5" t="s">
        <v>18</v>
      </c>
      <c r="J298" s="5" t="s">
        <v>259</v>
      </c>
      <c r="K298" s="8" t="s">
        <v>259</v>
      </c>
      <c r="L298" s="9">
        <v>732</v>
      </c>
      <c r="M298" s="9">
        <v>0</v>
      </c>
      <c r="N298" s="9">
        <v>732</v>
      </c>
      <c r="O298" s="9">
        <v>0</v>
      </c>
      <c r="P298" s="9">
        <v>1464</v>
      </c>
      <c r="Q298" s="9">
        <v>0</v>
      </c>
      <c r="R298" s="9">
        <v>732</v>
      </c>
      <c r="S298" s="9">
        <v>0</v>
      </c>
      <c r="T298" s="9">
        <v>732</v>
      </c>
      <c r="U298" s="9">
        <v>0</v>
      </c>
      <c r="V298" s="9"/>
      <c r="W298" s="9"/>
      <c r="X298" s="9">
        <v>0</v>
      </c>
      <c r="Y298" s="9">
        <v>0</v>
      </c>
      <c r="Z298" s="9"/>
      <c r="AA298" s="9"/>
      <c r="AB298" s="9"/>
      <c r="AC298" s="9"/>
      <c r="AD298" s="9"/>
      <c r="AE298" s="9"/>
      <c r="AF298" s="9"/>
      <c r="AG298" s="9"/>
      <c r="AH298" s="7">
        <v>0</v>
      </c>
      <c r="AI298" s="7">
        <v>0</v>
      </c>
    </row>
    <row r="299" spans="2:35" x14ac:dyDescent="0.3">
      <c r="B299" s="5" t="s">
        <v>3061</v>
      </c>
      <c r="C299" s="5" t="s">
        <v>13</v>
      </c>
      <c r="D299" s="12" t="s">
        <v>619</v>
      </c>
      <c r="E299" s="6" t="s">
        <v>848</v>
      </c>
      <c r="F299" s="6" t="s">
        <v>849</v>
      </c>
      <c r="G299" s="6" t="s">
        <v>850</v>
      </c>
      <c r="H299" s="7" t="str">
        <f t="shared" si="4"/>
        <v>EPC-IPU-B162-02EXTRA LAVORI : Spot</v>
      </c>
      <c r="I299" s="5" t="s">
        <v>49</v>
      </c>
      <c r="J299" s="5" t="s">
        <v>259</v>
      </c>
      <c r="K299" s="8" t="s">
        <v>259</v>
      </c>
      <c r="L299" s="9">
        <v>1067.1400000000001</v>
      </c>
      <c r="M299" s="9">
        <v>0</v>
      </c>
      <c r="N299" s="9">
        <v>1067.1400000000001</v>
      </c>
      <c r="O299" s="9">
        <v>0</v>
      </c>
      <c r="P299" s="9">
        <v>2134.2800000000002</v>
      </c>
      <c r="Q299" s="9">
        <v>0</v>
      </c>
      <c r="R299" s="9">
        <v>1067.1400000000001</v>
      </c>
      <c r="S299" s="9">
        <v>0</v>
      </c>
      <c r="T299" s="9">
        <v>1067.1400000000001</v>
      </c>
      <c r="U299" s="9">
        <v>0</v>
      </c>
      <c r="V299" s="9"/>
      <c r="W299" s="9"/>
      <c r="X299" s="9">
        <v>0</v>
      </c>
      <c r="Y299" s="9">
        <v>0</v>
      </c>
      <c r="Z299" s="9"/>
      <c r="AA299" s="9"/>
      <c r="AB299" s="9"/>
      <c r="AC299" s="9"/>
      <c r="AD299" s="9"/>
      <c r="AE299" s="9"/>
      <c r="AF299" s="9"/>
      <c r="AG299" s="9"/>
      <c r="AH299" s="7">
        <v>0</v>
      </c>
      <c r="AI299" s="7">
        <v>0</v>
      </c>
    </row>
    <row r="300" spans="2:35" x14ac:dyDescent="0.3">
      <c r="B300" s="5" t="s">
        <v>3061</v>
      </c>
      <c r="C300" s="5" t="s">
        <v>13</v>
      </c>
      <c r="D300" s="12" t="s">
        <v>619</v>
      </c>
      <c r="E300" s="6" t="s">
        <v>851</v>
      </c>
      <c r="F300" s="13" t="s">
        <v>852</v>
      </c>
      <c r="G300" s="6" t="s">
        <v>853</v>
      </c>
      <c r="H300" s="7" t="str">
        <f t="shared" si="4"/>
        <v>EPC-IPU-E246-03EXTRA LAVORI : Spot</v>
      </c>
      <c r="I300" s="5" t="s">
        <v>18</v>
      </c>
      <c r="J300" s="5" t="s">
        <v>76</v>
      </c>
      <c r="K300" s="5" t="s">
        <v>76</v>
      </c>
      <c r="L300" s="9">
        <v>0</v>
      </c>
      <c r="M300" s="9">
        <v>229.5</v>
      </c>
      <c r="N300" s="9">
        <v>0</v>
      </c>
      <c r="O300" s="9">
        <v>304.77</v>
      </c>
      <c r="P300" s="9">
        <v>0</v>
      </c>
      <c r="Q300" s="9">
        <v>652.57000000000005</v>
      </c>
      <c r="R300" s="9">
        <v>0</v>
      </c>
      <c r="S300" s="9">
        <v>652.57000000000005</v>
      </c>
      <c r="T300" s="9">
        <v>0</v>
      </c>
      <c r="U300" s="9">
        <v>652.57000000000005</v>
      </c>
      <c r="V300" s="9"/>
      <c r="W300" s="9"/>
      <c r="X300" s="9">
        <v>0</v>
      </c>
      <c r="Y300" s="9">
        <v>0</v>
      </c>
      <c r="Z300" s="9"/>
      <c r="AA300" s="9"/>
      <c r="AB300" s="9"/>
      <c r="AC300" s="9"/>
      <c r="AD300" s="9"/>
      <c r="AE300" s="9"/>
      <c r="AF300" s="9"/>
      <c r="AG300" s="9"/>
      <c r="AH300" s="7">
        <v>0</v>
      </c>
      <c r="AI300" s="7">
        <v>0</v>
      </c>
    </row>
    <row r="301" spans="2:35" x14ac:dyDescent="0.3">
      <c r="B301" s="5" t="s">
        <v>3061</v>
      </c>
      <c r="C301" s="5" t="s">
        <v>13</v>
      </c>
      <c r="D301" s="12" t="s">
        <v>619</v>
      </c>
      <c r="E301" s="6" t="s">
        <v>854</v>
      </c>
      <c r="F301" s="13" t="s">
        <v>855</v>
      </c>
      <c r="G301" s="6" t="s">
        <v>856</v>
      </c>
      <c r="H301" s="7" t="str">
        <f t="shared" si="4"/>
        <v>EPC-IPU-E906-01EXTRA LAVORI : Spot</v>
      </c>
      <c r="I301" s="5" t="s">
        <v>18</v>
      </c>
      <c r="J301" s="5" t="s">
        <v>259</v>
      </c>
      <c r="K301" s="8" t="s">
        <v>259</v>
      </c>
      <c r="L301" s="9">
        <v>1659.33</v>
      </c>
      <c r="M301" s="9">
        <v>0</v>
      </c>
      <c r="N301" s="9">
        <v>1659.33</v>
      </c>
      <c r="O301" s="9">
        <v>0</v>
      </c>
      <c r="P301" s="9">
        <v>1659.33</v>
      </c>
      <c r="Q301" s="9">
        <v>0</v>
      </c>
      <c r="R301" s="9">
        <v>1659.33</v>
      </c>
      <c r="S301" s="9">
        <v>0</v>
      </c>
      <c r="T301" s="9">
        <v>1659.33</v>
      </c>
      <c r="U301" s="9">
        <v>0</v>
      </c>
      <c r="V301" s="9"/>
      <c r="W301" s="9"/>
      <c r="X301" s="9">
        <v>0</v>
      </c>
      <c r="Y301" s="9">
        <v>0</v>
      </c>
      <c r="Z301" s="9"/>
      <c r="AA301" s="9"/>
      <c r="AB301" s="9"/>
      <c r="AC301" s="9"/>
      <c r="AD301" s="9"/>
      <c r="AE301" s="9"/>
      <c r="AF301" s="9"/>
      <c r="AG301" s="9"/>
      <c r="AH301" s="7">
        <v>0</v>
      </c>
      <c r="AI301" s="7">
        <v>0</v>
      </c>
    </row>
    <row r="302" spans="2:35" x14ac:dyDescent="0.3">
      <c r="B302" s="5" t="s">
        <v>3061</v>
      </c>
      <c r="C302" s="5" t="s">
        <v>13</v>
      </c>
      <c r="D302" s="12" t="s">
        <v>619</v>
      </c>
      <c r="E302" s="6" t="s">
        <v>857</v>
      </c>
      <c r="F302" s="13" t="s">
        <v>858</v>
      </c>
      <c r="G302" s="6" t="s">
        <v>429</v>
      </c>
      <c r="H302" s="7" t="str">
        <f t="shared" si="4"/>
        <v>EPC-IPU-F874-01EXTRA LAVORI : Spot</v>
      </c>
      <c r="I302" s="5" t="s">
        <v>49</v>
      </c>
      <c r="J302" s="5" t="s">
        <v>259</v>
      </c>
      <c r="K302" s="8" t="s">
        <v>259</v>
      </c>
      <c r="L302" s="9">
        <v>0</v>
      </c>
      <c r="M302" s="9">
        <v>3686</v>
      </c>
      <c r="N302" s="9">
        <v>0</v>
      </c>
      <c r="O302" s="9">
        <v>6207.13</v>
      </c>
      <c r="P302" s="9">
        <v>0</v>
      </c>
      <c r="Q302" s="9">
        <v>8462.49</v>
      </c>
      <c r="R302" s="9">
        <v>0</v>
      </c>
      <c r="S302" s="9">
        <v>10964.53</v>
      </c>
      <c r="T302" s="9">
        <v>0</v>
      </c>
      <c r="U302" s="9">
        <v>14859.01</v>
      </c>
      <c r="V302" s="9"/>
      <c r="W302" s="9"/>
      <c r="X302" s="9">
        <v>0</v>
      </c>
      <c r="Y302" s="9">
        <v>0</v>
      </c>
      <c r="Z302" s="9"/>
      <c r="AA302" s="9"/>
      <c r="AB302" s="9"/>
      <c r="AC302" s="9"/>
      <c r="AD302" s="9"/>
      <c r="AE302" s="9"/>
      <c r="AF302" s="9"/>
      <c r="AG302" s="9"/>
      <c r="AH302" s="7">
        <v>0</v>
      </c>
      <c r="AI302" s="7">
        <v>0</v>
      </c>
    </row>
    <row r="303" spans="2:35" x14ac:dyDescent="0.3">
      <c r="B303" s="5" t="s">
        <v>3061</v>
      </c>
      <c r="C303" s="5" t="s">
        <v>13</v>
      </c>
      <c r="D303" s="12" t="s">
        <v>619</v>
      </c>
      <c r="E303" s="6" t="s">
        <v>859</v>
      </c>
      <c r="F303" s="13" t="s">
        <v>860</v>
      </c>
      <c r="G303" s="6" t="s">
        <v>861</v>
      </c>
      <c r="H303" s="7" t="str">
        <f t="shared" si="4"/>
        <v>PPP-IPU-G230-02EXTRA LAVORI : Spot</v>
      </c>
      <c r="I303" s="5" t="s">
        <v>18</v>
      </c>
      <c r="J303" s="5" t="s">
        <v>76</v>
      </c>
      <c r="K303" s="5" t="s">
        <v>76</v>
      </c>
      <c r="L303" s="9">
        <v>0</v>
      </c>
      <c r="M303" s="9">
        <v>21665.16</v>
      </c>
      <c r="N303" s="9">
        <v>0</v>
      </c>
      <c r="O303" s="9">
        <v>25965.919999999998</v>
      </c>
      <c r="P303" s="9">
        <v>0</v>
      </c>
      <c r="Q303" s="9">
        <v>29352.674999999999</v>
      </c>
      <c r="R303" s="9">
        <v>0</v>
      </c>
      <c r="S303" s="9">
        <v>29728.244999999999</v>
      </c>
      <c r="T303" s="9">
        <v>0</v>
      </c>
      <c r="U303" s="9">
        <v>31012.77</v>
      </c>
      <c r="V303" s="9"/>
      <c r="W303" s="9"/>
      <c r="X303" s="9">
        <v>0</v>
      </c>
      <c r="Y303" s="9">
        <v>0</v>
      </c>
      <c r="Z303" s="9"/>
      <c r="AA303" s="9"/>
      <c r="AB303" s="9"/>
      <c r="AC303" s="9"/>
      <c r="AD303" s="9"/>
      <c r="AE303" s="9"/>
      <c r="AF303" s="9"/>
      <c r="AG303" s="9"/>
      <c r="AH303" s="7">
        <v>0</v>
      </c>
      <c r="AI303" s="7">
        <v>0</v>
      </c>
    </row>
    <row r="304" spans="2:35" x14ac:dyDescent="0.3">
      <c r="B304" s="5" t="s">
        <v>3061</v>
      </c>
      <c r="C304" s="5" t="s">
        <v>13</v>
      </c>
      <c r="D304" s="12" t="s">
        <v>619</v>
      </c>
      <c r="E304" s="6" t="s">
        <v>862</v>
      </c>
      <c r="F304" s="6" t="s">
        <v>863</v>
      </c>
      <c r="G304" s="6" t="s">
        <v>864</v>
      </c>
      <c r="H304" s="7" t="str">
        <f t="shared" si="4"/>
        <v>EPC-IPU-B731-02EXTRA LAVORI : Spot</v>
      </c>
      <c r="I304" s="5" t="s">
        <v>49</v>
      </c>
      <c r="J304" s="5" t="s">
        <v>259</v>
      </c>
      <c r="K304" s="8" t="s">
        <v>259</v>
      </c>
      <c r="L304" s="9">
        <v>1197.53</v>
      </c>
      <c r="M304" s="9">
        <v>0</v>
      </c>
      <c r="N304" s="9">
        <v>1197.53</v>
      </c>
      <c r="O304" s="9">
        <v>0</v>
      </c>
      <c r="P304" s="9">
        <v>1197.53</v>
      </c>
      <c r="Q304" s="9">
        <v>0</v>
      </c>
      <c r="R304" s="9">
        <v>1197.53</v>
      </c>
      <c r="S304" s="9">
        <v>0</v>
      </c>
      <c r="T304" s="9">
        <v>1197.53</v>
      </c>
      <c r="U304" s="9">
        <v>0</v>
      </c>
      <c r="V304" s="9"/>
      <c r="W304" s="9"/>
      <c r="X304" s="9">
        <v>0</v>
      </c>
      <c r="Y304" s="9">
        <v>0</v>
      </c>
      <c r="Z304" s="9"/>
      <c r="AA304" s="9"/>
      <c r="AB304" s="9"/>
      <c r="AC304" s="9"/>
      <c r="AD304" s="9"/>
      <c r="AE304" s="9"/>
      <c r="AF304" s="9"/>
      <c r="AG304" s="9"/>
      <c r="AH304" s="7">
        <v>0</v>
      </c>
      <c r="AI304" s="7">
        <v>0</v>
      </c>
    </row>
    <row r="305" spans="2:35" x14ac:dyDescent="0.3">
      <c r="B305" s="5" t="s">
        <v>3061</v>
      </c>
      <c r="C305" s="5" t="s">
        <v>865</v>
      </c>
      <c r="D305" s="12" t="s">
        <v>619</v>
      </c>
      <c r="E305" s="6" t="s">
        <v>866</v>
      </c>
      <c r="F305" s="13" t="s">
        <v>867</v>
      </c>
      <c r="G305" s="6" t="s">
        <v>868</v>
      </c>
      <c r="H305" s="7" t="str">
        <f t="shared" si="4"/>
        <v>SEC-IPU-I895-01EXTRA LAVORI : Spot</v>
      </c>
      <c r="I305" s="5" t="s">
        <v>18</v>
      </c>
      <c r="J305" s="5" t="s">
        <v>76</v>
      </c>
      <c r="K305" s="5" t="s">
        <v>76</v>
      </c>
      <c r="L305" s="9">
        <v>454.59</v>
      </c>
      <c r="M305" s="9">
        <v>0</v>
      </c>
      <c r="N305" s="9">
        <v>681.88</v>
      </c>
      <c r="O305" s="9">
        <v>0</v>
      </c>
      <c r="P305" s="9">
        <v>909.18</v>
      </c>
      <c r="Q305" s="9">
        <v>0</v>
      </c>
      <c r="R305" s="9">
        <v>1136.47</v>
      </c>
      <c r="S305" s="9">
        <v>1602.7549999999999</v>
      </c>
      <c r="T305" s="9">
        <v>0</v>
      </c>
      <c r="U305" s="9">
        <v>1924.6399999999999</v>
      </c>
      <c r="V305" s="9"/>
      <c r="W305" s="9"/>
      <c r="X305" s="9">
        <v>0</v>
      </c>
      <c r="Y305" s="9">
        <v>0</v>
      </c>
      <c r="Z305" s="9"/>
      <c r="AA305" s="9"/>
      <c r="AB305" s="9"/>
      <c r="AC305" s="9"/>
      <c r="AD305" s="9"/>
      <c r="AE305" s="9"/>
      <c r="AF305" s="9"/>
      <c r="AG305" s="9"/>
      <c r="AH305" s="7">
        <v>0</v>
      </c>
      <c r="AI305" s="7">
        <v>0</v>
      </c>
    </row>
    <row r="306" spans="2:35" x14ac:dyDescent="0.3">
      <c r="B306" s="5" t="s">
        <v>3061</v>
      </c>
      <c r="C306" s="5" t="s">
        <v>13</v>
      </c>
      <c r="D306" s="12" t="s">
        <v>619</v>
      </c>
      <c r="E306" s="6" t="s">
        <v>869</v>
      </c>
      <c r="F306" s="13" t="s">
        <v>870</v>
      </c>
      <c r="G306" s="6" t="s">
        <v>871</v>
      </c>
      <c r="H306" s="7" t="str">
        <f t="shared" si="4"/>
        <v>EPC-IPU-D010-01EXTRA LAVORI : Spot</v>
      </c>
      <c r="I306" s="5" t="s">
        <v>18</v>
      </c>
      <c r="J306" s="5" t="s">
        <v>259</v>
      </c>
      <c r="K306" s="8" t="s">
        <v>259</v>
      </c>
      <c r="L306" s="9">
        <v>362.8</v>
      </c>
      <c r="M306" s="9">
        <v>0</v>
      </c>
      <c r="N306" s="9">
        <v>362.8</v>
      </c>
      <c r="O306" s="9">
        <v>0</v>
      </c>
      <c r="P306" s="9">
        <v>362.8</v>
      </c>
      <c r="Q306" s="9">
        <v>0</v>
      </c>
      <c r="R306" s="9">
        <v>362.8</v>
      </c>
      <c r="S306" s="9">
        <v>0</v>
      </c>
      <c r="T306" s="9">
        <v>362.8</v>
      </c>
      <c r="U306" s="9">
        <v>0</v>
      </c>
      <c r="V306" s="9"/>
      <c r="W306" s="9"/>
      <c r="X306" s="9">
        <v>0</v>
      </c>
      <c r="Y306" s="9">
        <v>0</v>
      </c>
      <c r="Z306" s="9"/>
      <c r="AA306" s="9"/>
      <c r="AB306" s="9"/>
      <c r="AC306" s="9"/>
      <c r="AD306" s="9"/>
      <c r="AE306" s="9"/>
      <c r="AF306" s="9"/>
      <c r="AG306" s="9"/>
      <c r="AH306" s="7">
        <v>0</v>
      </c>
      <c r="AI306" s="7">
        <v>0</v>
      </c>
    </row>
    <row r="307" spans="2:35" x14ac:dyDescent="0.3">
      <c r="B307" s="5" t="s">
        <v>3061</v>
      </c>
      <c r="C307" s="5" t="s">
        <v>13</v>
      </c>
      <c r="D307" s="12" t="s">
        <v>619</v>
      </c>
      <c r="E307" s="6" t="s">
        <v>872</v>
      </c>
      <c r="F307" s="13" t="s">
        <v>873</v>
      </c>
      <c r="G307" s="6" t="s">
        <v>874</v>
      </c>
      <c r="H307" s="7" t="str">
        <f t="shared" si="4"/>
        <v>EPC-IPU-C793-01EXTRA LAVORI : Spot</v>
      </c>
      <c r="I307" s="5" t="s">
        <v>49</v>
      </c>
      <c r="J307" s="5" t="s">
        <v>259</v>
      </c>
      <c r="K307" s="8" t="s">
        <v>259</v>
      </c>
      <c r="L307" s="9">
        <v>0</v>
      </c>
      <c r="M307" s="9">
        <v>0</v>
      </c>
      <c r="N307" s="9">
        <v>0</v>
      </c>
      <c r="O307" s="9">
        <v>0</v>
      </c>
      <c r="P307" s="9">
        <v>0</v>
      </c>
      <c r="Q307" s="9">
        <v>0</v>
      </c>
      <c r="R307" s="9">
        <v>0</v>
      </c>
      <c r="S307" s="9">
        <v>0</v>
      </c>
      <c r="T307" s="9">
        <v>0</v>
      </c>
      <c r="U307" s="9">
        <v>0</v>
      </c>
      <c r="V307" s="9"/>
      <c r="W307" s="9"/>
      <c r="X307" s="9">
        <v>0</v>
      </c>
      <c r="Y307" s="9">
        <v>0</v>
      </c>
      <c r="Z307" s="9"/>
      <c r="AA307" s="9"/>
      <c r="AB307" s="9"/>
      <c r="AC307" s="9"/>
      <c r="AD307" s="9"/>
      <c r="AE307" s="9"/>
      <c r="AF307" s="9"/>
      <c r="AG307" s="9"/>
      <c r="AH307" s="7">
        <v>0</v>
      </c>
      <c r="AI307" s="7">
        <v>0</v>
      </c>
    </row>
    <row r="308" spans="2:35" x14ac:dyDescent="0.3">
      <c r="B308" s="5" t="s">
        <v>3061</v>
      </c>
      <c r="C308" s="5" t="s">
        <v>13</v>
      </c>
      <c r="D308" s="12" t="s">
        <v>14</v>
      </c>
      <c r="E308" s="6" t="s">
        <v>875</v>
      </c>
      <c r="F308" s="13" t="s">
        <v>876</v>
      </c>
      <c r="G308" s="6" t="s">
        <v>877</v>
      </c>
      <c r="H308" s="7" t="str">
        <f t="shared" si="4"/>
        <v>PPP-IPU-D171-01OPERATIONAL</v>
      </c>
      <c r="I308" s="5" t="s">
        <v>18</v>
      </c>
      <c r="J308" s="8" t="s">
        <v>19</v>
      </c>
      <c r="K308" s="8" t="s">
        <v>20</v>
      </c>
      <c r="L308" s="9">
        <v>53406.95</v>
      </c>
      <c r="M308" s="9">
        <v>13538.27</v>
      </c>
      <c r="N308" s="9">
        <v>80374.33</v>
      </c>
      <c r="O308" s="9">
        <v>26292.05</v>
      </c>
      <c r="P308" s="9">
        <v>107869.52</v>
      </c>
      <c r="Q308" s="9">
        <v>39473.969999999994</v>
      </c>
      <c r="R308" s="9">
        <v>134309.09</v>
      </c>
      <c r="S308" s="9">
        <v>50095.54</v>
      </c>
      <c r="T308" s="9">
        <v>161276.47</v>
      </c>
      <c r="U308" s="9">
        <v>55631.82</v>
      </c>
      <c r="V308" s="9"/>
      <c r="W308" s="9"/>
      <c r="X308" s="9">
        <v>26439.57</v>
      </c>
      <c r="Y308" s="9">
        <v>72847.429999999993</v>
      </c>
      <c r="Z308" s="9"/>
      <c r="AA308" s="9"/>
      <c r="AB308" s="9"/>
      <c r="AC308" s="9"/>
      <c r="AD308" s="9"/>
      <c r="AE308" s="9"/>
      <c r="AF308" s="9"/>
      <c r="AG308" s="9"/>
      <c r="AH308" s="7">
        <v>26439.57</v>
      </c>
      <c r="AI308" s="7">
        <v>72847.429999999993</v>
      </c>
    </row>
    <row r="309" spans="2:35" x14ac:dyDescent="0.3">
      <c r="B309" s="5" t="s">
        <v>3061</v>
      </c>
      <c r="C309" s="5" t="s">
        <v>13</v>
      </c>
      <c r="D309" s="12" t="s">
        <v>14</v>
      </c>
      <c r="E309" s="6" t="s">
        <v>878</v>
      </c>
      <c r="F309" s="13" t="s">
        <v>879</v>
      </c>
      <c r="G309" s="6" t="s">
        <v>880</v>
      </c>
      <c r="H309" s="7" t="str">
        <f t="shared" si="4"/>
        <v>PPP-IPU-E630-01OPERATIONAL</v>
      </c>
      <c r="I309" s="5" t="s">
        <v>18</v>
      </c>
      <c r="J309" s="5" t="s">
        <v>19</v>
      </c>
      <c r="K309" s="8" t="s">
        <v>20</v>
      </c>
      <c r="L309" s="9">
        <v>56791.98</v>
      </c>
      <c r="M309" s="9">
        <v>12249.800000000001</v>
      </c>
      <c r="N309" s="9">
        <v>85187.97</v>
      </c>
      <c r="O309" s="9">
        <v>23907.67</v>
      </c>
      <c r="P309" s="9">
        <v>113583.96</v>
      </c>
      <c r="Q309" s="9">
        <v>34627.879999999997</v>
      </c>
      <c r="R309" s="9">
        <v>144266.35</v>
      </c>
      <c r="S309" s="9">
        <v>36486</v>
      </c>
      <c r="T309" s="9">
        <v>173119.62</v>
      </c>
      <c r="U309" s="9">
        <v>48200.59</v>
      </c>
      <c r="V309" s="9"/>
      <c r="W309" s="9"/>
      <c r="X309" s="9">
        <v>201972.89</v>
      </c>
      <c r="Y309" s="9">
        <v>62430.46</v>
      </c>
      <c r="Z309" s="9"/>
      <c r="AA309" s="9"/>
      <c r="AB309" s="9"/>
      <c r="AC309" s="9"/>
      <c r="AD309" s="9"/>
      <c r="AE309" s="9"/>
      <c r="AF309" s="9"/>
      <c r="AG309" s="9"/>
      <c r="AH309" s="7">
        <v>201972.89</v>
      </c>
      <c r="AI309" s="7">
        <v>62430.46</v>
      </c>
    </row>
    <row r="310" spans="2:35" x14ac:dyDescent="0.3">
      <c r="B310" s="5" t="s">
        <v>3061</v>
      </c>
      <c r="C310" s="5" t="s">
        <v>865</v>
      </c>
      <c r="D310" s="12" t="s">
        <v>14</v>
      </c>
      <c r="E310" s="6" t="s">
        <v>881</v>
      </c>
      <c r="F310" s="13" t="s">
        <v>882</v>
      </c>
      <c r="G310" s="6" t="s">
        <v>868</v>
      </c>
      <c r="H310" s="7" t="str">
        <f t="shared" si="4"/>
        <v>PPP-IPU-I895-01OPERATIONAL</v>
      </c>
      <c r="I310" s="5" t="s">
        <v>18</v>
      </c>
      <c r="J310" s="5" t="s">
        <v>19</v>
      </c>
      <c r="K310" s="5" t="s">
        <v>20</v>
      </c>
      <c r="L310" s="9">
        <v>34000</v>
      </c>
      <c r="M310" s="9">
        <v>20464</v>
      </c>
      <c r="N310" s="9">
        <v>47439.21</v>
      </c>
      <c r="O310" s="9">
        <v>27853.05</v>
      </c>
      <c r="P310" s="9">
        <v>63252.28</v>
      </c>
      <c r="Q310" s="9">
        <v>39466.699999999997</v>
      </c>
      <c r="R310" s="9">
        <v>79065.350000000006</v>
      </c>
      <c r="S310" s="9">
        <v>45971.25</v>
      </c>
      <c r="T310" s="9">
        <v>106848.9</v>
      </c>
      <c r="U310" s="9">
        <v>55443.01</v>
      </c>
      <c r="V310" s="9"/>
      <c r="W310" s="9"/>
      <c r="X310" s="9">
        <v>110634.93</v>
      </c>
      <c r="Y310" s="9">
        <v>58789.74</v>
      </c>
      <c r="Z310" s="9"/>
      <c r="AA310" s="9"/>
      <c r="AB310" s="9"/>
      <c r="AC310" s="9"/>
      <c r="AD310" s="9"/>
      <c r="AE310" s="9"/>
      <c r="AF310" s="9"/>
      <c r="AG310" s="9"/>
      <c r="AH310" s="7">
        <v>110634.93</v>
      </c>
      <c r="AI310" s="7">
        <v>58789.74</v>
      </c>
    </row>
    <row r="311" spans="2:35" x14ac:dyDescent="0.3">
      <c r="B311" s="5" t="s">
        <v>3061</v>
      </c>
      <c r="C311" s="5" t="s">
        <v>865</v>
      </c>
      <c r="D311" s="12" t="s">
        <v>14</v>
      </c>
      <c r="E311" s="6" t="s">
        <v>883</v>
      </c>
      <c r="F311" s="13" t="s">
        <v>884</v>
      </c>
      <c r="G311" s="6" t="s">
        <v>885</v>
      </c>
      <c r="H311" s="7" t="str">
        <f t="shared" si="4"/>
        <v>PPP-IPU-D184-01OPERATIONAL</v>
      </c>
      <c r="I311" s="5" t="s">
        <v>18</v>
      </c>
      <c r="J311" s="5" t="s">
        <v>19</v>
      </c>
      <c r="K311" s="5" t="s">
        <v>20</v>
      </c>
      <c r="L311" s="9">
        <v>58000</v>
      </c>
      <c r="M311" s="9">
        <v>22780</v>
      </c>
      <c r="N311" s="9">
        <v>87000</v>
      </c>
      <c r="O311" s="9">
        <v>31209.82</v>
      </c>
      <c r="P311" s="9">
        <v>156948.68</v>
      </c>
      <c r="Q311" s="9">
        <v>43745.56</v>
      </c>
      <c r="R311" s="9">
        <v>196185.85</v>
      </c>
      <c r="S311" s="9">
        <v>50666.04</v>
      </c>
      <c r="T311" s="9">
        <v>235423.02</v>
      </c>
      <c r="U311" s="9">
        <v>57625.34</v>
      </c>
      <c r="V311" s="9"/>
      <c r="W311" s="9"/>
      <c r="X311" s="9">
        <v>274660.19</v>
      </c>
      <c r="Y311" s="9">
        <v>58825.21</v>
      </c>
      <c r="Z311" s="9"/>
      <c r="AA311" s="9"/>
      <c r="AB311" s="9"/>
      <c r="AC311" s="9"/>
      <c r="AD311" s="9"/>
      <c r="AE311" s="9"/>
      <c r="AF311" s="9"/>
      <c r="AG311" s="9"/>
      <c r="AH311" s="7">
        <v>274660.19</v>
      </c>
      <c r="AI311" s="7">
        <v>58825.21</v>
      </c>
    </row>
    <row r="312" spans="2:35" x14ac:dyDescent="0.3">
      <c r="B312" s="5" t="s">
        <v>3061</v>
      </c>
      <c r="C312" s="5" t="s">
        <v>886</v>
      </c>
      <c r="D312" s="12" t="s">
        <v>14</v>
      </c>
      <c r="E312" s="6" t="s">
        <v>887</v>
      </c>
      <c r="F312" s="13" t="s">
        <v>888</v>
      </c>
      <c r="G312" s="6" t="s">
        <v>889</v>
      </c>
      <c r="H312" s="7" t="str">
        <f t="shared" si="4"/>
        <v>PPP-IPU-H090-01OPERATIONAL</v>
      </c>
      <c r="I312" s="5" t="s">
        <v>18</v>
      </c>
      <c r="J312" s="5" t="s">
        <v>19</v>
      </c>
      <c r="K312" s="5" t="s">
        <v>20</v>
      </c>
      <c r="L312" s="9">
        <v>114000</v>
      </c>
      <c r="M312" s="9">
        <v>34999.600000000006</v>
      </c>
      <c r="N312" s="9">
        <v>117409.4</v>
      </c>
      <c r="O312" s="9">
        <v>64936.87</v>
      </c>
      <c r="P312" s="9">
        <v>176114.1</v>
      </c>
      <c r="Q312" s="9">
        <v>82180.23</v>
      </c>
      <c r="R312" s="9">
        <v>234818.8</v>
      </c>
      <c r="S312" s="9">
        <v>99185.57</v>
      </c>
      <c r="T312" s="9">
        <v>293523.5</v>
      </c>
      <c r="U312" s="9">
        <v>107467.88</v>
      </c>
      <c r="V312" s="9"/>
      <c r="W312" s="9"/>
      <c r="X312" s="9">
        <v>293523.5</v>
      </c>
      <c r="Y312" s="9">
        <v>108870.1</v>
      </c>
      <c r="Z312" s="9"/>
      <c r="AA312" s="9"/>
      <c r="AB312" s="9"/>
      <c r="AC312" s="9"/>
      <c r="AD312" s="9"/>
      <c r="AE312" s="9"/>
      <c r="AF312" s="9"/>
      <c r="AG312" s="9"/>
      <c r="AH312" s="7">
        <v>293523.5</v>
      </c>
      <c r="AI312" s="7">
        <v>108870.1</v>
      </c>
    </row>
    <row r="313" spans="2:35" x14ac:dyDescent="0.3">
      <c r="B313" s="5" t="s">
        <v>3061</v>
      </c>
      <c r="C313" s="5" t="s">
        <v>13</v>
      </c>
      <c r="D313" s="12" t="s">
        <v>14</v>
      </c>
      <c r="E313" s="6" t="s">
        <v>890</v>
      </c>
      <c r="F313" s="13" t="s">
        <v>891</v>
      </c>
      <c r="G313" s="6" t="s">
        <v>386</v>
      </c>
      <c r="H313" s="7" t="str">
        <f t="shared" si="4"/>
        <v>PPP-IPU-C638-05OPERATIONAL</v>
      </c>
      <c r="I313" s="8" t="s">
        <v>56</v>
      </c>
      <c r="J313" s="8" t="s">
        <v>19</v>
      </c>
      <c r="K313" s="8" t="s">
        <v>20</v>
      </c>
      <c r="L313" s="9"/>
      <c r="M313" s="9"/>
      <c r="N313" s="9">
        <v>202500</v>
      </c>
      <c r="O313" s="9">
        <v>0</v>
      </c>
      <c r="P313" s="9">
        <v>27295.08</v>
      </c>
      <c r="Q313" s="9">
        <v>0</v>
      </c>
      <c r="R313" s="9">
        <v>229795.08</v>
      </c>
      <c r="S313" s="9">
        <v>0</v>
      </c>
      <c r="T313" s="9">
        <v>229795.08</v>
      </c>
      <c r="U313" s="9">
        <v>0</v>
      </c>
      <c r="V313" s="9"/>
      <c r="W313" s="9"/>
      <c r="X313" s="9">
        <v>459590.16</v>
      </c>
      <c r="Y313" s="9">
        <v>0</v>
      </c>
      <c r="Z313" s="9"/>
      <c r="AA313" s="9"/>
      <c r="AB313" s="9"/>
      <c r="AC313" s="9"/>
      <c r="AD313" s="9"/>
      <c r="AE313" s="9"/>
      <c r="AF313" s="9"/>
      <c r="AG313" s="9"/>
      <c r="AH313" s="7">
        <v>459590.16</v>
      </c>
      <c r="AI313" s="7">
        <v>0</v>
      </c>
    </row>
    <row r="314" spans="2:35" x14ac:dyDescent="0.3">
      <c r="B314" s="5" t="s">
        <v>3061</v>
      </c>
      <c r="C314" s="5" t="s">
        <v>13</v>
      </c>
      <c r="D314" s="12" t="s">
        <v>14</v>
      </c>
      <c r="E314" s="6" t="s">
        <v>892</v>
      </c>
      <c r="F314" s="13" t="s">
        <v>893</v>
      </c>
      <c r="G314" s="6" t="s">
        <v>372</v>
      </c>
      <c r="H314" s="7" t="str">
        <f t="shared" si="4"/>
        <v>EPC-IPU-L415-04OPERATIONAL</v>
      </c>
      <c r="I314" s="8" t="s">
        <v>49</v>
      </c>
      <c r="J314" s="8" t="s">
        <v>76</v>
      </c>
      <c r="K314" s="8" t="s">
        <v>76</v>
      </c>
      <c r="L314" s="9"/>
      <c r="M314" s="9"/>
      <c r="N314" s="9">
        <v>0</v>
      </c>
      <c r="O314" s="9">
        <v>2540.5</v>
      </c>
      <c r="P314" s="9">
        <v>0</v>
      </c>
      <c r="Q314" s="9">
        <v>2540.5</v>
      </c>
      <c r="R314" s="9">
        <v>0</v>
      </c>
      <c r="S314" s="9">
        <v>2540.5</v>
      </c>
      <c r="T314" s="9">
        <v>0</v>
      </c>
      <c r="U314" s="9">
        <v>0</v>
      </c>
      <c r="V314" s="9"/>
      <c r="W314" s="9"/>
      <c r="X314" s="9">
        <v>0</v>
      </c>
      <c r="Y314" s="9">
        <v>2540.5</v>
      </c>
      <c r="Z314" s="9"/>
      <c r="AA314" s="9"/>
      <c r="AB314" s="9"/>
      <c r="AC314" s="9"/>
      <c r="AD314" s="9"/>
      <c r="AE314" s="9"/>
      <c r="AF314" s="9"/>
      <c r="AG314" s="9"/>
      <c r="AH314" s="7">
        <v>0</v>
      </c>
      <c r="AI314" s="7">
        <v>2540.5</v>
      </c>
    </row>
    <row r="315" spans="2:35" x14ac:dyDescent="0.3">
      <c r="B315" s="5" t="s">
        <v>3061</v>
      </c>
      <c r="C315" s="5" t="s">
        <v>13</v>
      </c>
      <c r="D315" s="12" t="s">
        <v>14</v>
      </c>
      <c r="E315" s="6" t="s">
        <v>894</v>
      </c>
      <c r="F315" s="13" t="s">
        <v>895</v>
      </c>
      <c r="G315" s="6" t="s">
        <v>459</v>
      </c>
      <c r="H315" s="7" t="str">
        <f t="shared" si="4"/>
        <v>PPP-IPU-G616-01OPERATIONAL</v>
      </c>
      <c r="I315" s="8" t="s">
        <v>18</v>
      </c>
      <c r="J315" s="8" t="s">
        <v>19</v>
      </c>
      <c r="K315" s="8" t="s">
        <v>20</v>
      </c>
      <c r="L315" s="9"/>
      <c r="M315" s="9"/>
      <c r="N315" s="9">
        <v>0</v>
      </c>
      <c r="O315" s="9">
        <v>343.81</v>
      </c>
      <c r="P315" s="9">
        <v>0</v>
      </c>
      <c r="Q315" s="9">
        <v>444.76</v>
      </c>
      <c r="R315" s="9">
        <v>0</v>
      </c>
      <c r="S315" s="9">
        <v>524.28</v>
      </c>
      <c r="T315" s="9">
        <v>0</v>
      </c>
      <c r="U315" s="9">
        <v>599.35</v>
      </c>
      <c r="V315" s="9"/>
      <c r="W315" s="9"/>
      <c r="X315" s="9">
        <v>0</v>
      </c>
      <c r="Y315" s="9">
        <v>669.7</v>
      </c>
      <c r="Z315" s="9"/>
      <c r="AA315" s="9"/>
      <c r="AB315" s="9"/>
      <c r="AC315" s="9"/>
      <c r="AD315" s="9"/>
      <c r="AE315" s="9"/>
      <c r="AF315" s="9"/>
      <c r="AG315" s="9"/>
      <c r="AH315" s="7">
        <v>0</v>
      </c>
      <c r="AI315" s="7">
        <v>669.7</v>
      </c>
    </row>
    <row r="316" spans="2:35" x14ac:dyDescent="0.3">
      <c r="B316" s="5" t="s">
        <v>3061</v>
      </c>
      <c r="C316" s="5" t="s">
        <v>13</v>
      </c>
      <c r="D316" s="12" t="s">
        <v>14</v>
      </c>
      <c r="E316" s="6" t="s">
        <v>896</v>
      </c>
      <c r="F316" s="13" t="s">
        <v>897</v>
      </c>
      <c r="G316" s="6" t="s">
        <v>137</v>
      </c>
      <c r="H316" s="7" t="str">
        <f t="shared" si="4"/>
        <v>PPP-IPU-M428-01OPERATIONAL</v>
      </c>
      <c r="I316" s="8" t="s">
        <v>18</v>
      </c>
      <c r="J316" s="8" t="s">
        <v>19</v>
      </c>
      <c r="K316" s="8" t="s">
        <v>20</v>
      </c>
      <c r="L316" s="9"/>
      <c r="M316" s="9"/>
      <c r="N316" s="9">
        <v>0</v>
      </c>
      <c r="O316" s="9">
        <v>511.04</v>
      </c>
      <c r="P316" s="9">
        <v>0</v>
      </c>
      <c r="Q316" s="9">
        <v>0</v>
      </c>
      <c r="R316" s="9">
        <v>0</v>
      </c>
      <c r="S316" s="9">
        <v>0</v>
      </c>
      <c r="T316" s="9">
        <v>0</v>
      </c>
      <c r="U316" s="9">
        <v>0</v>
      </c>
      <c r="V316" s="9"/>
      <c r="W316" s="9"/>
      <c r="X316" s="9">
        <v>0</v>
      </c>
      <c r="Y316" s="9">
        <v>0</v>
      </c>
      <c r="Z316" s="9"/>
      <c r="AA316" s="9"/>
      <c r="AB316" s="9"/>
      <c r="AC316" s="9"/>
      <c r="AD316" s="9"/>
      <c r="AE316" s="9"/>
      <c r="AF316" s="9"/>
      <c r="AG316" s="9"/>
      <c r="AH316" s="7">
        <v>0</v>
      </c>
      <c r="AI316" s="7">
        <v>0</v>
      </c>
    </row>
    <row r="317" spans="2:35" x14ac:dyDescent="0.3">
      <c r="B317" s="5" t="s">
        <v>3061</v>
      </c>
      <c r="C317" s="5" t="s">
        <v>13</v>
      </c>
      <c r="D317" s="12" t="s">
        <v>14</v>
      </c>
      <c r="E317" s="6" t="s">
        <v>898</v>
      </c>
      <c r="F317" s="13" t="s">
        <v>899</v>
      </c>
      <c r="G317" s="6" t="s">
        <v>900</v>
      </c>
      <c r="H317" s="7" t="str">
        <f t="shared" si="4"/>
        <v>PPP-IPU-D578-01OPERATIONAL</v>
      </c>
      <c r="I317" s="8" t="s">
        <v>56</v>
      </c>
      <c r="J317" s="8" t="s">
        <v>19</v>
      </c>
      <c r="K317" s="8" t="s">
        <v>20</v>
      </c>
      <c r="L317" s="9"/>
      <c r="M317" s="9"/>
      <c r="N317" s="9">
        <v>1364.52</v>
      </c>
      <c r="O317" s="9">
        <v>0</v>
      </c>
      <c r="P317" s="9">
        <v>1819.36</v>
      </c>
      <c r="Q317" s="9">
        <v>0</v>
      </c>
      <c r="R317" s="9">
        <v>2274.1999999999998</v>
      </c>
      <c r="S317" s="9">
        <v>0</v>
      </c>
      <c r="T317" s="9">
        <v>2729.04</v>
      </c>
      <c r="U317" s="9">
        <v>0</v>
      </c>
      <c r="V317" s="9"/>
      <c r="W317" s="9"/>
      <c r="X317" s="9">
        <v>0</v>
      </c>
      <c r="Y317" s="9">
        <v>0</v>
      </c>
      <c r="Z317" s="9"/>
      <c r="AA317" s="9"/>
      <c r="AB317" s="9"/>
      <c r="AC317" s="9"/>
      <c r="AD317" s="9"/>
      <c r="AE317" s="9"/>
      <c r="AF317" s="9"/>
      <c r="AG317" s="9"/>
      <c r="AH317" s="7">
        <v>0</v>
      </c>
      <c r="AI317" s="7">
        <v>0</v>
      </c>
    </row>
    <row r="318" spans="2:35" x14ac:dyDescent="0.3">
      <c r="B318" s="5" t="s">
        <v>3061</v>
      </c>
      <c r="C318" s="5" t="s">
        <v>13</v>
      </c>
      <c r="D318" s="12" t="s">
        <v>14</v>
      </c>
      <c r="E318" s="6" t="s">
        <v>901</v>
      </c>
      <c r="F318" s="13" t="s">
        <v>902</v>
      </c>
      <c r="G318" s="6" t="s">
        <v>587</v>
      </c>
      <c r="H318" s="7" t="str">
        <f t="shared" si="4"/>
        <v>PPP-IPU-L736-01OPERATIONAL</v>
      </c>
      <c r="I318" s="8" t="s">
        <v>56</v>
      </c>
      <c r="J318" s="8" t="s">
        <v>19</v>
      </c>
      <c r="K318" s="8" t="s">
        <v>20</v>
      </c>
      <c r="L318" s="9"/>
      <c r="M318" s="9"/>
      <c r="N318" s="9">
        <v>0</v>
      </c>
      <c r="O318" s="9">
        <v>9569.94</v>
      </c>
      <c r="P318" s="9">
        <v>0</v>
      </c>
      <c r="Q318" s="9">
        <v>9569.94</v>
      </c>
      <c r="R318" s="9">
        <v>0</v>
      </c>
      <c r="S318" s="9">
        <v>9569.94</v>
      </c>
      <c r="T318" s="9">
        <v>0</v>
      </c>
      <c r="U318" s="9">
        <v>6035.9400000000005</v>
      </c>
      <c r="V318" s="9"/>
      <c r="W318" s="9"/>
      <c r="X318" s="9">
        <v>0</v>
      </c>
      <c r="Y318" s="9">
        <v>6035.94</v>
      </c>
      <c r="Z318" s="9"/>
      <c r="AA318" s="9"/>
      <c r="AB318" s="9"/>
      <c r="AC318" s="9"/>
      <c r="AD318" s="9"/>
      <c r="AE318" s="9"/>
      <c r="AF318" s="9"/>
      <c r="AG318" s="9"/>
      <c r="AH318" s="7">
        <v>0</v>
      </c>
      <c r="AI318" s="7">
        <v>6035.94</v>
      </c>
    </row>
    <row r="319" spans="2:35" x14ac:dyDescent="0.3">
      <c r="B319" s="5" t="s">
        <v>3061</v>
      </c>
      <c r="C319" s="5" t="s">
        <v>13</v>
      </c>
      <c r="D319" s="12" t="s">
        <v>14</v>
      </c>
      <c r="E319" s="6" t="s">
        <v>410</v>
      </c>
      <c r="F319" s="13" t="s">
        <v>411</v>
      </c>
      <c r="G319" s="6" t="s">
        <v>375</v>
      </c>
      <c r="H319" s="7" t="str">
        <f t="shared" si="4"/>
        <v>EPC-IPU-B754-01OPERATIONAL</v>
      </c>
      <c r="I319" s="8" t="s">
        <v>49</v>
      </c>
      <c r="J319" s="8" t="s">
        <v>76</v>
      </c>
      <c r="K319" s="8" t="s">
        <v>76</v>
      </c>
      <c r="L319" s="9"/>
      <c r="M319" s="9"/>
      <c r="N319" s="9">
        <v>0</v>
      </c>
      <c r="O319" s="9">
        <v>1088.8499999999999</v>
      </c>
      <c r="P319" s="9">
        <v>0</v>
      </c>
      <c r="Q319" s="9">
        <v>1088.8499999999999</v>
      </c>
      <c r="R319" s="9">
        <v>0</v>
      </c>
      <c r="S319" s="9">
        <v>1088.8499999999999</v>
      </c>
      <c r="T319" s="9">
        <v>0</v>
      </c>
      <c r="U319" s="9">
        <v>0</v>
      </c>
      <c r="V319" s="9"/>
      <c r="W319" s="9"/>
      <c r="X319" s="9">
        <v>0</v>
      </c>
      <c r="Y319" s="9">
        <v>1088.8499999999999</v>
      </c>
      <c r="Z319" s="9"/>
      <c r="AA319" s="9"/>
      <c r="AB319" s="9"/>
      <c r="AC319" s="9"/>
      <c r="AD319" s="9"/>
      <c r="AE319" s="9"/>
      <c r="AF319" s="9"/>
      <c r="AG319" s="9"/>
      <c r="AH319" s="7">
        <v>0</v>
      </c>
      <c r="AI319" s="7">
        <v>1088.8499999999999</v>
      </c>
    </row>
    <row r="320" spans="2:35" x14ac:dyDescent="0.3">
      <c r="B320" s="5" t="s">
        <v>3061</v>
      </c>
      <c r="C320" s="5" t="s">
        <v>13</v>
      </c>
      <c r="D320" s="12" t="s">
        <v>14</v>
      </c>
      <c r="E320" s="6" t="s">
        <v>903</v>
      </c>
      <c r="F320" s="13" t="s">
        <v>904</v>
      </c>
      <c r="G320" s="6" t="s">
        <v>164</v>
      </c>
      <c r="H320" s="7" t="str">
        <f t="shared" si="4"/>
        <v>PPP-IPU-F109-01OPERATIONAL</v>
      </c>
      <c r="I320" s="8" t="s">
        <v>18</v>
      </c>
      <c r="J320" s="8" t="s">
        <v>19</v>
      </c>
      <c r="K320" s="8" t="s">
        <v>20</v>
      </c>
      <c r="L320" s="9"/>
      <c r="M320" s="9"/>
      <c r="N320" s="9">
        <v>0</v>
      </c>
      <c r="O320" s="9">
        <v>705.28</v>
      </c>
      <c r="P320" s="9">
        <v>0</v>
      </c>
      <c r="Q320" s="9">
        <v>918.8</v>
      </c>
      <c r="R320" s="9">
        <v>0</v>
      </c>
      <c r="S320" s="9">
        <v>918.8</v>
      </c>
      <c r="T320" s="9">
        <v>0</v>
      </c>
      <c r="U320" s="9">
        <v>918.8</v>
      </c>
      <c r="V320" s="9"/>
      <c r="W320" s="9"/>
      <c r="X320" s="9">
        <v>0</v>
      </c>
      <c r="Y320" s="9">
        <v>918.8</v>
      </c>
      <c r="Z320" s="9"/>
      <c r="AA320" s="9"/>
      <c r="AB320" s="9"/>
      <c r="AC320" s="9"/>
      <c r="AD320" s="9"/>
      <c r="AE320" s="9"/>
      <c r="AF320" s="9"/>
      <c r="AG320" s="9"/>
      <c r="AH320" s="7">
        <v>0</v>
      </c>
      <c r="AI320" s="7">
        <v>918.8</v>
      </c>
    </row>
    <row r="321" spans="2:35" x14ac:dyDescent="0.3">
      <c r="B321" s="5" t="s">
        <v>3061</v>
      </c>
      <c r="C321" s="5" t="s">
        <v>13</v>
      </c>
      <c r="D321" s="12" t="s">
        <v>14</v>
      </c>
      <c r="E321" s="6" t="s">
        <v>905</v>
      </c>
      <c r="F321" s="13" t="s">
        <v>906</v>
      </c>
      <c r="G321" s="6" t="s">
        <v>217</v>
      </c>
      <c r="H321" s="7" t="str">
        <f t="shared" si="4"/>
        <v>PPP-IPU-H930-01OPERATIONAL</v>
      </c>
      <c r="I321" s="8" t="s">
        <v>49</v>
      </c>
      <c r="J321" s="8" t="s">
        <v>19</v>
      </c>
      <c r="K321" s="8" t="s">
        <v>20</v>
      </c>
      <c r="L321" s="9"/>
      <c r="M321" s="9"/>
      <c r="N321" s="9">
        <v>0</v>
      </c>
      <c r="O321" s="9">
        <v>140.68</v>
      </c>
      <c r="P321" s="9">
        <v>0</v>
      </c>
      <c r="Q321" s="9">
        <v>140.68</v>
      </c>
      <c r="R321" s="9">
        <v>0</v>
      </c>
      <c r="S321" s="9">
        <v>140.68</v>
      </c>
      <c r="T321" s="9">
        <v>0</v>
      </c>
      <c r="U321" s="9">
        <v>12812.7</v>
      </c>
      <c r="V321" s="9"/>
      <c r="W321" s="9"/>
      <c r="X321" s="9">
        <v>0</v>
      </c>
      <c r="Y321" s="9">
        <v>12812.7</v>
      </c>
      <c r="Z321" s="9"/>
      <c r="AA321" s="9"/>
      <c r="AB321" s="9"/>
      <c r="AC321" s="9"/>
      <c r="AD321" s="9"/>
      <c r="AE321" s="9"/>
      <c r="AF321" s="9"/>
      <c r="AG321" s="9"/>
      <c r="AH321" s="7">
        <v>0</v>
      </c>
      <c r="AI321" s="7">
        <v>12812.7</v>
      </c>
    </row>
    <row r="322" spans="2:35" x14ac:dyDescent="0.3">
      <c r="B322" s="5" t="s">
        <v>3061</v>
      </c>
      <c r="C322" s="5" t="s">
        <v>865</v>
      </c>
      <c r="D322" s="12" t="s">
        <v>14</v>
      </c>
      <c r="E322" s="6" t="s">
        <v>907</v>
      </c>
      <c r="F322" s="13" t="s">
        <v>908</v>
      </c>
      <c r="G322" s="6" t="s">
        <v>909</v>
      </c>
      <c r="H322" s="7" t="str">
        <f t="shared" si="4"/>
        <v>PPP-IPU-F130-01OPERATIONAL</v>
      </c>
      <c r="I322" s="8" t="s">
        <v>56</v>
      </c>
      <c r="J322" s="8" t="s">
        <v>19</v>
      </c>
      <c r="K322" s="8" t="s">
        <v>20</v>
      </c>
      <c r="L322" s="9"/>
      <c r="M322" s="9"/>
      <c r="N322" s="9">
        <f>65*0.75</f>
        <v>48.75</v>
      </c>
      <c r="O322" s="9">
        <v>1866</v>
      </c>
      <c r="P322" s="9">
        <v>0</v>
      </c>
      <c r="Q322" s="9">
        <v>3732</v>
      </c>
      <c r="R322" s="9">
        <v>0</v>
      </c>
      <c r="S322" s="9">
        <v>4665</v>
      </c>
      <c r="T322" s="9">
        <v>0</v>
      </c>
      <c r="U322" s="9">
        <v>5598</v>
      </c>
      <c r="V322" s="9"/>
      <c r="W322" s="9"/>
      <c r="X322" s="9">
        <v>11885.77</v>
      </c>
      <c r="Y322" s="9">
        <v>5598</v>
      </c>
      <c r="Z322" s="9"/>
      <c r="AA322" s="9"/>
      <c r="AB322" s="9"/>
      <c r="AC322" s="9"/>
      <c r="AD322" s="9"/>
      <c r="AE322" s="9"/>
      <c r="AF322" s="9"/>
      <c r="AG322" s="9"/>
      <c r="AH322" s="7">
        <v>11885.77</v>
      </c>
      <c r="AI322" s="7">
        <v>5598</v>
      </c>
    </row>
    <row r="323" spans="2:35" x14ac:dyDescent="0.3">
      <c r="B323" s="5" t="s">
        <v>3061</v>
      </c>
      <c r="C323" s="5" t="s">
        <v>13</v>
      </c>
      <c r="D323" s="12" t="s">
        <v>910</v>
      </c>
      <c r="E323" s="6" t="s">
        <v>691</v>
      </c>
      <c r="F323" s="13" t="s">
        <v>691</v>
      </c>
      <c r="G323" s="6" t="s">
        <v>688</v>
      </c>
      <c r="H323" s="7" t="str">
        <f t="shared" ref="H323:H386" si="5">+F323&amp;D323</f>
        <v>STRUTTURA BU NORDNO ACTIVITY CODE</v>
      </c>
      <c r="I323" s="8" t="s">
        <v>689</v>
      </c>
      <c r="J323" s="8" t="s">
        <v>688</v>
      </c>
      <c r="K323" s="8" t="s">
        <v>688</v>
      </c>
      <c r="L323" s="9"/>
      <c r="M323" s="9"/>
      <c r="N323" s="9">
        <v>0</v>
      </c>
      <c r="O323" s="9">
        <v>839.93</v>
      </c>
      <c r="P323" s="9">
        <v>0</v>
      </c>
      <c r="Q323" s="9">
        <v>0</v>
      </c>
      <c r="R323" s="9">
        <v>0</v>
      </c>
      <c r="S323" s="9">
        <v>0</v>
      </c>
      <c r="T323" s="9">
        <v>0</v>
      </c>
      <c r="U323" s="9">
        <v>0</v>
      </c>
      <c r="V323" s="9"/>
      <c r="W323" s="9"/>
      <c r="X323" s="9">
        <v>0</v>
      </c>
      <c r="Y323" s="9">
        <v>0</v>
      </c>
      <c r="Z323" s="9"/>
      <c r="AA323" s="9"/>
      <c r="AB323" s="9"/>
      <c r="AC323" s="9"/>
      <c r="AD323" s="9"/>
      <c r="AE323" s="9"/>
      <c r="AF323" s="9"/>
      <c r="AG323" s="9"/>
      <c r="AH323" s="7">
        <v>0</v>
      </c>
      <c r="AI323" s="7">
        <v>0</v>
      </c>
    </row>
    <row r="324" spans="2:35" x14ac:dyDescent="0.3">
      <c r="B324" s="5" t="s">
        <v>3061</v>
      </c>
      <c r="C324" s="5" t="s">
        <v>886</v>
      </c>
      <c r="D324" s="12" t="s">
        <v>14</v>
      </c>
      <c r="E324" s="6" t="s">
        <v>911</v>
      </c>
      <c r="F324" s="13" t="s">
        <v>912</v>
      </c>
      <c r="G324" s="6" t="s">
        <v>889</v>
      </c>
      <c r="H324" s="7" t="str">
        <f t="shared" si="5"/>
        <v>EPC-IPU-H090-01OPERATIONAL</v>
      </c>
      <c r="I324" s="8" t="s">
        <v>18</v>
      </c>
      <c r="J324" s="8" t="s">
        <v>76</v>
      </c>
      <c r="K324" s="8" t="s">
        <v>76</v>
      </c>
      <c r="L324" s="9"/>
      <c r="M324" s="9"/>
      <c r="N324" s="9">
        <v>0</v>
      </c>
      <c r="O324" s="9">
        <v>1788.64</v>
      </c>
      <c r="P324" s="9">
        <v>0</v>
      </c>
      <c r="Q324" s="9">
        <v>2642.72</v>
      </c>
      <c r="R324" s="9">
        <v>0</v>
      </c>
      <c r="S324" s="9">
        <v>2642.72</v>
      </c>
      <c r="T324" s="9">
        <v>0</v>
      </c>
      <c r="U324" s="9">
        <v>0</v>
      </c>
      <c r="V324" s="9"/>
      <c r="W324" s="9"/>
      <c r="X324" s="9">
        <v>0</v>
      </c>
      <c r="Y324" s="9">
        <v>2642.72</v>
      </c>
      <c r="Z324" s="9"/>
      <c r="AA324" s="9"/>
      <c r="AB324" s="9"/>
      <c r="AC324" s="9"/>
      <c r="AD324" s="9"/>
      <c r="AE324" s="9"/>
      <c r="AF324" s="9"/>
      <c r="AG324" s="9"/>
      <c r="AH324" s="7">
        <v>0</v>
      </c>
      <c r="AI324" s="7">
        <v>2642.72</v>
      </c>
    </row>
    <row r="325" spans="2:35" x14ac:dyDescent="0.3">
      <c r="B325" s="5" t="s">
        <v>3061</v>
      </c>
      <c r="C325" s="5" t="s">
        <v>13</v>
      </c>
      <c r="D325" s="12" t="s">
        <v>14</v>
      </c>
      <c r="E325" s="6" t="s">
        <v>913</v>
      </c>
      <c r="F325" s="13" t="s">
        <v>914</v>
      </c>
      <c r="G325" s="6" t="s">
        <v>566</v>
      </c>
      <c r="H325" s="7" t="str">
        <f t="shared" si="5"/>
        <v>EPC-IPU-L191-01OPERATIONAL</v>
      </c>
      <c r="I325" s="8" t="s">
        <v>24</v>
      </c>
      <c r="J325" s="8" t="s">
        <v>76</v>
      </c>
      <c r="K325" s="8" t="s">
        <v>76</v>
      </c>
      <c r="L325" s="9"/>
      <c r="M325" s="9"/>
      <c r="N325" s="9">
        <v>0</v>
      </c>
      <c r="O325" s="9">
        <v>1015.2</v>
      </c>
      <c r="P325" s="9">
        <v>0</v>
      </c>
      <c r="Q325" s="9">
        <v>1015.2</v>
      </c>
      <c r="R325" s="9">
        <v>0</v>
      </c>
      <c r="S325" s="9">
        <v>1015.2</v>
      </c>
      <c r="T325" s="9">
        <v>0</v>
      </c>
      <c r="U325" s="9">
        <v>0</v>
      </c>
      <c r="V325" s="9"/>
      <c r="W325" s="9"/>
      <c r="X325" s="9">
        <v>0</v>
      </c>
      <c r="Y325" s="9">
        <v>1015.2</v>
      </c>
      <c r="Z325" s="9"/>
      <c r="AA325" s="9"/>
      <c r="AB325" s="9"/>
      <c r="AC325" s="9"/>
      <c r="AD325" s="9"/>
      <c r="AE325" s="9"/>
      <c r="AF325" s="9"/>
      <c r="AG325" s="9"/>
      <c r="AH325" s="7">
        <v>0</v>
      </c>
      <c r="AI325" s="7">
        <v>1015.2</v>
      </c>
    </row>
    <row r="326" spans="2:35" x14ac:dyDescent="0.3">
      <c r="B326" s="5" t="s">
        <v>3061</v>
      </c>
      <c r="C326" s="5" t="s">
        <v>13</v>
      </c>
      <c r="D326" s="12" t="s">
        <v>14</v>
      </c>
      <c r="E326" s="6" t="s">
        <v>714</v>
      </c>
      <c r="F326" s="13" t="s">
        <v>715</v>
      </c>
      <c r="G326" s="6" t="s">
        <v>716</v>
      </c>
      <c r="H326" s="7" t="str">
        <f t="shared" si="5"/>
        <v>SEC-PHV-F415-01OPERATIONAL</v>
      </c>
      <c r="I326" s="8" t="s">
        <v>24</v>
      </c>
      <c r="J326" s="8" t="s">
        <v>454</v>
      </c>
      <c r="K326" s="8" t="s">
        <v>454</v>
      </c>
      <c r="L326" s="9"/>
      <c r="M326" s="9"/>
      <c r="N326" s="9">
        <v>0</v>
      </c>
      <c r="O326" s="9">
        <v>74.84</v>
      </c>
      <c r="P326" s="9">
        <v>0</v>
      </c>
      <c r="Q326" s="9">
        <v>74.84</v>
      </c>
      <c r="R326" s="9">
        <v>0</v>
      </c>
      <c r="S326" s="9">
        <v>74.84</v>
      </c>
      <c r="T326" s="9">
        <v>0</v>
      </c>
      <c r="U326" s="9">
        <v>107.48</v>
      </c>
      <c r="V326" s="9"/>
      <c r="W326" s="9"/>
      <c r="X326" s="9">
        <v>0</v>
      </c>
      <c r="Y326" s="9">
        <v>107.48</v>
      </c>
      <c r="Z326" s="9"/>
      <c r="AA326" s="9"/>
      <c r="AB326" s="9"/>
      <c r="AC326" s="9"/>
      <c r="AD326" s="9"/>
      <c r="AE326" s="9"/>
      <c r="AF326" s="9"/>
      <c r="AG326" s="9"/>
      <c r="AH326" s="7">
        <v>0</v>
      </c>
      <c r="AI326" s="7">
        <v>107.48</v>
      </c>
    </row>
    <row r="327" spans="2:35" x14ac:dyDescent="0.3">
      <c r="B327" s="5" t="s">
        <v>3061</v>
      </c>
      <c r="C327" s="5" t="s">
        <v>13</v>
      </c>
      <c r="D327" s="12" t="s">
        <v>14</v>
      </c>
      <c r="E327" s="6" t="s">
        <v>915</v>
      </c>
      <c r="F327" s="13" t="s">
        <v>916</v>
      </c>
      <c r="G327" s="6" t="s">
        <v>917</v>
      </c>
      <c r="H327" s="7" t="str">
        <f t="shared" si="5"/>
        <v>PPP-IPU-B181-01OPERATIONAL</v>
      </c>
      <c r="I327" s="8" t="s">
        <v>18</v>
      </c>
      <c r="J327" s="8" t="s">
        <v>19</v>
      </c>
      <c r="K327" s="8" t="s">
        <v>20</v>
      </c>
      <c r="L327" s="9"/>
      <c r="M327" s="9"/>
      <c r="N327" s="9">
        <v>0</v>
      </c>
      <c r="O327" s="9">
        <v>3338.62</v>
      </c>
      <c r="P327" s="9">
        <v>0</v>
      </c>
      <c r="Q327" s="9">
        <v>3338.62</v>
      </c>
      <c r="R327" s="9">
        <v>0</v>
      </c>
      <c r="S327" s="9">
        <v>3338.62</v>
      </c>
      <c r="T327" s="9">
        <v>0</v>
      </c>
      <c r="U327" s="9">
        <v>3338.62</v>
      </c>
      <c r="V327" s="9"/>
      <c r="W327" s="9"/>
      <c r="X327" s="9">
        <v>0</v>
      </c>
      <c r="Y327" s="9">
        <v>3338.62</v>
      </c>
      <c r="Z327" s="9"/>
      <c r="AA327" s="9"/>
      <c r="AB327" s="9"/>
      <c r="AC327" s="9"/>
      <c r="AD327" s="9"/>
      <c r="AE327" s="9"/>
      <c r="AF327" s="9"/>
      <c r="AG327" s="9"/>
      <c r="AH327" s="7">
        <v>0</v>
      </c>
      <c r="AI327" s="7">
        <v>3338.62</v>
      </c>
    </row>
    <row r="328" spans="2:35" x14ac:dyDescent="0.3">
      <c r="B328" s="5" t="s">
        <v>3061</v>
      </c>
      <c r="C328" s="5" t="s">
        <v>13</v>
      </c>
      <c r="D328" s="12" t="s">
        <v>14</v>
      </c>
      <c r="E328" s="6" t="s">
        <v>918</v>
      </c>
      <c r="F328" s="13" t="s">
        <v>919</v>
      </c>
      <c r="G328" s="6" t="s">
        <v>107</v>
      </c>
      <c r="H328" s="7" t="str">
        <f t="shared" si="5"/>
        <v>PPP-IPU-B593-01OPERATIONAL</v>
      </c>
      <c r="I328" s="8" t="s">
        <v>49</v>
      </c>
      <c r="J328" s="8" t="s">
        <v>19</v>
      </c>
      <c r="K328" s="8" t="s">
        <v>20</v>
      </c>
      <c r="L328" s="9"/>
      <c r="M328" s="9"/>
      <c r="N328" s="9">
        <v>0</v>
      </c>
      <c r="O328" s="9">
        <v>8941.7900000000009</v>
      </c>
      <c r="P328" s="9">
        <v>0</v>
      </c>
      <c r="Q328" s="9">
        <v>0</v>
      </c>
      <c r="R328" s="9">
        <v>0</v>
      </c>
      <c r="S328" s="9">
        <v>0</v>
      </c>
      <c r="T328" s="9">
        <v>0</v>
      </c>
      <c r="U328" s="9">
        <v>8718.77</v>
      </c>
      <c r="V328" s="9"/>
      <c r="W328" s="9"/>
      <c r="X328" s="9">
        <v>0</v>
      </c>
      <c r="Y328" s="9">
        <v>0</v>
      </c>
      <c r="Z328" s="9"/>
      <c r="AA328" s="9"/>
      <c r="AB328" s="9"/>
      <c r="AC328" s="9"/>
      <c r="AD328" s="9"/>
      <c r="AE328" s="9"/>
      <c r="AF328" s="9"/>
      <c r="AG328" s="9"/>
      <c r="AH328" s="7">
        <v>0</v>
      </c>
      <c r="AI328" s="7">
        <v>0</v>
      </c>
    </row>
    <row r="329" spans="2:35" x14ac:dyDescent="0.3">
      <c r="B329" s="5" t="s">
        <v>3061</v>
      </c>
      <c r="C329" s="5" t="s">
        <v>865</v>
      </c>
      <c r="D329" s="12" t="s">
        <v>14</v>
      </c>
      <c r="E329" s="6" t="s">
        <v>920</v>
      </c>
      <c r="F329" s="13" t="s">
        <v>921</v>
      </c>
      <c r="G329" s="6" t="s">
        <v>922</v>
      </c>
      <c r="H329" s="7" t="str">
        <f t="shared" si="5"/>
        <v>PPP-IPU-H823-01OPERATIONAL</v>
      </c>
      <c r="I329" s="8" t="s">
        <v>56</v>
      </c>
      <c r="J329" s="8" t="s">
        <v>19</v>
      </c>
      <c r="K329" s="8" t="s">
        <v>20</v>
      </c>
      <c r="L329" s="9"/>
      <c r="M329" s="9"/>
      <c r="N329" s="9">
        <f>65*0.75</f>
        <v>48.75</v>
      </c>
      <c r="O329" s="9">
        <v>11516</v>
      </c>
      <c r="P329" s="9">
        <v>0</v>
      </c>
      <c r="Q329" s="9">
        <v>23032</v>
      </c>
      <c r="R329" s="9">
        <v>0</v>
      </c>
      <c r="S329" s="9">
        <v>28790</v>
      </c>
      <c r="T329" s="9">
        <v>0</v>
      </c>
      <c r="U329" s="9">
        <v>37348</v>
      </c>
      <c r="V329" s="9"/>
      <c r="W329" s="9"/>
      <c r="X329" s="9">
        <v>75163.16</v>
      </c>
      <c r="Y329" s="9">
        <v>43106</v>
      </c>
      <c r="Z329" s="9"/>
      <c r="AA329" s="9"/>
      <c r="AB329" s="9"/>
      <c r="AC329" s="9"/>
      <c r="AD329" s="9"/>
      <c r="AE329" s="9"/>
      <c r="AF329" s="9"/>
      <c r="AG329" s="9"/>
      <c r="AH329" s="7">
        <v>75163.16</v>
      </c>
      <c r="AI329" s="7">
        <v>43106</v>
      </c>
    </row>
    <row r="330" spans="2:35" x14ac:dyDescent="0.3">
      <c r="B330" s="5" t="s">
        <v>3061</v>
      </c>
      <c r="C330" s="5" t="s">
        <v>865</v>
      </c>
      <c r="D330" s="12" t="s">
        <v>14</v>
      </c>
      <c r="E330" s="6" t="s">
        <v>923</v>
      </c>
      <c r="F330" s="13" t="s">
        <v>924</v>
      </c>
      <c r="G330" s="6" t="s">
        <v>925</v>
      </c>
      <c r="H330" s="7" t="str">
        <f t="shared" si="5"/>
        <v>PPP-IPU-D740-01OPERATIONAL</v>
      </c>
      <c r="I330" s="8" t="s">
        <v>56</v>
      </c>
      <c r="J330" s="8" t="s">
        <v>19</v>
      </c>
      <c r="K330" s="8" t="s">
        <v>20</v>
      </c>
      <c r="L330" s="9"/>
      <c r="M330" s="9"/>
      <c r="N330" s="9">
        <f>65*0.75</f>
        <v>48.75</v>
      </c>
      <c r="O330" s="9">
        <v>1390.66</v>
      </c>
      <c r="P330" s="9">
        <v>0</v>
      </c>
      <c r="Q330" s="9">
        <v>2781.32</v>
      </c>
      <c r="R330" s="9">
        <v>0</v>
      </c>
      <c r="S330" s="9">
        <v>3476.65</v>
      </c>
      <c r="T330" s="9">
        <v>0</v>
      </c>
      <c r="U330" s="9">
        <v>4171.9799999999996</v>
      </c>
      <c r="V330" s="9"/>
      <c r="W330" s="9"/>
      <c r="X330" s="9">
        <v>11132.91</v>
      </c>
      <c r="Y330" s="9">
        <v>4867.3100000000004</v>
      </c>
      <c r="Z330" s="9"/>
      <c r="AA330" s="9"/>
      <c r="AB330" s="9"/>
      <c r="AC330" s="9"/>
      <c r="AD330" s="9"/>
      <c r="AE330" s="9"/>
      <c r="AF330" s="9"/>
      <c r="AG330" s="9"/>
      <c r="AH330" s="7">
        <v>11132.91</v>
      </c>
      <c r="AI330" s="7">
        <v>4867.3100000000004</v>
      </c>
    </row>
    <row r="331" spans="2:35" x14ac:dyDescent="0.3">
      <c r="B331" s="5" t="s">
        <v>3061</v>
      </c>
      <c r="C331" s="5" t="s">
        <v>13</v>
      </c>
      <c r="D331" s="12" t="s">
        <v>14</v>
      </c>
      <c r="E331" s="6" t="s">
        <v>926</v>
      </c>
      <c r="F331" s="13" t="s">
        <v>927</v>
      </c>
      <c r="G331" s="6" t="s">
        <v>243</v>
      </c>
      <c r="H331" s="7" t="str">
        <f t="shared" si="5"/>
        <v>EPC-IPU-H240-01OPERATIONAL</v>
      </c>
      <c r="I331" s="8" t="s">
        <v>49</v>
      </c>
      <c r="J331" s="8" t="s">
        <v>76</v>
      </c>
      <c r="K331" s="8" t="s">
        <v>76</v>
      </c>
      <c r="L331" s="9"/>
      <c r="M331" s="9"/>
      <c r="N331" s="9">
        <v>0</v>
      </c>
      <c r="O331" s="9">
        <v>7730</v>
      </c>
      <c r="P331" s="9">
        <v>0</v>
      </c>
      <c r="Q331" s="9">
        <v>18116.07</v>
      </c>
      <c r="R331" s="9">
        <v>0</v>
      </c>
      <c r="S331" s="9">
        <v>18335.39</v>
      </c>
      <c r="T331" s="9">
        <v>0</v>
      </c>
      <c r="U331" s="9">
        <v>0</v>
      </c>
      <c r="V331" s="9"/>
      <c r="W331" s="9"/>
      <c r="X331" s="9">
        <v>0</v>
      </c>
      <c r="Y331" s="9">
        <v>19334.03</v>
      </c>
      <c r="Z331" s="9"/>
      <c r="AA331" s="9"/>
      <c r="AB331" s="9"/>
      <c r="AC331" s="9"/>
      <c r="AD331" s="9"/>
      <c r="AE331" s="9"/>
      <c r="AF331" s="9"/>
      <c r="AG331" s="9"/>
      <c r="AH331" s="7">
        <v>0</v>
      </c>
      <c r="AI331" s="7">
        <v>19334.03</v>
      </c>
    </row>
    <row r="332" spans="2:35" x14ac:dyDescent="0.3">
      <c r="B332" s="5" t="s">
        <v>3061</v>
      </c>
      <c r="C332" s="5" t="s">
        <v>13</v>
      </c>
      <c r="D332" s="12" t="s">
        <v>14</v>
      </c>
      <c r="E332" s="6" t="s">
        <v>928</v>
      </c>
      <c r="F332" s="13" t="s">
        <v>929</v>
      </c>
      <c r="G332" s="6" t="s">
        <v>372</v>
      </c>
      <c r="H332" s="7" t="str">
        <f t="shared" si="5"/>
        <v>EPC-IPU-L415-05OPERATIONAL</v>
      </c>
      <c r="I332" s="8" t="s">
        <v>49</v>
      </c>
      <c r="J332" s="8" t="s">
        <v>76</v>
      </c>
      <c r="K332" s="8" t="s">
        <v>76</v>
      </c>
      <c r="L332" s="9"/>
      <c r="M332" s="9"/>
      <c r="N332" s="9">
        <v>0</v>
      </c>
      <c r="O332" s="9">
        <v>1262</v>
      </c>
      <c r="P332" s="9">
        <v>0</v>
      </c>
      <c r="Q332" s="9">
        <v>1262</v>
      </c>
      <c r="R332" s="9">
        <v>0</v>
      </c>
      <c r="S332" s="9">
        <v>1262</v>
      </c>
      <c r="T332" s="9">
        <v>0</v>
      </c>
      <c r="U332" s="9">
        <v>0</v>
      </c>
      <c r="V332" s="9"/>
      <c r="W332" s="9"/>
      <c r="X332" s="9">
        <v>0</v>
      </c>
      <c r="Y332" s="9">
        <v>1262</v>
      </c>
      <c r="Z332" s="9"/>
      <c r="AA332" s="9"/>
      <c r="AB332" s="9"/>
      <c r="AC332" s="9"/>
      <c r="AD332" s="9"/>
      <c r="AE332" s="9"/>
      <c r="AF332" s="9"/>
      <c r="AG332" s="9"/>
      <c r="AH332" s="7">
        <v>0</v>
      </c>
      <c r="AI332" s="7">
        <v>1262</v>
      </c>
    </row>
    <row r="333" spans="2:35" x14ac:dyDescent="0.3">
      <c r="B333" s="5" t="s">
        <v>3061</v>
      </c>
      <c r="C333" s="5" t="s">
        <v>13</v>
      </c>
      <c r="D333" s="12" t="s">
        <v>14</v>
      </c>
      <c r="E333" s="6" t="s">
        <v>930</v>
      </c>
      <c r="F333" s="13" t="s">
        <v>931</v>
      </c>
      <c r="G333" s="6" t="s">
        <v>62</v>
      </c>
      <c r="H333" s="7" t="str">
        <f t="shared" si="5"/>
        <v>PPP-EEE-A208-02OPERATIONAL</v>
      </c>
      <c r="I333" s="8" t="s">
        <v>18</v>
      </c>
      <c r="J333" s="8" t="s">
        <v>202</v>
      </c>
      <c r="K333" s="8" t="s">
        <v>202</v>
      </c>
      <c r="L333" s="9"/>
      <c r="M333" s="9"/>
      <c r="N333" s="9">
        <v>0</v>
      </c>
      <c r="O333" s="9">
        <v>4800</v>
      </c>
      <c r="P333" s="9">
        <v>0</v>
      </c>
      <c r="Q333" s="9">
        <v>0</v>
      </c>
      <c r="R333" s="9">
        <v>0</v>
      </c>
      <c r="S333" s="9">
        <v>0</v>
      </c>
      <c r="T333" s="9">
        <v>0</v>
      </c>
      <c r="U333" s="9">
        <v>0</v>
      </c>
      <c r="V333" s="9"/>
      <c r="W333" s="9"/>
      <c r="X333" s="9">
        <v>0</v>
      </c>
      <c r="Y333" s="9">
        <v>0</v>
      </c>
      <c r="Z333" s="9"/>
      <c r="AA333" s="9"/>
      <c r="AB333" s="9"/>
      <c r="AC333" s="9"/>
      <c r="AD333" s="9"/>
      <c r="AE333" s="9"/>
      <c r="AF333" s="9"/>
      <c r="AG333" s="9"/>
      <c r="AH333" s="7">
        <v>0</v>
      </c>
      <c r="AI333" s="7">
        <v>0</v>
      </c>
    </row>
    <row r="334" spans="2:35" x14ac:dyDescent="0.3">
      <c r="B334" s="5" t="s">
        <v>3061</v>
      </c>
      <c r="C334" s="5" t="s">
        <v>865</v>
      </c>
      <c r="D334" s="12" t="s">
        <v>14</v>
      </c>
      <c r="E334" s="6" t="s">
        <v>932</v>
      </c>
      <c r="F334" s="13" t="s">
        <v>933</v>
      </c>
      <c r="G334" s="6" t="s">
        <v>934</v>
      </c>
      <c r="H334" s="7" t="str">
        <f t="shared" si="5"/>
        <v>PPP-IPU-C422-01OPERATIONAL</v>
      </c>
      <c r="I334" s="8" t="s">
        <v>56</v>
      </c>
      <c r="J334" s="8" t="s">
        <v>19</v>
      </c>
      <c r="K334" s="8" t="s">
        <v>20</v>
      </c>
      <c r="L334" s="9"/>
      <c r="M334" s="9"/>
      <c r="N334" s="9">
        <f>65*0.75</f>
        <v>48.75</v>
      </c>
      <c r="O334" s="9">
        <v>494</v>
      </c>
      <c r="P334" s="9">
        <v>0</v>
      </c>
      <c r="Q334" s="9">
        <v>988</v>
      </c>
      <c r="R334" s="9">
        <v>0</v>
      </c>
      <c r="S334" s="9">
        <v>1235</v>
      </c>
      <c r="T334" s="9">
        <v>0</v>
      </c>
      <c r="U334" s="9">
        <v>2182</v>
      </c>
      <c r="V334" s="9"/>
      <c r="W334" s="9"/>
      <c r="X334" s="9">
        <v>3196.71</v>
      </c>
      <c r="Y334" s="9">
        <v>2182</v>
      </c>
      <c r="Z334" s="9"/>
      <c r="AA334" s="9"/>
      <c r="AB334" s="9"/>
      <c r="AC334" s="9"/>
      <c r="AD334" s="9"/>
      <c r="AE334" s="9"/>
      <c r="AF334" s="9"/>
      <c r="AG334" s="9"/>
      <c r="AH334" s="7">
        <v>3196.71</v>
      </c>
      <c r="AI334" s="7">
        <v>2182</v>
      </c>
    </row>
    <row r="335" spans="2:35" x14ac:dyDescent="0.3">
      <c r="B335" s="5" t="s">
        <v>3061</v>
      </c>
      <c r="C335" s="5" t="s">
        <v>13</v>
      </c>
      <c r="D335" s="12" t="s">
        <v>72</v>
      </c>
      <c r="E335" s="6" t="s">
        <v>935</v>
      </c>
      <c r="F335" s="13" t="s">
        <v>936</v>
      </c>
      <c r="G335" s="6" t="s">
        <v>155</v>
      </c>
      <c r="H335" s="7" t="str">
        <f t="shared" si="5"/>
        <v>EPC-IPU-A413-03EXTRA LAVORI</v>
      </c>
      <c r="I335" s="8" t="s">
        <v>49</v>
      </c>
      <c r="J335" s="8" t="s">
        <v>76</v>
      </c>
      <c r="K335" s="8" t="s">
        <v>76</v>
      </c>
      <c r="L335" s="9"/>
      <c r="M335" s="9"/>
      <c r="N335" s="9">
        <v>0</v>
      </c>
      <c r="O335" s="9">
        <v>105.51</v>
      </c>
      <c r="P335" s="9">
        <v>0</v>
      </c>
      <c r="Q335" s="9">
        <v>169.23</v>
      </c>
      <c r="R335" s="9">
        <v>0</v>
      </c>
      <c r="S335" s="9">
        <v>169.23</v>
      </c>
      <c r="T335" s="9">
        <v>0</v>
      </c>
      <c r="U335" s="9">
        <v>296.67</v>
      </c>
      <c r="V335" s="9"/>
      <c r="W335" s="9"/>
      <c r="X335" s="9">
        <v>0</v>
      </c>
      <c r="Y335" s="9">
        <v>1495.67</v>
      </c>
      <c r="Z335" s="9"/>
      <c r="AA335" s="9"/>
      <c r="AB335" s="9"/>
      <c r="AC335" s="9"/>
      <c r="AD335" s="9"/>
      <c r="AE335" s="9"/>
      <c r="AF335" s="9"/>
      <c r="AG335" s="9"/>
      <c r="AH335" s="7">
        <v>0</v>
      </c>
      <c r="AI335" s="7">
        <v>1495.67</v>
      </c>
    </row>
    <row r="336" spans="2:35" x14ac:dyDescent="0.3">
      <c r="B336" s="5" t="s">
        <v>3061</v>
      </c>
      <c r="C336" s="5" t="s">
        <v>13</v>
      </c>
      <c r="D336" s="12" t="s">
        <v>72</v>
      </c>
      <c r="E336" s="6" t="s">
        <v>937</v>
      </c>
      <c r="F336" s="13" t="s">
        <v>938</v>
      </c>
      <c r="G336" s="6" t="s">
        <v>450</v>
      </c>
      <c r="H336" s="7" t="str">
        <f t="shared" si="5"/>
        <v>EPC-IPU-F348-05EXTRA LAVORI</v>
      </c>
      <c r="I336" s="8" t="s">
        <v>24</v>
      </c>
      <c r="J336" s="8" t="s">
        <v>76</v>
      </c>
      <c r="K336" s="8" t="s">
        <v>76</v>
      </c>
      <c r="L336" s="9"/>
      <c r="M336" s="9"/>
      <c r="N336" s="9">
        <v>0</v>
      </c>
      <c r="O336" s="9">
        <v>2326.36</v>
      </c>
      <c r="P336" s="9">
        <v>0</v>
      </c>
      <c r="Q336" s="9">
        <v>2481.2399999999998</v>
      </c>
      <c r="R336" s="9">
        <v>0</v>
      </c>
      <c r="S336" s="9">
        <v>2986.92</v>
      </c>
      <c r="T336" s="9">
        <v>0</v>
      </c>
      <c r="U336" s="9">
        <v>3124.4700000000003</v>
      </c>
      <c r="V336" s="9"/>
      <c r="W336" s="9"/>
      <c r="X336" s="9">
        <v>0</v>
      </c>
      <c r="Y336" s="9">
        <v>2824.47</v>
      </c>
      <c r="Z336" s="9"/>
      <c r="AA336" s="9"/>
      <c r="AB336" s="9"/>
      <c r="AC336" s="9"/>
      <c r="AD336" s="9"/>
      <c r="AE336" s="9"/>
      <c r="AF336" s="9"/>
      <c r="AG336" s="9"/>
      <c r="AH336" s="7">
        <v>0</v>
      </c>
      <c r="AI336" s="7">
        <v>2824.47</v>
      </c>
    </row>
    <row r="337" spans="2:35" x14ac:dyDescent="0.3">
      <c r="B337" s="5" t="s">
        <v>3061</v>
      </c>
      <c r="C337" s="5" t="s">
        <v>13</v>
      </c>
      <c r="D337" s="12" t="s">
        <v>72</v>
      </c>
      <c r="E337" s="6" t="s">
        <v>939</v>
      </c>
      <c r="F337" s="13" t="s">
        <v>940</v>
      </c>
      <c r="G337" s="6" t="s">
        <v>155</v>
      </c>
      <c r="H337" s="7" t="str">
        <f t="shared" si="5"/>
        <v>EPC-IPU-A413-05EXTRA LAVORI</v>
      </c>
      <c r="I337" s="8" t="s">
        <v>49</v>
      </c>
      <c r="J337" s="8" t="s">
        <v>76</v>
      </c>
      <c r="K337" s="8" t="s">
        <v>76</v>
      </c>
      <c r="L337" s="9"/>
      <c r="M337" s="9"/>
      <c r="N337" s="9">
        <v>0</v>
      </c>
      <c r="O337" s="9">
        <v>1200</v>
      </c>
      <c r="P337" s="9">
        <v>0</v>
      </c>
      <c r="Q337" s="9">
        <v>3004</v>
      </c>
      <c r="R337" s="9">
        <v>0</v>
      </c>
      <c r="S337" s="9">
        <v>4808</v>
      </c>
      <c r="T337" s="9">
        <v>0</v>
      </c>
      <c r="U337" s="9">
        <v>2404</v>
      </c>
      <c r="V337" s="9"/>
      <c r="W337" s="9"/>
      <c r="X337" s="9">
        <v>0</v>
      </c>
      <c r="Y337" s="9">
        <v>2404</v>
      </c>
      <c r="Z337" s="9"/>
      <c r="AA337" s="9"/>
      <c r="AB337" s="9"/>
      <c r="AC337" s="9"/>
      <c r="AD337" s="9"/>
      <c r="AE337" s="9"/>
      <c r="AF337" s="9"/>
      <c r="AG337" s="9"/>
      <c r="AH337" s="7">
        <v>0</v>
      </c>
      <c r="AI337" s="7">
        <v>2404</v>
      </c>
    </row>
    <row r="338" spans="2:35" x14ac:dyDescent="0.3">
      <c r="B338" s="5" t="s">
        <v>3061</v>
      </c>
      <c r="C338" s="5" t="s">
        <v>13</v>
      </c>
      <c r="D338" s="12" t="s">
        <v>72</v>
      </c>
      <c r="E338" s="6" t="s">
        <v>941</v>
      </c>
      <c r="F338" s="13" t="s">
        <v>942</v>
      </c>
      <c r="G338" s="6" t="s">
        <v>217</v>
      </c>
      <c r="H338" s="7" t="str">
        <f t="shared" si="5"/>
        <v>EPC-IPU-H930-02EXTRA LAVORI</v>
      </c>
      <c r="I338" s="8" t="s">
        <v>49</v>
      </c>
      <c r="J338" s="8" t="s">
        <v>76</v>
      </c>
      <c r="K338" s="8" t="s">
        <v>76</v>
      </c>
      <c r="L338" s="9"/>
      <c r="M338" s="9"/>
      <c r="N338" s="9">
        <v>0</v>
      </c>
      <c r="O338" s="9">
        <v>16852</v>
      </c>
      <c r="P338" s="9">
        <v>0</v>
      </c>
      <c r="Q338" s="9">
        <v>16852</v>
      </c>
      <c r="R338" s="9">
        <v>0</v>
      </c>
      <c r="S338" s="9">
        <v>16852</v>
      </c>
      <c r="T338" s="9">
        <v>31855.919999999998</v>
      </c>
      <c r="U338" s="9">
        <v>3360</v>
      </c>
      <c r="V338" s="9"/>
      <c r="W338" s="9"/>
      <c r="X338" s="9">
        <v>31855.919999999998</v>
      </c>
      <c r="Y338" s="9">
        <v>3360</v>
      </c>
      <c r="Z338" s="9"/>
      <c r="AA338" s="9"/>
      <c r="AB338" s="9"/>
      <c r="AC338" s="9"/>
      <c r="AD338" s="9"/>
      <c r="AE338" s="9"/>
      <c r="AF338" s="9"/>
      <c r="AG338" s="9"/>
      <c r="AH338" s="7">
        <v>31855.919999999998</v>
      </c>
      <c r="AI338" s="7">
        <v>3360</v>
      </c>
    </row>
    <row r="339" spans="2:35" x14ac:dyDescent="0.3">
      <c r="B339" s="5" t="s">
        <v>3061</v>
      </c>
      <c r="C339" s="5" t="s">
        <v>13</v>
      </c>
      <c r="D339" s="12" t="s">
        <v>72</v>
      </c>
      <c r="E339" s="6" t="s">
        <v>892</v>
      </c>
      <c r="F339" s="13" t="s">
        <v>893</v>
      </c>
      <c r="G339" s="6" t="s">
        <v>372</v>
      </c>
      <c r="H339" s="7" t="str">
        <f t="shared" si="5"/>
        <v>EPC-IPU-L415-04EXTRA LAVORI</v>
      </c>
      <c r="I339" s="8" t="s">
        <v>49</v>
      </c>
      <c r="J339" s="8" t="s">
        <v>76</v>
      </c>
      <c r="K339" s="8" t="s">
        <v>76</v>
      </c>
      <c r="L339" s="9"/>
      <c r="M339" s="9"/>
      <c r="N339" s="9">
        <v>3661.92</v>
      </c>
      <c r="O339" s="9">
        <v>0</v>
      </c>
      <c r="P339" s="9">
        <v>3661.92</v>
      </c>
      <c r="Q339" s="9">
        <v>0</v>
      </c>
      <c r="R339" s="9">
        <v>3661.92</v>
      </c>
      <c r="S339" s="9">
        <v>0</v>
      </c>
      <c r="T339" s="9">
        <v>3661.92</v>
      </c>
      <c r="U339" s="9">
        <v>2540.5</v>
      </c>
      <c r="V339" s="9"/>
      <c r="W339" s="9"/>
      <c r="X339" s="9">
        <v>3661.92</v>
      </c>
      <c r="Y339" s="9">
        <v>0</v>
      </c>
      <c r="Z339" s="9"/>
      <c r="AA339" s="9"/>
      <c r="AB339" s="9"/>
      <c r="AC339" s="9"/>
      <c r="AD339" s="9"/>
      <c r="AE339" s="9"/>
      <c r="AF339" s="9"/>
      <c r="AG339" s="9"/>
      <c r="AH339" s="7">
        <v>3661.92</v>
      </c>
      <c r="AI339" s="7">
        <v>0</v>
      </c>
    </row>
    <row r="340" spans="2:35" x14ac:dyDescent="0.3">
      <c r="B340" s="5" t="s">
        <v>3061</v>
      </c>
      <c r="C340" s="5" t="s">
        <v>13</v>
      </c>
      <c r="D340" s="12" t="s">
        <v>72</v>
      </c>
      <c r="E340" s="6" t="s">
        <v>943</v>
      </c>
      <c r="F340" s="13" t="s">
        <v>944</v>
      </c>
      <c r="G340" s="6" t="s">
        <v>372</v>
      </c>
      <c r="H340" s="7" t="str">
        <f t="shared" si="5"/>
        <v>EPC-IPU-L415-02EXTRA LAVORI</v>
      </c>
      <c r="I340" s="8" t="s">
        <v>49</v>
      </c>
      <c r="J340" s="8" t="s">
        <v>76</v>
      </c>
      <c r="K340" s="8" t="s">
        <v>76</v>
      </c>
      <c r="L340" s="9"/>
      <c r="M340" s="9"/>
      <c r="N340" s="9">
        <v>2835.08</v>
      </c>
      <c r="O340" s="9">
        <v>2200</v>
      </c>
      <c r="P340" s="9">
        <v>19108.61</v>
      </c>
      <c r="Q340" s="9">
        <v>7616</v>
      </c>
      <c r="R340" s="9">
        <v>19108.61</v>
      </c>
      <c r="S340" s="9">
        <v>7616</v>
      </c>
      <c r="T340" s="9">
        <v>19108.61</v>
      </c>
      <c r="U340" s="9">
        <v>6516</v>
      </c>
      <c r="V340" s="9"/>
      <c r="W340" s="9"/>
      <c r="X340" s="9">
        <v>19108.61</v>
      </c>
      <c r="Y340" s="9">
        <v>6516</v>
      </c>
      <c r="Z340" s="9"/>
      <c r="AA340" s="9"/>
      <c r="AB340" s="9"/>
      <c r="AC340" s="9"/>
      <c r="AD340" s="9"/>
      <c r="AE340" s="9"/>
      <c r="AF340" s="9"/>
      <c r="AG340" s="9"/>
      <c r="AH340" s="7">
        <v>19108.61</v>
      </c>
      <c r="AI340" s="7">
        <v>6516</v>
      </c>
    </row>
    <row r="341" spans="2:35" x14ac:dyDescent="0.3">
      <c r="B341" s="5" t="s">
        <v>3061</v>
      </c>
      <c r="C341" s="5" t="s">
        <v>13</v>
      </c>
      <c r="D341" s="12" t="s">
        <v>72</v>
      </c>
      <c r="E341" s="6" t="s">
        <v>945</v>
      </c>
      <c r="F341" s="13" t="s">
        <v>946</v>
      </c>
      <c r="G341" s="6" t="s">
        <v>658</v>
      </c>
      <c r="H341" s="7" t="str">
        <f t="shared" si="5"/>
        <v>EPC-IPU-E951-07EXTRA LAVORI</v>
      </c>
      <c r="I341" s="8" t="s">
        <v>49</v>
      </c>
      <c r="J341" s="8" t="s">
        <v>76</v>
      </c>
      <c r="K341" s="8" t="s">
        <v>76</v>
      </c>
      <c r="L341" s="9"/>
      <c r="M341" s="9"/>
      <c r="N341" s="9">
        <v>0</v>
      </c>
      <c r="O341" s="9">
        <v>1048</v>
      </c>
      <c r="P341" s="9">
        <v>0</v>
      </c>
      <c r="Q341" s="9">
        <v>1048</v>
      </c>
      <c r="R341" s="9">
        <v>0</v>
      </c>
      <c r="S341" s="9">
        <v>1048</v>
      </c>
      <c r="T341" s="9">
        <v>0</v>
      </c>
      <c r="U341" s="9">
        <v>1048</v>
      </c>
      <c r="V341" s="9"/>
      <c r="W341" s="9"/>
      <c r="X341" s="9">
        <v>0</v>
      </c>
      <c r="Y341" s="9">
        <v>1048</v>
      </c>
      <c r="Z341" s="9"/>
      <c r="AA341" s="9"/>
      <c r="AB341" s="9"/>
      <c r="AC341" s="9"/>
      <c r="AD341" s="9"/>
      <c r="AE341" s="9"/>
      <c r="AF341" s="9"/>
      <c r="AG341" s="9"/>
      <c r="AH341" s="7">
        <v>0</v>
      </c>
      <c r="AI341" s="7">
        <v>1048</v>
      </c>
    </row>
    <row r="342" spans="2:35" x14ac:dyDescent="0.3">
      <c r="B342" s="5" t="s">
        <v>3061</v>
      </c>
      <c r="C342" s="5" t="s">
        <v>13</v>
      </c>
      <c r="D342" s="12" t="s">
        <v>72</v>
      </c>
      <c r="E342" s="6" t="s">
        <v>947</v>
      </c>
      <c r="F342" s="13" t="s">
        <v>948</v>
      </c>
      <c r="G342" s="6" t="s">
        <v>149</v>
      </c>
      <c r="H342" s="7" t="str">
        <f t="shared" si="5"/>
        <v>EPC-IPU-A743-07EXTRA LAVORI</v>
      </c>
      <c r="I342" s="8" t="s">
        <v>18</v>
      </c>
      <c r="J342" s="8" t="s">
        <v>76</v>
      </c>
      <c r="K342" s="8" t="s">
        <v>76</v>
      </c>
      <c r="L342" s="9"/>
      <c r="M342" s="9"/>
      <c r="N342" s="9">
        <v>1300</v>
      </c>
      <c r="O342" s="9">
        <v>0</v>
      </c>
      <c r="P342" s="9">
        <v>1300</v>
      </c>
      <c r="Q342" s="9">
        <v>0</v>
      </c>
      <c r="R342" s="9">
        <v>1300</v>
      </c>
      <c r="S342" s="9">
        <v>0</v>
      </c>
      <c r="T342" s="9">
        <v>1300</v>
      </c>
      <c r="U342" s="9">
        <v>1867.345</v>
      </c>
      <c r="V342" s="9"/>
      <c r="W342" s="9"/>
      <c r="X342" s="9">
        <v>1300</v>
      </c>
      <c r="Y342" s="9">
        <v>1867.35</v>
      </c>
      <c r="Z342" s="9"/>
      <c r="AA342" s="9"/>
      <c r="AB342" s="9"/>
      <c r="AC342" s="9"/>
      <c r="AD342" s="9"/>
      <c r="AE342" s="9"/>
      <c r="AF342" s="9"/>
      <c r="AG342" s="9"/>
      <c r="AH342" s="7">
        <v>1300</v>
      </c>
      <c r="AI342" s="7">
        <v>1867.35</v>
      </c>
    </row>
    <row r="343" spans="2:35" x14ac:dyDescent="0.3">
      <c r="B343" s="5" t="s">
        <v>3061</v>
      </c>
      <c r="C343" s="5" t="s">
        <v>13</v>
      </c>
      <c r="D343" s="12" t="s">
        <v>72</v>
      </c>
      <c r="E343" s="6" t="s">
        <v>949</v>
      </c>
      <c r="F343" s="13" t="s">
        <v>950</v>
      </c>
      <c r="G343" s="6" t="s">
        <v>877</v>
      </c>
      <c r="H343" s="7" t="str">
        <f t="shared" si="5"/>
        <v>EPC-IPU-D171-02EXTRA LAVORI</v>
      </c>
      <c r="I343" s="8" t="s">
        <v>18</v>
      </c>
      <c r="J343" s="8" t="s">
        <v>76</v>
      </c>
      <c r="K343" s="8" t="s">
        <v>76</v>
      </c>
      <c r="L343" s="9"/>
      <c r="M343" s="9"/>
      <c r="N343" s="9">
        <v>0</v>
      </c>
      <c r="O343" s="9">
        <v>4254.92</v>
      </c>
      <c r="P343" s="9">
        <v>0</v>
      </c>
      <c r="Q343" s="9">
        <v>4254.92</v>
      </c>
      <c r="R343" s="9">
        <v>0</v>
      </c>
      <c r="S343" s="9">
        <v>4254.92</v>
      </c>
      <c r="T343" s="9">
        <v>0</v>
      </c>
      <c r="U343" s="9">
        <v>4254.92</v>
      </c>
      <c r="V343" s="9"/>
      <c r="W343" s="9"/>
      <c r="X343" s="9">
        <v>0</v>
      </c>
      <c r="Y343" s="9">
        <v>4254.92</v>
      </c>
      <c r="Z343" s="9"/>
      <c r="AA343" s="9"/>
      <c r="AB343" s="9"/>
      <c r="AC343" s="9"/>
      <c r="AD343" s="9"/>
      <c r="AE343" s="9"/>
      <c r="AF343" s="9"/>
      <c r="AG343" s="9"/>
      <c r="AH343" s="7">
        <v>0</v>
      </c>
      <c r="AI343" s="7">
        <v>4254.92</v>
      </c>
    </row>
    <row r="344" spans="2:35" x14ac:dyDescent="0.3">
      <c r="B344" s="5" t="s">
        <v>3061</v>
      </c>
      <c r="C344" s="5" t="s">
        <v>13</v>
      </c>
      <c r="D344" s="12" t="s">
        <v>72</v>
      </c>
      <c r="E344" s="6" t="s">
        <v>951</v>
      </c>
      <c r="F344" s="13" t="s">
        <v>952</v>
      </c>
      <c r="G344" s="6" t="s">
        <v>217</v>
      </c>
      <c r="H344" s="7" t="str">
        <f t="shared" si="5"/>
        <v>EPC-IPU-H930-03EXTRA LAVORI</v>
      </c>
      <c r="I344" s="8" t="s">
        <v>49</v>
      </c>
      <c r="J344" s="8" t="s">
        <v>76</v>
      </c>
      <c r="K344" s="8" t="s">
        <v>76</v>
      </c>
      <c r="L344" s="9"/>
      <c r="M344" s="9"/>
      <c r="N344" s="9">
        <v>0</v>
      </c>
      <c r="O344" s="9">
        <v>2488</v>
      </c>
      <c r="P344" s="9">
        <v>0</v>
      </c>
      <c r="Q344" s="9">
        <v>12228</v>
      </c>
      <c r="R344" s="9">
        <v>0</v>
      </c>
      <c r="S344" s="9">
        <v>12228</v>
      </c>
      <c r="T344" s="9">
        <v>0</v>
      </c>
      <c r="U344" s="9">
        <v>8788</v>
      </c>
      <c r="V344" s="9"/>
      <c r="W344" s="9"/>
      <c r="X344" s="9">
        <v>16038.98</v>
      </c>
      <c r="Y344" s="9">
        <v>8788</v>
      </c>
      <c r="Z344" s="9"/>
      <c r="AA344" s="9"/>
      <c r="AB344" s="9"/>
      <c r="AC344" s="9"/>
      <c r="AD344" s="9"/>
      <c r="AE344" s="9"/>
      <c r="AF344" s="9"/>
      <c r="AG344" s="9"/>
      <c r="AH344" s="7">
        <v>16038.98</v>
      </c>
      <c r="AI344" s="7">
        <v>8788</v>
      </c>
    </row>
    <row r="345" spans="2:35" x14ac:dyDescent="0.3">
      <c r="B345" s="5" t="s">
        <v>3061</v>
      </c>
      <c r="C345" s="5" t="s">
        <v>13</v>
      </c>
      <c r="D345" s="12" t="s">
        <v>72</v>
      </c>
      <c r="E345" s="6" t="s">
        <v>913</v>
      </c>
      <c r="F345" s="13" t="s">
        <v>914</v>
      </c>
      <c r="G345" s="6" t="s">
        <v>566</v>
      </c>
      <c r="H345" s="7" t="str">
        <f t="shared" si="5"/>
        <v>EPC-IPU-L191-01EXTRA LAVORI</v>
      </c>
      <c r="I345" s="8" t="s">
        <v>24</v>
      </c>
      <c r="J345" s="8" t="s">
        <v>76</v>
      </c>
      <c r="K345" s="8" t="s">
        <v>76</v>
      </c>
      <c r="L345" s="9"/>
      <c r="M345" s="9"/>
      <c r="N345" s="9">
        <v>0</v>
      </c>
      <c r="O345" s="9">
        <v>571.20000000000005</v>
      </c>
      <c r="P345" s="9">
        <v>0</v>
      </c>
      <c r="Q345" s="9">
        <v>744.76</v>
      </c>
      <c r="R345" s="9">
        <v>0</v>
      </c>
      <c r="S345" s="9">
        <v>744.76</v>
      </c>
      <c r="T345" s="9">
        <v>0</v>
      </c>
      <c r="U345" s="9">
        <v>1759.96</v>
      </c>
      <c r="V345" s="9"/>
      <c r="W345" s="9"/>
      <c r="X345" s="9">
        <v>0</v>
      </c>
      <c r="Y345" s="9">
        <v>744.76</v>
      </c>
      <c r="Z345" s="9"/>
      <c r="AA345" s="9"/>
      <c r="AB345" s="9"/>
      <c r="AC345" s="9"/>
      <c r="AD345" s="9"/>
      <c r="AE345" s="9"/>
      <c r="AF345" s="9"/>
      <c r="AG345" s="9"/>
      <c r="AH345" s="7">
        <v>0</v>
      </c>
      <c r="AI345" s="7">
        <v>744.76</v>
      </c>
    </row>
    <row r="346" spans="2:35" x14ac:dyDescent="0.3">
      <c r="B346" s="5" t="s">
        <v>3061</v>
      </c>
      <c r="C346" s="5" t="s">
        <v>13</v>
      </c>
      <c r="D346" s="12" t="s">
        <v>72</v>
      </c>
      <c r="E346" s="6" t="s">
        <v>928</v>
      </c>
      <c r="F346" s="13" t="s">
        <v>929</v>
      </c>
      <c r="G346" s="6" t="s">
        <v>372</v>
      </c>
      <c r="H346" s="7" t="str">
        <f t="shared" si="5"/>
        <v>EPC-IPU-L415-05EXTRA LAVORI</v>
      </c>
      <c r="I346" s="8" t="s">
        <v>49</v>
      </c>
      <c r="J346" s="8" t="s">
        <v>76</v>
      </c>
      <c r="K346" s="8" t="s">
        <v>76</v>
      </c>
      <c r="L346" s="9"/>
      <c r="M346" s="9"/>
      <c r="N346" s="9">
        <v>1923.41</v>
      </c>
      <c r="O346" s="9">
        <v>0</v>
      </c>
      <c r="P346" s="9">
        <v>1923.41</v>
      </c>
      <c r="Q346" s="9">
        <v>9475.7999999999993</v>
      </c>
      <c r="R346" s="9">
        <v>1923.41</v>
      </c>
      <c r="S346" s="9">
        <v>9475.7999999999993</v>
      </c>
      <c r="T346" s="9">
        <v>1923.41</v>
      </c>
      <c r="U346" s="9">
        <v>10737.8</v>
      </c>
      <c r="V346" s="9"/>
      <c r="W346" s="9"/>
      <c r="X346" s="9">
        <v>1923.41</v>
      </c>
      <c r="Y346" s="9">
        <v>9475.7999999999993</v>
      </c>
      <c r="Z346" s="9"/>
      <c r="AA346" s="9"/>
      <c r="AB346" s="9"/>
      <c r="AC346" s="9"/>
      <c r="AD346" s="9"/>
      <c r="AE346" s="9"/>
      <c r="AF346" s="9"/>
      <c r="AG346" s="9"/>
      <c r="AH346" s="7">
        <v>1923.41</v>
      </c>
      <c r="AI346" s="7">
        <v>9475.7999999999993</v>
      </c>
    </row>
    <row r="347" spans="2:35" x14ac:dyDescent="0.3">
      <c r="B347" s="5" t="s">
        <v>3061</v>
      </c>
      <c r="C347" s="5" t="s">
        <v>13</v>
      </c>
      <c r="D347" s="12" t="s">
        <v>72</v>
      </c>
      <c r="E347" s="6" t="s">
        <v>953</v>
      </c>
      <c r="F347" s="13" t="s">
        <v>954</v>
      </c>
      <c r="G347" s="6" t="s">
        <v>372</v>
      </c>
      <c r="H347" s="7" t="str">
        <f t="shared" si="5"/>
        <v>EPC-IPU-L415-03EXTRA LAVORI</v>
      </c>
      <c r="I347" s="8" t="s">
        <v>49</v>
      </c>
      <c r="J347" s="8" t="s">
        <v>76</v>
      </c>
      <c r="K347" s="8" t="s">
        <v>76</v>
      </c>
      <c r="L347" s="9"/>
      <c r="M347" s="9"/>
      <c r="N347" s="9">
        <v>0</v>
      </c>
      <c r="O347" s="9">
        <v>629</v>
      </c>
      <c r="P347" s="9">
        <v>0</v>
      </c>
      <c r="Q347" s="9">
        <v>629</v>
      </c>
      <c r="R347" s="9">
        <v>15640</v>
      </c>
      <c r="S347" s="9">
        <v>15569</v>
      </c>
      <c r="T347" s="9">
        <v>15640.04</v>
      </c>
      <c r="U347" s="9">
        <v>8099</v>
      </c>
      <c r="V347" s="9"/>
      <c r="W347" s="9"/>
      <c r="X347" s="9">
        <v>0</v>
      </c>
      <c r="Y347" s="9">
        <v>8099</v>
      </c>
      <c r="Z347" s="9"/>
      <c r="AA347" s="9"/>
      <c r="AB347" s="9"/>
      <c r="AC347" s="9"/>
      <c r="AD347" s="9"/>
      <c r="AE347" s="9"/>
      <c r="AF347" s="9"/>
      <c r="AG347" s="9"/>
      <c r="AH347" s="7">
        <v>0</v>
      </c>
      <c r="AI347" s="7">
        <v>8099</v>
      </c>
    </row>
    <row r="348" spans="2:35" x14ac:dyDescent="0.3">
      <c r="B348" s="5" t="s">
        <v>3061</v>
      </c>
      <c r="C348" s="5" t="s">
        <v>13</v>
      </c>
      <c r="D348" s="12" t="s">
        <v>72</v>
      </c>
      <c r="E348" s="6" t="s">
        <v>955</v>
      </c>
      <c r="F348" s="13" t="s">
        <v>956</v>
      </c>
      <c r="G348" s="6" t="s">
        <v>795</v>
      </c>
      <c r="H348" s="7" t="str">
        <f t="shared" si="5"/>
        <v>EPC-IPU-G283-01EXTRA LAVORI</v>
      </c>
      <c r="I348" s="8" t="s">
        <v>18</v>
      </c>
      <c r="J348" s="8" t="s">
        <v>76</v>
      </c>
      <c r="K348" s="8" t="s">
        <v>76</v>
      </c>
      <c r="L348" s="9"/>
      <c r="M348" s="9"/>
      <c r="N348" s="9">
        <v>2712.62</v>
      </c>
      <c r="O348" s="9">
        <v>0</v>
      </c>
      <c r="P348" s="9">
        <v>2712.62</v>
      </c>
      <c r="Q348" s="9">
        <v>0</v>
      </c>
      <c r="R348" s="9">
        <v>2712.62</v>
      </c>
      <c r="S348" s="9">
        <v>0</v>
      </c>
      <c r="T348" s="9">
        <v>2712.62</v>
      </c>
      <c r="U348" s="9">
        <v>0</v>
      </c>
      <c r="V348" s="9"/>
      <c r="W348" s="9"/>
      <c r="X348" s="9">
        <v>4988.45</v>
      </c>
      <c r="Y348" s="9">
        <v>0</v>
      </c>
      <c r="Z348" s="9"/>
      <c r="AA348" s="9"/>
      <c r="AB348" s="9"/>
      <c r="AC348" s="9"/>
      <c r="AD348" s="9"/>
      <c r="AE348" s="9"/>
      <c r="AF348" s="9"/>
      <c r="AG348" s="9"/>
      <c r="AH348" s="7">
        <v>4988.45</v>
      </c>
      <c r="AI348" s="7">
        <v>0</v>
      </c>
    </row>
    <row r="349" spans="2:35" x14ac:dyDescent="0.3">
      <c r="B349" s="5" t="s">
        <v>3061</v>
      </c>
      <c r="C349" s="5" t="s">
        <v>13</v>
      </c>
      <c r="D349" s="12" t="s">
        <v>72</v>
      </c>
      <c r="E349" s="6" t="s">
        <v>682</v>
      </c>
      <c r="F349" s="13" t="s">
        <v>683</v>
      </c>
      <c r="G349" s="6" t="s">
        <v>658</v>
      </c>
      <c r="H349" s="7" t="str">
        <f t="shared" si="5"/>
        <v>CL3-IPU-E951-01EXTRA LAVORI</v>
      </c>
      <c r="I349" s="8" t="s">
        <v>49</v>
      </c>
      <c r="J349" s="8" t="s">
        <v>19</v>
      </c>
      <c r="K349" s="8" t="s">
        <v>98</v>
      </c>
      <c r="L349" s="9"/>
      <c r="M349" s="9"/>
      <c r="N349" s="9">
        <v>1478.23</v>
      </c>
      <c r="O349" s="9">
        <v>0</v>
      </c>
      <c r="P349" s="9">
        <v>0</v>
      </c>
      <c r="Q349" s="9">
        <v>0</v>
      </c>
      <c r="R349" s="9">
        <v>0</v>
      </c>
      <c r="S349" s="9">
        <v>0</v>
      </c>
      <c r="T349" s="9">
        <v>0</v>
      </c>
      <c r="U349" s="9">
        <v>0</v>
      </c>
      <c r="V349" s="9"/>
      <c r="W349" s="9"/>
      <c r="X349" s="9">
        <v>0</v>
      </c>
      <c r="Y349" s="9">
        <v>0</v>
      </c>
      <c r="Z349" s="9"/>
      <c r="AA349" s="9"/>
      <c r="AB349" s="9"/>
      <c r="AC349" s="9"/>
      <c r="AD349" s="9"/>
      <c r="AE349" s="9"/>
      <c r="AF349" s="9"/>
      <c r="AG349" s="9"/>
      <c r="AH349" s="7">
        <v>0</v>
      </c>
      <c r="AI349" s="7">
        <v>0</v>
      </c>
    </row>
    <row r="350" spans="2:35" x14ac:dyDescent="0.3">
      <c r="B350" s="5" t="s">
        <v>3061</v>
      </c>
      <c r="C350" s="5" t="s">
        <v>13</v>
      </c>
      <c r="D350" s="12" t="s">
        <v>957</v>
      </c>
      <c r="E350" s="6" t="s">
        <v>692</v>
      </c>
      <c r="F350" s="13" t="s">
        <v>693</v>
      </c>
      <c r="G350" s="6" t="s">
        <v>694</v>
      </c>
      <c r="H350" s="7" t="str">
        <f t="shared" si="5"/>
        <v>SEC-CIM-D593-01GENERICO</v>
      </c>
      <c r="I350" s="8" t="s">
        <v>18</v>
      </c>
      <c r="J350" s="8" t="s">
        <v>695</v>
      </c>
      <c r="K350" s="8" t="s">
        <v>695</v>
      </c>
      <c r="L350" s="9"/>
      <c r="M350" s="9"/>
      <c r="N350" s="9">
        <v>0</v>
      </c>
      <c r="O350" s="9">
        <v>1.39</v>
      </c>
      <c r="P350" s="9">
        <v>0</v>
      </c>
      <c r="Q350" s="9">
        <v>1.39</v>
      </c>
      <c r="R350" s="9">
        <v>0</v>
      </c>
      <c r="S350" s="9">
        <v>1.39</v>
      </c>
      <c r="T350" s="9">
        <v>0</v>
      </c>
      <c r="U350" s="9">
        <v>1.39</v>
      </c>
      <c r="V350" s="9"/>
      <c r="W350" s="9"/>
      <c r="X350" s="9">
        <v>0</v>
      </c>
      <c r="Y350" s="9">
        <v>1.39</v>
      </c>
      <c r="Z350" s="9"/>
      <c r="AA350" s="9"/>
      <c r="AB350" s="9"/>
      <c r="AC350" s="9"/>
      <c r="AD350" s="9"/>
      <c r="AE350" s="9"/>
      <c r="AF350" s="9"/>
      <c r="AG350" s="9"/>
      <c r="AH350" s="7">
        <v>0</v>
      </c>
      <c r="AI350" s="7">
        <v>1.39</v>
      </c>
    </row>
    <row r="351" spans="2:35" x14ac:dyDescent="0.3">
      <c r="B351" s="5" t="s">
        <v>3061</v>
      </c>
      <c r="C351" s="5" t="s">
        <v>13</v>
      </c>
      <c r="D351" s="12" t="s">
        <v>619</v>
      </c>
      <c r="E351" s="6" t="s">
        <v>958</v>
      </c>
      <c r="F351" s="13" t="s">
        <v>959</v>
      </c>
      <c r="G351" s="6" t="s">
        <v>960</v>
      </c>
      <c r="H351" s="7" t="str">
        <f t="shared" si="5"/>
        <v>EPC-IPU-F003-01EXTRA LAVORI : Spot</v>
      </c>
      <c r="I351" s="8" t="s">
        <v>49</v>
      </c>
      <c r="J351" s="8" t="s">
        <v>76</v>
      </c>
      <c r="K351" s="8" t="s">
        <v>76</v>
      </c>
      <c r="L351" s="9"/>
      <c r="M351" s="9"/>
      <c r="N351" s="9">
        <v>0</v>
      </c>
      <c r="O351" s="9">
        <v>16</v>
      </c>
      <c r="P351" s="9">
        <v>0</v>
      </c>
      <c r="Q351" s="9">
        <v>16</v>
      </c>
      <c r="R351" s="9">
        <v>0</v>
      </c>
      <c r="S351" s="9">
        <v>16</v>
      </c>
      <c r="T351" s="9">
        <v>0</v>
      </c>
      <c r="U351" s="9">
        <v>16</v>
      </c>
      <c r="V351" s="9"/>
      <c r="W351" s="9"/>
      <c r="X351" s="9">
        <v>0</v>
      </c>
      <c r="Y351" s="9">
        <v>0</v>
      </c>
      <c r="Z351" s="9"/>
      <c r="AA351" s="9"/>
      <c r="AB351" s="9"/>
      <c r="AC351" s="9"/>
      <c r="AD351" s="9"/>
      <c r="AE351" s="9"/>
      <c r="AF351" s="9"/>
      <c r="AG351" s="9"/>
      <c r="AH351" s="7">
        <v>0</v>
      </c>
      <c r="AI351" s="7">
        <v>0</v>
      </c>
    </row>
    <row r="352" spans="2:35" x14ac:dyDescent="0.3">
      <c r="B352" s="5" t="s">
        <v>3061</v>
      </c>
      <c r="C352" s="5" t="s">
        <v>13</v>
      </c>
      <c r="D352" s="12" t="s">
        <v>619</v>
      </c>
      <c r="E352" s="6" t="s">
        <v>541</v>
      </c>
      <c r="F352" s="13" t="s">
        <v>542</v>
      </c>
      <c r="G352" s="6" t="s">
        <v>543</v>
      </c>
      <c r="H352" s="7" t="str">
        <f t="shared" si="5"/>
        <v>SEC-IPU-F573-01EXTRA LAVORI : Spot</v>
      </c>
      <c r="I352" s="8" t="s">
        <v>18</v>
      </c>
      <c r="J352" s="8" t="s">
        <v>19</v>
      </c>
      <c r="K352" s="8" t="s">
        <v>20</v>
      </c>
      <c r="L352" s="9"/>
      <c r="M352" s="9"/>
      <c r="N352" s="9">
        <v>658.37</v>
      </c>
      <c r="O352" s="9">
        <v>0</v>
      </c>
      <c r="P352" s="9">
        <v>0</v>
      </c>
      <c r="Q352" s="9">
        <v>0</v>
      </c>
      <c r="R352" s="9">
        <v>0</v>
      </c>
      <c r="S352" s="9">
        <v>0</v>
      </c>
      <c r="T352" s="9">
        <v>0</v>
      </c>
      <c r="U352" s="9">
        <v>0</v>
      </c>
      <c r="V352" s="9"/>
      <c r="W352" s="9"/>
      <c r="X352" s="9">
        <v>0</v>
      </c>
      <c r="Y352" s="9">
        <v>0</v>
      </c>
      <c r="Z352" s="9"/>
      <c r="AA352" s="9"/>
      <c r="AB352" s="9"/>
      <c r="AC352" s="9"/>
      <c r="AD352" s="9"/>
      <c r="AE352" s="9"/>
      <c r="AF352" s="9"/>
      <c r="AG352" s="9"/>
      <c r="AH352" s="7">
        <v>0</v>
      </c>
      <c r="AI352" s="7">
        <v>0</v>
      </c>
    </row>
    <row r="353" spans="2:35" x14ac:dyDescent="0.3">
      <c r="B353" s="5" t="s">
        <v>3061</v>
      </c>
      <c r="C353" s="5" t="s">
        <v>13</v>
      </c>
      <c r="D353" s="12" t="s">
        <v>619</v>
      </c>
      <c r="E353" s="6" t="s">
        <v>961</v>
      </c>
      <c r="F353" s="13" t="s">
        <v>962</v>
      </c>
      <c r="G353" s="6" t="s">
        <v>453</v>
      </c>
      <c r="H353" s="7" t="str">
        <f t="shared" si="5"/>
        <v>EPC-PHV-L736-04EXTRA LAVORI : Spot</v>
      </c>
      <c r="I353" s="8" t="s">
        <v>56</v>
      </c>
      <c r="J353" s="8" t="s">
        <v>76</v>
      </c>
      <c r="K353" s="8" t="s">
        <v>76</v>
      </c>
      <c r="L353" s="9"/>
      <c r="M353" s="9"/>
      <c r="N353" s="9">
        <v>0</v>
      </c>
      <c r="O353" s="9">
        <v>822.01</v>
      </c>
      <c r="P353" s="9">
        <v>0</v>
      </c>
      <c r="Q353" s="9">
        <v>822.01</v>
      </c>
      <c r="R353" s="9">
        <v>0</v>
      </c>
      <c r="S353" s="9">
        <v>1072.52</v>
      </c>
      <c r="T353" s="9">
        <v>0</v>
      </c>
      <c r="U353" s="9">
        <v>1936.47</v>
      </c>
      <c r="V353" s="9"/>
      <c r="W353" s="9"/>
      <c r="X353" s="9">
        <v>0</v>
      </c>
      <c r="Y353" s="9">
        <v>0</v>
      </c>
      <c r="Z353" s="9"/>
      <c r="AA353" s="9"/>
      <c r="AB353" s="9"/>
      <c r="AC353" s="9"/>
      <c r="AD353" s="9"/>
      <c r="AE353" s="9"/>
      <c r="AF353" s="9"/>
      <c r="AG353" s="9"/>
      <c r="AH353" s="7">
        <v>0</v>
      </c>
      <c r="AI353" s="7">
        <v>0</v>
      </c>
    </row>
    <row r="354" spans="2:35" x14ac:dyDescent="0.3">
      <c r="B354" s="5" t="s">
        <v>3061</v>
      </c>
      <c r="C354" s="5" t="s">
        <v>13</v>
      </c>
      <c r="D354" s="12" t="s">
        <v>619</v>
      </c>
      <c r="E354" s="6" t="s">
        <v>963</v>
      </c>
      <c r="F354" s="13" t="s">
        <v>964</v>
      </c>
      <c r="G354" s="6" t="s">
        <v>378</v>
      </c>
      <c r="H354" s="7" t="str">
        <f t="shared" si="5"/>
        <v>EPC-IPU-F229-01EXTRA LAVORI : Spot</v>
      </c>
      <c r="I354" s="8" t="s">
        <v>56</v>
      </c>
      <c r="J354" s="8" t="s">
        <v>76</v>
      </c>
      <c r="K354" s="8" t="s">
        <v>76</v>
      </c>
      <c r="L354" s="9"/>
      <c r="M354" s="9"/>
      <c r="N354" s="9">
        <v>0</v>
      </c>
      <c r="O354" s="9">
        <v>232.62</v>
      </c>
      <c r="P354" s="9">
        <v>0</v>
      </c>
      <c r="Q354" s="9">
        <v>475.1</v>
      </c>
      <c r="R354" s="9">
        <v>0</v>
      </c>
      <c r="S354" s="9">
        <v>475.1</v>
      </c>
      <c r="T354" s="9">
        <v>0</v>
      </c>
      <c r="U354" s="9">
        <v>476.01</v>
      </c>
      <c r="V354" s="9"/>
      <c r="W354" s="9"/>
      <c r="X354" s="9">
        <v>0</v>
      </c>
      <c r="Y354" s="9">
        <v>0</v>
      </c>
      <c r="Z354" s="9"/>
      <c r="AA354" s="9"/>
      <c r="AB354" s="9"/>
      <c r="AC354" s="9"/>
      <c r="AD354" s="9"/>
      <c r="AE354" s="9"/>
      <c r="AF354" s="9"/>
      <c r="AG354" s="9"/>
      <c r="AH354" s="7">
        <v>0</v>
      </c>
      <c r="AI354" s="7">
        <v>0</v>
      </c>
    </row>
    <row r="355" spans="2:35" x14ac:dyDescent="0.3">
      <c r="B355" s="5" t="s">
        <v>3061</v>
      </c>
      <c r="C355" s="5" t="s">
        <v>13</v>
      </c>
      <c r="D355" s="12" t="s">
        <v>619</v>
      </c>
      <c r="E355" s="6" t="s">
        <v>965</v>
      </c>
      <c r="F355" s="13" t="s">
        <v>966</v>
      </c>
      <c r="G355" s="6" t="s">
        <v>229</v>
      </c>
      <c r="H355" s="7" t="str">
        <f t="shared" si="5"/>
        <v>EPC-IPU-D748-02EXTRA LAVORI : Spot</v>
      </c>
      <c r="I355" s="8" t="s">
        <v>56</v>
      </c>
      <c r="J355" s="8" t="s">
        <v>76</v>
      </c>
      <c r="K355" s="8" t="s">
        <v>76</v>
      </c>
      <c r="L355" s="9"/>
      <c r="M355" s="9"/>
      <c r="N355" s="9">
        <v>0</v>
      </c>
      <c r="O355" s="9">
        <v>1146.5999999999999</v>
      </c>
      <c r="P355" s="9">
        <v>0</v>
      </c>
      <c r="Q355" s="9">
        <v>1146.5999999999999</v>
      </c>
      <c r="R355" s="9">
        <v>0</v>
      </c>
      <c r="S355" s="9">
        <v>1146.5999999999999</v>
      </c>
      <c r="T355" s="9">
        <v>0</v>
      </c>
      <c r="U355" s="9">
        <v>1146.5999999999999</v>
      </c>
      <c r="V355" s="9"/>
      <c r="W355" s="9"/>
      <c r="X355" s="9">
        <v>0</v>
      </c>
      <c r="Y355" s="9">
        <v>0</v>
      </c>
      <c r="Z355" s="9"/>
      <c r="AA355" s="9"/>
      <c r="AB355" s="9"/>
      <c r="AC355" s="9"/>
      <c r="AD355" s="9"/>
      <c r="AE355" s="9"/>
      <c r="AF355" s="9"/>
      <c r="AG355" s="9"/>
      <c r="AH355" s="7">
        <v>0</v>
      </c>
      <c r="AI355" s="7">
        <v>0</v>
      </c>
    </row>
    <row r="356" spans="2:35" x14ac:dyDescent="0.3">
      <c r="B356" s="5" t="s">
        <v>3061</v>
      </c>
      <c r="C356" s="5" t="s">
        <v>13</v>
      </c>
      <c r="D356" s="12" t="s">
        <v>619</v>
      </c>
      <c r="E356" s="6" t="s">
        <v>967</v>
      </c>
      <c r="F356" s="13" t="s">
        <v>968</v>
      </c>
      <c r="G356" s="6" t="s">
        <v>543</v>
      </c>
      <c r="H356" s="7" t="str">
        <f t="shared" si="5"/>
        <v>EPC-IPU-F573-07EXTRA LAVORI : Spot</v>
      </c>
      <c r="I356" s="8" t="s">
        <v>18</v>
      </c>
      <c r="J356" s="8" t="s">
        <v>76</v>
      </c>
      <c r="K356" s="8" t="s">
        <v>76</v>
      </c>
      <c r="L356" s="9"/>
      <c r="M356" s="9"/>
      <c r="N356" s="9">
        <v>0</v>
      </c>
      <c r="O356" s="9">
        <v>464.03</v>
      </c>
      <c r="P356" s="9">
        <v>0</v>
      </c>
      <c r="Q356" s="9">
        <v>464.03</v>
      </c>
      <c r="R356" s="9">
        <v>0</v>
      </c>
      <c r="S356" s="9">
        <v>464.03</v>
      </c>
      <c r="T356" s="9">
        <v>0</v>
      </c>
      <c r="U356" s="9">
        <v>464.03</v>
      </c>
      <c r="V356" s="9"/>
      <c r="W356" s="9"/>
      <c r="X356" s="9">
        <v>0</v>
      </c>
      <c r="Y356" s="9">
        <v>0</v>
      </c>
      <c r="Z356" s="9"/>
      <c r="AA356" s="9"/>
      <c r="AB356" s="9"/>
      <c r="AC356" s="9"/>
      <c r="AD356" s="9"/>
      <c r="AE356" s="9"/>
      <c r="AF356" s="9"/>
      <c r="AG356" s="9"/>
      <c r="AH356" s="7">
        <v>0</v>
      </c>
      <c r="AI356" s="7">
        <v>0</v>
      </c>
    </row>
    <row r="357" spans="2:35" x14ac:dyDescent="0.3">
      <c r="B357" s="5" t="s">
        <v>3061</v>
      </c>
      <c r="C357" s="5" t="s">
        <v>13</v>
      </c>
      <c r="D357" s="12" t="s">
        <v>619</v>
      </c>
      <c r="E357" s="6" t="s">
        <v>969</v>
      </c>
      <c r="F357" s="13" t="s">
        <v>970</v>
      </c>
      <c r="G357" s="6" t="s">
        <v>971</v>
      </c>
      <c r="H357" s="7" t="str">
        <f t="shared" si="5"/>
        <v>EPC-IPU-G942-02EXTRA LAVORI : Spot</v>
      </c>
      <c r="I357" s="8" t="s">
        <v>18</v>
      </c>
      <c r="J357" s="8" t="s">
        <v>259</v>
      </c>
      <c r="K357" s="8" t="s">
        <v>259</v>
      </c>
      <c r="L357" s="9"/>
      <c r="M357" s="9"/>
      <c r="N357" s="9">
        <v>0</v>
      </c>
      <c r="O357" s="9">
        <v>800</v>
      </c>
      <c r="P357" s="9">
        <v>0</v>
      </c>
      <c r="Q357" s="9">
        <v>2097.4</v>
      </c>
      <c r="R357" s="9">
        <v>0</v>
      </c>
      <c r="S357" s="9">
        <v>4538.2</v>
      </c>
      <c r="T357" s="9">
        <v>2447</v>
      </c>
      <c r="U357" s="9">
        <v>7988.2</v>
      </c>
      <c r="V357" s="9"/>
      <c r="W357" s="9"/>
      <c r="X357" s="9">
        <v>0</v>
      </c>
      <c r="Y357" s="9">
        <v>0</v>
      </c>
      <c r="Z357" s="9"/>
      <c r="AA357" s="9"/>
      <c r="AB357" s="9"/>
      <c r="AC357" s="9"/>
      <c r="AD357" s="9"/>
      <c r="AE357" s="9"/>
      <c r="AF357" s="9"/>
      <c r="AG357" s="9"/>
      <c r="AH357" s="7">
        <v>0</v>
      </c>
      <c r="AI357" s="7">
        <v>0</v>
      </c>
    </row>
    <row r="358" spans="2:35" x14ac:dyDescent="0.3">
      <c r="B358" s="5" t="s">
        <v>3061</v>
      </c>
      <c r="C358" s="5" t="s">
        <v>13</v>
      </c>
      <c r="D358" s="12" t="s">
        <v>619</v>
      </c>
      <c r="E358" s="6" t="s">
        <v>972</v>
      </c>
      <c r="F358" s="13" t="s">
        <v>973</v>
      </c>
      <c r="G358" s="6" t="s">
        <v>366</v>
      </c>
      <c r="H358" s="7" t="str">
        <f t="shared" si="5"/>
        <v>EPC-IPU-L285-02EXTRA LAVORI : Spot</v>
      </c>
      <c r="I358" s="8" t="s">
        <v>49</v>
      </c>
      <c r="J358" s="8" t="s">
        <v>76</v>
      </c>
      <c r="K358" s="8" t="s">
        <v>76</v>
      </c>
      <c r="L358" s="9"/>
      <c r="M358" s="9"/>
      <c r="N358" s="9">
        <v>0</v>
      </c>
      <c r="O358" s="9">
        <v>23263.93</v>
      </c>
      <c r="P358" s="9">
        <v>0</v>
      </c>
      <c r="Q358" s="9">
        <v>23263.93</v>
      </c>
      <c r="R358" s="9">
        <v>0</v>
      </c>
      <c r="S358" s="9">
        <v>23263.93</v>
      </c>
      <c r="T358" s="9">
        <v>0</v>
      </c>
      <c r="U358" s="9">
        <v>23263.93</v>
      </c>
      <c r="V358" s="9"/>
      <c r="W358" s="9"/>
      <c r="X358" s="9">
        <v>0</v>
      </c>
      <c r="Y358" s="9">
        <v>0</v>
      </c>
      <c r="Z358" s="9"/>
      <c r="AA358" s="9"/>
      <c r="AB358" s="9"/>
      <c r="AC358" s="9"/>
      <c r="AD358" s="9"/>
      <c r="AE358" s="9"/>
      <c r="AF358" s="9"/>
      <c r="AG358" s="9"/>
      <c r="AH358" s="7">
        <v>0</v>
      </c>
      <c r="AI358" s="7">
        <v>0</v>
      </c>
    </row>
    <row r="359" spans="2:35" x14ac:dyDescent="0.3">
      <c r="B359" s="5" t="s">
        <v>3061</v>
      </c>
      <c r="C359" s="5" t="s">
        <v>13</v>
      </c>
      <c r="D359" s="12" t="s">
        <v>619</v>
      </c>
      <c r="E359" s="6" t="s">
        <v>974</v>
      </c>
      <c r="F359" s="13" t="s">
        <v>975</v>
      </c>
      <c r="G359" s="6" t="s">
        <v>976</v>
      </c>
      <c r="H359" s="7" t="str">
        <f t="shared" si="5"/>
        <v>EPC-IPU-I317-02EXTRA LAVORI : Spot</v>
      </c>
      <c r="I359" s="8" t="s">
        <v>18</v>
      </c>
      <c r="J359" s="8" t="s">
        <v>76</v>
      </c>
      <c r="K359" s="8" t="s">
        <v>76</v>
      </c>
      <c r="L359" s="9"/>
      <c r="M359" s="9"/>
      <c r="N359" s="9">
        <v>2689.08</v>
      </c>
      <c r="O359" s="9">
        <v>0</v>
      </c>
      <c r="P359" s="9">
        <v>2689.08</v>
      </c>
      <c r="Q359" s="9">
        <v>0</v>
      </c>
      <c r="R359" s="9">
        <v>2689.08</v>
      </c>
      <c r="S359" s="9">
        <v>0</v>
      </c>
      <c r="T359" s="9">
        <v>2689.08</v>
      </c>
      <c r="U359" s="9">
        <v>0</v>
      </c>
      <c r="V359" s="9"/>
      <c r="W359" s="9"/>
      <c r="X359" s="9">
        <v>0</v>
      </c>
      <c r="Y359" s="9">
        <v>0</v>
      </c>
      <c r="Z359" s="9"/>
      <c r="AA359" s="9"/>
      <c r="AB359" s="9"/>
      <c r="AC359" s="9"/>
      <c r="AD359" s="9"/>
      <c r="AE359" s="9"/>
      <c r="AF359" s="9"/>
      <c r="AG359" s="9"/>
      <c r="AH359" s="7">
        <v>0</v>
      </c>
      <c r="AI359" s="7">
        <v>0</v>
      </c>
    </row>
    <row r="360" spans="2:35" x14ac:dyDescent="0.3">
      <c r="B360" s="5" t="s">
        <v>3061</v>
      </c>
      <c r="C360" s="5" t="s">
        <v>13</v>
      </c>
      <c r="D360" s="12" t="s">
        <v>72</v>
      </c>
      <c r="E360" s="6" t="s">
        <v>977</v>
      </c>
      <c r="F360" s="13" t="s">
        <v>978</v>
      </c>
      <c r="G360" s="6" t="s">
        <v>566</v>
      </c>
      <c r="H360" s="7" t="str">
        <f t="shared" si="5"/>
        <v>EPC-IPU-L191-05EXTRA LAVORI</v>
      </c>
      <c r="I360" s="8" t="s">
        <v>24</v>
      </c>
      <c r="J360" s="8" t="s">
        <v>76</v>
      </c>
      <c r="K360" s="8" t="s">
        <v>76</v>
      </c>
      <c r="L360" s="9"/>
      <c r="M360" s="9"/>
      <c r="N360" s="9">
        <v>1612.45</v>
      </c>
      <c r="O360" s="9">
        <v>0</v>
      </c>
      <c r="P360" s="9">
        <v>1612.45</v>
      </c>
      <c r="Q360" s="9">
        <v>0</v>
      </c>
      <c r="R360" s="9">
        <v>0</v>
      </c>
      <c r="S360" s="9">
        <v>0</v>
      </c>
      <c r="T360" s="9">
        <v>0</v>
      </c>
      <c r="U360" s="9">
        <v>0</v>
      </c>
      <c r="V360" s="9"/>
      <c r="W360" s="9"/>
      <c r="X360" s="9">
        <v>0</v>
      </c>
      <c r="Y360" s="9">
        <v>0</v>
      </c>
      <c r="Z360" s="9"/>
      <c r="AA360" s="9"/>
      <c r="AB360" s="9"/>
      <c r="AC360" s="9"/>
      <c r="AD360" s="9"/>
      <c r="AE360" s="9"/>
      <c r="AF360" s="9"/>
      <c r="AG360" s="9"/>
      <c r="AH360" s="7">
        <v>0</v>
      </c>
      <c r="AI360" s="7">
        <v>0</v>
      </c>
    </row>
    <row r="361" spans="2:35" x14ac:dyDescent="0.3">
      <c r="B361" s="5" t="s">
        <v>3061</v>
      </c>
      <c r="C361" s="5" t="s">
        <v>13</v>
      </c>
      <c r="D361" s="12" t="s">
        <v>72</v>
      </c>
      <c r="E361" s="6" t="s">
        <v>979</v>
      </c>
      <c r="F361" s="13" t="s">
        <v>980</v>
      </c>
      <c r="G361" s="6" t="s">
        <v>155</v>
      </c>
      <c r="H361" s="7" t="str">
        <f t="shared" si="5"/>
        <v>EPC-IPU-A413-01EXTRA LAVORI</v>
      </c>
      <c r="I361" s="8" t="s">
        <v>49</v>
      </c>
      <c r="J361" s="8" t="s">
        <v>76</v>
      </c>
      <c r="K361" s="8" t="s">
        <v>76</v>
      </c>
      <c r="L361" s="9"/>
      <c r="M361" s="9"/>
      <c r="N361" s="9">
        <v>16400</v>
      </c>
      <c r="O361" s="9">
        <v>0</v>
      </c>
      <c r="P361" s="9">
        <v>0</v>
      </c>
      <c r="Q361" s="9">
        <v>0</v>
      </c>
      <c r="R361" s="9">
        <v>16400</v>
      </c>
      <c r="S361" s="9">
        <v>0</v>
      </c>
      <c r="T361" s="9">
        <v>16400</v>
      </c>
      <c r="U361" s="9">
        <v>0</v>
      </c>
      <c r="V361" s="9"/>
      <c r="W361" s="9"/>
      <c r="X361" s="9">
        <v>16400</v>
      </c>
      <c r="Y361" s="9">
        <v>0</v>
      </c>
      <c r="Z361" s="9"/>
      <c r="AA361" s="9"/>
      <c r="AB361" s="9"/>
      <c r="AC361" s="9"/>
      <c r="AD361" s="9"/>
      <c r="AE361" s="9"/>
      <c r="AF361" s="9"/>
      <c r="AG361" s="9"/>
      <c r="AH361" s="7">
        <v>16400</v>
      </c>
      <c r="AI361" s="7">
        <v>0</v>
      </c>
    </row>
    <row r="362" spans="2:35" x14ac:dyDescent="0.3">
      <c r="B362" s="5" t="s">
        <v>3061</v>
      </c>
      <c r="C362" s="5" t="s">
        <v>13</v>
      </c>
      <c r="D362" s="12" t="s">
        <v>72</v>
      </c>
      <c r="E362" s="6" t="s">
        <v>981</v>
      </c>
      <c r="F362" s="13" t="s">
        <v>982</v>
      </c>
      <c r="G362" s="6" t="s">
        <v>155</v>
      </c>
      <c r="H362" s="7" t="str">
        <f t="shared" si="5"/>
        <v>EPC-IPU-A413-07EXTRA LAVORI</v>
      </c>
      <c r="I362" s="8" t="s">
        <v>49</v>
      </c>
      <c r="J362" s="8" t="s">
        <v>76</v>
      </c>
      <c r="K362" s="8" t="s">
        <v>76</v>
      </c>
      <c r="L362" s="9"/>
      <c r="M362" s="9"/>
      <c r="N362" s="9">
        <v>499.86</v>
      </c>
      <c r="O362" s="9">
        <v>0</v>
      </c>
      <c r="P362" s="9">
        <v>499.86</v>
      </c>
      <c r="Q362" s="9">
        <v>0</v>
      </c>
      <c r="R362" s="9">
        <v>499.86</v>
      </c>
      <c r="S362" s="9">
        <v>0</v>
      </c>
      <c r="T362" s="9">
        <v>499.86</v>
      </c>
      <c r="U362" s="9">
        <v>0</v>
      </c>
      <c r="V362" s="9"/>
      <c r="W362" s="9"/>
      <c r="X362" s="9">
        <v>0</v>
      </c>
      <c r="Y362" s="9">
        <v>0</v>
      </c>
      <c r="Z362" s="9"/>
      <c r="AA362" s="9"/>
      <c r="AB362" s="9"/>
      <c r="AC362" s="9"/>
      <c r="AD362" s="9"/>
      <c r="AE362" s="9"/>
      <c r="AF362" s="9"/>
      <c r="AG362" s="9"/>
      <c r="AH362" s="7">
        <v>0</v>
      </c>
      <c r="AI362" s="7">
        <v>0</v>
      </c>
    </row>
    <row r="363" spans="2:35" x14ac:dyDescent="0.3">
      <c r="B363" s="5" t="s">
        <v>3061</v>
      </c>
      <c r="C363" s="5" t="s">
        <v>13</v>
      </c>
      <c r="D363" s="12" t="s">
        <v>686</v>
      </c>
      <c r="E363" s="6" t="s">
        <v>983</v>
      </c>
      <c r="F363" s="13" t="s">
        <v>983</v>
      </c>
      <c r="G363" s="6" t="s">
        <v>688</v>
      </c>
      <c r="H363" s="7" t="str">
        <f t="shared" si="5"/>
        <v>FERIE- No Activity Code -</v>
      </c>
      <c r="I363" s="8" t="s">
        <v>689</v>
      </c>
      <c r="J363" s="8" t="s">
        <v>690</v>
      </c>
      <c r="K363" s="8" t="s">
        <v>690</v>
      </c>
      <c r="L363" s="9"/>
      <c r="M363" s="9"/>
      <c r="N363" s="9">
        <v>0</v>
      </c>
      <c r="O363" s="9">
        <v>104783.55499999999</v>
      </c>
      <c r="P363" s="9">
        <v>0</v>
      </c>
      <c r="Q363" s="9">
        <v>128736.08500000001</v>
      </c>
      <c r="R363" s="9">
        <v>0</v>
      </c>
      <c r="S363" s="9">
        <v>145697.41</v>
      </c>
      <c r="T363" s="9">
        <v>0</v>
      </c>
      <c r="U363" s="9">
        <v>192480.48</v>
      </c>
      <c r="V363" s="9"/>
      <c r="W363" s="9"/>
      <c r="X363" s="9">
        <v>0</v>
      </c>
      <c r="Y363" s="9">
        <v>0</v>
      </c>
      <c r="Z363" s="9"/>
      <c r="AA363" s="9"/>
      <c r="AB363" s="9"/>
      <c r="AC363" s="9"/>
      <c r="AD363" s="9"/>
      <c r="AE363" s="9"/>
      <c r="AF363" s="9"/>
      <c r="AG363" s="9"/>
      <c r="AH363" s="7">
        <v>0</v>
      </c>
      <c r="AI363" s="7">
        <v>0</v>
      </c>
    </row>
    <row r="364" spans="2:35" x14ac:dyDescent="0.3">
      <c r="B364" s="5" t="s">
        <v>3061</v>
      </c>
      <c r="C364" s="5" t="s">
        <v>13</v>
      </c>
      <c r="D364" s="12" t="s">
        <v>686</v>
      </c>
      <c r="E364" s="6" t="s">
        <v>984</v>
      </c>
      <c r="F364" s="13" t="s">
        <v>984</v>
      </c>
      <c r="G364" s="6" t="s">
        <v>688</v>
      </c>
      <c r="H364" s="7" t="str">
        <f t="shared" si="5"/>
        <v>MATERNITA'- No Activity Code -</v>
      </c>
      <c r="I364" s="8" t="s">
        <v>689</v>
      </c>
      <c r="J364" s="8" t="s">
        <v>690</v>
      </c>
      <c r="K364" s="8" t="s">
        <v>690</v>
      </c>
      <c r="L364" s="9"/>
      <c r="M364" s="9"/>
      <c r="N364" s="9">
        <v>0</v>
      </c>
      <c r="O364" s="9">
        <v>3762</v>
      </c>
      <c r="P364" s="9">
        <v>0</v>
      </c>
      <c r="Q364" s="9">
        <v>3762</v>
      </c>
      <c r="R364" s="9">
        <v>0</v>
      </c>
      <c r="S364" s="9">
        <v>3762</v>
      </c>
      <c r="T364" s="9">
        <v>0</v>
      </c>
      <c r="U364" s="9">
        <v>5255.2</v>
      </c>
      <c r="V364" s="9"/>
      <c r="W364" s="9"/>
      <c r="X364" s="9">
        <v>0</v>
      </c>
      <c r="Y364" s="9">
        <v>0</v>
      </c>
      <c r="Z364" s="9"/>
      <c r="AA364" s="9"/>
      <c r="AB364" s="9"/>
      <c r="AC364" s="9"/>
      <c r="AD364" s="9"/>
      <c r="AE364" s="9"/>
      <c r="AF364" s="9"/>
      <c r="AG364" s="9"/>
      <c r="AH364" s="7">
        <v>0</v>
      </c>
      <c r="AI364" s="7">
        <v>0</v>
      </c>
    </row>
    <row r="365" spans="2:35" x14ac:dyDescent="0.3">
      <c r="B365" s="5" t="s">
        <v>3061</v>
      </c>
      <c r="C365" s="5" t="s">
        <v>13</v>
      </c>
      <c r="D365" s="12" t="s">
        <v>686</v>
      </c>
      <c r="E365" s="6" t="s">
        <v>723</v>
      </c>
      <c r="F365" s="13" t="s">
        <v>724</v>
      </c>
      <c r="G365" s="6" t="s">
        <v>386</v>
      </c>
      <c r="H365" s="7" t="str">
        <f t="shared" si="5"/>
        <v>PPP-EEE-C638-02- No Activity Code -</v>
      </c>
      <c r="I365" s="8" t="s">
        <v>56</v>
      </c>
      <c r="J365" s="8" t="s">
        <v>202</v>
      </c>
      <c r="K365" s="8" t="s">
        <v>202</v>
      </c>
      <c r="L365" s="9"/>
      <c r="M365" s="9"/>
      <c r="N365" s="9">
        <v>0</v>
      </c>
      <c r="O365" s="9">
        <v>127.84</v>
      </c>
      <c r="P365" s="9">
        <v>0</v>
      </c>
      <c r="Q365" s="9">
        <v>0</v>
      </c>
      <c r="R365" s="9">
        <v>0</v>
      </c>
      <c r="S365" s="9">
        <v>0</v>
      </c>
      <c r="T365" s="9">
        <v>0</v>
      </c>
      <c r="U365" s="9">
        <v>0</v>
      </c>
      <c r="V365" s="9"/>
      <c r="W365" s="9"/>
      <c r="X365" s="9">
        <v>0</v>
      </c>
      <c r="Y365" s="9">
        <v>0</v>
      </c>
      <c r="Z365" s="9"/>
      <c r="AA365" s="9"/>
      <c r="AB365" s="9"/>
      <c r="AC365" s="9"/>
      <c r="AD365" s="9"/>
      <c r="AE365" s="9"/>
      <c r="AF365" s="9"/>
      <c r="AG365" s="9"/>
      <c r="AH365" s="7">
        <v>0</v>
      </c>
      <c r="AI365" s="7">
        <v>0</v>
      </c>
    </row>
    <row r="366" spans="2:35" x14ac:dyDescent="0.3">
      <c r="B366" s="5" t="s">
        <v>3061</v>
      </c>
      <c r="C366" s="5" t="s">
        <v>13</v>
      </c>
      <c r="D366" s="12" t="s">
        <v>686</v>
      </c>
      <c r="E366" s="6" t="s">
        <v>985</v>
      </c>
      <c r="F366" s="13" t="s">
        <v>986</v>
      </c>
      <c r="G366" s="6" t="s">
        <v>694</v>
      </c>
      <c r="H366" s="7" t="str">
        <f t="shared" si="5"/>
        <v>SEC-PHV-D593-04- No Activity Code -</v>
      </c>
      <c r="I366" s="8" t="s">
        <v>18</v>
      </c>
      <c r="J366" s="8" t="s">
        <v>454</v>
      </c>
      <c r="K366" s="8" t="s">
        <v>454</v>
      </c>
      <c r="L366" s="9"/>
      <c r="M366" s="9"/>
      <c r="N366" s="9">
        <v>0</v>
      </c>
      <c r="O366" s="9">
        <v>177.15</v>
      </c>
      <c r="P366" s="9">
        <v>0</v>
      </c>
      <c r="Q366" s="9">
        <v>177.15</v>
      </c>
      <c r="R366" s="9">
        <v>0</v>
      </c>
      <c r="S366" s="9">
        <v>177.15</v>
      </c>
      <c r="T366" s="9">
        <v>32.82</v>
      </c>
      <c r="U366" s="9">
        <v>60.16</v>
      </c>
      <c r="V366" s="9"/>
      <c r="W366" s="9"/>
      <c r="X366" s="9">
        <v>0</v>
      </c>
      <c r="Y366" s="9">
        <v>0</v>
      </c>
      <c r="Z366" s="9"/>
      <c r="AA366" s="9"/>
      <c r="AB366" s="9"/>
      <c r="AC366" s="9"/>
      <c r="AD366" s="9"/>
      <c r="AE366" s="9"/>
      <c r="AF366" s="9"/>
      <c r="AG366" s="9"/>
      <c r="AH366" s="7">
        <v>0</v>
      </c>
      <c r="AI366" s="7">
        <v>0</v>
      </c>
    </row>
    <row r="367" spans="2:35" x14ac:dyDescent="0.3">
      <c r="B367" s="5" t="s">
        <v>3061</v>
      </c>
      <c r="C367" s="5" t="s">
        <v>13</v>
      </c>
      <c r="D367" s="12" t="s">
        <v>619</v>
      </c>
      <c r="E367" s="6" t="s">
        <v>987</v>
      </c>
      <c r="F367" s="13" t="s">
        <v>988</v>
      </c>
      <c r="G367" s="6" t="s">
        <v>566</v>
      </c>
      <c r="H367" s="7" t="str">
        <f t="shared" si="5"/>
        <v>EPC-IPU-L191-07EXTRA LAVORI : Spot</v>
      </c>
      <c r="I367" s="8" t="s">
        <v>24</v>
      </c>
      <c r="J367" s="8" t="s">
        <v>76</v>
      </c>
      <c r="K367" s="8" t="s">
        <v>76</v>
      </c>
      <c r="L367" s="9"/>
      <c r="M367" s="9"/>
      <c r="N367" s="9">
        <v>2785</v>
      </c>
      <c r="O367" s="9">
        <v>0</v>
      </c>
      <c r="P367" s="9">
        <v>0</v>
      </c>
      <c r="Q367" s="9">
        <v>0</v>
      </c>
      <c r="R367" s="9">
        <v>2785</v>
      </c>
      <c r="S367" s="9">
        <v>0</v>
      </c>
      <c r="T367" s="9">
        <v>2785</v>
      </c>
      <c r="U367" s="9">
        <v>0</v>
      </c>
      <c r="V367" s="9"/>
      <c r="W367" s="9"/>
      <c r="X367" s="9">
        <v>0</v>
      </c>
      <c r="Y367" s="9">
        <v>0</v>
      </c>
      <c r="Z367" s="9"/>
      <c r="AA367" s="9"/>
      <c r="AB367" s="9"/>
      <c r="AC367" s="9"/>
      <c r="AD367" s="9"/>
      <c r="AE367" s="9"/>
      <c r="AF367" s="9"/>
      <c r="AG367" s="9"/>
      <c r="AH367" s="7">
        <v>0</v>
      </c>
      <c r="AI367" s="7">
        <v>0</v>
      </c>
    </row>
    <row r="368" spans="2:35" x14ac:dyDescent="0.3">
      <c r="B368" s="5" t="s">
        <v>3061</v>
      </c>
      <c r="C368" s="5" t="s">
        <v>13</v>
      </c>
      <c r="D368" s="12" t="s">
        <v>686</v>
      </c>
      <c r="E368" s="6" t="s">
        <v>731</v>
      </c>
      <c r="F368" s="13" t="s">
        <v>732</v>
      </c>
      <c r="G368" s="6" t="s">
        <v>733</v>
      </c>
      <c r="H368" s="7" t="str">
        <f t="shared" si="5"/>
        <v>PPP-IPU-C485-01- No Activity Code -</v>
      </c>
      <c r="I368" s="8" t="s">
        <v>18</v>
      </c>
      <c r="J368" s="8" t="s">
        <v>19</v>
      </c>
      <c r="K368" s="8" t="s">
        <v>20</v>
      </c>
      <c r="L368" s="9"/>
      <c r="M368" s="9"/>
      <c r="N368" s="9">
        <v>0</v>
      </c>
      <c r="O368" s="9">
        <v>13.42</v>
      </c>
      <c r="P368" s="9">
        <v>0</v>
      </c>
      <c r="Q368" s="9">
        <v>0</v>
      </c>
      <c r="R368" s="9">
        <v>0</v>
      </c>
      <c r="S368" s="9">
        <v>13.42</v>
      </c>
      <c r="T368" s="9">
        <v>0</v>
      </c>
      <c r="U368" s="9">
        <v>0</v>
      </c>
      <c r="V368" s="9"/>
      <c r="W368" s="9"/>
      <c r="X368" s="9">
        <v>0</v>
      </c>
      <c r="Y368" s="9">
        <v>0</v>
      </c>
      <c r="Z368" s="9"/>
      <c r="AA368" s="9"/>
      <c r="AB368" s="9"/>
      <c r="AC368" s="9"/>
      <c r="AD368" s="9"/>
      <c r="AE368" s="9"/>
      <c r="AF368" s="9"/>
      <c r="AG368" s="9"/>
      <c r="AH368" s="7">
        <v>0</v>
      </c>
      <c r="AI368" s="7">
        <v>0</v>
      </c>
    </row>
    <row r="369" spans="2:35" x14ac:dyDescent="0.3">
      <c r="B369" s="5" t="s">
        <v>3061</v>
      </c>
      <c r="C369" s="5" t="s">
        <v>13</v>
      </c>
      <c r="D369" s="12" t="s">
        <v>686</v>
      </c>
      <c r="E369" s="6" t="s">
        <v>989</v>
      </c>
      <c r="F369" s="13" t="s">
        <v>990</v>
      </c>
      <c r="G369" s="6" t="s">
        <v>694</v>
      </c>
      <c r="H369" s="7" t="str">
        <f t="shared" si="5"/>
        <v>SEC-PHV-D593-05- No Activity Code -</v>
      </c>
      <c r="I369" s="8" t="s">
        <v>18</v>
      </c>
      <c r="J369" s="8" t="s">
        <v>454</v>
      </c>
      <c r="K369" s="8" t="s">
        <v>454</v>
      </c>
      <c r="L369" s="9"/>
      <c r="M369" s="9"/>
      <c r="N369" s="9">
        <v>0</v>
      </c>
      <c r="O369" s="9">
        <v>1008.86</v>
      </c>
      <c r="P369" s="9">
        <v>0</v>
      </c>
      <c r="Q369" s="9">
        <v>1233.22</v>
      </c>
      <c r="R369" s="9">
        <v>0</v>
      </c>
      <c r="S369" s="9">
        <v>1233.22</v>
      </c>
      <c r="T369" s="9">
        <v>244.68</v>
      </c>
      <c r="U369" s="9">
        <v>1477.64</v>
      </c>
      <c r="V369" s="9"/>
      <c r="W369" s="9"/>
      <c r="X369" s="9">
        <v>0</v>
      </c>
      <c r="Y369" s="9">
        <v>0</v>
      </c>
      <c r="Z369" s="9"/>
      <c r="AA369" s="9"/>
      <c r="AB369" s="9"/>
      <c r="AC369" s="9"/>
      <c r="AD369" s="9"/>
      <c r="AE369" s="9"/>
      <c r="AF369" s="9"/>
      <c r="AG369" s="9"/>
      <c r="AH369" s="7">
        <v>0</v>
      </c>
      <c r="AI369" s="7">
        <v>0</v>
      </c>
    </row>
    <row r="370" spans="2:35" x14ac:dyDescent="0.3">
      <c r="B370" s="5" t="s">
        <v>3061</v>
      </c>
      <c r="C370" s="5" t="s">
        <v>13</v>
      </c>
      <c r="D370" s="12" t="s">
        <v>686</v>
      </c>
      <c r="E370" s="6" t="s">
        <v>485</v>
      </c>
      <c r="F370" s="13" t="s">
        <v>486</v>
      </c>
      <c r="G370" s="6" t="s">
        <v>487</v>
      </c>
      <c r="H370" s="7" t="str">
        <f t="shared" si="5"/>
        <v>PPP-IPU-C334-01- No Activity Code -</v>
      </c>
      <c r="I370" s="8" t="s">
        <v>18</v>
      </c>
      <c r="J370" s="8" t="s">
        <v>19</v>
      </c>
      <c r="K370" s="8" t="s">
        <v>20</v>
      </c>
      <c r="L370" s="9"/>
      <c r="M370" s="9"/>
      <c r="N370" s="9">
        <v>0</v>
      </c>
      <c r="O370" s="9">
        <v>1056.01</v>
      </c>
      <c r="P370" s="9">
        <v>0</v>
      </c>
      <c r="Q370" s="9">
        <v>0</v>
      </c>
      <c r="R370" s="9">
        <v>0</v>
      </c>
      <c r="S370" s="9">
        <v>1056.01</v>
      </c>
      <c r="T370" s="9">
        <v>0</v>
      </c>
      <c r="U370" s="9">
        <v>0</v>
      </c>
      <c r="V370" s="9"/>
      <c r="W370" s="9"/>
      <c r="X370" s="9">
        <v>0</v>
      </c>
      <c r="Y370" s="9">
        <v>0</v>
      </c>
      <c r="Z370" s="9"/>
      <c r="AA370" s="9"/>
      <c r="AB370" s="9"/>
      <c r="AC370" s="9"/>
      <c r="AD370" s="9"/>
      <c r="AE370" s="9"/>
      <c r="AF370" s="9"/>
      <c r="AG370" s="9"/>
      <c r="AH370" s="7">
        <v>0</v>
      </c>
      <c r="AI370" s="7">
        <v>0</v>
      </c>
    </row>
    <row r="371" spans="2:35" x14ac:dyDescent="0.3">
      <c r="B371" s="5" t="s">
        <v>3061</v>
      </c>
      <c r="C371" s="5" t="s">
        <v>13</v>
      </c>
      <c r="D371" s="12" t="s">
        <v>686</v>
      </c>
      <c r="E371" s="6" t="s">
        <v>728</v>
      </c>
      <c r="F371" s="13" t="s">
        <v>729</v>
      </c>
      <c r="G371" s="6" t="s">
        <v>730</v>
      </c>
      <c r="H371" s="7" t="str">
        <f t="shared" si="5"/>
        <v>PPP-IPU-H834-01- No Activity Code -</v>
      </c>
      <c r="I371" s="8" t="s">
        <v>18</v>
      </c>
      <c r="J371" s="8" t="s">
        <v>19</v>
      </c>
      <c r="K371" s="8" t="s">
        <v>20</v>
      </c>
      <c r="L371" s="9"/>
      <c r="M371" s="9"/>
      <c r="N371" s="9">
        <v>0</v>
      </c>
      <c r="O371" s="9">
        <v>231</v>
      </c>
      <c r="P371" s="9">
        <v>0</v>
      </c>
      <c r="Q371" s="9">
        <v>0</v>
      </c>
      <c r="R371" s="9">
        <v>0</v>
      </c>
      <c r="S371" s="9">
        <v>0</v>
      </c>
      <c r="T371" s="9">
        <v>0</v>
      </c>
      <c r="U371" s="9">
        <v>0</v>
      </c>
      <c r="V371" s="9"/>
      <c r="W371" s="9"/>
      <c r="X371" s="9">
        <v>0</v>
      </c>
      <c r="Y371" s="9">
        <v>0</v>
      </c>
      <c r="Z371" s="9"/>
      <c r="AA371" s="9"/>
      <c r="AB371" s="9"/>
      <c r="AC371" s="9"/>
      <c r="AD371" s="9"/>
      <c r="AE371" s="9"/>
      <c r="AF371" s="9"/>
      <c r="AG371" s="9"/>
      <c r="AH371" s="7">
        <v>0</v>
      </c>
      <c r="AI371" s="7">
        <v>0</v>
      </c>
    </row>
    <row r="372" spans="2:35" x14ac:dyDescent="0.3">
      <c r="B372" s="5" t="s">
        <v>3061</v>
      </c>
      <c r="C372" s="5" t="s">
        <v>13</v>
      </c>
      <c r="D372" s="12" t="s">
        <v>686</v>
      </c>
      <c r="E372" s="6" t="s">
        <v>991</v>
      </c>
      <c r="F372" s="13" t="s">
        <v>992</v>
      </c>
      <c r="G372" s="6" t="s">
        <v>702</v>
      </c>
      <c r="H372" s="7" t="str">
        <f t="shared" si="5"/>
        <v>SEC-PHV-A519-07- No Activity Code -</v>
      </c>
      <c r="I372" s="8" t="s">
        <v>18</v>
      </c>
      <c r="J372" s="8" t="s">
        <v>454</v>
      </c>
      <c r="K372" s="8" t="s">
        <v>454</v>
      </c>
      <c r="L372" s="9"/>
      <c r="M372" s="9"/>
      <c r="N372" s="9">
        <v>0</v>
      </c>
      <c r="O372" s="9">
        <v>100</v>
      </c>
      <c r="P372" s="9">
        <v>0</v>
      </c>
      <c r="Q372" s="9">
        <v>100</v>
      </c>
      <c r="R372" s="9">
        <v>0</v>
      </c>
      <c r="S372" s="9">
        <v>100</v>
      </c>
      <c r="T372" s="9">
        <v>0</v>
      </c>
      <c r="U372" s="9">
        <v>100</v>
      </c>
      <c r="V372" s="9"/>
      <c r="W372" s="9"/>
      <c r="X372" s="9">
        <v>0</v>
      </c>
      <c r="Y372" s="9">
        <v>0</v>
      </c>
      <c r="Z372" s="9"/>
      <c r="AA372" s="9"/>
      <c r="AB372" s="9"/>
      <c r="AC372" s="9"/>
      <c r="AD372" s="9"/>
      <c r="AE372" s="9"/>
      <c r="AF372" s="9"/>
      <c r="AG372" s="9"/>
      <c r="AH372" s="7">
        <v>0</v>
      </c>
      <c r="AI372" s="7">
        <v>0</v>
      </c>
    </row>
    <row r="373" spans="2:35" x14ac:dyDescent="0.3">
      <c r="B373" s="5" t="s">
        <v>3061</v>
      </c>
      <c r="C373" s="5" t="s">
        <v>13</v>
      </c>
      <c r="D373" s="12" t="s">
        <v>686</v>
      </c>
      <c r="E373" s="6" t="s">
        <v>993</v>
      </c>
      <c r="F373" s="13" t="s">
        <v>994</v>
      </c>
      <c r="G373" s="6" t="s">
        <v>702</v>
      </c>
      <c r="H373" s="7" t="str">
        <f t="shared" si="5"/>
        <v>SEC-PHV-A519-08- No Activity Code -</v>
      </c>
      <c r="I373" s="8" t="s">
        <v>18</v>
      </c>
      <c r="J373" s="8" t="s">
        <v>454</v>
      </c>
      <c r="K373" s="8" t="s">
        <v>454</v>
      </c>
      <c r="L373" s="9"/>
      <c r="M373" s="9"/>
      <c r="N373" s="9">
        <v>0</v>
      </c>
      <c r="O373" s="9">
        <v>100</v>
      </c>
      <c r="P373" s="9">
        <v>0</v>
      </c>
      <c r="Q373" s="9">
        <v>100</v>
      </c>
      <c r="R373" s="9">
        <v>0</v>
      </c>
      <c r="S373" s="9">
        <v>100</v>
      </c>
      <c r="T373" s="9">
        <v>0</v>
      </c>
      <c r="U373" s="9">
        <v>100</v>
      </c>
      <c r="V373" s="9"/>
      <c r="W373" s="9"/>
      <c r="X373" s="9">
        <v>0</v>
      </c>
      <c r="Y373" s="9">
        <v>0</v>
      </c>
      <c r="Z373" s="9"/>
      <c r="AA373" s="9"/>
      <c r="AB373" s="9"/>
      <c r="AC373" s="9"/>
      <c r="AD373" s="9"/>
      <c r="AE373" s="9"/>
      <c r="AF373" s="9"/>
      <c r="AG373" s="9"/>
      <c r="AH373" s="7">
        <v>0</v>
      </c>
      <c r="AI373" s="7">
        <v>0</v>
      </c>
    </row>
    <row r="374" spans="2:35" x14ac:dyDescent="0.3">
      <c r="B374" s="5" t="s">
        <v>3061</v>
      </c>
      <c r="C374" s="5" t="s">
        <v>13</v>
      </c>
      <c r="D374" s="12" t="s">
        <v>72</v>
      </c>
      <c r="E374" s="6" t="s">
        <v>995</v>
      </c>
      <c r="F374" s="13" t="s">
        <v>996</v>
      </c>
      <c r="G374" s="6" t="s">
        <v>566</v>
      </c>
      <c r="H374" s="7" t="str">
        <f t="shared" si="5"/>
        <v>EPC-IPU-L191-06EXTRA LAVORI</v>
      </c>
      <c r="I374" s="8" t="s">
        <v>24</v>
      </c>
      <c r="J374" s="8" t="s">
        <v>76</v>
      </c>
      <c r="K374" s="8" t="s">
        <v>76</v>
      </c>
      <c r="L374" s="9"/>
      <c r="M374" s="9"/>
      <c r="N374" s="9">
        <v>1886.45</v>
      </c>
      <c r="O374" s="9">
        <v>0</v>
      </c>
      <c r="P374" s="9">
        <v>1886.45</v>
      </c>
      <c r="Q374" s="9">
        <v>0</v>
      </c>
      <c r="R374" s="9">
        <v>0</v>
      </c>
      <c r="S374" s="9">
        <v>0</v>
      </c>
      <c r="T374" s="9">
        <v>0</v>
      </c>
      <c r="U374" s="9">
        <v>0</v>
      </c>
      <c r="V374" s="9"/>
      <c r="W374" s="9"/>
      <c r="X374" s="9">
        <v>0</v>
      </c>
      <c r="Y374" s="9">
        <v>0</v>
      </c>
      <c r="Z374" s="9"/>
      <c r="AA374" s="9"/>
      <c r="AB374" s="9"/>
      <c r="AC374" s="9"/>
      <c r="AD374" s="9"/>
      <c r="AE374" s="9"/>
      <c r="AF374" s="9"/>
      <c r="AG374" s="9"/>
      <c r="AH374" s="7">
        <v>0</v>
      </c>
      <c r="AI374" s="7">
        <v>0</v>
      </c>
    </row>
    <row r="375" spans="2:35" x14ac:dyDescent="0.3">
      <c r="B375" s="5" t="s">
        <v>3061</v>
      </c>
      <c r="C375" s="5" t="s">
        <v>13</v>
      </c>
      <c r="D375" s="12" t="s">
        <v>14</v>
      </c>
      <c r="E375" s="6" t="s">
        <v>997</v>
      </c>
      <c r="F375" s="13" t="s">
        <v>998</v>
      </c>
      <c r="G375" s="6" t="s">
        <v>462</v>
      </c>
      <c r="H375" s="7" t="str">
        <f t="shared" si="5"/>
        <v>EPC-VS-C638-01OPERATIONAL</v>
      </c>
      <c r="I375" s="8" t="s">
        <v>56</v>
      </c>
      <c r="J375" s="8" t="s">
        <v>76</v>
      </c>
      <c r="K375" s="8" t="s">
        <v>76</v>
      </c>
      <c r="L375" s="9"/>
      <c r="M375" s="9"/>
      <c r="N375" s="9"/>
      <c r="O375" s="9"/>
      <c r="P375" s="9">
        <v>0</v>
      </c>
      <c r="Q375" s="9">
        <v>1229.52</v>
      </c>
      <c r="R375" s="9">
        <v>0</v>
      </c>
      <c r="S375" s="9">
        <v>1229.52</v>
      </c>
      <c r="T375" s="9">
        <v>0</v>
      </c>
      <c r="U375" s="9">
        <v>0</v>
      </c>
      <c r="V375" s="9"/>
      <c r="W375" s="9"/>
      <c r="X375" s="9">
        <v>0</v>
      </c>
      <c r="Y375" s="9">
        <v>1229.52</v>
      </c>
      <c r="Z375" s="9"/>
      <c r="AA375" s="9"/>
      <c r="AB375" s="9"/>
      <c r="AC375" s="9"/>
      <c r="AD375" s="9"/>
      <c r="AE375" s="9"/>
      <c r="AF375" s="9"/>
      <c r="AG375" s="9"/>
      <c r="AH375" s="7">
        <v>0</v>
      </c>
      <c r="AI375" s="7">
        <v>1229.52</v>
      </c>
    </row>
    <row r="376" spans="2:35" x14ac:dyDescent="0.3">
      <c r="B376" s="5" t="s">
        <v>3061</v>
      </c>
      <c r="C376" s="5" t="s">
        <v>13</v>
      </c>
      <c r="D376" s="12" t="s">
        <v>14</v>
      </c>
      <c r="E376" s="6" t="s">
        <v>999</v>
      </c>
      <c r="F376" s="13" t="s">
        <v>1000</v>
      </c>
      <c r="G376" s="6" t="s">
        <v>39</v>
      </c>
      <c r="H376" s="7" t="str">
        <f t="shared" si="5"/>
        <v>PPP-EEE-B506-01OPERATIONAL</v>
      </c>
      <c r="I376" s="8" t="s">
        <v>18</v>
      </c>
      <c r="J376" s="8" t="s">
        <v>202</v>
      </c>
      <c r="K376" s="8" t="s">
        <v>202</v>
      </c>
      <c r="L376" s="9"/>
      <c r="M376" s="9"/>
      <c r="N376" s="9"/>
      <c r="O376" s="9"/>
      <c r="P376" s="9">
        <v>0</v>
      </c>
      <c r="Q376" s="9">
        <v>1602.42</v>
      </c>
      <c r="R376" s="9">
        <v>0</v>
      </c>
      <c r="S376" s="9">
        <v>1602.42</v>
      </c>
      <c r="T376" s="9">
        <v>0</v>
      </c>
      <c r="U376" s="9">
        <v>1602.42</v>
      </c>
      <c r="V376" s="9"/>
      <c r="W376" s="9"/>
      <c r="X376" s="9">
        <v>0</v>
      </c>
      <c r="Y376" s="9">
        <v>1602.42</v>
      </c>
      <c r="Z376" s="9"/>
      <c r="AA376" s="9"/>
      <c r="AB376" s="9"/>
      <c r="AC376" s="9"/>
      <c r="AD376" s="9"/>
      <c r="AE376" s="9"/>
      <c r="AF376" s="9"/>
      <c r="AG376" s="9"/>
      <c r="AH376" s="7">
        <v>0</v>
      </c>
      <c r="AI376" s="7">
        <v>1602.42</v>
      </c>
    </row>
    <row r="377" spans="2:35" x14ac:dyDescent="0.3">
      <c r="B377" s="5" t="s">
        <v>3061</v>
      </c>
      <c r="C377" s="5" t="s">
        <v>13</v>
      </c>
      <c r="D377" s="12" t="s">
        <v>14</v>
      </c>
      <c r="E377" s="6" t="s">
        <v>1001</v>
      </c>
      <c r="F377" s="13" t="s">
        <v>1002</v>
      </c>
      <c r="G377" s="6" t="s">
        <v>579</v>
      </c>
      <c r="H377" s="7" t="str">
        <f t="shared" si="5"/>
        <v>PPP-EEE-L736-02OPERATIONAL</v>
      </c>
      <c r="I377" s="8" t="s">
        <v>56</v>
      </c>
      <c r="J377" s="8" t="s">
        <v>202</v>
      </c>
      <c r="K377" s="8" t="s">
        <v>202</v>
      </c>
      <c r="L377" s="9"/>
      <c r="M377" s="9"/>
      <c r="N377" s="9"/>
      <c r="O377" s="9"/>
      <c r="P377" s="9">
        <v>114158.68</v>
      </c>
      <c r="Q377" s="9">
        <v>100000</v>
      </c>
      <c r="R377" s="9">
        <v>114158.68</v>
      </c>
      <c r="S377" s="9">
        <v>115.1</v>
      </c>
      <c r="T377" s="9">
        <v>114158.68</v>
      </c>
      <c r="U377" s="9">
        <v>553.15</v>
      </c>
      <c r="V377" s="9"/>
      <c r="W377" s="9"/>
      <c r="X377" s="9">
        <v>225068.87</v>
      </c>
      <c r="Y377" s="9">
        <v>1900.71</v>
      </c>
      <c r="Z377" s="9"/>
      <c r="AA377" s="9"/>
      <c r="AB377" s="9"/>
      <c r="AC377" s="9"/>
      <c r="AD377" s="9"/>
      <c r="AE377" s="9"/>
      <c r="AF377" s="9"/>
      <c r="AG377" s="9"/>
      <c r="AH377" s="7">
        <v>225068.87</v>
      </c>
      <c r="AI377" s="7">
        <v>1900.71</v>
      </c>
    </row>
    <row r="378" spans="2:35" x14ac:dyDescent="0.3">
      <c r="B378" s="5" t="s">
        <v>3061</v>
      </c>
      <c r="C378" s="5" t="s">
        <v>13</v>
      </c>
      <c r="D378" s="12" t="s">
        <v>619</v>
      </c>
      <c r="E378" s="6" t="s">
        <v>896</v>
      </c>
      <c r="F378" s="13" t="s">
        <v>1003</v>
      </c>
      <c r="G378" s="6" t="s">
        <v>137</v>
      </c>
      <c r="H378" s="7" t="str">
        <f t="shared" si="5"/>
        <v>EPC-IPU-M428-01EXTRA LAVORI : Spot</v>
      </c>
      <c r="I378" s="8" t="s">
        <v>18</v>
      </c>
      <c r="J378" s="8" t="s">
        <v>76</v>
      </c>
      <c r="K378" s="8" t="s">
        <v>76</v>
      </c>
      <c r="L378" s="9"/>
      <c r="M378" s="9"/>
      <c r="N378" s="9"/>
      <c r="O378" s="9"/>
      <c r="P378" s="9">
        <v>0</v>
      </c>
      <c r="Q378" s="9">
        <v>33142.035000000003</v>
      </c>
      <c r="R378" s="9">
        <v>0</v>
      </c>
      <c r="S378" s="9">
        <v>32966.449999999997</v>
      </c>
      <c r="T378" s="9">
        <v>0</v>
      </c>
      <c r="U378" s="9">
        <v>38277.549999999996</v>
      </c>
      <c r="V378" s="9"/>
      <c r="W378" s="9"/>
      <c r="X378" s="9">
        <v>0</v>
      </c>
      <c r="Y378" s="9">
        <v>0</v>
      </c>
      <c r="Z378" s="9"/>
      <c r="AA378" s="9"/>
      <c r="AB378" s="9"/>
      <c r="AC378" s="9"/>
      <c r="AD378" s="9"/>
      <c r="AE378" s="9"/>
      <c r="AF378" s="9"/>
      <c r="AG378" s="9"/>
      <c r="AH378" s="7">
        <v>0</v>
      </c>
      <c r="AI378" s="7">
        <v>0</v>
      </c>
    </row>
    <row r="379" spans="2:35" x14ac:dyDescent="0.3">
      <c r="B379" s="5" t="s">
        <v>3061</v>
      </c>
      <c r="C379" s="5" t="s">
        <v>13</v>
      </c>
      <c r="D379" s="12" t="s">
        <v>14</v>
      </c>
      <c r="E379" s="6" t="s">
        <v>1004</v>
      </c>
      <c r="F379" s="13" t="s">
        <v>1005</v>
      </c>
      <c r="G379" s="6" t="s">
        <v>386</v>
      </c>
      <c r="H379" s="7" t="str">
        <f t="shared" si="5"/>
        <v>PPP-IPU-C638-02OPERATIONAL</v>
      </c>
      <c r="I379" s="8" t="s">
        <v>56</v>
      </c>
      <c r="J379" s="8" t="s">
        <v>19</v>
      </c>
      <c r="K379" s="8" t="s">
        <v>20</v>
      </c>
      <c r="L379" s="9"/>
      <c r="M379" s="9"/>
      <c r="N379" s="9"/>
      <c r="O379" s="9"/>
      <c r="P379" s="9">
        <v>67500</v>
      </c>
      <c r="Q379" s="9">
        <v>60.08</v>
      </c>
      <c r="R379" s="9">
        <v>135000</v>
      </c>
      <c r="S379" s="9">
        <v>60.08</v>
      </c>
      <c r="T379" s="9">
        <v>202500</v>
      </c>
      <c r="U379" s="9">
        <v>60.08</v>
      </c>
      <c r="V379" s="9"/>
      <c r="W379" s="9"/>
      <c r="X379" s="9">
        <v>135000</v>
      </c>
      <c r="Y379" s="9">
        <v>60.08</v>
      </c>
      <c r="Z379" s="9"/>
      <c r="AA379" s="9"/>
      <c r="AB379" s="9"/>
      <c r="AC379" s="9"/>
      <c r="AD379" s="9"/>
      <c r="AE379" s="9"/>
      <c r="AF379" s="9"/>
      <c r="AG379" s="9"/>
      <c r="AH379" s="7">
        <v>135000</v>
      </c>
      <c r="AI379" s="7">
        <v>60.08</v>
      </c>
    </row>
    <row r="380" spans="2:35" x14ac:dyDescent="0.3">
      <c r="B380" s="5" t="s">
        <v>3061</v>
      </c>
      <c r="C380" s="5" t="s">
        <v>13</v>
      </c>
      <c r="D380" s="12" t="s">
        <v>14</v>
      </c>
      <c r="E380" s="6" t="s">
        <v>1006</v>
      </c>
      <c r="F380" s="13" t="s">
        <v>1007</v>
      </c>
      <c r="G380" s="6" t="s">
        <v>336</v>
      </c>
      <c r="H380" s="7" t="str">
        <f t="shared" si="5"/>
        <v>PPP-IPU-H147-02OPERATIONAL</v>
      </c>
      <c r="I380" s="8" t="s">
        <v>18</v>
      </c>
      <c r="J380" s="8" t="s">
        <v>19</v>
      </c>
      <c r="K380" s="8" t="s">
        <v>20</v>
      </c>
      <c r="L380" s="9"/>
      <c r="M380" s="9"/>
      <c r="N380" s="9"/>
      <c r="O380" s="9"/>
      <c r="P380" s="9">
        <v>0</v>
      </c>
      <c r="Q380" s="9">
        <v>-0.28000000000000003</v>
      </c>
      <c r="R380" s="9">
        <v>0</v>
      </c>
      <c r="S380" s="9">
        <v>-0.28000000000000003</v>
      </c>
      <c r="T380" s="9">
        <v>0</v>
      </c>
      <c r="U380" s="9">
        <v>-0.28000000000000003</v>
      </c>
      <c r="V380" s="9"/>
      <c r="W380" s="9"/>
      <c r="X380" s="9">
        <v>0</v>
      </c>
      <c r="Y380" s="9">
        <v>-0.28000000000000003</v>
      </c>
      <c r="Z380" s="9"/>
      <c r="AA380" s="9"/>
      <c r="AB380" s="9"/>
      <c r="AC380" s="9"/>
      <c r="AD380" s="9"/>
      <c r="AE380" s="9"/>
      <c r="AF380" s="9"/>
      <c r="AG380" s="9"/>
      <c r="AH380" s="7">
        <v>0</v>
      </c>
      <c r="AI380" s="7">
        <v>-0.28000000000000003</v>
      </c>
    </row>
    <row r="381" spans="2:35" x14ac:dyDescent="0.3">
      <c r="B381" s="5" t="s">
        <v>3061</v>
      </c>
      <c r="C381" s="5" t="s">
        <v>13</v>
      </c>
      <c r="D381" s="12" t="s">
        <v>14</v>
      </c>
      <c r="E381" s="6" t="s">
        <v>691</v>
      </c>
      <c r="F381" s="13" t="s">
        <v>691</v>
      </c>
      <c r="G381" s="6" t="s">
        <v>688</v>
      </c>
      <c r="H381" s="7" t="str">
        <f t="shared" si="5"/>
        <v>STRUTTURA BU NORDOPERATIONAL</v>
      </c>
      <c r="I381" s="8" t="s">
        <v>689</v>
      </c>
      <c r="J381" s="8" t="s">
        <v>690</v>
      </c>
      <c r="K381" s="8" t="s">
        <v>690</v>
      </c>
      <c r="L381" s="9"/>
      <c r="M381" s="9"/>
      <c r="N381" s="9"/>
      <c r="O381" s="9"/>
      <c r="P381" s="9">
        <v>0</v>
      </c>
      <c r="Q381" s="9">
        <v>1499.66</v>
      </c>
      <c r="R381" s="9">
        <v>0</v>
      </c>
      <c r="S381" s="9">
        <v>1499.66</v>
      </c>
      <c r="T381" s="9">
        <v>0</v>
      </c>
      <c r="U381" s="9">
        <v>1499.66</v>
      </c>
      <c r="V381" s="9"/>
      <c r="W381" s="9"/>
      <c r="X381" s="9">
        <v>0</v>
      </c>
      <c r="Y381" s="9">
        <v>1499.66</v>
      </c>
      <c r="Z381" s="9"/>
      <c r="AA381" s="9"/>
      <c r="AB381" s="9"/>
      <c r="AC381" s="9"/>
      <c r="AD381" s="9"/>
      <c r="AE381" s="9"/>
      <c r="AF381" s="9"/>
      <c r="AG381" s="9"/>
      <c r="AH381" s="7">
        <v>0</v>
      </c>
      <c r="AI381" s="7">
        <v>1499.66</v>
      </c>
    </row>
    <row r="382" spans="2:35" x14ac:dyDescent="0.3">
      <c r="B382" s="5" t="s">
        <v>3061</v>
      </c>
      <c r="C382" s="5" t="s">
        <v>13</v>
      </c>
      <c r="D382" s="12" t="s">
        <v>14</v>
      </c>
      <c r="E382" s="6" t="s">
        <v>1008</v>
      </c>
      <c r="F382" s="13" t="s">
        <v>1009</v>
      </c>
      <c r="G382" s="6" t="s">
        <v>1010</v>
      </c>
      <c r="H382" s="7" t="str">
        <f t="shared" si="5"/>
        <v>PPP-IPU-D764-01OPERATIONAL</v>
      </c>
      <c r="I382" s="8" t="s">
        <v>18</v>
      </c>
      <c r="J382" s="8" t="s">
        <v>19</v>
      </c>
      <c r="K382" s="8" t="s">
        <v>20</v>
      </c>
      <c r="L382" s="9"/>
      <c r="M382" s="9"/>
      <c r="N382" s="9"/>
      <c r="O382" s="9"/>
      <c r="P382" s="9">
        <v>0</v>
      </c>
      <c r="Q382" s="9">
        <v>-8.36</v>
      </c>
      <c r="R382" s="9">
        <v>0</v>
      </c>
      <c r="S382" s="9">
        <v>-27.28</v>
      </c>
      <c r="T382" s="9">
        <v>0</v>
      </c>
      <c r="U382" s="9">
        <v>-27.28</v>
      </c>
      <c r="V382" s="9"/>
      <c r="W382" s="9"/>
      <c r="X382" s="9">
        <v>0</v>
      </c>
      <c r="Y382" s="9">
        <v>-27.28</v>
      </c>
      <c r="Z382" s="9"/>
      <c r="AA382" s="9"/>
      <c r="AB382" s="9"/>
      <c r="AC382" s="9"/>
      <c r="AD382" s="9"/>
      <c r="AE382" s="9"/>
      <c r="AF382" s="9"/>
      <c r="AG382" s="9"/>
      <c r="AH382" s="7">
        <v>0</v>
      </c>
      <c r="AI382" s="7">
        <v>-27.28</v>
      </c>
    </row>
    <row r="383" spans="2:35" x14ac:dyDescent="0.3">
      <c r="B383" s="5" t="s">
        <v>3061</v>
      </c>
      <c r="C383" s="5" t="s">
        <v>13</v>
      </c>
      <c r="D383" s="12" t="s">
        <v>14</v>
      </c>
      <c r="E383" s="6" t="s">
        <v>707</v>
      </c>
      <c r="F383" s="13" t="s">
        <v>707</v>
      </c>
      <c r="G383" s="6" t="s">
        <v>688</v>
      </c>
      <c r="H383" s="7" t="str">
        <f t="shared" si="5"/>
        <v>STRUTTURA BU SUDOPERATIONAL</v>
      </c>
      <c r="I383" s="8" t="s">
        <v>689</v>
      </c>
      <c r="J383" s="8" t="s">
        <v>690</v>
      </c>
      <c r="K383" s="8" t="s">
        <v>690</v>
      </c>
      <c r="L383" s="9"/>
      <c r="M383" s="9"/>
      <c r="N383" s="9"/>
      <c r="O383" s="9"/>
      <c r="P383" s="9">
        <v>0</v>
      </c>
      <c r="Q383" s="9">
        <v>350.83</v>
      </c>
      <c r="R383" s="9">
        <v>0</v>
      </c>
      <c r="S383" s="9">
        <v>350.83</v>
      </c>
      <c r="T383" s="9">
        <v>0</v>
      </c>
      <c r="U383" s="9">
        <v>1759</v>
      </c>
      <c r="V383" s="9"/>
      <c r="W383" s="9"/>
      <c r="X383" s="9">
        <v>0</v>
      </c>
      <c r="Y383" s="9">
        <v>1759</v>
      </c>
      <c r="Z383" s="9"/>
      <c r="AA383" s="9"/>
      <c r="AB383" s="9"/>
      <c r="AC383" s="9"/>
      <c r="AD383" s="9"/>
      <c r="AE383" s="9"/>
      <c r="AF383" s="9"/>
      <c r="AG383" s="9"/>
      <c r="AH383" s="7">
        <v>0</v>
      </c>
      <c r="AI383" s="7">
        <v>1759</v>
      </c>
    </row>
    <row r="384" spans="2:35" x14ac:dyDescent="0.3">
      <c r="B384" s="5" t="s">
        <v>3061</v>
      </c>
      <c r="C384" s="5" t="s">
        <v>13</v>
      </c>
      <c r="D384" s="12" t="s">
        <v>72</v>
      </c>
      <c r="E384" s="6" t="s">
        <v>1011</v>
      </c>
      <c r="F384" s="13" t="s">
        <v>1012</v>
      </c>
      <c r="G384" s="6" t="s">
        <v>149</v>
      </c>
      <c r="H384" s="7" t="str">
        <f t="shared" si="5"/>
        <v>EPC-IPU-A743-04EXTRA LAVORI</v>
      </c>
      <c r="I384" s="8" t="s">
        <v>18</v>
      </c>
      <c r="J384" s="8" t="s">
        <v>76</v>
      </c>
      <c r="K384" s="8" t="s">
        <v>76</v>
      </c>
      <c r="L384" s="9"/>
      <c r="M384" s="9"/>
      <c r="N384" s="9"/>
      <c r="O384" s="9"/>
      <c r="P384" s="9">
        <v>0</v>
      </c>
      <c r="Q384" s="9">
        <v>0</v>
      </c>
      <c r="R384" s="9">
        <v>0</v>
      </c>
      <c r="S384" s="9">
        <v>0</v>
      </c>
      <c r="T384" s="9">
        <v>0</v>
      </c>
      <c r="U384" s="9">
        <v>0</v>
      </c>
      <c r="V384" s="9"/>
      <c r="W384" s="9"/>
      <c r="X384" s="9">
        <v>0</v>
      </c>
      <c r="Y384" s="9">
        <v>0</v>
      </c>
      <c r="Z384" s="9"/>
      <c r="AA384" s="9"/>
      <c r="AB384" s="9"/>
      <c r="AC384" s="9"/>
      <c r="AD384" s="9"/>
      <c r="AE384" s="9"/>
      <c r="AF384" s="9"/>
      <c r="AG384" s="9"/>
      <c r="AH384" s="7">
        <v>0</v>
      </c>
      <c r="AI384" s="7">
        <v>0</v>
      </c>
    </row>
    <row r="385" spans="2:35" x14ac:dyDescent="0.3">
      <c r="B385" s="5" t="s">
        <v>3061</v>
      </c>
      <c r="C385" s="5" t="s">
        <v>13</v>
      </c>
      <c r="D385" s="12" t="s">
        <v>72</v>
      </c>
      <c r="E385" s="6" t="s">
        <v>1013</v>
      </c>
      <c r="F385" s="13" t="s">
        <v>1014</v>
      </c>
      <c r="G385" s="6" t="s">
        <v>584</v>
      </c>
      <c r="H385" s="7" t="str">
        <f t="shared" si="5"/>
        <v>EPC-IPU-L424-01EXTRA LAVORI</v>
      </c>
      <c r="I385" s="8" t="s">
        <v>56</v>
      </c>
      <c r="J385" s="8" t="s">
        <v>76</v>
      </c>
      <c r="K385" s="8" t="s">
        <v>76</v>
      </c>
      <c r="L385" s="9"/>
      <c r="M385" s="9"/>
      <c r="N385" s="9"/>
      <c r="O385" s="9"/>
      <c r="P385" s="9">
        <v>41666.68</v>
      </c>
      <c r="Q385" s="9">
        <v>0</v>
      </c>
      <c r="R385" s="9">
        <v>52083.35</v>
      </c>
      <c r="S385" s="9">
        <v>0</v>
      </c>
      <c r="T385" s="9">
        <v>62500.02</v>
      </c>
      <c r="U385" s="9">
        <v>0</v>
      </c>
      <c r="V385" s="9"/>
      <c r="W385" s="9"/>
      <c r="X385" s="9">
        <v>83333.36</v>
      </c>
      <c r="Y385" s="9">
        <v>0</v>
      </c>
      <c r="Z385" s="9"/>
      <c r="AA385" s="9"/>
      <c r="AB385" s="9"/>
      <c r="AC385" s="9"/>
      <c r="AD385" s="9"/>
      <c r="AE385" s="9"/>
      <c r="AF385" s="9"/>
      <c r="AG385" s="9"/>
      <c r="AH385" s="7">
        <v>83333.36</v>
      </c>
      <c r="AI385" s="7">
        <v>0</v>
      </c>
    </row>
    <row r="386" spans="2:35" x14ac:dyDescent="0.3">
      <c r="B386" s="5" t="s">
        <v>3061</v>
      </c>
      <c r="C386" s="5" t="s">
        <v>13</v>
      </c>
      <c r="D386" s="12" t="s">
        <v>72</v>
      </c>
      <c r="E386" s="6" t="s">
        <v>1015</v>
      </c>
      <c r="F386" s="13" t="s">
        <v>1016</v>
      </c>
      <c r="G386" s="6" t="s">
        <v>369</v>
      </c>
      <c r="H386" s="7" t="str">
        <f t="shared" si="5"/>
        <v>EPC-IPU-H990-01EXTRA LAVORI</v>
      </c>
      <c r="I386" s="8" t="s">
        <v>24</v>
      </c>
      <c r="J386" s="8" t="s">
        <v>76</v>
      </c>
      <c r="K386" s="8" t="s">
        <v>76</v>
      </c>
      <c r="L386" s="9"/>
      <c r="M386" s="9"/>
      <c r="N386" s="9"/>
      <c r="O386" s="9"/>
      <c r="P386" s="9">
        <v>0</v>
      </c>
      <c r="Q386" s="9">
        <v>88.04</v>
      </c>
      <c r="R386" s="9">
        <v>0</v>
      </c>
      <c r="S386" s="9">
        <v>2642.49</v>
      </c>
      <c r="T386" s="9">
        <v>0</v>
      </c>
      <c r="U386" s="9">
        <v>2642.49</v>
      </c>
      <c r="V386" s="9"/>
      <c r="W386" s="9"/>
      <c r="X386" s="9">
        <v>0</v>
      </c>
      <c r="Y386" s="9">
        <v>2642.49</v>
      </c>
      <c r="Z386" s="9"/>
      <c r="AA386" s="9"/>
      <c r="AB386" s="9"/>
      <c r="AC386" s="9"/>
      <c r="AD386" s="9"/>
      <c r="AE386" s="9"/>
      <c r="AF386" s="9"/>
      <c r="AG386" s="9"/>
      <c r="AH386" s="7">
        <v>0</v>
      </c>
      <c r="AI386" s="7">
        <v>2642.49</v>
      </c>
    </row>
    <row r="387" spans="2:35" x14ac:dyDescent="0.3">
      <c r="B387" s="5" t="s">
        <v>3061</v>
      </c>
      <c r="C387" s="5" t="s">
        <v>13</v>
      </c>
      <c r="D387" s="12" t="s">
        <v>72</v>
      </c>
      <c r="E387" s="6" t="s">
        <v>1017</v>
      </c>
      <c r="F387" s="13" t="s">
        <v>1018</v>
      </c>
      <c r="G387" s="6" t="s">
        <v>315</v>
      </c>
      <c r="H387" s="7" t="str">
        <f t="shared" ref="H387:H450" si="6">+F387&amp;D387</f>
        <v>EPC-IPU-G514-01EXTRA LAVORI</v>
      </c>
      <c r="I387" s="8" t="s">
        <v>24</v>
      </c>
      <c r="J387" s="8" t="s">
        <v>76</v>
      </c>
      <c r="K387" s="8" t="s">
        <v>76</v>
      </c>
      <c r="L387" s="9"/>
      <c r="M387" s="9"/>
      <c r="N387" s="9"/>
      <c r="O387" s="9"/>
      <c r="P387" s="9">
        <v>0</v>
      </c>
      <c r="Q387" s="9">
        <v>1974.88</v>
      </c>
      <c r="R387" s="9">
        <v>0</v>
      </c>
      <c r="S387" s="9">
        <v>1974.88</v>
      </c>
      <c r="T387" s="9">
        <v>0</v>
      </c>
      <c r="U387" s="9">
        <v>2312</v>
      </c>
      <c r="V387" s="9"/>
      <c r="W387" s="9"/>
      <c r="X387" s="9">
        <v>0</v>
      </c>
      <c r="Y387" s="9">
        <v>3317</v>
      </c>
      <c r="Z387" s="9"/>
      <c r="AA387" s="9"/>
      <c r="AB387" s="9"/>
      <c r="AC387" s="9"/>
      <c r="AD387" s="9"/>
      <c r="AE387" s="9"/>
      <c r="AF387" s="9"/>
      <c r="AG387" s="9"/>
      <c r="AH387" s="7">
        <v>0</v>
      </c>
      <c r="AI387" s="7">
        <v>3317</v>
      </c>
    </row>
    <row r="388" spans="2:35" x14ac:dyDescent="0.3">
      <c r="B388" s="5" t="s">
        <v>3061</v>
      </c>
      <c r="C388" s="5" t="s">
        <v>886</v>
      </c>
      <c r="D388" s="12" t="s">
        <v>72</v>
      </c>
      <c r="E388" s="6" t="s">
        <v>1019</v>
      </c>
      <c r="F388" s="13" t="s">
        <v>1020</v>
      </c>
      <c r="G388" s="6" t="s">
        <v>889</v>
      </c>
      <c r="H388" s="7" t="str">
        <f t="shared" si="6"/>
        <v>EPC-IPU-H090-02EXTRA LAVORI</v>
      </c>
      <c r="I388" s="8" t="s">
        <v>18</v>
      </c>
      <c r="J388" s="8" t="s">
        <v>76</v>
      </c>
      <c r="K388" s="8" t="s">
        <v>76</v>
      </c>
      <c r="L388" s="9"/>
      <c r="M388" s="9"/>
      <c r="N388" s="9"/>
      <c r="O388" s="9"/>
      <c r="P388" s="9">
        <v>5713.14</v>
      </c>
      <c r="Q388" s="9">
        <v>0</v>
      </c>
      <c r="R388" s="9">
        <v>5713.14</v>
      </c>
      <c r="S388" s="9">
        <v>0</v>
      </c>
      <c r="T388" s="9">
        <v>5713.14</v>
      </c>
      <c r="U388" s="9">
        <v>0</v>
      </c>
      <c r="V388" s="9"/>
      <c r="W388" s="9"/>
      <c r="X388" s="9">
        <v>5713.14</v>
      </c>
      <c r="Y388" s="9">
        <v>0</v>
      </c>
      <c r="Z388" s="9"/>
      <c r="AA388" s="9"/>
      <c r="AB388" s="9"/>
      <c r="AC388" s="9"/>
      <c r="AD388" s="9"/>
      <c r="AE388" s="9"/>
      <c r="AF388" s="9"/>
      <c r="AG388" s="9"/>
      <c r="AH388" s="7">
        <v>5713.14</v>
      </c>
      <c r="AI388" s="7">
        <v>0</v>
      </c>
    </row>
    <row r="389" spans="2:35" x14ac:dyDescent="0.3">
      <c r="B389" s="5" t="s">
        <v>3061</v>
      </c>
      <c r="C389" s="5" t="s">
        <v>13</v>
      </c>
      <c r="D389" s="12" t="s">
        <v>72</v>
      </c>
      <c r="E389" s="6" t="s">
        <v>1021</v>
      </c>
      <c r="F389" s="13" t="s">
        <v>1022</v>
      </c>
      <c r="G389" s="6" t="s">
        <v>152</v>
      </c>
      <c r="H389" s="7" t="str">
        <f t="shared" si="6"/>
        <v>EPC-IPU-E976-01EXTRA LAVORI</v>
      </c>
      <c r="I389" s="8" t="s">
        <v>18</v>
      </c>
      <c r="J389" s="8" t="s">
        <v>76</v>
      </c>
      <c r="K389" s="8" t="s">
        <v>76</v>
      </c>
      <c r="L389" s="9"/>
      <c r="M389" s="9"/>
      <c r="N389" s="9"/>
      <c r="O389" s="9"/>
      <c r="P389" s="9">
        <v>0</v>
      </c>
      <c r="Q389" s="9">
        <v>744.18000000000006</v>
      </c>
      <c r="R389" s="9">
        <v>0</v>
      </c>
      <c r="S389" s="9">
        <v>744.18000000000006</v>
      </c>
      <c r="T389" s="9">
        <v>3947.56</v>
      </c>
      <c r="U389" s="9">
        <v>1623.89</v>
      </c>
      <c r="V389" s="9"/>
      <c r="W389" s="9"/>
      <c r="X389" s="9">
        <v>3947.56</v>
      </c>
      <c r="Y389" s="9">
        <v>1623.89</v>
      </c>
      <c r="Z389" s="9"/>
      <c r="AA389" s="9"/>
      <c r="AB389" s="9"/>
      <c r="AC389" s="9"/>
      <c r="AD389" s="9"/>
      <c r="AE389" s="9"/>
      <c r="AF389" s="9"/>
      <c r="AG389" s="9"/>
      <c r="AH389" s="7">
        <v>3947.56</v>
      </c>
      <c r="AI389" s="7">
        <v>1623.89</v>
      </c>
    </row>
    <row r="390" spans="2:35" x14ac:dyDescent="0.3">
      <c r="B390" s="5" t="s">
        <v>3061</v>
      </c>
      <c r="C390" s="5" t="s">
        <v>13</v>
      </c>
      <c r="D390" s="12" t="s">
        <v>72</v>
      </c>
      <c r="E390" s="6" t="s">
        <v>1023</v>
      </c>
      <c r="F390" s="13" t="s">
        <v>1024</v>
      </c>
      <c r="G390" s="6" t="s">
        <v>792</v>
      </c>
      <c r="H390" s="7" t="str">
        <f t="shared" si="6"/>
        <v>EPC-IPU-G762-01EXTRA LAVORI</v>
      </c>
      <c r="I390" s="8" t="s">
        <v>18</v>
      </c>
      <c r="J390" s="8" t="s">
        <v>76</v>
      </c>
      <c r="K390" s="8" t="s">
        <v>76</v>
      </c>
      <c r="L390" s="9"/>
      <c r="M390" s="9"/>
      <c r="N390" s="9"/>
      <c r="O390" s="9"/>
      <c r="P390" s="9">
        <v>1055.3800000000001</v>
      </c>
      <c r="Q390" s="9">
        <v>0</v>
      </c>
      <c r="R390" s="9">
        <v>1055.3800000000001</v>
      </c>
      <c r="S390" s="9">
        <v>0</v>
      </c>
      <c r="T390" s="9">
        <v>1055.3800000000001</v>
      </c>
      <c r="U390" s="9">
        <v>0</v>
      </c>
      <c r="V390" s="9"/>
      <c r="W390" s="9"/>
      <c r="X390" s="9">
        <v>1055.3800000000001</v>
      </c>
      <c r="Y390" s="9">
        <v>0</v>
      </c>
      <c r="Z390" s="9"/>
      <c r="AA390" s="9"/>
      <c r="AB390" s="9"/>
      <c r="AC390" s="9"/>
      <c r="AD390" s="9"/>
      <c r="AE390" s="9"/>
      <c r="AF390" s="9"/>
      <c r="AG390" s="9"/>
      <c r="AH390" s="7">
        <v>1055.3800000000001</v>
      </c>
      <c r="AI390" s="7">
        <v>0</v>
      </c>
    </row>
    <row r="391" spans="2:35" x14ac:dyDescent="0.3">
      <c r="B391" s="5" t="s">
        <v>3061</v>
      </c>
      <c r="C391" s="5" t="s">
        <v>13</v>
      </c>
      <c r="D391" s="12" t="s">
        <v>72</v>
      </c>
      <c r="E391" s="6" t="s">
        <v>1025</v>
      </c>
      <c r="F391" s="13" t="s">
        <v>1026</v>
      </c>
      <c r="G391" s="6" t="s">
        <v>466</v>
      </c>
      <c r="H391" s="7" t="str">
        <f t="shared" si="6"/>
        <v>EPC-IPU-B162-05EXTRA LAVORI</v>
      </c>
      <c r="I391" s="8" t="s">
        <v>49</v>
      </c>
      <c r="J391" s="8" t="s">
        <v>76</v>
      </c>
      <c r="K391" s="8" t="s">
        <v>76</v>
      </c>
      <c r="L391" s="9"/>
      <c r="M391" s="9"/>
      <c r="N391" s="9"/>
      <c r="O391" s="9"/>
      <c r="P391" s="9">
        <v>11873.11</v>
      </c>
      <c r="Q391" s="9">
        <v>3500</v>
      </c>
      <c r="R391" s="9">
        <v>0</v>
      </c>
      <c r="S391" s="9">
        <v>3500</v>
      </c>
      <c r="T391" s="9">
        <v>0</v>
      </c>
      <c r="U391" s="9">
        <v>3500</v>
      </c>
      <c r="V391" s="9"/>
      <c r="W391" s="9"/>
      <c r="X391" s="9">
        <v>0</v>
      </c>
      <c r="Y391" s="9">
        <v>0</v>
      </c>
      <c r="Z391" s="9"/>
      <c r="AA391" s="9"/>
      <c r="AB391" s="9"/>
      <c r="AC391" s="9"/>
      <c r="AD391" s="9"/>
      <c r="AE391" s="9"/>
      <c r="AF391" s="9"/>
      <c r="AG391" s="9"/>
      <c r="AH391" s="7">
        <v>0</v>
      </c>
      <c r="AI391" s="7">
        <v>0</v>
      </c>
    </row>
    <row r="392" spans="2:35" x14ac:dyDescent="0.3">
      <c r="B392" s="5" t="s">
        <v>3061</v>
      </c>
      <c r="C392" s="5" t="s">
        <v>13</v>
      </c>
      <c r="D392" s="12" t="s">
        <v>72</v>
      </c>
      <c r="E392" s="6" t="s">
        <v>1027</v>
      </c>
      <c r="F392" s="13" t="s">
        <v>1028</v>
      </c>
      <c r="G392" s="6" t="s">
        <v>597</v>
      </c>
      <c r="H392" s="7" t="str">
        <f t="shared" si="6"/>
        <v>EPC-EEE-L736-02EXTRA LAVORI</v>
      </c>
      <c r="I392" s="8" t="s">
        <v>56</v>
      </c>
      <c r="J392" s="8" t="s">
        <v>76</v>
      </c>
      <c r="K392" s="8" t="s">
        <v>76</v>
      </c>
      <c r="L392" s="9"/>
      <c r="M392" s="9"/>
      <c r="N392" s="9"/>
      <c r="O392" s="9"/>
      <c r="P392" s="9">
        <v>118686.33</v>
      </c>
      <c r="Q392" s="9">
        <v>0</v>
      </c>
      <c r="R392" s="9">
        <v>16681.75</v>
      </c>
      <c r="S392" s="9">
        <v>327.38</v>
      </c>
      <c r="T392" s="9">
        <v>23384.94</v>
      </c>
      <c r="U392" s="9">
        <v>3260.1</v>
      </c>
      <c r="V392" s="9"/>
      <c r="W392" s="9"/>
      <c r="X392" s="9">
        <v>9629.8700000000008</v>
      </c>
      <c r="Y392" s="9">
        <v>4957.8</v>
      </c>
      <c r="Z392" s="9"/>
      <c r="AA392" s="9"/>
      <c r="AB392" s="9"/>
      <c r="AC392" s="9"/>
      <c r="AD392" s="9"/>
      <c r="AE392" s="9"/>
      <c r="AF392" s="9"/>
      <c r="AG392" s="9"/>
      <c r="AH392" s="7">
        <v>9629.8700000000008</v>
      </c>
      <c r="AI392" s="7">
        <v>4957.8</v>
      </c>
    </row>
    <row r="393" spans="2:35" x14ac:dyDescent="0.3">
      <c r="B393" s="5" t="s">
        <v>3061</v>
      </c>
      <c r="C393" s="5" t="s">
        <v>13</v>
      </c>
      <c r="D393" s="12" t="s">
        <v>72</v>
      </c>
      <c r="E393" s="6" t="s">
        <v>1029</v>
      </c>
      <c r="F393" s="13" t="s">
        <v>1030</v>
      </c>
      <c r="G393" s="6" t="s">
        <v>658</v>
      </c>
      <c r="H393" s="7" t="str">
        <f t="shared" si="6"/>
        <v>EPC-IPU-E951-06EXTRA LAVORI</v>
      </c>
      <c r="I393" s="8" t="s">
        <v>49</v>
      </c>
      <c r="J393" s="8" t="s">
        <v>76</v>
      </c>
      <c r="K393" s="8" t="s">
        <v>76</v>
      </c>
      <c r="L393" s="9"/>
      <c r="M393" s="9"/>
      <c r="N393" s="9"/>
      <c r="O393" s="9"/>
      <c r="P393" s="9">
        <v>0</v>
      </c>
      <c r="Q393" s="9">
        <v>6350</v>
      </c>
      <c r="R393" s="9">
        <v>0</v>
      </c>
      <c r="S393" s="9">
        <v>6350</v>
      </c>
      <c r="T393" s="9">
        <v>0</v>
      </c>
      <c r="U393" s="9">
        <v>6943</v>
      </c>
      <c r="V393" s="9"/>
      <c r="W393" s="9"/>
      <c r="X393" s="9">
        <v>0</v>
      </c>
      <c r="Y393" s="9">
        <v>6943</v>
      </c>
      <c r="Z393" s="9"/>
      <c r="AA393" s="9"/>
      <c r="AB393" s="9"/>
      <c r="AC393" s="9"/>
      <c r="AD393" s="9"/>
      <c r="AE393" s="9"/>
      <c r="AF393" s="9"/>
      <c r="AG393" s="9"/>
      <c r="AH393" s="7">
        <v>0</v>
      </c>
      <c r="AI393" s="7">
        <v>6943</v>
      </c>
    </row>
    <row r="394" spans="2:35" x14ac:dyDescent="0.3">
      <c r="B394" s="5" t="s">
        <v>3061</v>
      </c>
      <c r="C394" s="5" t="s">
        <v>13</v>
      </c>
      <c r="D394" s="12" t="s">
        <v>72</v>
      </c>
      <c r="E394" s="6" t="s">
        <v>1031</v>
      </c>
      <c r="F394" s="13" t="s">
        <v>1032</v>
      </c>
      <c r="G394" s="6" t="s">
        <v>75</v>
      </c>
      <c r="H394" s="7" t="str">
        <f t="shared" si="6"/>
        <v>EPC-IPU-E053-01EXTRA LAVORI</v>
      </c>
      <c r="I394" s="8" t="s">
        <v>18</v>
      </c>
      <c r="J394" s="8" t="s">
        <v>76</v>
      </c>
      <c r="K394" s="8" t="s">
        <v>76</v>
      </c>
      <c r="L394" s="9"/>
      <c r="M394" s="9"/>
      <c r="N394" s="9"/>
      <c r="O394" s="9"/>
      <c r="P394" s="9">
        <v>0</v>
      </c>
      <c r="Q394" s="9">
        <v>211.92</v>
      </c>
      <c r="R394" s="9">
        <v>0</v>
      </c>
      <c r="S394" s="9">
        <v>211.92</v>
      </c>
      <c r="T394" s="9">
        <v>0</v>
      </c>
      <c r="U394" s="9">
        <v>211.92</v>
      </c>
      <c r="V394" s="9"/>
      <c r="W394" s="9"/>
      <c r="X394" s="9">
        <v>0</v>
      </c>
      <c r="Y394" s="9">
        <v>211.92</v>
      </c>
      <c r="Z394" s="9"/>
      <c r="AA394" s="9"/>
      <c r="AB394" s="9"/>
      <c r="AC394" s="9"/>
      <c r="AD394" s="9"/>
      <c r="AE394" s="9"/>
      <c r="AF394" s="9"/>
      <c r="AG394" s="9"/>
      <c r="AH394" s="7">
        <v>0</v>
      </c>
      <c r="AI394" s="7">
        <v>211.92</v>
      </c>
    </row>
    <row r="395" spans="2:35" x14ac:dyDescent="0.3">
      <c r="B395" s="5" t="s">
        <v>3061</v>
      </c>
      <c r="C395" s="5" t="s">
        <v>13</v>
      </c>
      <c r="D395" s="12" t="s">
        <v>72</v>
      </c>
      <c r="E395" s="6" t="s">
        <v>1033</v>
      </c>
      <c r="F395" s="13" t="s">
        <v>1034</v>
      </c>
      <c r="G395" s="6" t="s">
        <v>363</v>
      </c>
      <c r="H395" s="7" t="str">
        <f t="shared" si="6"/>
        <v>EPC-IPU-C231-02EXTRA LAVORI</v>
      </c>
      <c r="I395" s="8" t="s">
        <v>18</v>
      </c>
      <c r="J395" s="8" t="s">
        <v>76</v>
      </c>
      <c r="K395" s="8" t="s">
        <v>76</v>
      </c>
      <c r="L395" s="9"/>
      <c r="M395" s="9"/>
      <c r="N395" s="9"/>
      <c r="O395" s="9"/>
      <c r="P395" s="9">
        <v>950</v>
      </c>
      <c r="Q395" s="9">
        <v>850</v>
      </c>
      <c r="R395" s="9">
        <v>950</v>
      </c>
      <c r="S395" s="9">
        <v>850</v>
      </c>
      <c r="T395" s="9">
        <v>2599.87</v>
      </c>
      <c r="U395" s="9">
        <v>850</v>
      </c>
      <c r="V395" s="9"/>
      <c r="W395" s="9"/>
      <c r="X395" s="9">
        <v>2599.87</v>
      </c>
      <c r="Y395" s="9">
        <v>850</v>
      </c>
      <c r="Z395" s="9"/>
      <c r="AA395" s="9"/>
      <c r="AB395" s="9"/>
      <c r="AC395" s="9"/>
      <c r="AD395" s="9"/>
      <c r="AE395" s="9"/>
      <c r="AF395" s="9"/>
      <c r="AG395" s="9"/>
      <c r="AH395" s="7">
        <v>2599.87</v>
      </c>
      <c r="AI395" s="7">
        <v>850</v>
      </c>
    </row>
    <row r="396" spans="2:35" x14ac:dyDescent="0.3">
      <c r="B396" s="5" t="s">
        <v>3061</v>
      </c>
      <c r="C396" s="5" t="s">
        <v>13</v>
      </c>
      <c r="D396" s="12" t="s">
        <v>72</v>
      </c>
      <c r="E396" s="6" t="s">
        <v>1035</v>
      </c>
      <c r="F396" s="13" t="s">
        <v>1036</v>
      </c>
      <c r="G396" s="6" t="s">
        <v>597</v>
      </c>
      <c r="H396" s="7" t="str">
        <f t="shared" si="6"/>
        <v>EPC-IPU-L736-02EXTRA LAVORI</v>
      </c>
      <c r="I396" s="8" t="s">
        <v>56</v>
      </c>
      <c r="J396" s="8" t="s">
        <v>76</v>
      </c>
      <c r="K396" s="8" t="s">
        <v>76</v>
      </c>
      <c r="L396" s="9"/>
      <c r="M396" s="9"/>
      <c r="N396" s="9"/>
      <c r="O396" s="9"/>
      <c r="P396" s="9">
        <v>0</v>
      </c>
      <c r="Q396" s="9">
        <v>6571.58</v>
      </c>
      <c r="R396" s="9">
        <v>6571.58</v>
      </c>
      <c r="S396" s="9">
        <v>0</v>
      </c>
      <c r="T396" s="9">
        <v>6571.58</v>
      </c>
      <c r="U396" s="9">
        <v>0</v>
      </c>
      <c r="V396" s="9"/>
      <c r="W396" s="9"/>
      <c r="X396" s="9">
        <v>6571.58</v>
      </c>
      <c r="Y396" s="9">
        <v>0</v>
      </c>
      <c r="Z396" s="9"/>
      <c r="AA396" s="9"/>
      <c r="AB396" s="9"/>
      <c r="AC396" s="9"/>
      <c r="AD396" s="9"/>
      <c r="AE396" s="9"/>
      <c r="AF396" s="9"/>
      <c r="AG396" s="9"/>
      <c r="AH396" s="7">
        <v>6571.58</v>
      </c>
      <c r="AI396" s="7">
        <v>0</v>
      </c>
    </row>
    <row r="397" spans="2:35" x14ac:dyDescent="0.3">
      <c r="B397" s="5" t="s">
        <v>3061</v>
      </c>
      <c r="C397" s="5" t="s">
        <v>13</v>
      </c>
      <c r="D397" s="12" t="s">
        <v>72</v>
      </c>
      <c r="E397" s="6" t="s">
        <v>1037</v>
      </c>
      <c r="F397" s="13" t="s">
        <v>1038</v>
      </c>
      <c r="G397" s="6" t="s">
        <v>566</v>
      </c>
      <c r="H397" s="7" t="str">
        <f t="shared" si="6"/>
        <v>EPC-IPU-L191-02EXTRA LAVORI</v>
      </c>
      <c r="I397" s="8" t="s">
        <v>24</v>
      </c>
      <c r="J397" s="8" t="s">
        <v>76</v>
      </c>
      <c r="K397" s="8" t="s">
        <v>76</v>
      </c>
      <c r="L397" s="9"/>
      <c r="M397" s="9"/>
      <c r="N397" s="9"/>
      <c r="O397" s="9"/>
      <c r="P397" s="9">
        <v>0</v>
      </c>
      <c r="Q397" s="9">
        <v>355.43</v>
      </c>
      <c r="R397" s="9">
        <v>0</v>
      </c>
      <c r="S397" s="9">
        <v>760.86</v>
      </c>
      <c r="T397" s="9">
        <v>0</v>
      </c>
      <c r="U397" s="9">
        <v>405.43</v>
      </c>
      <c r="V397" s="9"/>
      <c r="W397" s="9"/>
      <c r="X397" s="9">
        <v>0</v>
      </c>
      <c r="Y397" s="9">
        <v>405.43</v>
      </c>
      <c r="Z397" s="9"/>
      <c r="AA397" s="9"/>
      <c r="AB397" s="9"/>
      <c r="AC397" s="9"/>
      <c r="AD397" s="9"/>
      <c r="AE397" s="9"/>
      <c r="AF397" s="9"/>
      <c r="AG397" s="9"/>
      <c r="AH397" s="7">
        <v>0</v>
      </c>
      <c r="AI397" s="7">
        <v>405.43</v>
      </c>
    </row>
    <row r="398" spans="2:35" x14ac:dyDescent="0.3">
      <c r="B398" s="5" t="s">
        <v>3061</v>
      </c>
      <c r="C398" s="5" t="s">
        <v>13</v>
      </c>
      <c r="D398" s="12" t="s">
        <v>72</v>
      </c>
      <c r="E398" s="6" t="s">
        <v>1039</v>
      </c>
      <c r="F398" s="13" t="s">
        <v>1040</v>
      </c>
      <c r="G398" s="6" t="s">
        <v>616</v>
      </c>
      <c r="H398" s="7" t="str">
        <f t="shared" si="6"/>
        <v>EPC-IPU-F632-03EXTRA LAVORI</v>
      </c>
      <c r="I398" s="8" t="s">
        <v>24</v>
      </c>
      <c r="J398" s="8" t="s">
        <v>76</v>
      </c>
      <c r="K398" s="8" t="s">
        <v>76</v>
      </c>
      <c r="L398" s="9"/>
      <c r="M398" s="9"/>
      <c r="N398" s="9"/>
      <c r="O398" s="9"/>
      <c r="P398" s="9">
        <v>1053.57</v>
      </c>
      <c r="Q398" s="9">
        <v>0</v>
      </c>
      <c r="R398" s="9">
        <v>1053.57</v>
      </c>
      <c r="S398" s="9">
        <v>4346.2700000000004</v>
      </c>
      <c r="T398" s="9">
        <v>1053.57</v>
      </c>
      <c r="U398" s="9">
        <v>4346.2700000000004</v>
      </c>
      <c r="V398" s="9"/>
      <c r="W398" s="9"/>
      <c r="X398" s="9">
        <v>1053.57</v>
      </c>
      <c r="Y398" s="9">
        <v>4346.2700000000004</v>
      </c>
      <c r="Z398" s="9"/>
      <c r="AA398" s="9"/>
      <c r="AB398" s="9"/>
      <c r="AC398" s="9"/>
      <c r="AD398" s="9"/>
      <c r="AE398" s="9"/>
      <c r="AF398" s="9"/>
      <c r="AG398" s="9"/>
      <c r="AH398" s="7">
        <v>1053.57</v>
      </c>
      <c r="AI398" s="7">
        <v>4346.2700000000004</v>
      </c>
    </row>
    <row r="399" spans="2:35" x14ac:dyDescent="0.3">
      <c r="B399" s="5" t="s">
        <v>3061</v>
      </c>
      <c r="C399" s="5" t="s">
        <v>13</v>
      </c>
      <c r="D399" s="12" t="s">
        <v>72</v>
      </c>
      <c r="E399" s="6" t="s">
        <v>1041</v>
      </c>
      <c r="F399" s="13" t="s">
        <v>1042</v>
      </c>
      <c r="G399" s="6" t="s">
        <v>235</v>
      </c>
      <c r="H399" s="7" t="str">
        <f t="shared" si="6"/>
        <v>EPC-IPU-G103-02EXTRA LAVORI</v>
      </c>
      <c r="I399" s="8" t="s">
        <v>49</v>
      </c>
      <c r="J399" s="8" t="s">
        <v>76</v>
      </c>
      <c r="K399" s="8" t="s">
        <v>76</v>
      </c>
      <c r="L399" s="9"/>
      <c r="M399" s="9"/>
      <c r="N399" s="9"/>
      <c r="O399" s="9"/>
      <c r="P399" s="9">
        <v>0</v>
      </c>
      <c r="Q399" s="9">
        <v>1080</v>
      </c>
      <c r="R399" s="9">
        <v>0</v>
      </c>
      <c r="S399" s="9">
        <v>1080</v>
      </c>
      <c r="T399" s="9">
        <v>14314.23</v>
      </c>
      <c r="U399" s="9">
        <v>3926.5</v>
      </c>
      <c r="V399" s="9"/>
      <c r="W399" s="9"/>
      <c r="X399" s="9">
        <v>14314.23</v>
      </c>
      <c r="Y399" s="9">
        <v>3926.5</v>
      </c>
      <c r="Z399" s="9"/>
      <c r="AA399" s="9"/>
      <c r="AB399" s="9"/>
      <c r="AC399" s="9"/>
      <c r="AD399" s="9"/>
      <c r="AE399" s="9"/>
      <c r="AF399" s="9"/>
      <c r="AG399" s="9"/>
      <c r="AH399" s="7">
        <v>14314.23</v>
      </c>
      <c r="AI399" s="7">
        <v>3926.5</v>
      </c>
    </row>
    <row r="400" spans="2:35" x14ac:dyDescent="0.3">
      <c r="B400" s="5" t="s">
        <v>3061</v>
      </c>
      <c r="C400" s="5" t="s">
        <v>13</v>
      </c>
      <c r="D400" s="12" t="s">
        <v>72</v>
      </c>
      <c r="E400" s="6" t="s">
        <v>1043</v>
      </c>
      <c r="F400" s="13" t="s">
        <v>1044</v>
      </c>
      <c r="G400" s="6" t="s">
        <v>354</v>
      </c>
      <c r="H400" s="7" t="str">
        <f t="shared" si="6"/>
        <v>EPC-IPU-I608-05EXTRA LAVORI</v>
      </c>
      <c r="I400" s="8" t="s">
        <v>24</v>
      </c>
      <c r="J400" s="8" t="s">
        <v>76</v>
      </c>
      <c r="K400" s="8" t="s">
        <v>76</v>
      </c>
      <c r="L400" s="9"/>
      <c r="M400" s="9"/>
      <c r="N400" s="9"/>
      <c r="O400" s="9"/>
      <c r="P400" s="9">
        <v>1644.63</v>
      </c>
      <c r="Q400" s="9">
        <v>0</v>
      </c>
      <c r="R400" s="9">
        <v>1644.63</v>
      </c>
      <c r="S400" s="9">
        <v>0</v>
      </c>
      <c r="T400" s="9">
        <v>1644.63</v>
      </c>
      <c r="U400" s="9">
        <v>0</v>
      </c>
      <c r="V400" s="9"/>
      <c r="W400" s="9"/>
      <c r="X400" s="9">
        <v>1644.63</v>
      </c>
      <c r="Y400" s="9">
        <v>0</v>
      </c>
      <c r="Z400" s="9"/>
      <c r="AA400" s="9"/>
      <c r="AB400" s="9"/>
      <c r="AC400" s="9"/>
      <c r="AD400" s="9"/>
      <c r="AE400" s="9"/>
      <c r="AF400" s="9"/>
      <c r="AG400" s="9"/>
      <c r="AH400" s="7">
        <v>1644.63</v>
      </c>
      <c r="AI400" s="7">
        <v>0</v>
      </c>
    </row>
    <row r="401" spans="2:35" x14ac:dyDescent="0.3">
      <c r="B401" s="5" t="s">
        <v>3061</v>
      </c>
      <c r="C401" s="5" t="s">
        <v>13</v>
      </c>
      <c r="D401" s="12" t="s">
        <v>619</v>
      </c>
      <c r="E401" s="6" t="s">
        <v>1023</v>
      </c>
      <c r="F401" s="13" t="s">
        <v>1024</v>
      </c>
      <c r="G401" s="6" t="s">
        <v>792</v>
      </c>
      <c r="H401" s="7" t="str">
        <f t="shared" si="6"/>
        <v>EPC-IPU-G762-01EXTRA LAVORI : Spot</v>
      </c>
      <c r="I401" s="8" t="s">
        <v>18</v>
      </c>
      <c r="J401" s="8" t="s">
        <v>76</v>
      </c>
      <c r="K401" s="8" t="s">
        <v>76</v>
      </c>
      <c r="L401" s="9"/>
      <c r="M401" s="9"/>
      <c r="N401" s="9"/>
      <c r="O401" s="9"/>
      <c r="P401" s="9">
        <v>3933.13</v>
      </c>
      <c r="Q401" s="9">
        <v>0</v>
      </c>
      <c r="R401" s="9">
        <v>3933.13</v>
      </c>
      <c r="S401" s="9">
        <v>0</v>
      </c>
      <c r="T401" s="9">
        <v>3933.13</v>
      </c>
      <c r="U401" s="9">
        <v>0</v>
      </c>
      <c r="V401" s="9"/>
      <c r="W401" s="9"/>
      <c r="X401" s="9">
        <v>0</v>
      </c>
      <c r="Y401" s="9">
        <v>0</v>
      </c>
      <c r="Z401" s="9"/>
      <c r="AA401" s="9"/>
      <c r="AB401" s="9"/>
      <c r="AC401" s="9"/>
      <c r="AD401" s="9"/>
      <c r="AE401" s="9"/>
      <c r="AF401" s="9"/>
      <c r="AG401" s="9"/>
      <c r="AH401" s="7">
        <v>0</v>
      </c>
      <c r="AI401" s="7">
        <v>0</v>
      </c>
    </row>
    <row r="402" spans="2:35" x14ac:dyDescent="0.3">
      <c r="B402" s="5" t="s">
        <v>3061</v>
      </c>
      <c r="C402" s="5" t="s">
        <v>13</v>
      </c>
      <c r="D402" s="12" t="s">
        <v>619</v>
      </c>
      <c r="E402" s="6" t="s">
        <v>820</v>
      </c>
      <c r="F402" s="13" t="s">
        <v>1045</v>
      </c>
      <c r="G402" s="6" t="s">
        <v>822</v>
      </c>
      <c r="H402" s="7" t="str">
        <f t="shared" si="6"/>
        <v>EPC-IPU-F704-02EXTRA LAVORI : Spot</v>
      </c>
      <c r="I402" s="8" t="s">
        <v>49</v>
      </c>
      <c r="J402" s="8" t="s">
        <v>259</v>
      </c>
      <c r="K402" s="8" t="s">
        <v>259</v>
      </c>
      <c r="L402" s="9"/>
      <c r="M402" s="9"/>
      <c r="N402" s="9"/>
      <c r="O402" s="9"/>
      <c r="P402" s="9">
        <v>1484.7</v>
      </c>
      <c r="Q402" s="9">
        <v>0</v>
      </c>
      <c r="R402" s="9">
        <v>1484.7</v>
      </c>
      <c r="S402" s="9">
        <v>0</v>
      </c>
      <c r="T402" s="9">
        <v>1484.7</v>
      </c>
      <c r="U402" s="9">
        <v>0</v>
      </c>
      <c r="V402" s="9"/>
      <c r="W402" s="9"/>
      <c r="X402" s="9">
        <v>0</v>
      </c>
      <c r="Y402" s="9">
        <v>0</v>
      </c>
      <c r="Z402" s="9"/>
      <c r="AA402" s="9"/>
      <c r="AB402" s="9"/>
      <c r="AC402" s="9"/>
      <c r="AD402" s="9"/>
      <c r="AE402" s="9"/>
      <c r="AF402" s="9"/>
      <c r="AG402" s="9"/>
      <c r="AH402" s="7">
        <v>0</v>
      </c>
      <c r="AI402" s="7">
        <v>0</v>
      </c>
    </row>
    <row r="403" spans="2:35" x14ac:dyDescent="0.3">
      <c r="B403" s="5" t="s">
        <v>3061</v>
      </c>
      <c r="C403" s="5" t="s">
        <v>13</v>
      </c>
      <c r="D403" s="12" t="s">
        <v>619</v>
      </c>
      <c r="E403" s="6" t="s">
        <v>1046</v>
      </c>
      <c r="F403" s="13" t="s">
        <v>1047</v>
      </c>
      <c r="G403" s="6" t="s">
        <v>1048</v>
      </c>
      <c r="H403" s="7" t="str">
        <f t="shared" si="6"/>
        <v>EPC-IPU-L124-01EXTRA LAVORI : Spot</v>
      </c>
      <c r="I403" s="8" t="s">
        <v>18</v>
      </c>
      <c r="J403" s="8" t="s">
        <v>259</v>
      </c>
      <c r="K403" s="8" t="s">
        <v>259</v>
      </c>
      <c r="L403" s="9"/>
      <c r="M403" s="9"/>
      <c r="N403" s="9"/>
      <c r="O403" s="9"/>
      <c r="P403" s="9">
        <v>3466.56</v>
      </c>
      <c r="Q403" s="9">
        <v>1282.98</v>
      </c>
      <c r="R403" s="9">
        <v>3466.56</v>
      </c>
      <c r="S403" s="9">
        <v>1282.98</v>
      </c>
      <c r="T403" s="9">
        <v>3466.56</v>
      </c>
      <c r="U403" s="9">
        <v>1282.98</v>
      </c>
      <c r="V403" s="9"/>
      <c r="W403" s="9"/>
      <c r="X403" s="9">
        <v>0</v>
      </c>
      <c r="Y403" s="9">
        <v>0</v>
      </c>
      <c r="Z403" s="9"/>
      <c r="AA403" s="9"/>
      <c r="AB403" s="9"/>
      <c r="AC403" s="9"/>
      <c r="AD403" s="9"/>
      <c r="AE403" s="9"/>
      <c r="AF403" s="9"/>
      <c r="AG403" s="9"/>
      <c r="AH403" s="7">
        <v>0</v>
      </c>
      <c r="AI403" s="7">
        <v>0</v>
      </c>
    </row>
    <row r="404" spans="2:35" x14ac:dyDescent="0.3">
      <c r="B404" s="5" t="s">
        <v>3061</v>
      </c>
      <c r="C404" s="5" t="s">
        <v>13</v>
      </c>
      <c r="D404" s="12" t="s">
        <v>619</v>
      </c>
      <c r="E404" s="6" t="s">
        <v>1049</v>
      </c>
      <c r="F404" s="13" t="s">
        <v>1050</v>
      </c>
      <c r="G404" s="6" t="s">
        <v>1051</v>
      </c>
      <c r="H404" s="7" t="str">
        <f t="shared" si="6"/>
        <v>EPC-IPU-M367-02EXTRA LAVORI : Spot</v>
      </c>
      <c r="I404" s="8" t="s">
        <v>24</v>
      </c>
      <c r="J404" s="8" t="s">
        <v>259</v>
      </c>
      <c r="K404" s="8" t="s">
        <v>259</v>
      </c>
      <c r="L404" s="9"/>
      <c r="M404" s="9"/>
      <c r="N404" s="9"/>
      <c r="O404" s="9"/>
      <c r="P404" s="9">
        <v>1500</v>
      </c>
      <c r="Q404" s="9">
        <v>0</v>
      </c>
      <c r="R404" s="9">
        <v>1500</v>
      </c>
      <c r="S404" s="9">
        <v>0</v>
      </c>
      <c r="T404" s="9">
        <v>1500</v>
      </c>
      <c r="U404" s="9">
        <v>0</v>
      </c>
      <c r="V404" s="9"/>
      <c r="W404" s="9"/>
      <c r="X404" s="9">
        <v>0</v>
      </c>
      <c r="Y404" s="9">
        <v>0</v>
      </c>
      <c r="Z404" s="9"/>
      <c r="AA404" s="9"/>
      <c r="AB404" s="9"/>
      <c r="AC404" s="9"/>
      <c r="AD404" s="9"/>
      <c r="AE404" s="9"/>
      <c r="AF404" s="9"/>
      <c r="AG404" s="9"/>
      <c r="AH404" s="7">
        <v>0</v>
      </c>
      <c r="AI404" s="7">
        <v>0</v>
      </c>
    </row>
    <row r="405" spans="2:35" x14ac:dyDescent="0.3">
      <c r="B405" s="5" t="s">
        <v>3061</v>
      </c>
      <c r="C405" s="5" t="s">
        <v>13</v>
      </c>
      <c r="D405" s="12" t="s">
        <v>619</v>
      </c>
      <c r="E405" s="6" t="s">
        <v>1052</v>
      </c>
      <c r="F405" s="13" t="s">
        <v>1053</v>
      </c>
      <c r="G405" s="6" t="s">
        <v>450</v>
      </c>
      <c r="H405" s="7" t="str">
        <f t="shared" si="6"/>
        <v>EPC-IPU-F348-06EXTRA LAVORI : Spot</v>
      </c>
      <c r="I405" s="8" t="s">
        <v>24</v>
      </c>
      <c r="J405" s="8" t="s">
        <v>76</v>
      </c>
      <c r="K405" s="8" t="s">
        <v>76</v>
      </c>
      <c r="L405" s="9"/>
      <c r="M405" s="9"/>
      <c r="N405" s="9"/>
      <c r="O405" s="9"/>
      <c r="P405" s="9">
        <v>2410.96</v>
      </c>
      <c r="Q405" s="9">
        <v>0</v>
      </c>
      <c r="R405" s="9">
        <v>2410.96</v>
      </c>
      <c r="S405" s="9">
        <v>0</v>
      </c>
      <c r="T405" s="9">
        <v>2410.96</v>
      </c>
      <c r="U405" s="9">
        <v>0</v>
      </c>
      <c r="V405" s="9"/>
      <c r="W405" s="9"/>
      <c r="X405" s="9">
        <v>0</v>
      </c>
      <c r="Y405" s="9">
        <v>0</v>
      </c>
      <c r="Z405" s="9"/>
      <c r="AA405" s="9"/>
      <c r="AB405" s="9"/>
      <c r="AC405" s="9"/>
      <c r="AD405" s="9"/>
      <c r="AE405" s="9"/>
      <c r="AF405" s="9"/>
      <c r="AG405" s="9"/>
      <c r="AH405" s="7">
        <v>0</v>
      </c>
      <c r="AI405" s="7">
        <v>0</v>
      </c>
    </row>
    <row r="406" spans="2:35" x14ac:dyDescent="0.3">
      <c r="B406" s="5" t="s">
        <v>3061</v>
      </c>
      <c r="C406" s="5" t="s">
        <v>13</v>
      </c>
      <c r="D406" s="12" t="s">
        <v>619</v>
      </c>
      <c r="E406" s="6" t="s">
        <v>749</v>
      </c>
      <c r="F406" s="13" t="s">
        <v>750</v>
      </c>
      <c r="G406" s="6" t="s">
        <v>751</v>
      </c>
      <c r="H406" s="7" t="str">
        <f t="shared" si="6"/>
        <v>CL4-IPU-L142-01EXTRA LAVORI : Spot</v>
      </c>
      <c r="I406" s="8" t="s">
        <v>18</v>
      </c>
      <c r="J406" s="8" t="s">
        <v>76</v>
      </c>
      <c r="K406" s="8" t="s">
        <v>573</v>
      </c>
      <c r="L406" s="9"/>
      <c r="M406" s="9"/>
      <c r="N406" s="9"/>
      <c r="O406" s="9"/>
      <c r="P406" s="9">
        <v>1236.8499999999999</v>
      </c>
      <c r="Q406" s="9">
        <v>0</v>
      </c>
      <c r="R406" s="9">
        <v>1236.8499999999999</v>
      </c>
      <c r="S406" s="9">
        <v>0</v>
      </c>
      <c r="T406" s="9">
        <v>1236.8499999999999</v>
      </c>
      <c r="U406" s="9">
        <v>0</v>
      </c>
      <c r="V406" s="9"/>
      <c r="W406" s="9"/>
      <c r="X406" s="9">
        <v>0</v>
      </c>
      <c r="Y406" s="9">
        <v>0</v>
      </c>
      <c r="Z406" s="9"/>
      <c r="AA406" s="9"/>
      <c r="AB406" s="9"/>
      <c r="AC406" s="9"/>
      <c r="AD406" s="9"/>
      <c r="AE406" s="9"/>
      <c r="AF406" s="9"/>
      <c r="AG406" s="9"/>
      <c r="AH406" s="7">
        <v>0</v>
      </c>
      <c r="AI406" s="7">
        <v>0</v>
      </c>
    </row>
    <row r="407" spans="2:35" x14ac:dyDescent="0.3">
      <c r="B407" s="5" t="s">
        <v>3061</v>
      </c>
      <c r="C407" s="5" t="s">
        <v>13</v>
      </c>
      <c r="D407" s="12" t="s">
        <v>619</v>
      </c>
      <c r="E407" s="6" t="s">
        <v>1054</v>
      </c>
      <c r="F407" s="13" t="s">
        <v>1055</v>
      </c>
      <c r="G407" s="6" t="s">
        <v>1056</v>
      </c>
      <c r="H407" s="7" t="str">
        <f t="shared" si="6"/>
        <v>EPC-IPU-I332-02EXTRA LAVORI : Spot</v>
      </c>
      <c r="I407" s="8" t="s">
        <v>24</v>
      </c>
      <c r="J407" s="8" t="s">
        <v>259</v>
      </c>
      <c r="K407" s="8" t="s">
        <v>259</v>
      </c>
      <c r="L407" s="9"/>
      <c r="M407" s="9"/>
      <c r="N407" s="9"/>
      <c r="O407" s="9"/>
      <c r="P407" s="9">
        <v>5731.33</v>
      </c>
      <c r="Q407" s="9">
        <v>0</v>
      </c>
      <c r="R407" s="9">
        <v>5731.33</v>
      </c>
      <c r="S407" s="9">
        <v>0</v>
      </c>
      <c r="T407" s="9">
        <v>5731.33</v>
      </c>
      <c r="U407" s="9">
        <v>2285.67</v>
      </c>
      <c r="V407" s="9"/>
      <c r="W407" s="9"/>
      <c r="X407" s="9">
        <v>0</v>
      </c>
      <c r="Y407" s="9">
        <v>2285.67</v>
      </c>
      <c r="Z407" s="9"/>
      <c r="AA407" s="9"/>
      <c r="AB407" s="9"/>
      <c r="AC407" s="9"/>
      <c r="AD407" s="9"/>
      <c r="AE407" s="9"/>
      <c r="AF407" s="9"/>
      <c r="AG407" s="9"/>
      <c r="AH407" s="7">
        <v>0</v>
      </c>
      <c r="AI407" s="7">
        <v>2285.67</v>
      </c>
    </row>
    <row r="408" spans="2:35" x14ac:dyDescent="0.3">
      <c r="B408" s="5" t="s">
        <v>3061</v>
      </c>
      <c r="C408" s="5" t="s">
        <v>13</v>
      </c>
      <c r="D408" s="12" t="s">
        <v>619</v>
      </c>
      <c r="E408" s="6" t="s">
        <v>1057</v>
      </c>
      <c r="F408" s="13" t="s">
        <v>1058</v>
      </c>
      <c r="G408" s="6" t="s">
        <v>1059</v>
      </c>
      <c r="H408" s="7" t="str">
        <f t="shared" si="6"/>
        <v>EPC-IPU-F205-01EXTRA LAVORI : Spot</v>
      </c>
      <c r="I408" s="8" t="s">
        <v>49</v>
      </c>
      <c r="J408" s="8" t="s">
        <v>76</v>
      </c>
      <c r="K408" s="8" t="s">
        <v>76</v>
      </c>
      <c r="L408" s="9"/>
      <c r="M408" s="9"/>
      <c r="N408" s="9"/>
      <c r="O408" s="9"/>
      <c r="P408" s="9">
        <v>0</v>
      </c>
      <c r="Q408" s="9">
        <v>280.61</v>
      </c>
      <c r="R408" s="9">
        <v>0</v>
      </c>
      <c r="S408" s="9">
        <v>280.61</v>
      </c>
      <c r="T408" s="9">
        <v>0</v>
      </c>
      <c r="U408" s="9">
        <v>280.61</v>
      </c>
      <c r="V408" s="9"/>
      <c r="W408" s="9"/>
      <c r="X408" s="9">
        <v>0</v>
      </c>
      <c r="Y408" s="9">
        <v>0</v>
      </c>
      <c r="Z408" s="9"/>
      <c r="AA408" s="9"/>
      <c r="AB408" s="9"/>
      <c r="AC408" s="9"/>
      <c r="AD408" s="9"/>
      <c r="AE408" s="9"/>
      <c r="AF408" s="9"/>
      <c r="AG408" s="9"/>
      <c r="AH408" s="7">
        <v>0</v>
      </c>
      <c r="AI408" s="7">
        <v>0</v>
      </c>
    </row>
    <row r="409" spans="2:35" x14ac:dyDescent="0.3">
      <c r="B409" s="5" t="s">
        <v>3061</v>
      </c>
      <c r="C409" s="5" t="s">
        <v>13</v>
      </c>
      <c r="D409" s="12" t="s">
        <v>619</v>
      </c>
      <c r="E409" s="6" t="s">
        <v>1060</v>
      </c>
      <c r="F409" s="13" t="s">
        <v>1061</v>
      </c>
      <c r="G409" s="6" t="s">
        <v>1062</v>
      </c>
      <c r="H409" s="7" t="str">
        <f t="shared" si="6"/>
        <v>EPC-IPU-G878-02EXTRA LAVORI : Spot</v>
      </c>
      <c r="I409" s="8" t="s">
        <v>24</v>
      </c>
      <c r="J409" s="8" t="s">
        <v>259</v>
      </c>
      <c r="K409" s="8" t="s">
        <v>259</v>
      </c>
      <c r="L409" s="9"/>
      <c r="M409" s="9"/>
      <c r="N409" s="9"/>
      <c r="O409" s="9"/>
      <c r="P409" s="9">
        <v>1931.63</v>
      </c>
      <c r="Q409" s="9">
        <v>1500</v>
      </c>
      <c r="R409" s="9">
        <v>1931.63</v>
      </c>
      <c r="S409" s="9">
        <v>1500</v>
      </c>
      <c r="T409" s="9">
        <v>1931.63</v>
      </c>
      <c r="U409" s="9">
        <v>1500</v>
      </c>
      <c r="V409" s="9"/>
      <c r="W409" s="9"/>
      <c r="X409" s="9">
        <v>0</v>
      </c>
      <c r="Y409" s="9">
        <v>0</v>
      </c>
      <c r="Z409" s="9"/>
      <c r="AA409" s="9"/>
      <c r="AB409" s="9"/>
      <c r="AC409" s="9"/>
      <c r="AD409" s="9"/>
      <c r="AE409" s="9"/>
      <c r="AF409" s="9"/>
      <c r="AG409" s="9"/>
      <c r="AH409" s="7">
        <v>0</v>
      </c>
      <c r="AI409" s="7">
        <v>0</v>
      </c>
    </row>
    <row r="410" spans="2:35" x14ac:dyDescent="0.3">
      <c r="B410" s="5" t="s">
        <v>3061</v>
      </c>
      <c r="C410" s="5" t="s">
        <v>13</v>
      </c>
      <c r="D410" s="12" t="s">
        <v>619</v>
      </c>
      <c r="E410" s="6" t="s">
        <v>1063</v>
      </c>
      <c r="F410" s="13" t="s">
        <v>1064</v>
      </c>
      <c r="G410" s="6" t="s">
        <v>1065</v>
      </c>
      <c r="H410" s="7" t="str">
        <f t="shared" si="6"/>
        <v>EPC-IPU-I089-01EXTRA LAVORI : Spot</v>
      </c>
      <c r="I410" s="8" t="s">
        <v>18</v>
      </c>
      <c r="J410" s="8" t="s">
        <v>259</v>
      </c>
      <c r="K410" s="8" t="s">
        <v>259</v>
      </c>
      <c r="L410" s="9"/>
      <c r="M410" s="9"/>
      <c r="N410" s="9"/>
      <c r="O410" s="9"/>
      <c r="P410" s="9">
        <v>550</v>
      </c>
      <c r="Q410" s="9">
        <v>0</v>
      </c>
      <c r="R410" s="9">
        <v>550</v>
      </c>
      <c r="S410" s="9">
        <v>0</v>
      </c>
      <c r="T410" s="9">
        <v>550</v>
      </c>
      <c r="U410" s="9">
        <v>0</v>
      </c>
      <c r="V410" s="9"/>
      <c r="W410" s="9"/>
      <c r="X410" s="9">
        <v>0</v>
      </c>
      <c r="Y410" s="9">
        <v>0</v>
      </c>
      <c r="Z410" s="9"/>
      <c r="AA410" s="9"/>
      <c r="AB410" s="9"/>
      <c r="AC410" s="9"/>
      <c r="AD410" s="9"/>
      <c r="AE410" s="9"/>
      <c r="AF410" s="9"/>
      <c r="AG410" s="9"/>
      <c r="AH410" s="7">
        <v>0</v>
      </c>
      <c r="AI410" s="7">
        <v>0</v>
      </c>
    </row>
    <row r="411" spans="2:35" x14ac:dyDescent="0.3">
      <c r="B411" s="5" t="s">
        <v>3061</v>
      </c>
      <c r="C411" s="5" t="s">
        <v>13</v>
      </c>
      <c r="D411" s="12" t="s">
        <v>619</v>
      </c>
      <c r="E411" s="6" t="s">
        <v>1066</v>
      </c>
      <c r="F411" s="13" t="s">
        <v>1067</v>
      </c>
      <c r="G411" s="6" t="s">
        <v>1068</v>
      </c>
      <c r="H411" s="7" t="str">
        <f t="shared" si="6"/>
        <v>EPC-IPU-L285-01EXTRA LAVORI : Spot</v>
      </c>
      <c r="I411" s="8" t="s">
        <v>49</v>
      </c>
      <c r="J411" s="8" t="s">
        <v>76</v>
      </c>
      <c r="K411" s="8" t="s">
        <v>76</v>
      </c>
      <c r="L411" s="9"/>
      <c r="M411" s="9"/>
      <c r="N411" s="9"/>
      <c r="O411" s="9"/>
      <c r="P411" s="9">
        <v>18209.39</v>
      </c>
      <c r="Q411" s="9">
        <v>0</v>
      </c>
      <c r="R411" s="9">
        <v>19209.39</v>
      </c>
      <c r="S411" s="9">
        <v>3198</v>
      </c>
      <c r="T411" s="9">
        <v>19209.39</v>
      </c>
      <c r="U411" s="9">
        <v>3198</v>
      </c>
      <c r="V411" s="9"/>
      <c r="W411" s="9"/>
      <c r="X411" s="9">
        <v>0</v>
      </c>
      <c r="Y411" s="9">
        <v>0</v>
      </c>
      <c r="Z411" s="9"/>
      <c r="AA411" s="9"/>
      <c r="AB411" s="9"/>
      <c r="AC411" s="9"/>
      <c r="AD411" s="9"/>
      <c r="AE411" s="9"/>
      <c r="AF411" s="9"/>
      <c r="AG411" s="9"/>
      <c r="AH411" s="7">
        <v>0</v>
      </c>
      <c r="AI411" s="7">
        <v>0</v>
      </c>
    </row>
    <row r="412" spans="2:35" x14ac:dyDescent="0.3">
      <c r="B412" s="5" t="s">
        <v>3061</v>
      </c>
      <c r="C412" s="5" t="s">
        <v>13</v>
      </c>
      <c r="D412" s="12" t="s">
        <v>686</v>
      </c>
      <c r="E412" s="6" t="s">
        <v>1069</v>
      </c>
      <c r="F412" s="13" t="s">
        <v>1070</v>
      </c>
      <c r="G412" s="6" t="s">
        <v>702</v>
      </c>
      <c r="H412" s="7" t="str">
        <f t="shared" si="6"/>
        <v>SEC-PHV-A519-02- No Activity Code -</v>
      </c>
      <c r="I412" s="8" t="s">
        <v>18</v>
      </c>
      <c r="J412" s="8" t="s">
        <v>454</v>
      </c>
      <c r="K412" s="8" t="s">
        <v>454</v>
      </c>
      <c r="L412" s="9"/>
      <c r="M412" s="9"/>
      <c r="N412" s="9"/>
      <c r="O412" s="9"/>
      <c r="P412" s="9">
        <v>0</v>
      </c>
      <c r="Q412" s="9">
        <v>871.4</v>
      </c>
      <c r="R412" s="9">
        <v>0</v>
      </c>
      <c r="S412" s="9">
        <v>871.4</v>
      </c>
      <c r="T412" s="9">
        <v>0</v>
      </c>
      <c r="U412" s="9">
        <v>2446.11</v>
      </c>
      <c r="V412" s="9"/>
      <c r="W412" s="9"/>
      <c r="X412" s="9">
        <v>0</v>
      </c>
      <c r="Y412" s="9">
        <v>0</v>
      </c>
      <c r="Z412" s="9"/>
      <c r="AA412" s="9"/>
      <c r="AB412" s="9"/>
      <c r="AC412" s="9"/>
      <c r="AD412" s="9"/>
      <c r="AE412" s="9"/>
      <c r="AF412" s="9"/>
      <c r="AG412" s="9"/>
      <c r="AH412" s="7">
        <v>0</v>
      </c>
      <c r="AI412" s="7">
        <v>0</v>
      </c>
    </row>
    <row r="413" spans="2:35" x14ac:dyDescent="0.3">
      <c r="B413" s="5" t="s">
        <v>3061</v>
      </c>
      <c r="C413" s="5" t="s">
        <v>13</v>
      </c>
      <c r="D413" s="12" t="s">
        <v>686</v>
      </c>
      <c r="E413" s="6" t="s">
        <v>1071</v>
      </c>
      <c r="F413" s="13" t="s">
        <v>1072</v>
      </c>
      <c r="G413" s="6" t="s">
        <v>719</v>
      </c>
      <c r="H413" s="7" t="str">
        <f t="shared" si="6"/>
        <v>SEC-PHV-M269-02- No Activity Code -</v>
      </c>
      <c r="I413" s="8" t="s">
        <v>18</v>
      </c>
      <c r="J413" s="8" t="s">
        <v>454</v>
      </c>
      <c r="K413" s="8" t="s">
        <v>454</v>
      </c>
      <c r="L413" s="9"/>
      <c r="M413" s="9"/>
      <c r="N413" s="9"/>
      <c r="O413" s="9"/>
      <c r="P413" s="9">
        <v>0</v>
      </c>
      <c r="Q413" s="9">
        <v>518.48</v>
      </c>
      <c r="R413" s="9">
        <v>0</v>
      </c>
      <c r="S413" s="9">
        <v>518.48</v>
      </c>
      <c r="T413" s="9">
        <v>0</v>
      </c>
      <c r="U413" s="9">
        <v>518.48</v>
      </c>
      <c r="V413" s="9"/>
      <c r="W413" s="9"/>
      <c r="X413" s="9">
        <v>0</v>
      </c>
      <c r="Y413" s="9">
        <v>0</v>
      </c>
      <c r="Z413" s="9"/>
      <c r="AA413" s="9"/>
      <c r="AB413" s="9"/>
      <c r="AC413" s="9"/>
      <c r="AD413" s="9"/>
      <c r="AE413" s="9"/>
      <c r="AF413" s="9"/>
      <c r="AG413" s="9"/>
      <c r="AH413" s="7">
        <v>0</v>
      </c>
      <c r="AI413" s="7">
        <v>0</v>
      </c>
    </row>
    <row r="414" spans="2:35" x14ac:dyDescent="0.3">
      <c r="B414" s="5" t="s">
        <v>3061</v>
      </c>
      <c r="C414" s="5" t="s">
        <v>13</v>
      </c>
      <c r="D414" s="12" t="s">
        <v>686</v>
      </c>
      <c r="E414" s="6" t="s">
        <v>1073</v>
      </c>
      <c r="F414" s="13" t="s">
        <v>1074</v>
      </c>
      <c r="G414" s="6" t="s">
        <v>694</v>
      </c>
      <c r="H414" s="7" t="str">
        <f t="shared" si="6"/>
        <v>SEC-PHV-D593-02- No Activity Code -</v>
      </c>
      <c r="I414" s="8" t="s">
        <v>18</v>
      </c>
      <c r="J414" s="8" t="s">
        <v>454</v>
      </c>
      <c r="K414" s="8" t="s">
        <v>454</v>
      </c>
      <c r="L414" s="9"/>
      <c r="M414" s="9"/>
      <c r="N414" s="9"/>
      <c r="O414" s="9"/>
      <c r="P414" s="9">
        <v>0</v>
      </c>
      <c r="Q414" s="9">
        <v>99.86</v>
      </c>
      <c r="R414" s="9">
        <v>0</v>
      </c>
      <c r="S414" s="9">
        <v>99.86</v>
      </c>
      <c r="T414" s="9">
        <v>0</v>
      </c>
      <c r="U414" s="9">
        <v>339.54</v>
      </c>
      <c r="V414" s="9"/>
      <c r="W414" s="9"/>
      <c r="X414" s="9">
        <v>0</v>
      </c>
      <c r="Y414" s="9">
        <v>0</v>
      </c>
      <c r="Z414" s="9"/>
      <c r="AA414" s="9"/>
      <c r="AB414" s="9"/>
      <c r="AC414" s="9"/>
      <c r="AD414" s="9"/>
      <c r="AE414" s="9"/>
      <c r="AF414" s="9"/>
      <c r="AG414" s="9"/>
      <c r="AH414" s="7">
        <v>0</v>
      </c>
      <c r="AI414" s="7">
        <v>0</v>
      </c>
    </row>
    <row r="415" spans="2:35" x14ac:dyDescent="0.3">
      <c r="B415" s="5" t="s">
        <v>3061</v>
      </c>
      <c r="C415" s="5" t="s">
        <v>13</v>
      </c>
      <c r="D415" s="12" t="s">
        <v>14</v>
      </c>
      <c r="E415" s="6" t="s">
        <v>663</v>
      </c>
      <c r="F415" s="13" t="s">
        <v>664</v>
      </c>
      <c r="G415" s="6" t="s">
        <v>636</v>
      </c>
      <c r="H415" s="7" t="str">
        <f t="shared" si="6"/>
        <v>EPC-IPU-F522-01OPERATIONAL</v>
      </c>
      <c r="I415" s="8" t="s">
        <v>24</v>
      </c>
      <c r="J415" s="8" t="s">
        <v>76</v>
      </c>
      <c r="K415" s="8" t="s">
        <v>76</v>
      </c>
      <c r="L415" s="9"/>
      <c r="M415" s="9"/>
      <c r="N415" s="9"/>
      <c r="O415" s="9"/>
      <c r="P415" s="9">
        <v>0</v>
      </c>
      <c r="Q415" s="9">
        <v>2627.2</v>
      </c>
      <c r="R415" s="9">
        <v>0</v>
      </c>
      <c r="S415" s="9">
        <v>2627.2</v>
      </c>
      <c r="T415" s="9">
        <v>0</v>
      </c>
      <c r="U415" s="9">
        <v>0</v>
      </c>
      <c r="V415" s="9"/>
      <c r="W415" s="9"/>
      <c r="X415" s="9">
        <v>0</v>
      </c>
      <c r="Y415" s="9">
        <v>3225.72</v>
      </c>
      <c r="Z415" s="9"/>
      <c r="AA415" s="9"/>
      <c r="AB415" s="9"/>
      <c r="AC415" s="9"/>
      <c r="AD415" s="9"/>
      <c r="AE415" s="9"/>
      <c r="AF415" s="9"/>
      <c r="AG415" s="9"/>
      <c r="AH415" s="7">
        <v>0</v>
      </c>
      <c r="AI415" s="7">
        <v>3225.72</v>
      </c>
    </row>
    <row r="416" spans="2:35" x14ac:dyDescent="0.3">
      <c r="B416" s="5" t="s">
        <v>3061</v>
      </c>
      <c r="C416" s="5" t="s">
        <v>13</v>
      </c>
      <c r="D416" s="12" t="s">
        <v>619</v>
      </c>
      <c r="E416" s="6" t="s">
        <v>1075</v>
      </c>
      <c r="F416" s="13" t="s">
        <v>596</v>
      </c>
      <c r="G416" s="6" t="s">
        <v>597</v>
      </c>
      <c r="H416" s="7" t="str">
        <f t="shared" si="6"/>
        <v>EPC-IPU-L736-01EXTRA LAVORI : Spot</v>
      </c>
      <c r="I416" s="8" t="s">
        <v>56</v>
      </c>
      <c r="J416" s="8" t="s">
        <v>76</v>
      </c>
      <c r="K416" s="8" t="s">
        <v>76</v>
      </c>
      <c r="L416" s="9"/>
      <c r="M416" s="9"/>
      <c r="N416" s="9"/>
      <c r="O416" s="9"/>
      <c r="P416" s="9">
        <v>0</v>
      </c>
      <c r="Q416" s="9">
        <v>14.41</v>
      </c>
      <c r="R416" s="9">
        <v>0</v>
      </c>
      <c r="S416" s="9">
        <v>14.41</v>
      </c>
      <c r="T416" s="9">
        <v>0</v>
      </c>
      <c r="U416" s="9">
        <v>14.41</v>
      </c>
      <c r="V416" s="9"/>
      <c r="W416" s="9"/>
      <c r="X416" s="9">
        <v>0</v>
      </c>
      <c r="Y416" s="9">
        <v>0</v>
      </c>
      <c r="Z416" s="9"/>
      <c r="AA416" s="9"/>
      <c r="AB416" s="9"/>
      <c r="AC416" s="9"/>
      <c r="AD416" s="9"/>
      <c r="AE416" s="9"/>
      <c r="AF416" s="9"/>
      <c r="AG416" s="9"/>
      <c r="AH416" s="7">
        <v>0</v>
      </c>
      <c r="AI416" s="7">
        <v>0</v>
      </c>
    </row>
    <row r="417" spans="2:35" x14ac:dyDescent="0.3">
      <c r="B417" s="5" t="s">
        <v>3061</v>
      </c>
      <c r="C417" s="5" t="s">
        <v>13</v>
      </c>
      <c r="D417" s="12" t="s">
        <v>14</v>
      </c>
      <c r="E417" s="6" t="s">
        <v>979</v>
      </c>
      <c r="F417" s="13" t="s">
        <v>980</v>
      </c>
      <c r="G417" s="6" t="s">
        <v>155</v>
      </c>
      <c r="H417" s="7" t="str">
        <f t="shared" si="6"/>
        <v>EPC-IPU-A413-01OPERATIONAL</v>
      </c>
      <c r="I417" s="8" t="s">
        <v>49</v>
      </c>
      <c r="J417" s="8" t="s">
        <v>76</v>
      </c>
      <c r="K417" s="8" t="s">
        <v>76</v>
      </c>
      <c r="L417" s="9"/>
      <c r="M417" s="9"/>
      <c r="N417" s="9"/>
      <c r="O417" s="9"/>
      <c r="P417" s="9">
        <v>16400</v>
      </c>
      <c r="Q417" s="9">
        <v>0</v>
      </c>
      <c r="R417" s="9">
        <v>0</v>
      </c>
      <c r="S417" s="9">
        <v>0</v>
      </c>
      <c r="T417" s="9">
        <v>0</v>
      </c>
      <c r="U417" s="9">
        <v>0</v>
      </c>
      <c r="V417" s="9"/>
      <c r="W417" s="9"/>
      <c r="X417" s="9">
        <v>0</v>
      </c>
      <c r="Y417" s="9">
        <v>0</v>
      </c>
      <c r="Z417" s="9"/>
      <c r="AA417" s="9"/>
      <c r="AB417" s="9"/>
      <c r="AC417" s="9"/>
      <c r="AD417" s="9"/>
      <c r="AE417" s="9"/>
      <c r="AF417" s="9"/>
      <c r="AG417" s="9"/>
      <c r="AH417" s="7">
        <v>0</v>
      </c>
      <c r="AI417" s="7">
        <v>0</v>
      </c>
    </row>
    <row r="418" spans="2:35" x14ac:dyDescent="0.3">
      <c r="B418" s="5" t="s">
        <v>3061</v>
      </c>
      <c r="C418" s="5" t="s">
        <v>13</v>
      </c>
      <c r="D418" s="12" t="s">
        <v>619</v>
      </c>
      <c r="E418" s="6" t="s">
        <v>977</v>
      </c>
      <c r="F418" s="13" t="s">
        <v>978</v>
      </c>
      <c r="G418" s="6" t="s">
        <v>566</v>
      </c>
      <c r="H418" s="7" t="str">
        <f t="shared" si="6"/>
        <v>EPC-IPU-L191-05EXTRA LAVORI : Spot</v>
      </c>
      <c r="I418" s="8" t="s">
        <v>24</v>
      </c>
      <c r="J418" s="8" t="s">
        <v>76</v>
      </c>
      <c r="K418" s="8" t="s">
        <v>76</v>
      </c>
      <c r="L418" s="9"/>
      <c r="M418" s="9"/>
      <c r="N418" s="9"/>
      <c r="O418" s="9"/>
      <c r="P418" s="9">
        <v>1612.45</v>
      </c>
      <c r="Q418" s="9">
        <v>0</v>
      </c>
      <c r="R418" s="9">
        <v>1612.45</v>
      </c>
      <c r="S418" s="9">
        <v>0</v>
      </c>
      <c r="T418" s="9">
        <v>1612.45</v>
      </c>
      <c r="U418" s="9">
        <v>0</v>
      </c>
      <c r="V418" s="9"/>
      <c r="W418" s="9"/>
      <c r="X418" s="9">
        <v>0</v>
      </c>
      <c r="Y418" s="9">
        <v>0</v>
      </c>
      <c r="Z418" s="9"/>
      <c r="AA418" s="9"/>
      <c r="AB418" s="9"/>
      <c r="AC418" s="9"/>
      <c r="AD418" s="9"/>
      <c r="AE418" s="9"/>
      <c r="AF418" s="9"/>
      <c r="AG418" s="9"/>
      <c r="AH418" s="7">
        <v>0</v>
      </c>
      <c r="AI418" s="7">
        <v>0</v>
      </c>
    </row>
    <row r="419" spans="2:35" x14ac:dyDescent="0.3">
      <c r="B419" s="5" t="s">
        <v>3061</v>
      </c>
      <c r="C419" s="5" t="s">
        <v>13</v>
      </c>
      <c r="D419" s="12" t="s">
        <v>619</v>
      </c>
      <c r="E419" s="6" t="s">
        <v>981</v>
      </c>
      <c r="F419" s="13" t="s">
        <v>982</v>
      </c>
      <c r="G419" s="6" t="s">
        <v>155</v>
      </c>
      <c r="H419" s="7" t="str">
        <f t="shared" si="6"/>
        <v>EPC-IPU-A413-07EXTRA LAVORI : Spot</v>
      </c>
      <c r="I419" s="8" t="s">
        <v>49</v>
      </c>
      <c r="J419" s="8" t="s">
        <v>76</v>
      </c>
      <c r="K419" s="8" t="s">
        <v>76</v>
      </c>
      <c r="L419" s="9"/>
      <c r="M419" s="9"/>
      <c r="N419" s="9"/>
      <c r="O419" s="9"/>
      <c r="P419" s="9">
        <v>499.86</v>
      </c>
      <c r="Q419" s="9">
        <v>0</v>
      </c>
      <c r="R419" s="9">
        <v>0</v>
      </c>
      <c r="S419" s="9">
        <v>0</v>
      </c>
      <c r="T419" s="9">
        <v>0</v>
      </c>
      <c r="U419" s="9">
        <v>0</v>
      </c>
      <c r="V419" s="9"/>
      <c r="W419" s="9"/>
      <c r="X419" s="9">
        <v>499.86</v>
      </c>
      <c r="Y419" s="9">
        <v>0</v>
      </c>
      <c r="Z419" s="9"/>
      <c r="AA419" s="9"/>
      <c r="AB419" s="9"/>
      <c r="AC419" s="9"/>
      <c r="AD419" s="9"/>
      <c r="AE419" s="9"/>
      <c r="AF419" s="9"/>
      <c r="AG419" s="9"/>
      <c r="AH419" s="7">
        <v>499.86</v>
      </c>
      <c r="AI419" s="7">
        <v>0</v>
      </c>
    </row>
    <row r="420" spans="2:35" x14ac:dyDescent="0.3">
      <c r="B420" s="5" t="s">
        <v>3061</v>
      </c>
      <c r="C420" s="5" t="s">
        <v>13</v>
      </c>
      <c r="D420" s="12" t="s">
        <v>72</v>
      </c>
      <c r="E420" s="6" t="s">
        <v>987</v>
      </c>
      <c r="F420" s="13" t="s">
        <v>988</v>
      </c>
      <c r="G420" s="6" t="s">
        <v>566</v>
      </c>
      <c r="H420" s="7" t="str">
        <f t="shared" si="6"/>
        <v>EPC-IPU-L191-07EXTRA LAVORI</v>
      </c>
      <c r="I420" s="8" t="s">
        <v>24</v>
      </c>
      <c r="J420" s="8" t="s">
        <v>76</v>
      </c>
      <c r="K420" s="8" t="s">
        <v>76</v>
      </c>
      <c r="L420" s="9"/>
      <c r="M420" s="9"/>
      <c r="N420" s="9"/>
      <c r="O420" s="9"/>
      <c r="P420" s="9">
        <v>7456.45</v>
      </c>
      <c r="Q420" s="9">
        <v>0</v>
      </c>
      <c r="R420" s="9">
        <v>0</v>
      </c>
      <c r="S420" s="9">
        <v>0</v>
      </c>
      <c r="T420" s="9">
        <v>0</v>
      </c>
      <c r="U420" s="9">
        <v>0</v>
      </c>
      <c r="V420" s="9"/>
      <c r="W420" s="9"/>
      <c r="X420" s="9">
        <v>0</v>
      </c>
      <c r="Y420" s="9">
        <v>0</v>
      </c>
      <c r="Z420" s="9"/>
      <c r="AA420" s="9"/>
      <c r="AB420" s="9"/>
      <c r="AC420" s="9"/>
      <c r="AD420" s="9"/>
      <c r="AE420" s="9"/>
      <c r="AF420" s="9"/>
      <c r="AG420" s="9"/>
      <c r="AH420" s="7">
        <v>0</v>
      </c>
      <c r="AI420" s="7">
        <v>0</v>
      </c>
    </row>
    <row r="421" spans="2:35" x14ac:dyDescent="0.3">
      <c r="B421" s="5" t="s">
        <v>3061</v>
      </c>
      <c r="C421" s="5" t="s">
        <v>886</v>
      </c>
      <c r="D421" s="12" t="s">
        <v>619</v>
      </c>
      <c r="E421" s="6" t="s">
        <v>911</v>
      </c>
      <c r="F421" s="13" t="s">
        <v>912</v>
      </c>
      <c r="G421" s="6" t="s">
        <v>889</v>
      </c>
      <c r="H421" s="7" t="str">
        <f t="shared" si="6"/>
        <v>EPC-IPU-H090-01EXTRA LAVORI : Spot</v>
      </c>
      <c r="I421" s="8" t="s">
        <v>18</v>
      </c>
      <c r="J421" s="8" t="s">
        <v>76</v>
      </c>
      <c r="K421" s="8" t="s">
        <v>76</v>
      </c>
      <c r="L421" s="9"/>
      <c r="M421" s="9"/>
      <c r="N421" s="9"/>
      <c r="O421" s="9"/>
      <c r="P421" s="9">
        <v>0</v>
      </c>
      <c r="Q421" s="9">
        <v>635.28</v>
      </c>
      <c r="R421" s="9">
        <v>0</v>
      </c>
      <c r="S421" s="9">
        <v>880.4</v>
      </c>
      <c r="T421" s="9">
        <v>0</v>
      </c>
      <c r="U421" s="9">
        <v>4034.4</v>
      </c>
      <c r="V421" s="9"/>
      <c r="W421" s="9"/>
      <c r="X421" s="9">
        <v>0</v>
      </c>
      <c r="Y421" s="9">
        <v>0</v>
      </c>
      <c r="Z421" s="9"/>
      <c r="AA421" s="9"/>
      <c r="AB421" s="9"/>
      <c r="AC421" s="9"/>
      <c r="AD421" s="9"/>
      <c r="AE421" s="9"/>
      <c r="AF421" s="9"/>
      <c r="AG421" s="9"/>
      <c r="AH421" s="7">
        <v>0</v>
      </c>
      <c r="AI421" s="7">
        <v>0</v>
      </c>
    </row>
    <row r="422" spans="2:35" x14ac:dyDescent="0.3">
      <c r="B422" s="5" t="s">
        <v>3061</v>
      </c>
      <c r="C422" s="5" t="s">
        <v>13</v>
      </c>
      <c r="D422" s="12" t="s">
        <v>14</v>
      </c>
      <c r="E422" s="6" t="s">
        <v>1076</v>
      </c>
      <c r="F422" s="13" t="s">
        <v>1077</v>
      </c>
      <c r="G422" s="6" t="s">
        <v>616</v>
      </c>
      <c r="H422" s="7" t="str">
        <f t="shared" si="6"/>
        <v>EPC-IPU-F632-06OPERATIONAL</v>
      </c>
      <c r="I422" s="8" t="s">
        <v>24</v>
      </c>
      <c r="J422" s="8" t="s">
        <v>76</v>
      </c>
      <c r="K422" s="8" t="s">
        <v>76</v>
      </c>
      <c r="L422" s="9"/>
      <c r="M422" s="9"/>
      <c r="N422" s="9"/>
      <c r="O422" s="9"/>
      <c r="P422" s="9"/>
      <c r="Q422" s="9"/>
      <c r="R422" s="9">
        <v>6190</v>
      </c>
      <c r="S422" s="9">
        <v>0</v>
      </c>
      <c r="T422" s="9">
        <v>0</v>
      </c>
      <c r="U422" s="9">
        <v>0</v>
      </c>
      <c r="V422" s="9"/>
      <c r="W422" s="9"/>
      <c r="X422" s="9">
        <v>6190</v>
      </c>
      <c r="Y422" s="9">
        <v>0</v>
      </c>
      <c r="Z422" s="9"/>
      <c r="AA422" s="9"/>
      <c r="AB422" s="9"/>
      <c r="AC422" s="9"/>
      <c r="AD422" s="9"/>
      <c r="AE422" s="9"/>
      <c r="AF422" s="9"/>
      <c r="AG422" s="9"/>
      <c r="AH422" s="7">
        <v>6190</v>
      </c>
      <c r="AI422" s="7">
        <v>0</v>
      </c>
    </row>
    <row r="423" spans="2:35" x14ac:dyDescent="0.3">
      <c r="B423" s="5" t="s">
        <v>3061</v>
      </c>
      <c r="C423" s="5" t="s">
        <v>865</v>
      </c>
      <c r="D423" s="12" t="s">
        <v>14</v>
      </c>
      <c r="E423" s="6" t="s">
        <v>1078</v>
      </c>
      <c r="F423" s="13" t="s">
        <v>1079</v>
      </c>
      <c r="G423" s="6" t="s">
        <v>1080</v>
      </c>
      <c r="H423" s="7" t="str">
        <f t="shared" si="6"/>
        <v>PPP-IPU-F826-01OPERATIONAL</v>
      </c>
      <c r="I423" s="8" t="s">
        <v>56</v>
      </c>
      <c r="J423" s="8" t="s">
        <v>19</v>
      </c>
      <c r="K423" s="8" t="s">
        <v>20</v>
      </c>
      <c r="L423" s="9"/>
      <c r="M423" s="9"/>
      <c r="N423" s="9"/>
      <c r="O423" s="9"/>
      <c r="P423" s="9"/>
      <c r="Q423" s="9"/>
      <c r="R423" s="9">
        <v>0</v>
      </c>
      <c r="S423" s="9">
        <v>10000</v>
      </c>
      <c r="T423" s="9">
        <v>0</v>
      </c>
      <c r="U423" s="9">
        <v>11664.65</v>
      </c>
      <c r="V423" s="9"/>
      <c r="W423" s="9"/>
      <c r="X423" s="9">
        <v>0</v>
      </c>
      <c r="Y423" s="9">
        <v>1664.65</v>
      </c>
      <c r="Z423" s="9"/>
      <c r="AA423" s="9"/>
      <c r="AB423" s="9"/>
      <c r="AC423" s="9"/>
      <c r="AD423" s="9"/>
      <c r="AE423" s="9"/>
      <c r="AF423" s="9"/>
      <c r="AG423" s="9"/>
      <c r="AH423" s="7">
        <v>0</v>
      </c>
      <c r="AI423" s="7">
        <v>1664.65</v>
      </c>
    </row>
    <row r="424" spans="2:35" x14ac:dyDescent="0.3">
      <c r="B424" s="5" t="s">
        <v>3061</v>
      </c>
      <c r="C424" s="5" t="s">
        <v>13</v>
      </c>
      <c r="D424" s="12" t="s">
        <v>619</v>
      </c>
      <c r="E424" s="6" t="s">
        <v>1081</v>
      </c>
      <c r="F424" s="13" t="s">
        <v>1082</v>
      </c>
      <c r="G424" s="6" t="s">
        <v>1083</v>
      </c>
      <c r="H424" s="7" t="str">
        <f t="shared" si="6"/>
        <v>EPC-IPU-G942-10EXTRA LAVORI : Spot</v>
      </c>
      <c r="I424" s="8" t="s">
        <v>18</v>
      </c>
      <c r="J424" s="8" t="s">
        <v>259</v>
      </c>
      <c r="K424" s="8" t="s">
        <v>259</v>
      </c>
      <c r="L424" s="9"/>
      <c r="M424" s="9"/>
      <c r="N424" s="9"/>
      <c r="O424" s="9"/>
      <c r="P424" s="9"/>
      <c r="Q424" s="9"/>
      <c r="R424" s="9">
        <v>0</v>
      </c>
      <c r="S424" s="9">
        <v>740.82999999999993</v>
      </c>
      <c r="T424" s="9">
        <v>1842.9</v>
      </c>
      <c r="U424" s="9">
        <v>740.82999999999993</v>
      </c>
      <c r="V424" s="9"/>
      <c r="W424" s="9"/>
      <c r="X424" s="9">
        <v>0</v>
      </c>
      <c r="Y424" s="9">
        <v>0</v>
      </c>
      <c r="Z424" s="9"/>
      <c r="AA424" s="9"/>
      <c r="AB424" s="9"/>
      <c r="AC424" s="9"/>
      <c r="AD424" s="9"/>
      <c r="AE424" s="9"/>
      <c r="AF424" s="9"/>
      <c r="AG424" s="9"/>
      <c r="AH424" s="7">
        <v>0</v>
      </c>
      <c r="AI424" s="7">
        <v>0</v>
      </c>
    </row>
    <row r="425" spans="2:35" x14ac:dyDescent="0.3">
      <c r="B425" s="5" t="s">
        <v>3061</v>
      </c>
      <c r="C425" s="5" t="s">
        <v>13</v>
      </c>
      <c r="D425" s="12" t="s">
        <v>619</v>
      </c>
      <c r="E425" s="6" t="s">
        <v>1084</v>
      </c>
      <c r="F425" s="13" t="s">
        <v>1085</v>
      </c>
      <c r="G425" s="6" t="s">
        <v>840</v>
      </c>
      <c r="H425" s="7" t="str">
        <f t="shared" si="6"/>
        <v>EPC-IPU-A697-03EXTRA LAVORI : Spot</v>
      </c>
      <c r="I425" s="8" t="s">
        <v>49</v>
      </c>
      <c r="J425" s="8" t="s">
        <v>76</v>
      </c>
      <c r="K425" s="8" t="s">
        <v>76</v>
      </c>
      <c r="L425" s="9"/>
      <c r="M425" s="9"/>
      <c r="N425" s="9"/>
      <c r="O425" s="9"/>
      <c r="P425" s="9"/>
      <c r="Q425" s="9"/>
      <c r="R425" s="9">
        <v>10238.36</v>
      </c>
      <c r="S425" s="9">
        <v>5159.03</v>
      </c>
      <c r="T425" s="9">
        <v>10238.36</v>
      </c>
      <c r="U425" s="9">
        <v>5159.03</v>
      </c>
      <c r="V425" s="9"/>
      <c r="W425" s="9"/>
      <c r="X425" s="9">
        <v>0</v>
      </c>
      <c r="Y425" s="9">
        <v>0</v>
      </c>
      <c r="Z425" s="9"/>
      <c r="AA425" s="9"/>
      <c r="AB425" s="9"/>
      <c r="AC425" s="9"/>
      <c r="AD425" s="9"/>
      <c r="AE425" s="9"/>
      <c r="AF425" s="9"/>
      <c r="AG425" s="9"/>
      <c r="AH425" s="7">
        <v>0</v>
      </c>
      <c r="AI425" s="7">
        <v>0</v>
      </c>
    </row>
    <row r="426" spans="2:35" x14ac:dyDescent="0.3">
      <c r="B426" s="5" t="s">
        <v>3061</v>
      </c>
      <c r="C426" s="5" t="s">
        <v>13</v>
      </c>
      <c r="D426" s="12" t="s">
        <v>619</v>
      </c>
      <c r="E426" s="6" t="s">
        <v>1086</v>
      </c>
      <c r="F426" s="13" t="s">
        <v>1087</v>
      </c>
      <c r="G426" s="6" t="s">
        <v>1088</v>
      </c>
      <c r="H426" s="7" t="str">
        <f t="shared" si="6"/>
        <v>EPC-IPU-E569-04EXTRA LAVORI : Spot</v>
      </c>
      <c r="I426" s="8" t="s">
        <v>49</v>
      </c>
      <c r="J426" s="8" t="s">
        <v>259</v>
      </c>
      <c r="K426" s="8" t="s">
        <v>259</v>
      </c>
      <c r="L426" s="9"/>
      <c r="M426" s="9"/>
      <c r="N426" s="9"/>
      <c r="O426" s="9"/>
      <c r="P426" s="9"/>
      <c r="Q426" s="9"/>
      <c r="R426" s="9">
        <v>789.87</v>
      </c>
      <c r="S426" s="9">
        <v>0</v>
      </c>
      <c r="T426" s="9">
        <v>789.87</v>
      </c>
      <c r="U426" s="9">
        <v>0</v>
      </c>
      <c r="V426" s="9"/>
      <c r="W426" s="9"/>
      <c r="X426" s="9">
        <v>0</v>
      </c>
      <c r="Y426" s="9">
        <v>0</v>
      </c>
      <c r="Z426" s="9"/>
      <c r="AA426" s="9"/>
      <c r="AB426" s="9"/>
      <c r="AC426" s="9"/>
      <c r="AD426" s="9"/>
      <c r="AE426" s="9"/>
      <c r="AF426" s="9"/>
      <c r="AG426" s="9"/>
      <c r="AH426" s="7">
        <v>0</v>
      </c>
      <c r="AI426" s="7">
        <v>0</v>
      </c>
    </row>
    <row r="427" spans="2:35" x14ac:dyDescent="0.3">
      <c r="B427" s="5" t="s">
        <v>3061</v>
      </c>
      <c r="C427" s="5" t="s">
        <v>13</v>
      </c>
      <c r="D427" s="12" t="s">
        <v>619</v>
      </c>
      <c r="E427" s="6" t="s">
        <v>1089</v>
      </c>
      <c r="F427" s="13" t="s">
        <v>1090</v>
      </c>
      <c r="G427" s="6" t="s">
        <v>1091</v>
      </c>
      <c r="H427" s="7" t="str">
        <f t="shared" si="6"/>
        <v>EPC-IPU-I457-01EXTRA LAVORI : Spot</v>
      </c>
      <c r="I427" s="8" t="s">
        <v>18</v>
      </c>
      <c r="J427" s="8" t="s">
        <v>259</v>
      </c>
      <c r="K427" s="8" t="s">
        <v>259</v>
      </c>
      <c r="L427" s="9"/>
      <c r="M427" s="9"/>
      <c r="N427" s="9"/>
      <c r="O427" s="9"/>
      <c r="P427" s="9"/>
      <c r="Q427" s="9"/>
      <c r="R427" s="9">
        <v>3136.5</v>
      </c>
      <c r="S427" s="9">
        <v>0</v>
      </c>
      <c r="T427" s="9">
        <v>3136.5</v>
      </c>
      <c r="U427" s="9">
        <v>0</v>
      </c>
      <c r="V427" s="9"/>
      <c r="W427" s="9"/>
      <c r="X427" s="9">
        <v>0</v>
      </c>
      <c r="Y427" s="9">
        <v>0</v>
      </c>
      <c r="Z427" s="9"/>
      <c r="AA427" s="9"/>
      <c r="AB427" s="9"/>
      <c r="AC427" s="9"/>
      <c r="AD427" s="9"/>
      <c r="AE427" s="9"/>
      <c r="AF427" s="9"/>
      <c r="AG427" s="9"/>
      <c r="AH427" s="7">
        <v>0</v>
      </c>
      <c r="AI427" s="7">
        <v>0</v>
      </c>
    </row>
    <row r="428" spans="2:35" x14ac:dyDescent="0.3">
      <c r="B428" s="5" t="s">
        <v>3061</v>
      </c>
      <c r="C428" s="5" t="s">
        <v>13</v>
      </c>
      <c r="D428" s="12" t="s">
        <v>619</v>
      </c>
      <c r="E428" s="6" t="s">
        <v>1092</v>
      </c>
      <c r="F428" s="13" t="s">
        <v>1093</v>
      </c>
      <c r="G428" s="6" t="s">
        <v>1094</v>
      </c>
      <c r="H428" s="7" t="str">
        <f t="shared" si="6"/>
        <v>EPC-IPU-L219-01EXTRA LAVORI : Spot</v>
      </c>
      <c r="I428" s="8" t="s">
        <v>49</v>
      </c>
      <c r="J428" s="8" t="s">
        <v>259</v>
      </c>
      <c r="K428" s="8" t="s">
        <v>259</v>
      </c>
      <c r="L428" s="9"/>
      <c r="M428" s="9"/>
      <c r="N428" s="9"/>
      <c r="O428" s="9"/>
      <c r="P428" s="9"/>
      <c r="Q428" s="9"/>
      <c r="R428" s="9">
        <v>772.5</v>
      </c>
      <c r="S428" s="9">
        <v>0</v>
      </c>
      <c r="T428" s="9">
        <v>772.5</v>
      </c>
      <c r="U428" s="9">
        <v>0</v>
      </c>
      <c r="V428" s="9"/>
      <c r="W428" s="9"/>
      <c r="X428" s="9">
        <v>0</v>
      </c>
      <c r="Y428" s="9">
        <v>0</v>
      </c>
      <c r="Z428" s="9"/>
      <c r="AA428" s="9"/>
      <c r="AB428" s="9"/>
      <c r="AC428" s="9"/>
      <c r="AD428" s="9"/>
      <c r="AE428" s="9"/>
      <c r="AF428" s="9"/>
      <c r="AG428" s="9"/>
      <c r="AH428" s="7">
        <v>0</v>
      </c>
      <c r="AI428" s="7">
        <v>0</v>
      </c>
    </row>
    <row r="429" spans="2:35" x14ac:dyDescent="0.3">
      <c r="B429" s="5" t="s">
        <v>3061</v>
      </c>
      <c r="C429" s="5" t="s">
        <v>13</v>
      </c>
      <c r="D429" s="12" t="s">
        <v>619</v>
      </c>
      <c r="E429" s="6" t="s">
        <v>1095</v>
      </c>
      <c r="F429" s="13" t="s">
        <v>1096</v>
      </c>
      <c r="G429" s="6" t="s">
        <v>1097</v>
      </c>
      <c r="H429" s="7" t="str">
        <f t="shared" si="6"/>
        <v>EPC-IPU-C717-03EXTRA LAVORI : Spot</v>
      </c>
      <c r="I429" s="8" t="s">
        <v>18</v>
      </c>
      <c r="J429" s="8" t="s">
        <v>259</v>
      </c>
      <c r="K429" s="8" t="s">
        <v>259</v>
      </c>
      <c r="L429" s="9"/>
      <c r="M429" s="9"/>
      <c r="N429" s="9"/>
      <c r="O429" s="9"/>
      <c r="P429" s="9"/>
      <c r="Q429" s="9"/>
      <c r="R429" s="9">
        <v>830.2</v>
      </c>
      <c r="S429" s="9">
        <v>0</v>
      </c>
      <c r="T429" s="9">
        <v>830.2</v>
      </c>
      <c r="U429" s="9">
        <v>0</v>
      </c>
      <c r="V429" s="9"/>
      <c r="W429" s="9"/>
      <c r="X429" s="9">
        <v>0</v>
      </c>
      <c r="Y429" s="9">
        <v>0</v>
      </c>
      <c r="Z429" s="9"/>
      <c r="AA429" s="9"/>
      <c r="AB429" s="9"/>
      <c r="AC429" s="9"/>
      <c r="AD429" s="9"/>
      <c r="AE429" s="9"/>
      <c r="AF429" s="9"/>
      <c r="AG429" s="9"/>
      <c r="AH429" s="7">
        <v>0</v>
      </c>
      <c r="AI429" s="7">
        <v>0</v>
      </c>
    </row>
    <row r="430" spans="2:35" x14ac:dyDescent="0.3">
      <c r="B430" s="5" t="s">
        <v>3061</v>
      </c>
      <c r="C430" s="5" t="s">
        <v>13</v>
      </c>
      <c r="D430" s="12" t="s">
        <v>619</v>
      </c>
      <c r="E430" s="6" t="s">
        <v>1098</v>
      </c>
      <c r="F430" s="13" t="s">
        <v>1099</v>
      </c>
      <c r="G430" s="6" t="s">
        <v>1100</v>
      </c>
      <c r="H430" s="7" t="str">
        <f t="shared" si="6"/>
        <v>EPC-IPU-A413-08EXTRA LAVORI : Spot</v>
      </c>
      <c r="I430" s="8" t="s">
        <v>49</v>
      </c>
      <c r="J430" s="8" t="s">
        <v>259</v>
      </c>
      <c r="K430" s="8" t="s">
        <v>259</v>
      </c>
      <c r="L430" s="9"/>
      <c r="M430" s="9"/>
      <c r="N430" s="9"/>
      <c r="O430" s="9"/>
      <c r="P430" s="9"/>
      <c r="Q430" s="9"/>
      <c r="R430" s="9">
        <v>6250</v>
      </c>
      <c r="S430" s="9">
        <v>0</v>
      </c>
      <c r="T430" s="9">
        <v>12500</v>
      </c>
      <c r="U430" s="9">
        <v>760</v>
      </c>
      <c r="V430" s="9"/>
      <c r="W430" s="9"/>
      <c r="X430" s="9">
        <v>0</v>
      </c>
      <c r="Y430" s="9">
        <v>0</v>
      </c>
      <c r="Z430" s="9"/>
      <c r="AA430" s="9"/>
      <c r="AB430" s="9"/>
      <c r="AC430" s="9"/>
      <c r="AD430" s="9"/>
      <c r="AE430" s="9"/>
      <c r="AF430" s="9"/>
      <c r="AG430" s="9"/>
      <c r="AH430" s="7">
        <v>0</v>
      </c>
      <c r="AI430" s="7">
        <v>0</v>
      </c>
    </row>
    <row r="431" spans="2:35" x14ac:dyDescent="0.3">
      <c r="B431" s="5" t="s">
        <v>3061</v>
      </c>
      <c r="C431" s="5" t="s">
        <v>13</v>
      </c>
      <c r="D431" s="12" t="s">
        <v>619</v>
      </c>
      <c r="E431" s="6" t="s">
        <v>1101</v>
      </c>
      <c r="F431" s="13" t="s">
        <v>1102</v>
      </c>
      <c r="G431" s="6" t="s">
        <v>1103</v>
      </c>
      <c r="H431" s="7" t="str">
        <f t="shared" si="6"/>
        <v>EPC-IPU-E976-08EXTRA LAVORI : Spot</v>
      </c>
      <c r="I431" s="8" t="s">
        <v>18</v>
      </c>
      <c r="J431" s="8" t="s">
        <v>259</v>
      </c>
      <c r="K431" s="8" t="s">
        <v>259</v>
      </c>
      <c r="L431" s="9"/>
      <c r="M431" s="9"/>
      <c r="N431" s="9"/>
      <c r="O431" s="9"/>
      <c r="P431" s="9"/>
      <c r="Q431" s="9"/>
      <c r="R431" s="9">
        <v>464.09</v>
      </c>
      <c r="S431" s="9">
        <v>0</v>
      </c>
      <c r="T431" s="9">
        <v>464.09</v>
      </c>
      <c r="U431" s="9">
        <v>0</v>
      </c>
      <c r="V431" s="9"/>
      <c r="W431" s="9"/>
      <c r="X431" s="9">
        <v>0</v>
      </c>
      <c r="Y431" s="9">
        <v>0</v>
      </c>
      <c r="Z431" s="9"/>
      <c r="AA431" s="9"/>
      <c r="AB431" s="9"/>
      <c r="AC431" s="9"/>
      <c r="AD431" s="9"/>
      <c r="AE431" s="9"/>
      <c r="AF431" s="9"/>
      <c r="AG431" s="9"/>
      <c r="AH431" s="7">
        <v>0</v>
      </c>
      <c r="AI431" s="7">
        <v>0</v>
      </c>
    </row>
    <row r="432" spans="2:35" x14ac:dyDescent="0.3">
      <c r="B432" s="5" t="s">
        <v>3061</v>
      </c>
      <c r="C432" s="5" t="s">
        <v>13</v>
      </c>
      <c r="D432" s="12" t="s">
        <v>619</v>
      </c>
      <c r="E432" s="6" t="s">
        <v>1104</v>
      </c>
      <c r="F432" s="13" t="s">
        <v>1105</v>
      </c>
      <c r="G432" s="6" t="s">
        <v>1106</v>
      </c>
      <c r="H432" s="7" t="str">
        <f t="shared" si="6"/>
        <v>EPC-IPU-A488-02EXTRA LAVORI : Spot</v>
      </c>
      <c r="I432" s="8" t="s">
        <v>24</v>
      </c>
      <c r="J432" s="8" t="s">
        <v>259</v>
      </c>
      <c r="K432" s="8" t="s">
        <v>259</v>
      </c>
      <c r="L432" s="9"/>
      <c r="M432" s="9"/>
      <c r="N432" s="9"/>
      <c r="O432" s="9"/>
      <c r="P432" s="9"/>
      <c r="Q432" s="9"/>
      <c r="R432" s="9">
        <v>350</v>
      </c>
      <c r="S432" s="9">
        <v>0</v>
      </c>
      <c r="T432" s="9">
        <v>350</v>
      </c>
      <c r="U432" s="9">
        <v>0</v>
      </c>
      <c r="V432" s="9"/>
      <c r="W432" s="9"/>
      <c r="X432" s="9">
        <v>0</v>
      </c>
      <c r="Y432" s="9">
        <v>0</v>
      </c>
      <c r="Z432" s="9"/>
      <c r="AA432" s="9"/>
      <c r="AB432" s="9"/>
      <c r="AC432" s="9"/>
      <c r="AD432" s="9"/>
      <c r="AE432" s="9"/>
      <c r="AF432" s="9"/>
      <c r="AG432" s="9"/>
      <c r="AH432" s="7">
        <v>0</v>
      </c>
      <c r="AI432" s="7">
        <v>0</v>
      </c>
    </row>
    <row r="433" spans="2:35" x14ac:dyDescent="0.3">
      <c r="B433" s="5" t="s">
        <v>3061</v>
      </c>
      <c r="C433" s="5" t="s">
        <v>13</v>
      </c>
      <c r="D433" s="12" t="s">
        <v>72</v>
      </c>
      <c r="E433" s="6" t="s">
        <v>1107</v>
      </c>
      <c r="F433" s="13" t="s">
        <v>1108</v>
      </c>
      <c r="G433" s="6" t="s">
        <v>1109</v>
      </c>
      <c r="H433" s="7" t="str">
        <f t="shared" si="6"/>
        <v>EPC-IPU-H602-02EXTRA LAVORI</v>
      </c>
      <c r="I433" s="8" t="s">
        <v>49</v>
      </c>
      <c r="J433" s="8" t="s">
        <v>76</v>
      </c>
      <c r="K433" s="8" t="s">
        <v>76</v>
      </c>
      <c r="L433" s="9"/>
      <c r="M433" s="9"/>
      <c r="N433" s="9"/>
      <c r="O433" s="9"/>
      <c r="P433" s="9"/>
      <c r="Q433" s="9"/>
      <c r="R433" s="9">
        <v>0</v>
      </c>
      <c r="S433" s="9">
        <v>516</v>
      </c>
      <c r="T433" s="9">
        <v>0</v>
      </c>
      <c r="U433" s="9">
        <v>516</v>
      </c>
      <c r="V433" s="9"/>
      <c r="W433" s="9"/>
      <c r="X433" s="9">
        <v>0</v>
      </c>
      <c r="Y433" s="9">
        <v>516</v>
      </c>
      <c r="Z433" s="9"/>
      <c r="AA433" s="9"/>
      <c r="AB433" s="9"/>
      <c r="AC433" s="9"/>
      <c r="AD433" s="9"/>
      <c r="AE433" s="9"/>
      <c r="AF433" s="9"/>
      <c r="AG433" s="9"/>
      <c r="AH433" s="7">
        <v>0</v>
      </c>
      <c r="AI433" s="7">
        <v>516</v>
      </c>
    </row>
    <row r="434" spans="2:35" x14ac:dyDescent="0.3">
      <c r="B434" s="5" t="s">
        <v>3061</v>
      </c>
      <c r="C434" s="5" t="s">
        <v>13</v>
      </c>
      <c r="D434" s="12" t="s">
        <v>72</v>
      </c>
      <c r="E434" s="6" t="s">
        <v>1110</v>
      </c>
      <c r="F434" s="13" t="s">
        <v>1111</v>
      </c>
      <c r="G434" s="6" t="s">
        <v>822</v>
      </c>
      <c r="H434" s="7" t="str">
        <f t="shared" si="6"/>
        <v>EPC-IPU-F704-01EXTRA LAVORI</v>
      </c>
      <c r="I434" s="8" t="s">
        <v>49</v>
      </c>
      <c r="J434" s="8" t="s">
        <v>259</v>
      </c>
      <c r="K434" s="8" t="s">
        <v>259</v>
      </c>
      <c r="L434" s="9"/>
      <c r="M434" s="9"/>
      <c r="N434" s="9"/>
      <c r="O434" s="9"/>
      <c r="P434" s="9"/>
      <c r="Q434" s="9"/>
      <c r="R434" s="9">
        <v>0</v>
      </c>
      <c r="S434" s="9">
        <v>919</v>
      </c>
      <c r="T434" s="9">
        <v>0</v>
      </c>
      <c r="U434" s="9">
        <v>919</v>
      </c>
      <c r="V434" s="9"/>
      <c r="W434" s="9"/>
      <c r="X434" s="9">
        <v>0</v>
      </c>
      <c r="Y434" s="9">
        <v>919</v>
      </c>
      <c r="Z434" s="9"/>
      <c r="AA434" s="9"/>
      <c r="AB434" s="9"/>
      <c r="AC434" s="9"/>
      <c r="AD434" s="9"/>
      <c r="AE434" s="9"/>
      <c r="AF434" s="9"/>
      <c r="AG434" s="9"/>
      <c r="AH434" s="7">
        <v>0</v>
      </c>
      <c r="AI434" s="7">
        <v>919</v>
      </c>
    </row>
    <row r="435" spans="2:35" x14ac:dyDescent="0.3">
      <c r="B435" s="5" t="s">
        <v>3061</v>
      </c>
      <c r="C435" s="5" t="s">
        <v>13</v>
      </c>
      <c r="D435" s="12" t="s">
        <v>72</v>
      </c>
      <c r="E435" s="6" t="s">
        <v>1112</v>
      </c>
      <c r="F435" s="13" t="s">
        <v>1113</v>
      </c>
      <c r="G435" s="6" t="s">
        <v>616</v>
      </c>
      <c r="H435" s="7" t="str">
        <f t="shared" si="6"/>
        <v>EPC-IPU-F632-04EXTRA LAVORI</v>
      </c>
      <c r="I435" s="8" t="s">
        <v>24</v>
      </c>
      <c r="J435" s="8" t="s">
        <v>76</v>
      </c>
      <c r="K435" s="8" t="s">
        <v>76</v>
      </c>
      <c r="L435" s="9"/>
      <c r="M435" s="9"/>
      <c r="N435" s="9"/>
      <c r="O435" s="9"/>
      <c r="P435" s="9"/>
      <c r="Q435" s="9"/>
      <c r="R435" s="9">
        <v>0</v>
      </c>
      <c r="S435" s="9">
        <v>5704.62</v>
      </c>
      <c r="T435" s="9">
        <v>0</v>
      </c>
      <c r="U435" s="9">
        <v>5704.62</v>
      </c>
      <c r="V435" s="9"/>
      <c r="W435" s="9"/>
      <c r="X435" s="9">
        <v>0</v>
      </c>
      <c r="Y435" s="9">
        <v>5704.62</v>
      </c>
      <c r="Z435" s="9"/>
      <c r="AA435" s="9"/>
      <c r="AB435" s="9"/>
      <c r="AC435" s="9"/>
      <c r="AD435" s="9"/>
      <c r="AE435" s="9"/>
      <c r="AF435" s="9"/>
      <c r="AG435" s="9"/>
      <c r="AH435" s="7">
        <v>0</v>
      </c>
      <c r="AI435" s="7">
        <v>5704.62</v>
      </c>
    </row>
    <row r="436" spans="2:35" x14ac:dyDescent="0.3">
      <c r="B436" s="5" t="s">
        <v>3061</v>
      </c>
      <c r="C436" s="5" t="s">
        <v>13</v>
      </c>
      <c r="D436" s="12" t="s">
        <v>72</v>
      </c>
      <c r="E436" s="6" t="s">
        <v>1114</v>
      </c>
      <c r="F436" s="13" t="s">
        <v>1115</v>
      </c>
      <c r="G436" s="6" t="s">
        <v>125</v>
      </c>
      <c r="H436" s="7" t="str">
        <f t="shared" si="6"/>
        <v>EPC-IPU-D869-03EXTRA LAVORI</v>
      </c>
      <c r="I436" s="8" t="s">
        <v>49</v>
      </c>
      <c r="J436" s="8" t="s">
        <v>76</v>
      </c>
      <c r="K436" s="8" t="s">
        <v>76</v>
      </c>
      <c r="L436" s="9"/>
      <c r="M436" s="9"/>
      <c r="N436" s="9"/>
      <c r="O436" s="9"/>
      <c r="P436" s="9"/>
      <c r="Q436" s="9"/>
      <c r="R436" s="9">
        <v>3195.16</v>
      </c>
      <c r="S436" s="9">
        <v>0</v>
      </c>
      <c r="T436" s="9">
        <v>6390.32</v>
      </c>
      <c r="U436" s="9">
        <v>0</v>
      </c>
      <c r="V436" s="9"/>
      <c r="W436" s="9"/>
      <c r="X436" s="9">
        <v>3195.16</v>
      </c>
      <c r="Y436" s="9">
        <v>0</v>
      </c>
      <c r="Z436" s="9"/>
      <c r="AA436" s="9"/>
      <c r="AB436" s="9"/>
      <c r="AC436" s="9"/>
      <c r="AD436" s="9"/>
      <c r="AE436" s="9"/>
      <c r="AF436" s="9"/>
      <c r="AG436" s="9"/>
      <c r="AH436" s="7">
        <v>3195.16</v>
      </c>
      <c r="AI436" s="7">
        <v>0</v>
      </c>
    </row>
    <row r="437" spans="2:35" x14ac:dyDescent="0.3">
      <c r="B437" s="5" t="s">
        <v>3061</v>
      </c>
      <c r="C437" s="5" t="s">
        <v>13</v>
      </c>
      <c r="D437" s="12" t="s">
        <v>72</v>
      </c>
      <c r="E437" s="6" t="s">
        <v>1116</v>
      </c>
      <c r="F437" s="13" t="s">
        <v>1117</v>
      </c>
      <c r="G437" s="6" t="s">
        <v>158</v>
      </c>
      <c r="H437" s="7" t="str">
        <f t="shared" si="6"/>
        <v>EPC-IPU-F952-04EXTRA LAVORI</v>
      </c>
      <c r="I437" s="8" t="s">
        <v>49</v>
      </c>
      <c r="J437" s="8" t="s">
        <v>76</v>
      </c>
      <c r="K437" s="8" t="s">
        <v>76</v>
      </c>
      <c r="L437" s="9"/>
      <c r="M437" s="9"/>
      <c r="N437" s="9"/>
      <c r="O437" s="9"/>
      <c r="P437" s="9"/>
      <c r="Q437" s="9"/>
      <c r="R437" s="9">
        <v>2796.51</v>
      </c>
      <c r="S437" s="9">
        <v>0</v>
      </c>
      <c r="T437" s="9">
        <v>2796.51</v>
      </c>
      <c r="U437" s="9">
        <v>0</v>
      </c>
      <c r="V437" s="9"/>
      <c r="W437" s="9"/>
      <c r="X437" s="9">
        <v>2796.51</v>
      </c>
      <c r="Y437" s="9">
        <v>0</v>
      </c>
      <c r="Z437" s="9"/>
      <c r="AA437" s="9"/>
      <c r="AB437" s="9"/>
      <c r="AC437" s="9"/>
      <c r="AD437" s="9"/>
      <c r="AE437" s="9"/>
      <c r="AF437" s="9"/>
      <c r="AG437" s="9"/>
      <c r="AH437" s="7">
        <v>2796.51</v>
      </c>
      <c r="AI437" s="7">
        <v>0</v>
      </c>
    </row>
    <row r="438" spans="2:35" x14ac:dyDescent="0.3">
      <c r="B438" s="5" t="s">
        <v>3061</v>
      </c>
      <c r="C438" s="5" t="s">
        <v>13</v>
      </c>
      <c r="D438" s="12" t="s">
        <v>72</v>
      </c>
      <c r="E438" s="6" t="s">
        <v>1118</v>
      </c>
      <c r="F438" s="13" t="s">
        <v>1119</v>
      </c>
      <c r="G438" s="6" t="s">
        <v>45</v>
      </c>
      <c r="H438" s="7" t="str">
        <f t="shared" si="6"/>
        <v>EPC-IPU-E716-06EXTRA LAVORI</v>
      </c>
      <c r="I438" s="8" t="s">
        <v>18</v>
      </c>
      <c r="J438" s="8" t="s">
        <v>76</v>
      </c>
      <c r="K438" s="8" t="s">
        <v>76</v>
      </c>
      <c r="L438" s="9"/>
      <c r="M438" s="9"/>
      <c r="N438" s="9"/>
      <c r="O438" s="9"/>
      <c r="P438" s="9"/>
      <c r="Q438" s="9"/>
      <c r="R438" s="9">
        <v>48566.080000000002</v>
      </c>
      <c r="S438" s="9">
        <v>40471.730000000003</v>
      </c>
      <c r="T438" s="9">
        <v>83319.03</v>
      </c>
      <c r="U438" s="9">
        <v>30452.210000000003</v>
      </c>
      <c r="V438" s="9"/>
      <c r="W438" s="9"/>
      <c r="X438" s="9">
        <v>83319.03</v>
      </c>
      <c r="Y438" s="9">
        <v>30828.1</v>
      </c>
      <c r="Z438" s="9"/>
      <c r="AA438" s="9"/>
      <c r="AB438" s="9"/>
      <c r="AC438" s="9"/>
      <c r="AD438" s="9"/>
      <c r="AE438" s="9"/>
      <c r="AF438" s="9"/>
      <c r="AG438" s="9"/>
      <c r="AH438" s="7">
        <v>83319.03</v>
      </c>
      <c r="AI438" s="7">
        <v>30828.1</v>
      </c>
    </row>
    <row r="439" spans="2:35" x14ac:dyDescent="0.3">
      <c r="B439" s="5" t="s">
        <v>3061</v>
      </c>
      <c r="C439" s="5" t="s">
        <v>13</v>
      </c>
      <c r="D439" s="12" t="s">
        <v>72</v>
      </c>
      <c r="E439" s="6" t="s">
        <v>1120</v>
      </c>
      <c r="F439" s="13" t="s">
        <v>1121</v>
      </c>
      <c r="G439" s="6" t="s">
        <v>450</v>
      </c>
      <c r="H439" s="7" t="str">
        <f t="shared" si="6"/>
        <v>EPC-IPU-F348-07EXTRA LAVORI</v>
      </c>
      <c r="I439" s="8" t="s">
        <v>24</v>
      </c>
      <c r="J439" s="8" t="s">
        <v>76</v>
      </c>
      <c r="K439" s="8" t="s">
        <v>76</v>
      </c>
      <c r="L439" s="9"/>
      <c r="M439" s="9"/>
      <c r="N439" s="9"/>
      <c r="O439" s="9"/>
      <c r="P439" s="9"/>
      <c r="Q439" s="9"/>
      <c r="R439" s="9">
        <v>12295.08</v>
      </c>
      <c r="S439" s="9">
        <v>0</v>
      </c>
      <c r="T439" s="9">
        <v>12295.08</v>
      </c>
      <c r="U439" s="9">
        <v>6540</v>
      </c>
      <c r="V439" s="9"/>
      <c r="W439" s="9"/>
      <c r="X439" s="9">
        <v>12295.08</v>
      </c>
      <c r="Y439" s="9">
        <v>6540</v>
      </c>
      <c r="Z439" s="9"/>
      <c r="AA439" s="9"/>
      <c r="AB439" s="9"/>
      <c r="AC439" s="9"/>
      <c r="AD439" s="9"/>
      <c r="AE439" s="9"/>
      <c r="AF439" s="9"/>
      <c r="AG439" s="9"/>
      <c r="AH439" s="7">
        <v>12295.08</v>
      </c>
      <c r="AI439" s="7">
        <v>6540</v>
      </c>
    </row>
    <row r="440" spans="2:35" x14ac:dyDescent="0.3">
      <c r="B440" s="5" t="s">
        <v>3061</v>
      </c>
      <c r="C440" s="5" t="s">
        <v>13</v>
      </c>
      <c r="D440" s="12" t="s">
        <v>72</v>
      </c>
      <c r="E440" s="6" t="s">
        <v>1122</v>
      </c>
      <c r="F440" s="13" t="s">
        <v>1123</v>
      </c>
      <c r="G440" s="6" t="s">
        <v>217</v>
      </c>
      <c r="H440" s="7" t="str">
        <f t="shared" si="6"/>
        <v>EPC-IPU-H930-04EXTRA LAVORI</v>
      </c>
      <c r="I440" s="8" t="s">
        <v>49</v>
      </c>
      <c r="J440" s="8" t="s">
        <v>76</v>
      </c>
      <c r="K440" s="8" t="s">
        <v>76</v>
      </c>
      <c r="L440" s="9"/>
      <c r="M440" s="9"/>
      <c r="N440" s="9"/>
      <c r="O440" s="9"/>
      <c r="P440" s="9"/>
      <c r="Q440" s="9"/>
      <c r="R440" s="9">
        <v>15853.81</v>
      </c>
      <c r="S440" s="9">
        <v>0</v>
      </c>
      <c r="T440" s="9">
        <v>16038.98</v>
      </c>
      <c r="U440" s="9">
        <v>0</v>
      </c>
      <c r="V440" s="9"/>
      <c r="W440" s="9"/>
      <c r="X440" s="9">
        <v>0</v>
      </c>
      <c r="Y440" s="9">
        <v>0</v>
      </c>
      <c r="Z440" s="9"/>
      <c r="AA440" s="9"/>
      <c r="AB440" s="9"/>
      <c r="AC440" s="9"/>
      <c r="AD440" s="9"/>
      <c r="AE440" s="9"/>
      <c r="AF440" s="9"/>
      <c r="AG440" s="9"/>
      <c r="AH440" s="7">
        <v>0</v>
      </c>
      <c r="AI440" s="7">
        <v>0</v>
      </c>
    </row>
    <row r="441" spans="2:35" x14ac:dyDescent="0.3">
      <c r="B441" s="5" t="s">
        <v>3061</v>
      </c>
      <c r="C441" s="5" t="s">
        <v>13</v>
      </c>
      <c r="D441" s="12" t="s">
        <v>72</v>
      </c>
      <c r="E441" s="6" t="s">
        <v>1124</v>
      </c>
      <c r="F441" s="13" t="s">
        <v>1125</v>
      </c>
      <c r="G441" s="6" t="s">
        <v>616</v>
      </c>
      <c r="H441" s="7" t="str">
        <f t="shared" si="6"/>
        <v>EPC-IPU-F632-05EXTRA LAVORI</v>
      </c>
      <c r="I441" s="8" t="s">
        <v>24</v>
      </c>
      <c r="J441" s="8" t="s">
        <v>76</v>
      </c>
      <c r="K441" s="8" t="s">
        <v>76</v>
      </c>
      <c r="L441" s="9"/>
      <c r="M441" s="9"/>
      <c r="N441" s="9"/>
      <c r="O441" s="9"/>
      <c r="P441" s="9"/>
      <c r="Q441" s="9"/>
      <c r="R441" s="9">
        <v>0</v>
      </c>
      <c r="S441" s="9">
        <v>8900</v>
      </c>
      <c r="T441" s="9">
        <v>0</v>
      </c>
      <c r="U441" s="9">
        <v>8900</v>
      </c>
      <c r="V441" s="9"/>
      <c r="W441" s="9"/>
      <c r="X441" s="9">
        <v>0</v>
      </c>
      <c r="Y441" s="9">
        <v>8900</v>
      </c>
      <c r="Z441" s="9"/>
      <c r="AA441" s="9"/>
      <c r="AB441" s="9"/>
      <c r="AC441" s="9"/>
      <c r="AD441" s="9"/>
      <c r="AE441" s="9"/>
      <c r="AF441" s="9"/>
      <c r="AG441" s="9"/>
      <c r="AH441" s="7">
        <v>0</v>
      </c>
      <c r="AI441" s="7">
        <v>8900</v>
      </c>
    </row>
    <row r="442" spans="2:35" x14ac:dyDescent="0.3">
      <c r="B442" s="5" t="s">
        <v>3061</v>
      </c>
      <c r="C442" s="5" t="s">
        <v>13</v>
      </c>
      <c r="D442" s="12" t="s">
        <v>72</v>
      </c>
      <c r="E442" s="6" t="s">
        <v>1126</v>
      </c>
      <c r="F442" s="13" t="s">
        <v>1127</v>
      </c>
      <c r="G442" s="6" t="s">
        <v>360</v>
      </c>
      <c r="H442" s="7" t="str">
        <f t="shared" si="6"/>
        <v>EPC-IPU-C888-02EXTRA LAVORI</v>
      </c>
      <c r="I442" s="8" t="s">
        <v>18</v>
      </c>
      <c r="J442" s="8" t="s">
        <v>76</v>
      </c>
      <c r="K442" s="8" t="s">
        <v>76</v>
      </c>
      <c r="L442" s="9"/>
      <c r="M442" s="9"/>
      <c r="N442" s="9"/>
      <c r="O442" s="9"/>
      <c r="P442" s="9"/>
      <c r="Q442" s="9"/>
      <c r="R442" s="9">
        <v>8612.8799999999992</v>
      </c>
      <c r="S442" s="9">
        <v>0</v>
      </c>
      <c r="T442" s="9">
        <v>8612.8799999999992</v>
      </c>
      <c r="U442" s="9">
        <v>0</v>
      </c>
      <c r="V442" s="9"/>
      <c r="W442" s="9"/>
      <c r="X442" s="9">
        <v>8612.8799999999992</v>
      </c>
      <c r="Y442" s="9">
        <v>0</v>
      </c>
      <c r="Z442" s="9"/>
      <c r="AA442" s="9"/>
      <c r="AB442" s="9"/>
      <c r="AC442" s="9"/>
      <c r="AD442" s="9"/>
      <c r="AE442" s="9"/>
      <c r="AF442" s="9"/>
      <c r="AG442" s="9"/>
      <c r="AH442" s="7">
        <v>8612.8799999999992</v>
      </c>
      <c r="AI442" s="7">
        <v>0</v>
      </c>
    </row>
    <row r="443" spans="2:35" x14ac:dyDescent="0.3">
      <c r="B443" s="5" t="s">
        <v>3061</v>
      </c>
      <c r="C443" s="5" t="s">
        <v>13</v>
      </c>
      <c r="D443" s="12" t="s">
        <v>619</v>
      </c>
      <c r="E443" s="6" t="s">
        <v>995</v>
      </c>
      <c r="F443" s="13" t="s">
        <v>996</v>
      </c>
      <c r="G443" s="6" t="s">
        <v>566</v>
      </c>
      <c r="H443" s="7" t="str">
        <f t="shared" si="6"/>
        <v>EPC-IPU-L191-06EXTRA LAVORI : Spot</v>
      </c>
      <c r="I443" s="8" t="s">
        <v>24</v>
      </c>
      <c r="J443" s="8" t="s">
        <v>76</v>
      </c>
      <c r="K443" s="8" t="s">
        <v>76</v>
      </c>
      <c r="L443" s="9"/>
      <c r="M443" s="9"/>
      <c r="N443" s="9"/>
      <c r="O443" s="9"/>
      <c r="P443" s="9"/>
      <c r="Q443" s="9"/>
      <c r="R443" s="9">
        <v>1886.45</v>
      </c>
      <c r="S443" s="9">
        <v>0</v>
      </c>
      <c r="T443" s="9">
        <v>1886.45</v>
      </c>
      <c r="U443" s="9">
        <v>0</v>
      </c>
      <c r="V443" s="9"/>
      <c r="W443" s="9"/>
      <c r="X443" s="9">
        <v>0</v>
      </c>
      <c r="Y443" s="9">
        <v>0</v>
      </c>
      <c r="Z443" s="9"/>
      <c r="AA443" s="9"/>
      <c r="AB443" s="9"/>
      <c r="AC443" s="9"/>
      <c r="AD443" s="9"/>
      <c r="AE443" s="9"/>
      <c r="AF443" s="9"/>
      <c r="AG443" s="9"/>
      <c r="AH443" s="7">
        <v>0</v>
      </c>
      <c r="AI443" s="7">
        <v>0</v>
      </c>
    </row>
    <row r="444" spans="2:35" x14ac:dyDescent="0.3">
      <c r="B444" s="5" t="s">
        <v>3061</v>
      </c>
      <c r="C444" s="5" t="s">
        <v>13</v>
      </c>
      <c r="D444" s="12" t="s">
        <v>619</v>
      </c>
      <c r="E444" s="6" t="s">
        <v>955</v>
      </c>
      <c r="F444" s="13" t="s">
        <v>956</v>
      </c>
      <c r="G444" s="6" t="s">
        <v>795</v>
      </c>
      <c r="H444" s="7" t="str">
        <f t="shared" si="6"/>
        <v>EPC-IPU-G283-01EXTRA LAVORI : Spot</v>
      </c>
      <c r="I444" s="8" t="s">
        <v>18</v>
      </c>
      <c r="J444" s="8" t="s">
        <v>76</v>
      </c>
      <c r="K444" s="8" t="s">
        <v>76</v>
      </c>
      <c r="L444" s="9"/>
      <c r="M444" s="9"/>
      <c r="N444" s="9">
        <v>2712.62</v>
      </c>
      <c r="O444" s="9">
        <v>0</v>
      </c>
      <c r="P444" s="9">
        <v>2712.62</v>
      </c>
      <c r="Q444" s="9">
        <v>0</v>
      </c>
      <c r="R444" s="9">
        <v>1325.79</v>
      </c>
      <c r="S444" s="9">
        <v>0</v>
      </c>
      <c r="T444" s="9">
        <v>1325.79</v>
      </c>
      <c r="U444" s="9">
        <v>0</v>
      </c>
      <c r="V444" s="9"/>
      <c r="W444" s="9"/>
      <c r="X444" s="9">
        <v>0</v>
      </c>
      <c r="Y444" s="9">
        <v>0</v>
      </c>
      <c r="Z444" s="9"/>
      <c r="AA444" s="9"/>
      <c r="AB444" s="9"/>
      <c r="AC444" s="9"/>
      <c r="AD444" s="9"/>
      <c r="AE444" s="9"/>
      <c r="AF444" s="9"/>
      <c r="AG444" s="9"/>
      <c r="AH444" s="7">
        <v>0</v>
      </c>
      <c r="AI444" s="7">
        <v>0</v>
      </c>
    </row>
    <row r="445" spans="2:35" x14ac:dyDescent="0.3">
      <c r="B445" s="5" t="s">
        <v>3061</v>
      </c>
      <c r="C445" s="5" t="s">
        <v>13</v>
      </c>
      <c r="D445" s="12" t="s">
        <v>72</v>
      </c>
      <c r="E445" s="6" t="s">
        <v>857</v>
      </c>
      <c r="F445" s="13" t="s">
        <v>858</v>
      </c>
      <c r="G445" s="6" t="s">
        <v>429</v>
      </c>
      <c r="H445" s="7" t="str">
        <f t="shared" si="6"/>
        <v>EPC-IPU-F874-01EXTRA LAVORI</v>
      </c>
      <c r="I445" s="8" t="s">
        <v>49</v>
      </c>
      <c r="J445" s="8" t="s">
        <v>259</v>
      </c>
      <c r="K445" s="8" t="s">
        <v>259</v>
      </c>
      <c r="L445" s="9">
        <v>0</v>
      </c>
      <c r="M445" s="9">
        <v>3686</v>
      </c>
      <c r="N445" s="9">
        <v>0</v>
      </c>
      <c r="O445" s="9">
        <v>6207.13</v>
      </c>
      <c r="P445" s="9">
        <v>0</v>
      </c>
      <c r="Q445" s="9">
        <v>8462.49</v>
      </c>
      <c r="R445" s="9">
        <v>0</v>
      </c>
      <c r="S445" s="9">
        <v>300</v>
      </c>
      <c r="T445" s="9">
        <v>0</v>
      </c>
      <c r="U445" s="9">
        <v>0</v>
      </c>
      <c r="V445" s="9"/>
      <c r="W445" s="9"/>
      <c r="X445" s="9">
        <v>0</v>
      </c>
      <c r="Y445" s="9">
        <v>300</v>
      </c>
      <c r="Z445" s="9"/>
      <c r="AA445" s="9"/>
      <c r="AB445" s="9"/>
      <c r="AC445" s="9"/>
      <c r="AD445" s="9"/>
      <c r="AE445" s="9"/>
      <c r="AF445" s="9"/>
      <c r="AG445" s="9"/>
      <c r="AH445" s="7">
        <v>0</v>
      </c>
      <c r="AI445" s="7">
        <v>300</v>
      </c>
    </row>
    <row r="446" spans="2:35" x14ac:dyDescent="0.3">
      <c r="B446" s="5" t="s">
        <v>3061</v>
      </c>
      <c r="C446" s="5" t="s">
        <v>13</v>
      </c>
      <c r="D446" s="12" t="s">
        <v>72</v>
      </c>
      <c r="E446" s="6" t="s">
        <v>820</v>
      </c>
      <c r="F446" s="13" t="s">
        <v>844</v>
      </c>
      <c r="G446" s="6" t="s">
        <v>822</v>
      </c>
      <c r="H446" s="7" t="str">
        <f t="shared" si="6"/>
        <v>EPC-IPU-F704-04EXTRA LAVORI</v>
      </c>
      <c r="I446" s="8" t="s">
        <v>49</v>
      </c>
      <c r="J446" s="8" t="s">
        <v>259</v>
      </c>
      <c r="K446" s="8" t="s">
        <v>259</v>
      </c>
      <c r="L446" s="9">
        <v>0</v>
      </c>
      <c r="M446" s="9">
        <v>104.32</v>
      </c>
      <c r="N446" s="9">
        <v>0</v>
      </c>
      <c r="O446" s="9">
        <v>226.4</v>
      </c>
      <c r="P446" s="9">
        <v>0</v>
      </c>
      <c r="Q446" s="9">
        <v>325.68</v>
      </c>
      <c r="R446" s="9">
        <v>1484.7</v>
      </c>
      <c r="S446" s="9">
        <v>0</v>
      </c>
      <c r="T446" s="9">
        <v>0</v>
      </c>
      <c r="U446" s="9">
        <v>0</v>
      </c>
      <c r="V446" s="9"/>
      <c r="W446" s="9"/>
      <c r="X446" s="9">
        <v>1484.7</v>
      </c>
      <c r="Y446" s="9">
        <v>0</v>
      </c>
      <c r="Z446" s="9"/>
      <c r="AA446" s="9"/>
      <c r="AB446" s="9"/>
      <c r="AC446" s="9"/>
      <c r="AD446" s="9"/>
      <c r="AE446" s="9"/>
      <c r="AF446" s="9"/>
      <c r="AG446" s="9"/>
      <c r="AH446" s="7">
        <v>1484.7</v>
      </c>
      <c r="AI446" s="7">
        <v>0</v>
      </c>
    </row>
    <row r="447" spans="2:35" x14ac:dyDescent="0.3">
      <c r="B447" s="5" t="s">
        <v>3061</v>
      </c>
      <c r="C447" s="5" t="s">
        <v>13</v>
      </c>
      <c r="D447" s="12" t="s">
        <v>14</v>
      </c>
      <c r="E447" s="6" t="s">
        <v>1128</v>
      </c>
      <c r="F447" s="13" t="s">
        <v>1129</v>
      </c>
      <c r="G447" s="6" t="s">
        <v>1130</v>
      </c>
      <c r="H447" s="7" t="str">
        <f t="shared" si="6"/>
        <v>PPP-IPU-I018-01OPERATIONAL</v>
      </c>
      <c r="I447" s="8" t="s">
        <v>18</v>
      </c>
      <c r="J447" s="8" t="s">
        <v>19</v>
      </c>
      <c r="K447" s="8" t="s">
        <v>20</v>
      </c>
      <c r="L447" s="9"/>
      <c r="M447" s="9"/>
      <c r="N447" s="9"/>
      <c r="O447" s="9"/>
      <c r="P447" s="9"/>
      <c r="Q447" s="9"/>
      <c r="R447" s="9"/>
      <c r="S447" s="9"/>
      <c r="T447" s="9">
        <v>0</v>
      </c>
      <c r="U447" s="9">
        <v>1404</v>
      </c>
      <c r="V447" s="9"/>
      <c r="W447" s="9"/>
      <c r="X447" s="9">
        <v>0</v>
      </c>
      <c r="Y447" s="9">
        <v>1404</v>
      </c>
      <c r="Z447" s="9"/>
      <c r="AA447" s="9"/>
      <c r="AB447" s="9"/>
      <c r="AC447" s="9"/>
      <c r="AD447" s="9"/>
      <c r="AE447" s="9"/>
      <c r="AF447" s="9"/>
      <c r="AG447" s="9"/>
      <c r="AH447" s="7">
        <v>0</v>
      </c>
      <c r="AI447" s="7">
        <v>1404</v>
      </c>
    </row>
    <row r="448" spans="2:35" x14ac:dyDescent="0.3">
      <c r="B448" s="5" t="s">
        <v>3061</v>
      </c>
      <c r="C448" s="5" t="s">
        <v>13</v>
      </c>
      <c r="D448" s="12" t="s">
        <v>14</v>
      </c>
      <c r="E448" s="6" t="s">
        <v>1131</v>
      </c>
      <c r="F448" s="13" t="s">
        <v>1132</v>
      </c>
      <c r="G448" s="6" t="s">
        <v>1133</v>
      </c>
      <c r="H448" s="7" t="str">
        <f t="shared" si="6"/>
        <v>PPP-IPU-H355-01OPERATIONAL</v>
      </c>
      <c r="I448" s="8" t="s">
        <v>49</v>
      </c>
      <c r="J448" s="8" t="s">
        <v>19</v>
      </c>
      <c r="K448" s="8" t="s">
        <v>20</v>
      </c>
      <c r="L448" s="9"/>
      <c r="M448" s="9"/>
      <c r="N448" s="9"/>
      <c r="O448" s="9"/>
      <c r="P448" s="9"/>
      <c r="Q448" s="9"/>
      <c r="R448" s="9"/>
      <c r="S448" s="9"/>
      <c r="T448" s="9">
        <v>0</v>
      </c>
      <c r="U448" s="9">
        <v>3150</v>
      </c>
      <c r="V448" s="9"/>
      <c r="W448" s="9"/>
      <c r="X448" s="9">
        <v>0</v>
      </c>
      <c r="Y448" s="9">
        <v>3150</v>
      </c>
      <c r="Z448" s="9"/>
      <c r="AA448" s="9"/>
      <c r="AB448" s="9"/>
      <c r="AC448" s="9"/>
      <c r="AD448" s="9"/>
      <c r="AE448" s="9"/>
      <c r="AF448" s="9"/>
      <c r="AG448" s="9"/>
      <c r="AH448" s="7">
        <v>0</v>
      </c>
      <c r="AI448" s="7">
        <v>3150</v>
      </c>
    </row>
    <row r="449" spans="2:35" x14ac:dyDescent="0.3">
      <c r="B449" s="5" t="s">
        <v>3061</v>
      </c>
      <c r="C449" s="5" t="s">
        <v>13</v>
      </c>
      <c r="D449" s="12" t="s">
        <v>14</v>
      </c>
      <c r="E449" s="6" t="s">
        <v>706</v>
      </c>
      <c r="F449" s="13" t="s">
        <v>706</v>
      </c>
      <c r="G449" s="6" t="s">
        <v>688</v>
      </c>
      <c r="H449" s="7" t="str">
        <f t="shared" si="6"/>
        <v>STRUTTURA BU CENTROOPERATIONAL</v>
      </c>
      <c r="I449" s="8" t="s">
        <v>24</v>
      </c>
      <c r="J449" s="8" t="s">
        <v>690</v>
      </c>
      <c r="K449" s="8" t="s">
        <v>690</v>
      </c>
      <c r="L449" s="9"/>
      <c r="M449" s="9"/>
      <c r="N449" s="9"/>
      <c r="O449" s="9"/>
      <c r="P449" s="9"/>
      <c r="Q449" s="9"/>
      <c r="R449" s="9"/>
      <c r="S449" s="9"/>
      <c r="T449" s="9">
        <v>0</v>
      </c>
      <c r="U449" s="9">
        <v>0</v>
      </c>
      <c r="V449" s="9"/>
      <c r="W449" s="9"/>
      <c r="X449" s="9">
        <v>0</v>
      </c>
      <c r="Y449" s="9">
        <v>-128.78</v>
      </c>
      <c r="Z449" s="9"/>
      <c r="AA449" s="9"/>
      <c r="AB449" s="9"/>
      <c r="AC449" s="9"/>
      <c r="AD449" s="9"/>
      <c r="AE449" s="9"/>
      <c r="AF449" s="9"/>
      <c r="AG449" s="9"/>
      <c r="AH449" s="7">
        <v>0</v>
      </c>
      <c r="AI449" s="7">
        <v>-128.78</v>
      </c>
    </row>
    <row r="450" spans="2:35" x14ac:dyDescent="0.3">
      <c r="B450" s="5" t="s">
        <v>3061</v>
      </c>
      <c r="C450" s="5" t="s">
        <v>13</v>
      </c>
      <c r="D450" s="12" t="s">
        <v>14</v>
      </c>
      <c r="E450" s="6" t="s">
        <v>1134</v>
      </c>
      <c r="F450" s="13" t="s">
        <v>1135</v>
      </c>
      <c r="G450" s="6" t="s">
        <v>1136</v>
      </c>
      <c r="H450" s="7" t="str">
        <f t="shared" si="6"/>
        <v>SEC-PHV-C978-01OPERATIONAL</v>
      </c>
      <c r="I450" s="8" t="s">
        <v>18</v>
      </c>
      <c r="J450" s="8" t="s">
        <v>454</v>
      </c>
      <c r="K450" s="8" t="s">
        <v>454</v>
      </c>
      <c r="L450" s="9"/>
      <c r="M450" s="9"/>
      <c r="N450" s="9"/>
      <c r="O450" s="9"/>
      <c r="P450" s="9"/>
      <c r="Q450" s="9"/>
      <c r="R450" s="9"/>
      <c r="S450" s="9"/>
      <c r="T450" s="9">
        <v>0</v>
      </c>
      <c r="U450" s="9">
        <v>232.5</v>
      </c>
      <c r="V450" s="9"/>
      <c r="W450" s="9"/>
      <c r="X450" s="9">
        <v>0</v>
      </c>
      <c r="Y450" s="9">
        <v>232.5</v>
      </c>
      <c r="Z450" s="9"/>
      <c r="AA450" s="9"/>
      <c r="AB450" s="9"/>
      <c r="AC450" s="9"/>
      <c r="AD450" s="9"/>
      <c r="AE450" s="9"/>
      <c r="AF450" s="9"/>
      <c r="AG450" s="9"/>
      <c r="AH450" s="7">
        <v>0</v>
      </c>
      <c r="AI450" s="7">
        <v>232.5</v>
      </c>
    </row>
    <row r="451" spans="2:35" x14ac:dyDescent="0.3">
      <c r="B451" s="5" t="s">
        <v>3061</v>
      </c>
      <c r="C451" s="5" t="s">
        <v>13</v>
      </c>
      <c r="D451" s="12" t="s">
        <v>14</v>
      </c>
      <c r="E451" s="6" t="s">
        <v>1137</v>
      </c>
      <c r="F451" s="13" t="s">
        <v>1138</v>
      </c>
      <c r="G451" s="6" t="s">
        <v>576</v>
      </c>
      <c r="H451" s="7" t="str">
        <f t="shared" ref="H451:H514" si="7">+F451&amp;D451</f>
        <v>PPP-IPU-I441-01OPERATIONAL</v>
      </c>
      <c r="I451" s="8" t="s">
        <v>49</v>
      </c>
      <c r="J451" s="8" t="s">
        <v>19</v>
      </c>
      <c r="K451" s="8" t="s">
        <v>20</v>
      </c>
      <c r="L451" s="9"/>
      <c r="M451" s="9"/>
      <c r="N451" s="9"/>
      <c r="O451" s="9"/>
      <c r="P451" s="9"/>
      <c r="Q451" s="9"/>
      <c r="R451" s="9"/>
      <c r="S451" s="9"/>
      <c r="T451" s="9">
        <v>0</v>
      </c>
      <c r="U451" s="9">
        <v>20944.25</v>
      </c>
      <c r="V451" s="9"/>
      <c r="W451" s="9"/>
      <c r="X451" s="9">
        <v>0</v>
      </c>
      <c r="Y451" s="9">
        <v>20972.71</v>
      </c>
      <c r="Z451" s="9"/>
      <c r="AA451" s="9"/>
      <c r="AB451" s="9"/>
      <c r="AC451" s="9"/>
      <c r="AD451" s="9"/>
      <c r="AE451" s="9"/>
      <c r="AF451" s="9"/>
      <c r="AG451" s="9"/>
      <c r="AH451" s="7">
        <v>0</v>
      </c>
      <c r="AI451" s="7">
        <v>20972.71</v>
      </c>
    </row>
    <row r="452" spans="2:35" x14ac:dyDescent="0.3">
      <c r="B452" s="5" t="s">
        <v>3061</v>
      </c>
      <c r="C452" s="5" t="s">
        <v>13</v>
      </c>
      <c r="D452" s="12" t="s">
        <v>14</v>
      </c>
      <c r="E452" s="6" t="s">
        <v>1139</v>
      </c>
      <c r="F452" s="13" t="s">
        <v>1140</v>
      </c>
      <c r="G452" s="6" t="s">
        <v>1141</v>
      </c>
      <c r="H452" s="7" t="str">
        <f t="shared" si="7"/>
        <v>EPC-IPU-D472-01OPERATIONAL</v>
      </c>
      <c r="I452" s="8" t="s">
        <v>24</v>
      </c>
      <c r="J452" s="8" t="s">
        <v>76</v>
      </c>
      <c r="K452" s="8" t="s">
        <v>76</v>
      </c>
      <c r="L452" s="9"/>
      <c r="M452" s="9"/>
      <c r="N452" s="9"/>
      <c r="O452" s="9"/>
      <c r="P452" s="9"/>
      <c r="Q452" s="9"/>
      <c r="R452" s="9"/>
      <c r="S452" s="9"/>
      <c r="T452" s="9">
        <v>0</v>
      </c>
      <c r="U452" s="9">
        <v>0</v>
      </c>
      <c r="V452" s="9"/>
      <c r="W452" s="9"/>
      <c r="X452" s="9">
        <v>0</v>
      </c>
      <c r="Y452" s="9">
        <v>567.84</v>
      </c>
      <c r="Z452" s="9"/>
      <c r="AA452" s="9"/>
      <c r="AB452" s="9"/>
      <c r="AC452" s="9"/>
      <c r="AD452" s="9"/>
      <c r="AE452" s="9"/>
      <c r="AF452" s="9"/>
      <c r="AG452" s="9"/>
      <c r="AH452" s="7">
        <v>0</v>
      </c>
      <c r="AI452" s="7">
        <v>567.84</v>
      </c>
    </row>
    <row r="453" spans="2:35" x14ac:dyDescent="0.3">
      <c r="B453" s="5" t="s">
        <v>3061</v>
      </c>
      <c r="C453" s="5" t="s">
        <v>13</v>
      </c>
      <c r="D453" s="12" t="s">
        <v>14</v>
      </c>
      <c r="E453" s="6" t="s">
        <v>1142</v>
      </c>
      <c r="F453" s="13" t="s">
        <v>1143</v>
      </c>
      <c r="G453" s="6" t="s">
        <v>1144</v>
      </c>
      <c r="H453" s="7" t="str">
        <f t="shared" si="7"/>
        <v>PPP-IPU-D763-01OPERATIONAL</v>
      </c>
      <c r="I453" s="8" t="s">
        <v>24</v>
      </c>
      <c r="J453" s="8" t="s">
        <v>19</v>
      </c>
      <c r="K453" s="8" t="s">
        <v>20</v>
      </c>
      <c r="L453" s="9"/>
      <c r="M453" s="9"/>
      <c r="N453" s="9"/>
      <c r="O453" s="9"/>
      <c r="P453" s="9"/>
      <c r="Q453" s="9"/>
      <c r="R453" s="9"/>
      <c r="S453" s="9"/>
      <c r="T453" s="9">
        <v>0</v>
      </c>
      <c r="U453" s="9">
        <v>1620</v>
      </c>
      <c r="V453" s="9"/>
      <c r="W453" s="9"/>
      <c r="X453" s="9">
        <v>0</v>
      </c>
      <c r="Y453" s="9">
        <v>1920</v>
      </c>
      <c r="Z453" s="9"/>
      <c r="AA453" s="9"/>
      <c r="AB453" s="9"/>
      <c r="AC453" s="9"/>
      <c r="AD453" s="9"/>
      <c r="AE453" s="9"/>
      <c r="AF453" s="9"/>
      <c r="AG453" s="9"/>
      <c r="AH453" s="7">
        <v>0</v>
      </c>
      <c r="AI453" s="7">
        <v>1920</v>
      </c>
    </row>
    <row r="454" spans="2:35" x14ac:dyDescent="0.3">
      <c r="B454" s="5" t="s">
        <v>3061</v>
      </c>
      <c r="C454" s="5" t="s">
        <v>13</v>
      </c>
      <c r="D454" s="12" t="s">
        <v>14</v>
      </c>
      <c r="E454" s="6" t="s">
        <v>1145</v>
      </c>
      <c r="F454" s="13" t="s">
        <v>1146</v>
      </c>
      <c r="G454" s="6" t="s">
        <v>523</v>
      </c>
      <c r="H454" s="7" t="str">
        <f t="shared" si="7"/>
        <v>EPC-IPU-B731-01OPERATIONAL</v>
      </c>
      <c r="I454" s="8" t="s">
        <v>49</v>
      </c>
      <c r="J454" s="8" t="s">
        <v>76</v>
      </c>
      <c r="K454" s="8" t="s">
        <v>76</v>
      </c>
      <c r="L454" s="9"/>
      <c r="M454" s="9"/>
      <c r="N454" s="9"/>
      <c r="O454" s="9"/>
      <c r="P454" s="9"/>
      <c r="Q454" s="9"/>
      <c r="R454" s="9"/>
      <c r="S454" s="9"/>
      <c r="T454" s="9">
        <v>0</v>
      </c>
      <c r="U454" s="9">
        <v>0</v>
      </c>
      <c r="V454" s="9"/>
      <c r="W454" s="9"/>
      <c r="X454" s="9">
        <v>0</v>
      </c>
      <c r="Y454" s="9">
        <v>2494.86</v>
      </c>
      <c r="Z454" s="9"/>
      <c r="AA454" s="9"/>
      <c r="AB454" s="9"/>
      <c r="AC454" s="9"/>
      <c r="AD454" s="9"/>
      <c r="AE454" s="9"/>
      <c r="AF454" s="9"/>
      <c r="AG454" s="9"/>
      <c r="AH454" s="7">
        <v>0</v>
      </c>
      <c r="AI454" s="7">
        <v>2494.86</v>
      </c>
    </row>
    <row r="455" spans="2:35" x14ac:dyDescent="0.3">
      <c r="B455" s="5" t="s">
        <v>3061</v>
      </c>
      <c r="C455" s="5" t="s">
        <v>13</v>
      </c>
      <c r="D455" s="12" t="s">
        <v>14</v>
      </c>
      <c r="E455" s="6" t="s">
        <v>593</v>
      </c>
      <c r="F455" s="13" t="s">
        <v>594</v>
      </c>
      <c r="G455" s="6" t="s">
        <v>252</v>
      </c>
      <c r="H455" s="7" t="str">
        <f t="shared" si="7"/>
        <v>EPC-IPU-D542-01OPERATIONAL</v>
      </c>
      <c r="I455" s="8" t="s">
        <v>24</v>
      </c>
      <c r="J455" s="8" t="s">
        <v>76</v>
      </c>
      <c r="K455" s="8" t="s">
        <v>76</v>
      </c>
      <c r="L455" s="9"/>
      <c r="M455" s="9"/>
      <c r="N455" s="9"/>
      <c r="O455" s="9"/>
      <c r="P455" s="9"/>
      <c r="Q455" s="9"/>
      <c r="R455" s="9"/>
      <c r="S455" s="9"/>
      <c r="T455" s="9">
        <v>0</v>
      </c>
      <c r="U455" s="9">
        <v>0</v>
      </c>
      <c r="V455" s="9"/>
      <c r="W455" s="9"/>
      <c r="X455" s="9">
        <v>0</v>
      </c>
      <c r="Y455" s="9">
        <v>23.36</v>
      </c>
      <c r="Z455" s="9"/>
      <c r="AA455" s="9"/>
      <c r="AB455" s="9"/>
      <c r="AC455" s="9"/>
      <c r="AD455" s="9"/>
      <c r="AE455" s="9"/>
      <c r="AF455" s="9"/>
      <c r="AG455" s="9"/>
      <c r="AH455" s="7">
        <v>0</v>
      </c>
      <c r="AI455" s="7">
        <v>23.36</v>
      </c>
    </row>
    <row r="456" spans="2:35" x14ac:dyDescent="0.3">
      <c r="B456" s="5" t="s">
        <v>3061</v>
      </c>
      <c r="C456" s="5" t="s">
        <v>13</v>
      </c>
      <c r="D456" s="12" t="s">
        <v>14</v>
      </c>
      <c r="E456" s="6" t="s">
        <v>1147</v>
      </c>
      <c r="F456" s="13" t="s">
        <v>1148</v>
      </c>
      <c r="G456" s="6" t="s">
        <v>1149</v>
      </c>
      <c r="H456" s="7" t="str">
        <f t="shared" si="7"/>
        <v>SEC-PHV-F690-02OPERATIONAL</v>
      </c>
      <c r="I456" s="8" t="s">
        <v>24</v>
      </c>
      <c r="J456" s="8" t="s">
        <v>454</v>
      </c>
      <c r="K456" s="8" t="s">
        <v>454</v>
      </c>
      <c r="L456" s="9"/>
      <c r="M456" s="9"/>
      <c r="N456" s="9"/>
      <c r="O456" s="9"/>
      <c r="P456" s="9"/>
      <c r="Q456" s="9"/>
      <c r="R456" s="9"/>
      <c r="S456" s="9"/>
      <c r="T456" s="9">
        <v>0</v>
      </c>
      <c r="U456" s="9">
        <v>218.21</v>
      </c>
      <c r="V456" s="9"/>
      <c r="W456" s="9"/>
      <c r="X456" s="9">
        <v>0</v>
      </c>
      <c r="Y456" s="9">
        <v>218.21</v>
      </c>
      <c r="Z456" s="9"/>
      <c r="AA456" s="9"/>
      <c r="AB456" s="9"/>
      <c r="AC456" s="9"/>
      <c r="AD456" s="9"/>
      <c r="AE456" s="9"/>
      <c r="AF456" s="9"/>
      <c r="AG456" s="9"/>
      <c r="AH456" s="7">
        <v>0</v>
      </c>
      <c r="AI456" s="7">
        <v>218.21</v>
      </c>
    </row>
    <row r="457" spans="2:35" x14ac:dyDescent="0.3">
      <c r="B457" s="5" t="s">
        <v>3061</v>
      </c>
      <c r="C457" s="5" t="s">
        <v>13</v>
      </c>
      <c r="D457" s="12" t="s">
        <v>14</v>
      </c>
      <c r="E457" s="6" t="s">
        <v>1150</v>
      </c>
      <c r="F457" s="13" t="s">
        <v>1151</v>
      </c>
      <c r="G457" s="6" t="s">
        <v>587</v>
      </c>
      <c r="H457" s="7" t="str">
        <f t="shared" si="7"/>
        <v>PPP-IPU-L736-03OPERATIONAL</v>
      </c>
      <c r="I457" s="8" t="s">
        <v>56</v>
      </c>
      <c r="J457" s="8" t="s">
        <v>19</v>
      </c>
      <c r="K457" s="8" t="s">
        <v>20</v>
      </c>
      <c r="L457" s="9"/>
      <c r="M457" s="9"/>
      <c r="N457" s="9"/>
      <c r="O457" s="9"/>
      <c r="P457" s="9"/>
      <c r="Q457" s="9"/>
      <c r="R457" s="9"/>
      <c r="S457" s="9"/>
      <c r="T457" s="9">
        <v>146000</v>
      </c>
      <c r="U457" s="9">
        <v>688.92</v>
      </c>
      <c r="V457" s="9"/>
      <c r="W457" s="9"/>
      <c r="X457" s="9">
        <v>243334.34</v>
      </c>
      <c r="Y457" s="9">
        <v>3532.76</v>
      </c>
      <c r="Z457" s="9"/>
      <c r="AA457" s="9"/>
      <c r="AB457" s="9"/>
      <c r="AC457" s="9"/>
      <c r="AD457" s="9"/>
      <c r="AE457" s="9"/>
      <c r="AF457" s="9"/>
      <c r="AG457" s="9"/>
      <c r="AH457" s="7">
        <v>243334.34</v>
      </c>
      <c r="AI457" s="7">
        <v>3532.76</v>
      </c>
    </row>
    <row r="458" spans="2:35" x14ac:dyDescent="0.3">
      <c r="B458" s="5" t="s">
        <v>3061</v>
      </c>
      <c r="C458" s="5" t="s">
        <v>13</v>
      </c>
      <c r="D458" s="12" t="s">
        <v>14</v>
      </c>
      <c r="E458" s="6" t="s">
        <v>1075</v>
      </c>
      <c r="F458" s="13" t="s">
        <v>596</v>
      </c>
      <c r="G458" s="6" t="s">
        <v>587</v>
      </c>
      <c r="H458" s="7" t="str">
        <f t="shared" si="7"/>
        <v>EPC-IPU-L736-01OPERATIONAL</v>
      </c>
      <c r="I458" s="8" t="s">
        <v>56</v>
      </c>
      <c r="J458" s="8" t="s">
        <v>76</v>
      </c>
      <c r="K458" s="8" t="s">
        <v>76</v>
      </c>
      <c r="L458" s="9"/>
      <c r="M458" s="9"/>
      <c r="N458" s="9"/>
      <c r="O458" s="9"/>
      <c r="P458" s="9"/>
      <c r="Q458" s="9"/>
      <c r="R458" s="9"/>
      <c r="S458" s="9"/>
      <c r="T458" s="9">
        <v>0</v>
      </c>
      <c r="U458" s="9">
        <v>0</v>
      </c>
      <c r="V458" s="9"/>
      <c r="W458" s="9"/>
      <c r="X458" s="9">
        <v>146000</v>
      </c>
      <c r="Y458" s="9">
        <v>0</v>
      </c>
      <c r="Z458" s="9"/>
      <c r="AA458" s="9"/>
      <c r="AB458" s="9"/>
      <c r="AC458" s="9"/>
      <c r="AD458" s="9"/>
      <c r="AE458" s="9"/>
      <c r="AF458" s="9"/>
      <c r="AG458" s="9"/>
      <c r="AH458" s="7">
        <v>146000</v>
      </c>
      <c r="AI458" s="7">
        <v>0</v>
      </c>
    </row>
    <row r="459" spans="2:35" x14ac:dyDescent="0.3">
      <c r="B459" s="5" t="s">
        <v>3061</v>
      </c>
      <c r="C459" s="5" t="s">
        <v>13</v>
      </c>
      <c r="D459" s="12" t="s">
        <v>14</v>
      </c>
      <c r="E459" s="6" t="s">
        <v>1112</v>
      </c>
      <c r="F459" s="13" t="s">
        <v>1113</v>
      </c>
      <c r="G459" s="6" t="s">
        <v>616</v>
      </c>
      <c r="H459" s="7" t="str">
        <f t="shared" si="7"/>
        <v>EPC-IPU-F632-04OPERATIONAL</v>
      </c>
      <c r="I459" s="8" t="s">
        <v>24</v>
      </c>
      <c r="J459" s="8" t="s">
        <v>76</v>
      </c>
      <c r="K459" s="8" t="s">
        <v>76</v>
      </c>
      <c r="L459" s="9"/>
      <c r="M459" s="9"/>
      <c r="N459" s="9"/>
      <c r="O459" s="9"/>
      <c r="P459" s="9"/>
      <c r="Q459" s="9"/>
      <c r="R459" s="9"/>
      <c r="S459" s="9"/>
      <c r="T459" s="9">
        <v>0</v>
      </c>
      <c r="U459" s="9">
        <v>0</v>
      </c>
      <c r="V459" s="9"/>
      <c r="W459" s="9"/>
      <c r="X459" s="9">
        <v>2667.5</v>
      </c>
      <c r="Y459" s="9">
        <v>0</v>
      </c>
      <c r="Z459" s="9"/>
      <c r="AA459" s="9"/>
      <c r="AB459" s="9"/>
      <c r="AC459" s="9"/>
      <c r="AD459" s="9"/>
      <c r="AE459" s="9"/>
      <c r="AF459" s="9"/>
      <c r="AG459" s="9"/>
      <c r="AH459" s="7">
        <v>2667.5</v>
      </c>
      <c r="AI459" s="7">
        <v>0</v>
      </c>
    </row>
    <row r="460" spans="2:35" x14ac:dyDescent="0.3">
      <c r="B460" s="5" t="s">
        <v>3061</v>
      </c>
      <c r="C460" s="5" t="s">
        <v>13</v>
      </c>
      <c r="D460" s="12" t="s">
        <v>619</v>
      </c>
      <c r="E460" s="6" t="s">
        <v>1152</v>
      </c>
      <c r="F460" s="13" t="s">
        <v>662</v>
      </c>
      <c r="G460" s="6" t="s">
        <v>386</v>
      </c>
      <c r="H460" s="7" t="str">
        <f t="shared" si="7"/>
        <v>EPC-IPU-C638-01EXTRA LAVORI : Spot</v>
      </c>
      <c r="I460" s="8" t="s">
        <v>56</v>
      </c>
      <c r="J460" s="8" t="s">
        <v>76</v>
      </c>
      <c r="K460" s="8" t="s">
        <v>76</v>
      </c>
      <c r="L460" s="9"/>
      <c r="M460" s="9"/>
      <c r="N460" s="9"/>
      <c r="O460" s="9"/>
      <c r="P460" s="9"/>
      <c r="Q460" s="9"/>
      <c r="R460" s="9"/>
      <c r="S460" s="9"/>
      <c r="T460" s="9">
        <v>3036</v>
      </c>
      <c r="U460" s="9">
        <v>1128.05</v>
      </c>
      <c r="V460" s="9"/>
      <c r="W460" s="9"/>
      <c r="X460" s="9">
        <v>0</v>
      </c>
      <c r="Y460" s="9">
        <v>0</v>
      </c>
      <c r="Z460" s="9"/>
      <c r="AA460" s="9"/>
      <c r="AB460" s="9"/>
      <c r="AC460" s="9"/>
      <c r="AD460" s="9"/>
      <c r="AE460" s="9"/>
      <c r="AF460" s="9"/>
      <c r="AG460" s="9"/>
      <c r="AH460" s="7">
        <v>0</v>
      </c>
      <c r="AI460" s="7">
        <v>0</v>
      </c>
    </row>
    <row r="461" spans="2:35" x14ac:dyDescent="0.3">
      <c r="B461" s="5" t="s">
        <v>3061</v>
      </c>
      <c r="C461" s="5" t="s">
        <v>13</v>
      </c>
      <c r="D461" s="12" t="s">
        <v>619</v>
      </c>
      <c r="E461" s="6" t="s">
        <v>1153</v>
      </c>
      <c r="F461" s="13" t="s">
        <v>1154</v>
      </c>
      <c r="G461" s="6" t="s">
        <v>1155</v>
      </c>
      <c r="H461" s="7" t="str">
        <f t="shared" si="7"/>
        <v>EPC-IPU-A952-01EXTRA LAVORI : Spot</v>
      </c>
      <c r="I461" s="8" t="s">
        <v>56</v>
      </c>
      <c r="J461" s="8" t="s">
        <v>259</v>
      </c>
      <c r="K461" s="8" t="s">
        <v>259</v>
      </c>
      <c r="L461" s="9"/>
      <c r="M461" s="9"/>
      <c r="N461" s="9"/>
      <c r="O461" s="9"/>
      <c r="P461" s="9"/>
      <c r="Q461" s="9"/>
      <c r="R461" s="9"/>
      <c r="S461" s="9"/>
      <c r="T461" s="9">
        <v>1806.18</v>
      </c>
      <c r="U461" s="9">
        <v>1615</v>
      </c>
      <c r="V461" s="9"/>
      <c r="W461" s="9"/>
      <c r="X461" s="9">
        <v>0</v>
      </c>
      <c r="Y461" s="9">
        <v>0</v>
      </c>
      <c r="Z461" s="9"/>
      <c r="AA461" s="9"/>
      <c r="AB461" s="9"/>
      <c r="AC461" s="9"/>
      <c r="AD461" s="9"/>
      <c r="AE461" s="9"/>
      <c r="AF461" s="9"/>
      <c r="AG461" s="9"/>
      <c r="AH461" s="7">
        <v>0</v>
      </c>
      <c r="AI461" s="7">
        <v>0</v>
      </c>
    </row>
    <row r="462" spans="2:35" x14ac:dyDescent="0.3">
      <c r="B462" s="5" t="s">
        <v>3061</v>
      </c>
      <c r="C462" s="5" t="s">
        <v>13</v>
      </c>
      <c r="D462" s="12" t="s">
        <v>619</v>
      </c>
      <c r="E462" s="6" t="s">
        <v>1156</v>
      </c>
      <c r="F462" s="13" t="s">
        <v>1157</v>
      </c>
      <c r="G462" s="6" t="s">
        <v>381</v>
      </c>
      <c r="H462" s="7" t="str">
        <f t="shared" si="7"/>
        <v>EPC-IPU-A488-03EXTRA LAVORI : Spot</v>
      </c>
      <c r="I462" s="8" t="s">
        <v>24</v>
      </c>
      <c r="J462" s="8" t="s">
        <v>76</v>
      </c>
      <c r="K462" s="8" t="s">
        <v>76</v>
      </c>
      <c r="L462" s="9"/>
      <c r="M462" s="9"/>
      <c r="N462" s="9"/>
      <c r="O462" s="9"/>
      <c r="P462" s="9"/>
      <c r="Q462" s="9"/>
      <c r="R462" s="9"/>
      <c r="S462" s="9"/>
      <c r="T462" s="9">
        <v>250</v>
      </c>
      <c r="U462" s="9">
        <v>0</v>
      </c>
      <c r="V462" s="9"/>
      <c r="W462" s="9"/>
      <c r="X462" s="9">
        <v>0</v>
      </c>
      <c r="Y462" s="9">
        <v>0</v>
      </c>
      <c r="Z462" s="9"/>
      <c r="AA462" s="9"/>
      <c r="AB462" s="9"/>
      <c r="AC462" s="9"/>
      <c r="AD462" s="9"/>
      <c r="AE462" s="9"/>
      <c r="AF462" s="9"/>
      <c r="AG462" s="9"/>
      <c r="AH462" s="7">
        <v>0</v>
      </c>
      <c r="AI462" s="7">
        <v>0</v>
      </c>
    </row>
    <row r="463" spans="2:35" x14ac:dyDescent="0.3">
      <c r="B463" s="5" t="s">
        <v>3061</v>
      </c>
      <c r="C463" s="5" t="s">
        <v>13</v>
      </c>
      <c r="D463" s="12" t="s">
        <v>619</v>
      </c>
      <c r="E463" s="6" t="s">
        <v>1158</v>
      </c>
      <c r="F463" s="13" t="s">
        <v>1159</v>
      </c>
      <c r="G463" s="6" t="s">
        <v>1160</v>
      </c>
      <c r="H463" s="7" t="str">
        <f t="shared" si="7"/>
        <v>EPC-IPU-E246-04EXTRA LAVORI : Spot</v>
      </c>
      <c r="I463" s="8" t="s">
        <v>18</v>
      </c>
      <c r="J463" s="8" t="s">
        <v>76</v>
      </c>
      <c r="K463" s="8" t="s">
        <v>76</v>
      </c>
      <c r="L463" s="9"/>
      <c r="M463" s="9"/>
      <c r="N463" s="9"/>
      <c r="O463" s="9"/>
      <c r="P463" s="9"/>
      <c r="Q463" s="9"/>
      <c r="R463" s="9"/>
      <c r="S463" s="9"/>
      <c r="T463" s="9">
        <v>4500</v>
      </c>
      <c r="U463" s="9">
        <v>0</v>
      </c>
      <c r="V463" s="9"/>
      <c r="W463" s="9"/>
      <c r="X463" s="9">
        <v>0</v>
      </c>
      <c r="Y463" s="9">
        <v>0</v>
      </c>
      <c r="Z463" s="9"/>
      <c r="AA463" s="9"/>
      <c r="AB463" s="9"/>
      <c r="AC463" s="9"/>
      <c r="AD463" s="9"/>
      <c r="AE463" s="9"/>
      <c r="AF463" s="9"/>
      <c r="AG463" s="9"/>
      <c r="AH463" s="7">
        <v>0</v>
      </c>
      <c r="AI463" s="7">
        <v>0</v>
      </c>
    </row>
    <row r="464" spans="2:35" x14ac:dyDescent="0.3">
      <c r="B464" s="5" t="s">
        <v>3061</v>
      </c>
      <c r="C464" s="5" t="s">
        <v>13</v>
      </c>
      <c r="D464" s="12" t="s">
        <v>619</v>
      </c>
      <c r="E464" s="6" t="s">
        <v>1161</v>
      </c>
      <c r="F464" s="13" t="s">
        <v>1162</v>
      </c>
      <c r="G464" s="6" t="s">
        <v>1163</v>
      </c>
      <c r="H464" s="7" t="str">
        <f t="shared" si="7"/>
        <v>EPC-IPU-G023-04EXTRA LAVORI : Spot</v>
      </c>
      <c r="I464" s="8" t="s">
        <v>18</v>
      </c>
      <c r="J464" s="8" t="s">
        <v>76</v>
      </c>
      <c r="K464" s="8" t="s">
        <v>76</v>
      </c>
      <c r="L464" s="9"/>
      <c r="M464" s="9"/>
      <c r="N464" s="9"/>
      <c r="O464" s="9"/>
      <c r="P464" s="9"/>
      <c r="Q464" s="9"/>
      <c r="R464" s="9"/>
      <c r="S464" s="9"/>
      <c r="T464" s="9">
        <v>766.4</v>
      </c>
      <c r="U464" s="9">
        <v>0</v>
      </c>
      <c r="V464" s="9"/>
      <c r="W464" s="9"/>
      <c r="X464" s="9">
        <v>0</v>
      </c>
      <c r="Y464" s="9">
        <v>0</v>
      </c>
      <c r="Z464" s="9"/>
      <c r="AA464" s="9"/>
      <c r="AB464" s="9"/>
      <c r="AC464" s="9"/>
      <c r="AD464" s="9"/>
      <c r="AE464" s="9"/>
      <c r="AF464" s="9"/>
      <c r="AG464" s="9"/>
      <c r="AH464" s="7">
        <v>0</v>
      </c>
      <c r="AI464" s="7">
        <v>0</v>
      </c>
    </row>
    <row r="465" spans="2:35" x14ac:dyDescent="0.3">
      <c r="B465" s="5" t="s">
        <v>3061</v>
      </c>
      <c r="C465" s="5" t="s">
        <v>13</v>
      </c>
      <c r="D465" s="12" t="s">
        <v>619</v>
      </c>
      <c r="E465" s="6" t="s">
        <v>1164</v>
      </c>
      <c r="F465" s="13" t="s">
        <v>1165</v>
      </c>
      <c r="G465" s="6" t="s">
        <v>45</v>
      </c>
      <c r="H465" s="7" t="str">
        <f t="shared" si="7"/>
        <v>EPC-IPU-E716-03EXTRA LAVORI : Spot</v>
      </c>
      <c r="I465" s="8" t="s">
        <v>18</v>
      </c>
      <c r="J465" s="8" t="s">
        <v>76</v>
      </c>
      <c r="K465" s="8" t="s">
        <v>76</v>
      </c>
      <c r="L465" s="9"/>
      <c r="M465" s="9"/>
      <c r="N465" s="9"/>
      <c r="O465" s="9"/>
      <c r="P465" s="9"/>
      <c r="Q465" s="9"/>
      <c r="R465" s="9"/>
      <c r="S465" s="9"/>
      <c r="T465" s="9">
        <v>45600</v>
      </c>
      <c r="U465" s="9">
        <v>0</v>
      </c>
      <c r="V465" s="9"/>
      <c r="W465" s="9"/>
      <c r="X465" s="9">
        <v>0</v>
      </c>
      <c r="Y465" s="9">
        <v>0</v>
      </c>
      <c r="Z465" s="9"/>
      <c r="AA465" s="9"/>
      <c r="AB465" s="9"/>
      <c r="AC465" s="9"/>
      <c r="AD465" s="9"/>
      <c r="AE465" s="9"/>
      <c r="AF465" s="9"/>
      <c r="AG465" s="9"/>
      <c r="AH465" s="7">
        <v>0</v>
      </c>
      <c r="AI465" s="7">
        <v>0</v>
      </c>
    </row>
    <row r="466" spans="2:35" x14ac:dyDescent="0.3">
      <c r="B466" s="5" t="s">
        <v>3061</v>
      </c>
      <c r="C466" s="5" t="s">
        <v>13</v>
      </c>
      <c r="D466" s="12" t="s">
        <v>72</v>
      </c>
      <c r="E466" s="6" t="s">
        <v>1166</v>
      </c>
      <c r="F466" s="13" t="s">
        <v>1167</v>
      </c>
      <c r="G466" s="6" t="s">
        <v>327</v>
      </c>
      <c r="H466" s="7" t="str">
        <f t="shared" si="7"/>
        <v>EPC-IPU-L835-02EXTRA LAVORI</v>
      </c>
      <c r="I466" s="8" t="s">
        <v>18</v>
      </c>
      <c r="J466" s="8" t="s">
        <v>76</v>
      </c>
      <c r="K466" s="8" t="s">
        <v>76</v>
      </c>
      <c r="L466" s="9"/>
      <c r="M466" s="9"/>
      <c r="N466" s="9"/>
      <c r="O466" s="9"/>
      <c r="P466" s="9"/>
      <c r="Q466" s="9"/>
      <c r="R466" s="9"/>
      <c r="S466" s="9"/>
      <c r="T466" s="9">
        <v>1620.48</v>
      </c>
      <c r="U466" s="9">
        <v>856.43</v>
      </c>
      <c r="V466" s="9"/>
      <c r="W466" s="9"/>
      <c r="X466" s="9">
        <v>1620.48</v>
      </c>
      <c r="Y466" s="9">
        <v>856.43</v>
      </c>
      <c r="Z466" s="9"/>
      <c r="AA466" s="9"/>
      <c r="AB466" s="9"/>
      <c r="AC466" s="9"/>
      <c r="AD466" s="9"/>
      <c r="AE466" s="9"/>
      <c r="AF466" s="9"/>
      <c r="AG466" s="9"/>
      <c r="AH466" s="7">
        <v>1620.48</v>
      </c>
      <c r="AI466" s="7">
        <v>856.43</v>
      </c>
    </row>
    <row r="467" spans="2:35" x14ac:dyDescent="0.3">
      <c r="B467" s="5" t="s">
        <v>3061</v>
      </c>
      <c r="C467" s="5" t="s">
        <v>13</v>
      </c>
      <c r="D467" s="12" t="s">
        <v>72</v>
      </c>
      <c r="E467" s="6" t="s">
        <v>1168</v>
      </c>
      <c r="F467" s="13" t="s">
        <v>1169</v>
      </c>
      <c r="G467" s="6" t="s">
        <v>1170</v>
      </c>
      <c r="H467" s="7" t="str">
        <f t="shared" si="7"/>
        <v>EPC-IPU-I019-02EXTRA LAVORI</v>
      </c>
      <c r="I467" s="8" t="s">
        <v>18</v>
      </c>
      <c r="J467" s="8" t="s">
        <v>76</v>
      </c>
      <c r="K467" s="8" t="s">
        <v>76</v>
      </c>
      <c r="L467" s="9"/>
      <c r="M467" s="9"/>
      <c r="N467" s="9"/>
      <c r="O467" s="9"/>
      <c r="P467" s="9"/>
      <c r="Q467" s="9"/>
      <c r="R467" s="9"/>
      <c r="S467" s="9"/>
      <c r="T467" s="9">
        <v>2137.44</v>
      </c>
      <c r="U467" s="9">
        <v>0</v>
      </c>
      <c r="V467" s="9"/>
      <c r="W467" s="9"/>
      <c r="X467" s="9">
        <v>7332.06</v>
      </c>
      <c r="Y467" s="9">
        <v>0</v>
      </c>
      <c r="Z467" s="9"/>
      <c r="AA467" s="9"/>
      <c r="AB467" s="9"/>
      <c r="AC467" s="9"/>
      <c r="AD467" s="9"/>
      <c r="AE467" s="9"/>
      <c r="AF467" s="9"/>
      <c r="AG467" s="9"/>
      <c r="AH467" s="7">
        <v>7332.06</v>
      </c>
      <c r="AI467" s="7">
        <v>0</v>
      </c>
    </row>
    <row r="468" spans="2:35" x14ac:dyDescent="0.3">
      <c r="B468" s="5" t="s">
        <v>3061</v>
      </c>
      <c r="C468" s="5" t="s">
        <v>13</v>
      </c>
      <c r="D468" s="12" t="s">
        <v>72</v>
      </c>
      <c r="E468" s="6" t="s">
        <v>1171</v>
      </c>
      <c r="F468" s="13" t="s">
        <v>1172</v>
      </c>
      <c r="G468" s="6" t="s">
        <v>1173</v>
      </c>
      <c r="H468" s="7" t="str">
        <f t="shared" si="7"/>
        <v>EPC-IPU-C824-02EXTRA LAVORI</v>
      </c>
      <c r="I468" s="8" t="s">
        <v>56</v>
      </c>
      <c r="J468" s="8" t="s">
        <v>76</v>
      </c>
      <c r="K468" s="8" t="s">
        <v>76</v>
      </c>
      <c r="L468" s="9"/>
      <c r="M468" s="9"/>
      <c r="N468" s="9"/>
      <c r="O468" s="9"/>
      <c r="P468" s="9"/>
      <c r="Q468" s="9"/>
      <c r="R468" s="9"/>
      <c r="S468" s="9"/>
      <c r="T468" s="9">
        <v>0</v>
      </c>
      <c r="U468" s="9">
        <v>555</v>
      </c>
      <c r="V468" s="9"/>
      <c r="W468" s="9"/>
      <c r="X468" s="9">
        <v>715.91</v>
      </c>
      <c r="Y468" s="9">
        <v>555</v>
      </c>
      <c r="Z468" s="9"/>
      <c r="AA468" s="9"/>
      <c r="AB468" s="9"/>
      <c r="AC468" s="9"/>
      <c r="AD468" s="9"/>
      <c r="AE468" s="9"/>
      <c r="AF468" s="9"/>
      <c r="AG468" s="9"/>
      <c r="AH468" s="7">
        <v>715.91</v>
      </c>
      <c r="AI468" s="7">
        <v>555</v>
      </c>
    </row>
    <row r="469" spans="2:35" x14ac:dyDescent="0.3">
      <c r="B469" s="5" t="s">
        <v>3061</v>
      </c>
      <c r="C469" s="5" t="s">
        <v>13</v>
      </c>
      <c r="D469" s="12" t="s">
        <v>72</v>
      </c>
      <c r="E469" s="6" t="s">
        <v>1174</v>
      </c>
      <c r="F469" s="13" t="s">
        <v>1175</v>
      </c>
      <c r="G469" s="6" t="s">
        <v>192</v>
      </c>
      <c r="H469" s="7" t="str">
        <f t="shared" si="7"/>
        <v>EPC-IPU-A942-03EXTRA LAVORI</v>
      </c>
      <c r="I469" s="8" t="s">
        <v>18</v>
      </c>
      <c r="J469" s="8" t="s">
        <v>76</v>
      </c>
      <c r="K469" s="8" t="s">
        <v>76</v>
      </c>
      <c r="L469" s="9"/>
      <c r="M469" s="9"/>
      <c r="N469" s="9"/>
      <c r="O469" s="9"/>
      <c r="P469" s="9"/>
      <c r="Q469" s="9"/>
      <c r="R469" s="9"/>
      <c r="S469" s="9"/>
      <c r="T469" s="9">
        <v>0</v>
      </c>
      <c r="U469" s="9">
        <v>2693.5550000000003</v>
      </c>
      <c r="V469" s="9"/>
      <c r="W469" s="9"/>
      <c r="X469" s="9">
        <v>7529.99</v>
      </c>
      <c r="Y469" s="9">
        <v>2693.56</v>
      </c>
      <c r="Z469" s="9"/>
      <c r="AA469" s="9"/>
      <c r="AB469" s="9"/>
      <c r="AC469" s="9"/>
      <c r="AD469" s="9"/>
      <c r="AE469" s="9"/>
      <c r="AF469" s="9"/>
      <c r="AG469" s="9"/>
      <c r="AH469" s="7">
        <v>7529.99</v>
      </c>
      <c r="AI469" s="7">
        <v>2693.56</v>
      </c>
    </row>
    <row r="470" spans="2:35" x14ac:dyDescent="0.3">
      <c r="B470" s="5" t="s">
        <v>3061</v>
      </c>
      <c r="C470" s="5" t="s">
        <v>13</v>
      </c>
      <c r="D470" s="12" t="s">
        <v>72</v>
      </c>
      <c r="E470" s="6" t="s">
        <v>1176</v>
      </c>
      <c r="F470" s="13" t="s">
        <v>1177</v>
      </c>
      <c r="G470" s="6" t="s">
        <v>125</v>
      </c>
      <c r="H470" s="7" t="str">
        <f t="shared" si="7"/>
        <v>EPC-IPU-D869-05EXTRA LAVORI</v>
      </c>
      <c r="I470" s="8" t="s">
        <v>49</v>
      </c>
      <c r="J470" s="8" t="s">
        <v>76</v>
      </c>
      <c r="K470" s="8" t="s">
        <v>76</v>
      </c>
      <c r="L470" s="9"/>
      <c r="M470" s="9"/>
      <c r="N470" s="9"/>
      <c r="O470" s="9"/>
      <c r="P470" s="9"/>
      <c r="Q470" s="9"/>
      <c r="R470" s="9"/>
      <c r="S470" s="9"/>
      <c r="T470" s="9">
        <v>1429.84</v>
      </c>
      <c r="U470" s="9">
        <v>0</v>
      </c>
      <c r="V470" s="9"/>
      <c r="W470" s="9"/>
      <c r="X470" s="9">
        <v>0</v>
      </c>
      <c r="Y470" s="9">
        <v>0</v>
      </c>
      <c r="Z470" s="9"/>
      <c r="AA470" s="9"/>
      <c r="AB470" s="9"/>
      <c r="AC470" s="9"/>
      <c r="AD470" s="9"/>
      <c r="AE470" s="9"/>
      <c r="AF470" s="9"/>
      <c r="AG470" s="9"/>
      <c r="AH470" s="7">
        <v>0</v>
      </c>
      <c r="AI470" s="7">
        <v>0</v>
      </c>
    </row>
    <row r="471" spans="2:35" x14ac:dyDescent="0.3">
      <c r="B471" s="5" t="s">
        <v>3061</v>
      </c>
      <c r="C471" s="5" t="s">
        <v>13</v>
      </c>
      <c r="D471" s="12" t="s">
        <v>72</v>
      </c>
      <c r="E471" s="6" t="s">
        <v>1178</v>
      </c>
      <c r="F471" s="13" t="s">
        <v>1179</v>
      </c>
      <c r="G471" s="6" t="s">
        <v>372</v>
      </c>
      <c r="H471" s="7" t="str">
        <f t="shared" si="7"/>
        <v>EPC-IPU-L415-08EXTRA LAVORI</v>
      </c>
      <c r="I471" s="8" t="s">
        <v>49</v>
      </c>
      <c r="J471" s="8" t="s">
        <v>76</v>
      </c>
      <c r="K471" s="8" t="s">
        <v>76</v>
      </c>
      <c r="L471" s="9"/>
      <c r="M471" s="9"/>
      <c r="N471" s="9"/>
      <c r="O471" s="9"/>
      <c r="P471" s="9"/>
      <c r="Q471" s="9"/>
      <c r="R471" s="9"/>
      <c r="S471" s="9"/>
      <c r="T471" s="9">
        <v>32447.08</v>
      </c>
      <c r="U471" s="9">
        <v>0</v>
      </c>
      <c r="V471" s="9"/>
      <c r="W471" s="9"/>
      <c r="X471" s="9">
        <v>32447.08</v>
      </c>
      <c r="Y471" s="9">
        <v>0</v>
      </c>
      <c r="Z471" s="9"/>
      <c r="AA471" s="9"/>
      <c r="AB471" s="9"/>
      <c r="AC471" s="9"/>
      <c r="AD471" s="9"/>
      <c r="AE471" s="9"/>
      <c r="AF471" s="9"/>
      <c r="AG471" s="9"/>
      <c r="AH471" s="7">
        <v>32447.08</v>
      </c>
      <c r="AI471" s="7">
        <v>0</v>
      </c>
    </row>
    <row r="472" spans="2:35" x14ac:dyDescent="0.3">
      <c r="B472" s="5" t="s">
        <v>3061</v>
      </c>
      <c r="C472" s="5" t="s">
        <v>13</v>
      </c>
      <c r="D472" s="12" t="s">
        <v>72</v>
      </c>
      <c r="E472" s="6" t="s">
        <v>1180</v>
      </c>
      <c r="F472" s="13" t="s">
        <v>1181</v>
      </c>
      <c r="G472" s="6" t="s">
        <v>360</v>
      </c>
      <c r="H472" s="7" t="str">
        <f t="shared" si="7"/>
        <v>EPC-IPU-C888-03EXTRA LAVORI</v>
      </c>
      <c r="I472" s="8" t="s">
        <v>18</v>
      </c>
      <c r="J472" s="8" t="s">
        <v>76</v>
      </c>
      <c r="K472" s="8" t="s">
        <v>76</v>
      </c>
      <c r="L472" s="9"/>
      <c r="M472" s="9"/>
      <c r="N472" s="9"/>
      <c r="O472" s="9"/>
      <c r="P472" s="9"/>
      <c r="Q472" s="9"/>
      <c r="R472" s="9"/>
      <c r="S472" s="9"/>
      <c r="T472" s="9">
        <v>41634</v>
      </c>
      <c r="U472" s="9">
        <v>53464.78</v>
      </c>
      <c r="V472" s="9"/>
      <c r="W472" s="9"/>
      <c r="X472" s="9">
        <v>41634</v>
      </c>
      <c r="Y472" s="9">
        <v>56340.41</v>
      </c>
      <c r="Z472" s="9"/>
      <c r="AA472" s="9"/>
      <c r="AB472" s="9"/>
      <c r="AC472" s="9"/>
      <c r="AD472" s="9"/>
      <c r="AE472" s="9"/>
      <c r="AF472" s="9"/>
      <c r="AG472" s="9"/>
      <c r="AH472" s="7">
        <v>41634</v>
      </c>
      <c r="AI472" s="7">
        <v>56340.41</v>
      </c>
    </row>
    <row r="473" spans="2:35" x14ac:dyDescent="0.3">
      <c r="B473" s="5" t="s">
        <v>3061</v>
      </c>
      <c r="C473" s="5" t="s">
        <v>13</v>
      </c>
      <c r="D473" s="12" t="s">
        <v>72</v>
      </c>
      <c r="E473" s="6" t="s">
        <v>1182</v>
      </c>
      <c r="F473" s="13" t="s">
        <v>1183</v>
      </c>
      <c r="G473" s="6" t="s">
        <v>1184</v>
      </c>
      <c r="H473" s="7" t="str">
        <f t="shared" si="7"/>
        <v>EPC-IPU-I457-05EXTRA LAVORI</v>
      </c>
      <c r="I473" s="8" t="s">
        <v>18</v>
      </c>
      <c r="J473" s="8" t="s">
        <v>76</v>
      </c>
      <c r="K473" s="8" t="s">
        <v>76</v>
      </c>
      <c r="L473" s="9"/>
      <c r="M473" s="9"/>
      <c r="N473" s="9"/>
      <c r="O473" s="9"/>
      <c r="P473" s="9"/>
      <c r="Q473" s="9"/>
      <c r="R473" s="9"/>
      <c r="S473" s="9"/>
      <c r="T473" s="9">
        <v>19621.060000000001</v>
      </c>
      <c r="U473" s="9">
        <v>2114.5300000000002</v>
      </c>
      <c r="V473" s="9"/>
      <c r="W473" s="9"/>
      <c r="X473" s="9">
        <v>19621.060000000001</v>
      </c>
      <c r="Y473" s="9">
        <v>3691.6</v>
      </c>
      <c r="Z473" s="9"/>
      <c r="AA473" s="9"/>
      <c r="AB473" s="9"/>
      <c r="AC473" s="9"/>
      <c r="AD473" s="9"/>
      <c r="AE473" s="9"/>
      <c r="AF473" s="9"/>
      <c r="AG473" s="9"/>
      <c r="AH473" s="7">
        <v>19621.060000000001</v>
      </c>
      <c r="AI473" s="7">
        <v>3691.6</v>
      </c>
    </row>
    <row r="474" spans="2:35" x14ac:dyDescent="0.3">
      <c r="B474" s="5" t="s">
        <v>3061</v>
      </c>
      <c r="C474" s="5" t="s">
        <v>13</v>
      </c>
      <c r="D474" s="12" t="s">
        <v>72</v>
      </c>
      <c r="E474" s="6" t="s">
        <v>1185</v>
      </c>
      <c r="F474" s="13" t="s">
        <v>1186</v>
      </c>
      <c r="G474" s="6" t="s">
        <v>702</v>
      </c>
      <c r="H474" s="7" t="str">
        <f t="shared" si="7"/>
        <v>EPC-IPU-A519-05EXTRA LAVORI</v>
      </c>
      <c r="I474" s="8" t="s">
        <v>18</v>
      </c>
      <c r="J474" s="8" t="s">
        <v>76</v>
      </c>
      <c r="K474" s="8" t="s">
        <v>76</v>
      </c>
      <c r="L474" s="9"/>
      <c r="M474" s="9"/>
      <c r="N474" s="9"/>
      <c r="O474" s="9"/>
      <c r="P474" s="9"/>
      <c r="Q474" s="9"/>
      <c r="R474" s="9"/>
      <c r="S474" s="9"/>
      <c r="T474" s="9">
        <v>940</v>
      </c>
      <c r="U474" s="9">
        <v>0</v>
      </c>
      <c r="V474" s="9"/>
      <c r="W474" s="9"/>
      <c r="X474" s="9">
        <v>940</v>
      </c>
      <c r="Y474" s="9">
        <v>0</v>
      </c>
      <c r="Z474" s="9"/>
      <c r="AA474" s="9"/>
      <c r="AB474" s="9"/>
      <c r="AC474" s="9"/>
      <c r="AD474" s="9"/>
      <c r="AE474" s="9"/>
      <c r="AF474" s="9"/>
      <c r="AG474" s="9"/>
      <c r="AH474" s="7">
        <v>940</v>
      </c>
      <c r="AI474" s="7">
        <v>0</v>
      </c>
    </row>
    <row r="475" spans="2:35" x14ac:dyDescent="0.3">
      <c r="B475" s="5" t="s">
        <v>3061</v>
      </c>
      <c r="C475" s="5" t="s">
        <v>13</v>
      </c>
      <c r="D475" s="12" t="s">
        <v>72</v>
      </c>
      <c r="E475" s="6" t="s">
        <v>1187</v>
      </c>
      <c r="F475" s="13" t="s">
        <v>1188</v>
      </c>
      <c r="G475" s="6" t="s">
        <v>372</v>
      </c>
      <c r="H475" s="7" t="str">
        <f t="shared" si="7"/>
        <v>EPC-IPU-L415-07EXTRA LAVORI</v>
      </c>
      <c r="I475" s="8" t="s">
        <v>49</v>
      </c>
      <c r="J475" s="8" t="s">
        <v>76</v>
      </c>
      <c r="K475" s="8" t="s">
        <v>76</v>
      </c>
      <c r="L475" s="9"/>
      <c r="M475" s="9"/>
      <c r="N475" s="9"/>
      <c r="O475" s="9"/>
      <c r="P475" s="9"/>
      <c r="Q475" s="9"/>
      <c r="R475" s="9"/>
      <c r="S475" s="9"/>
      <c r="T475" s="9">
        <v>8010</v>
      </c>
      <c r="U475" s="9">
        <v>0</v>
      </c>
      <c r="V475" s="9"/>
      <c r="W475" s="9"/>
      <c r="X475" s="9">
        <v>8010</v>
      </c>
      <c r="Y475" s="9">
        <v>0</v>
      </c>
      <c r="Z475" s="9"/>
      <c r="AA475" s="9"/>
      <c r="AB475" s="9"/>
      <c r="AC475" s="9"/>
      <c r="AD475" s="9"/>
      <c r="AE475" s="9"/>
      <c r="AF475" s="9"/>
      <c r="AG475" s="9"/>
      <c r="AH475" s="7">
        <v>8010</v>
      </c>
      <c r="AI475" s="7">
        <v>0</v>
      </c>
    </row>
    <row r="476" spans="2:35" x14ac:dyDescent="0.3">
      <c r="B476" s="5" t="s">
        <v>3061</v>
      </c>
      <c r="C476" s="5" t="s">
        <v>13</v>
      </c>
      <c r="D476" s="12" t="s">
        <v>72</v>
      </c>
      <c r="E476" s="6" t="s">
        <v>1189</v>
      </c>
      <c r="F476" s="13" t="s">
        <v>1190</v>
      </c>
      <c r="G476" s="6" t="s">
        <v>211</v>
      </c>
      <c r="H476" s="7" t="str">
        <f t="shared" si="7"/>
        <v>EPC-IPU-I305-03EXTRA LAVORI</v>
      </c>
      <c r="I476" s="8" t="s">
        <v>18</v>
      </c>
      <c r="J476" s="8" t="s">
        <v>76</v>
      </c>
      <c r="K476" s="8" t="s">
        <v>76</v>
      </c>
      <c r="L476" s="9"/>
      <c r="M476" s="9"/>
      <c r="N476" s="9"/>
      <c r="O476" s="9"/>
      <c r="P476" s="9"/>
      <c r="Q476" s="9"/>
      <c r="R476" s="9"/>
      <c r="S476" s="9"/>
      <c r="T476" s="9">
        <v>0</v>
      </c>
      <c r="U476" s="9">
        <v>4913.67</v>
      </c>
      <c r="V476" s="9"/>
      <c r="W476" s="9"/>
      <c r="X476" s="9">
        <v>0</v>
      </c>
      <c r="Y476" s="9">
        <v>5333.67</v>
      </c>
      <c r="Z476" s="9"/>
      <c r="AA476" s="9"/>
      <c r="AB476" s="9"/>
      <c r="AC476" s="9"/>
      <c r="AD476" s="9"/>
      <c r="AE476" s="9"/>
      <c r="AF476" s="9"/>
      <c r="AG476" s="9"/>
      <c r="AH476" s="7">
        <v>0</v>
      </c>
      <c r="AI476" s="7">
        <v>5333.67</v>
      </c>
    </row>
    <row r="477" spans="2:35" x14ac:dyDescent="0.3">
      <c r="B477" s="5" t="s">
        <v>3061</v>
      </c>
      <c r="C477" s="5" t="s">
        <v>13</v>
      </c>
      <c r="D477" s="12" t="s">
        <v>72</v>
      </c>
      <c r="E477" s="6" t="s">
        <v>580</v>
      </c>
      <c r="F477" s="13" t="s">
        <v>581</v>
      </c>
      <c r="G477" s="6" t="s">
        <v>566</v>
      </c>
      <c r="H477" s="7" t="str">
        <f t="shared" si="7"/>
        <v>AQ1-IPU-L191-01EXTRA LAVORI</v>
      </c>
      <c r="I477" s="8" t="s">
        <v>24</v>
      </c>
      <c r="J477" s="8" t="s">
        <v>19</v>
      </c>
      <c r="K477" s="8" t="s">
        <v>475</v>
      </c>
      <c r="L477" s="9"/>
      <c r="M477" s="9"/>
      <c r="N477" s="9"/>
      <c r="O477" s="9"/>
      <c r="P477" s="9"/>
      <c r="Q477" s="9"/>
      <c r="R477" s="9"/>
      <c r="S477" s="9"/>
      <c r="T477" s="9">
        <v>0</v>
      </c>
      <c r="U477" s="9">
        <v>0</v>
      </c>
      <c r="V477" s="9"/>
      <c r="W477" s="9"/>
      <c r="X477" s="9">
        <v>0</v>
      </c>
      <c r="Y477" s="9">
        <v>188.03</v>
      </c>
      <c r="Z477" s="9"/>
      <c r="AA477" s="9"/>
      <c r="AB477" s="9"/>
      <c r="AC477" s="9"/>
      <c r="AD477" s="9"/>
      <c r="AE477" s="9"/>
      <c r="AF477" s="9"/>
      <c r="AG477" s="9"/>
      <c r="AH477" s="7">
        <v>0</v>
      </c>
      <c r="AI477" s="7">
        <v>188.03</v>
      </c>
    </row>
    <row r="478" spans="2:35" x14ac:dyDescent="0.3">
      <c r="B478" s="5" t="s">
        <v>3061</v>
      </c>
      <c r="C478" s="5" t="s">
        <v>13</v>
      </c>
      <c r="D478" s="12" t="s">
        <v>72</v>
      </c>
      <c r="E478" s="6" t="s">
        <v>1191</v>
      </c>
      <c r="F478" s="13" t="s">
        <v>1192</v>
      </c>
      <c r="G478" s="6" t="s">
        <v>125</v>
      </c>
      <c r="H478" s="7" t="str">
        <f t="shared" si="7"/>
        <v>EPC-IPU-D869-04EXTRA LAVORI</v>
      </c>
      <c r="I478" s="8" t="s">
        <v>49</v>
      </c>
      <c r="J478" s="8" t="s">
        <v>76</v>
      </c>
      <c r="K478" s="8" t="s">
        <v>76</v>
      </c>
      <c r="L478" s="9"/>
      <c r="M478" s="9"/>
      <c r="N478" s="9"/>
      <c r="O478" s="9"/>
      <c r="P478" s="9"/>
      <c r="Q478" s="9"/>
      <c r="R478" s="9"/>
      <c r="S478" s="9"/>
      <c r="T478" s="9">
        <v>2776.67</v>
      </c>
      <c r="U478" s="9">
        <v>0</v>
      </c>
      <c r="V478" s="9"/>
      <c r="W478" s="9"/>
      <c r="X478" s="9">
        <v>0</v>
      </c>
      <c r="Y478" s="9">
        <v>0</v>
      </c>
      <c r="Z478" s="9"/>
      <c r="AA478" s="9"/>
      <c r="AB478" s="9"/>
      <c r="AC478" s="9"/>
      <c r="AD478" s="9"/>
      <c r="AE478" s="9"/>
      <c r="AF478" s="9"/>
      <c r="AG478" s="9"/>
      <c r="AH478" s="7">
        <v>0</v>
      </c>
      <c r="AI478" s="7">
        <v>0</v>
      </c>
    </row>
    <row r="479" spans="2:35" x14ac:dyDescent="0.3">
      <c r="B479" s="5" t="s">
        <v>3061</v>
      </c>
      <c r="C479" s="5" t="s">
        <v>13</v>
      </c>
      <c r="D479" s="12" t="s">
        <v>72</v>
      </c>
      <c r="E479" s="6" t="s">
        <v>1193</v>
      </c>
      <c r="F479" s="13" t="s">
        <v>1194</v>
      </c>
      <c r="G479" s="6" t="s">
        <v>466</v>
      </c>
      <c r="H479" s="7" t="str">
        <f t="shared" si="7"/>
        <v>EPC-IPU-B162-06EXTRA LAVORI</v>
      </c>
      <c r="I479" s="8" t="s">
        <v>49</v>
      </c>
      <c r="J479" s="8" t="s">
        <v>76</v>
      </c>
      <c r="K479" s="8" t="s">
        <v>76</v>
      </c>
      <c r="L479" s="9"/>
      <c r="M479" s="9"/>
      <c r="N479" s="9"/>
      <c r="O479" s="9"/>
      <c r="P479" s="9"/>
      <c r="Q479" s="9"/>
      <c r="R479" s="9"/>
      <c r="S479" s="9"/>
      <c r="T479" s="9">
        <v>12233.6</v>
      </c>
      <c r="U479" s="9">
        <v>0</v>
      </c>
      <c r="V479" s="9"/>
      <c r="W479" s="9"/>
      <c r="X479" s="9">
        <v>0</v>
      </c>
      <c r="Y479" s="9">
        <v>3868</v>
      </c>
      <c r="Z479" s="9"/>
      <c r="AA479" s="9"/>
      <c r="AB479" s="9"/>
      <c r="AC479" s="9"/>
      <c r="AD479" s="9"/>
      <c r="AE479" s="9"/>
      <c r="AF479" s="9"/>
      <c r="AG479" s="9"/>
      <c r="AH479" s="7">
        <v>0</v>
      </c>
      <c r="AI479" s="7">
        <v>3868</v>
      </c>
    </row>
    <row r="480" spans="2:35" x14ac:dyDescent="0.3">
      <c r="B480" s="5" t="s">
        <v>3061</v>
      </c>
      <c r="C480" s="5" t="s">
        <v>13</v>
      </c>
      <c r="D480" s="12" t="s">
        <v>72</v>
      </c>
      <c r="E480" s="6" t="s">
        <v>817</v>
      </c>
      <c r="F480" s="13" t="s">
        <v>818</v>
      </c>
      <c r="G480" s="6" t="s">
        <v>819</v>
      </c>
      <c r="H480" s="7" t="str">
        <f t="shared" si="7"/>
        <v>EPC-EEE-L736-01EXTRA LAVORI</v>
      </c>
      <c r="I480" s="8" t="s">
        <v>56</v>
      </c>
      <c r="J480" s="8" t="s">
        <v>259</v>
      </c>
      <c r="K480" s="8" t="s">
        <v>259</v>
      </c>
      <c r="L480" s="9"/>
      <c r="M480" s="9"/>
      <c r="N480" s="9"/>
      <c r="O480" s="9"/>
      <c r="P480" s="9"/>
      <c r="Q480" s="9"/>
      <c r="R480" s="9"/>
      <c r="S480" s="9"/>
      <c r="T480" s="9">
        <v>0</v>
      </c>
      <c r="U480" s="9">
        <v>47386.5</v>
      </c>
      <c r="V480" s="9"/>
      <c r="W480" s="9"/>
      <c r="X480" s="9">
        <v>0</v>
      </c>
      <c r="Y480" s="9">
        <v>48468.85</v>
      </c>
      <c r="Z480" s="9"/>
      <c r="AA480" s="9"/>
      <c r="AB480" s="9"/>
      <c r="AC480" s="9"/>
      <c r="AD480" s="9"/>
      <c r="AE480" s="9"/>
      <c r="AF480" s="9"/>
      <c r="AG480" s="9"/>
      <c r="AH480" s="7">
        <v>0</v>
      </c>
      <c r="AI480" s="7">
        <v>48468.85</v>
      </c>
    </row>
    <row r="481" spans="2:35" x14ac:dyDescent="0.3">
      <c r="B481" s="5" t="s">
        <v>3061</v>
      </c>
      <c r="C481" s="5" t="s">
        <v>13</v>
      </c>
      <c r="D481" s="12" t="s">
        <v>72</v>
      </c>
      <c r="E481" s="6" t="s">
        <v>1195</v>
      </c>
      <c r="F481" s="13" t="s">
        <v>1196</v>
      </c>
      <c r="G481" s="6" t="s">
        <v>252</v>
      </c>
      <c r="H481" s="7" t="str">
        <f t="shared" si="7"/>
        <v>EPC-IPU-D542-02EXTRA LAVORI</v>
      </c>
      <c r="I481" s="8" t="s">
        <v>24</v>
      </c>
      <c r="J481" s="8" t="s">
        <v>76</v>
      </c>
      <c r="K481" s="8" t="s">
        <v>76</v>
      </c>
      <c r="L481" s="9"/>
      <c r="M481" s="9"/>
      <c r="N481" s="9"/>
      <c r="O481" s="9"/>
      <c r="P481" s="9"/>
      <c r="Q481" s="9"/>
      <c r="R481" s="9"/>
      <c r="S481" s="9"/>
      <c r="T481" s="9">
        <v>0</v>
      </c>
      <c r="U481" s="9">
        <v>850</v>
      </c>
      <c r="V481" s="9"/>
      <c r="W481" s="9"/>
      <c r="X481" s="9">
        <v>0</v>
      </c>
      <c r="Y481" s="9">
        <v>850</v>
      </c>
      <c r="Z481" s="9"/>
      <c r="AA481" s="9"/>
      <c r="AB481" s="9"/>
      <c r="AC481" s="9"/>
      <c r="AD481" s="9"/>
      <c r="AE481" s="9"/>
      <c r="AF481" s="9"/>
      <c r="AG481" s="9"/>
      <c r="AH481" s="7">
        <v>0</v>
      </c>
      <c r="AI481" s="7">
        <v>850</v>
      </c>
    </row>
    <row r="482" spans="2:35" x14ac:dyDescent="0.3">
      <c r="B482" s="5" t="s">
        <v>3061</v>
      </c>
      <c r="C482" s="5" t="s">
        <v>13</v>
      </c>
      <c r="D482" s="12" t="s">
        <v>72</v>
      </c>
      <c r="E482" s="6" t="s">
        <v>1197</v>
      </c>
      <c r="F482" s="13" t="s">
        <v>1198</v>
      </c>
      <c r="G482" s="6" t="s">
        <v>354</v>
      </c>
      <c r="H482" s="7" t="str">
        <f t="shared" si="7"/>
        <v>EPC-IPU-I608-01EXTRA LAVORI</v>
      </c>
      <c r="I482" s="8" t="s">
        <v>24</v>
      </c>
      <c r="J482" s="8" t="s">
        <v>76</v>
      </c>
      <c r="K482" s="8" t="s">
        <v>76</v>
      </c>
      <c r="L482" s="9"/>
      <c r="M482" s="9"/>
      <c r="N482" s="9"/>
      <c r="O482" s="9"/>
      <c r="P482" s="9"/>
      <c r="Q482" s="9"/>
      <c r="R482" s="9"/>
      <c r="S482" s="9"/>
      <c r="T482" s="9">
        <v>0</v>
      </c>
      <c r="U482" s="9">
        <v>396</v>
      </c>
      <c r="V482" s="9"/>
      <c r="W482" s="9"/>
      <c r="X482" s="9">
        <v>0</v>
      </c>
      <c r="Y482" s="9">
        <v>396</v>
      </c>
      <c r="Z482" s="9"/>
      <c r="AA482" s="9"/>
      <c r="AB482" s="9"/>
      <c r="AC482" s="9"/>
      <c r="AD482" s="9"/>
      <c r="AE482" s="9"/>
      <c r="AF482" s="9"/>
      <c r="AG482" s="9"/>
      <c r="AH482" s="7">
        <v>0</v>
      </c>
      <c r="AI482" s="7">
        <v>396</v>
      </c>
    </row>
    <row r="483" spans="2:35" x14ac:dyDescent="0.3">
      <c r="B483" s="5" t="s">
        <v>3061</v>
      </c>
      <c r="C483" s="5" t="s">
        <v>13</v>
      </c>
      <c r="D483" s="12" t="s">
        <v>72</v>
      </c>
      <c r="E483" s="6" t="s">
        <v>1052</v>
      </c>
      <c r="F483" s="13" t="s">
        <v>1053</v>
      </c>
      <c r="G483" s="6" t="s">
        <v>450</v>
      </c>
      <c r="H483" s="7" t="str">
        <f t="shared" si="7"/>
        <v>EPC-IPU-F348-06EXTRA LAVORI</v>
      </c>
      <c r="I483" s="8" t="s">
        <v>24</v>
      </c>
      <c r="J483" s="8" t="s">
        <v>76</v>
      </c>
      <c r="K483" s="8" t="s">
        <v>76</v>
      </c>
      <c r="L483" s="9"/>
      <c r="M483" s="9"/>
      <c r="N483" s="9"/>
      <c r="O483" s="9"/>
      <c r="P483" s="9"/>
      <c r="Q483" s="9"/>
      <c r="R483" s="9"/>
      <c r="S483" s="9"/>
      <c r="T483" s="9">
        <v>0</v>
      </c>
      <c r="U483" s="9">
        <v>530</v>
      </c>
      <c r="V483" s="9"/>
      <c r="W483" s="9"/>
      <c r="X483" s="9">
        <v>2410.96</v>
      </c>
      <c r="Y483" s="9">
        <v>530</v>
      </c>
      <c r="Z483" s="9"/>
      <c r="AA483" s="9"/>
      <c r="AB483" s="9"/>
      <c r="AC483" s="9"/>
      <c r="AD483" s="9"/>
      <c r="AE483" s="9"/>
      <c r="AF483" s="9"/>
      <c r="AG483" s="9"/>
      <c r="AH483" s="7">
        <v>2410.96</v>
      </c>
      <c r="AI483" s="7">
        <v>530</v>
      </c>
    </row>
    <row r="484" spans="2:35" x14ac:dyDescent="0.3">
      <c r="B484" s="5" t="s">
        <v>3061</v>
      </c>
      <c r="C484" s="5" t="s">
        <v>13</v>
      </c>
      <c r="D484" s="12" t="s">
        <v>72</v>
      </c>
      <c r="E484" s="6" t="s">
        <v>1199</v>
      </c>
      <c r="F484" s="13" t="s">
        <v>1200</v>
      </c>
      <c r="G484" s="6" t="s">
        <v>372</v>
      </c>
      <c r="H484" s="7" t="str">
        <f t="shared" si="7"/>
        <v>EPC-IPU-L415-06EXTRA LAVORI</v>
      </c>
      <c r="I484" s="8" t="s">
        <v>49</v>
      </c>
      <c r="J484" s="8" t="s">
        <v>76</v>
      </c>
      <c r="K484" s="8" t="s">
        <v>76</v>
      </c>
      <c r="L484" s="9"/>
      <c r="M484" s="9"/>
      <c r="N484" s="9"/>
      <c r="O484" s="9"/>
      <c r="P484" s="9"/>
      <c r="Q484" s="9"/>
      <c r="R484" s="9"/>
      <c r="S484" s="9"/>
      <c r="T484" s="9">
        <v>2610.7399999999998</v>
      </c>
      <c r="U484" s="9">
        <v>0</v>
      </c>
      <c r="V484" s="9"/>
      <c r="W484" s="9"/>
      <c r="X484" s="9">
        <v>2610.7399999999998</v>
      </c>
      <c r="Y484" s="9">
        <v>0</v>
      </c>
      <c r="Z484" s="9"/>
      <c r="AA484" s="9"/>
      <c r="AB484" s="9"/>
      <c r="AC484" s="9"/>
      <c r="AD484" s="9"/>
      <c r="AE484" s="9"/>
      <c r="AF484" s="9"/>
      <c r="AG484" s="9"/>
      <c r="AH484" s="7">
        <v>2610.7399999999998</v>
      </c>
      <c r="AI484" s="7">
        <v>0</v>
      </c>
    </row>
    <row r="485" spans="2:35" x14ac:dyDescent="0.3">
      <c r="B485" s="5" t="s">
        <v>3061</v>
      </c>
      <c r="C485" s="5" t="s">
        <v>13</v>
      </c>
      <c r="D485" s="12" t="s">
        <v>686</v>
      </c>
      <c r="E485" s="6" t="s">
        <v>1201</v>
      </c>
      <c r="F485" s="13" t="s">
        <v>1202</v>
      </c>
      <c r="G485" s="6" t="s">
        <v>694</v>
      </c>
      <c r="H485" s="7" t="str">
        <f t="shared" si="7"/>
        <v>SEC-PHV-D593-06- No Activity Code -</v>
      </c>
      <c r="I485" s="8" t="s">
        <v>18</v>
      </c>
      <c r="J485" s="8" t="s">
        <v>454</v>
      </c>
      <c r="K485" s="8" t="s">
        <v>454</v>
      </c>
      <c r="L485" s="9"/>
      <c r="M485" s="9"/>
      <c r="N485" s="9"/>
      <c r="O485" s="9"/>
      <c r="P485" s="9"/>
      <c r="Q485" s="9"/>
      <c r="R485" s="9"/>
      <c r="S485" s="9"/>
      <c r="T485" s="9">
        <v>1411.55</v>
      </c>
      <c r="U485" s="9">
        <v>134.12</v>
      </c>
      <c r="V485" s="9"/>
      <c r="W485" s="9"/>
      <c r="X485" s="9">
        <v>0</v>
      </c>
      <c r="Y485" s="9">
        <v>0</v>
      </c>
      <c r="Z485" s="9"/>
      <c r="AA485" s="9"/>
      <c r="AB485" s="9"/>
      <c r="AC485" s="9"/>
      <c r="AD485" s="9"/>
      <c r="AE485" s="9"/>
      <c r="AF485" s="9"/>
      <c r="AG485" s="9"/>
      <c r="AH485" s="7">
        <v>0</v>
      </c>
      <c r="AI485" s="7">
        <v>0</v>
      </c>
    </row>
    <row r="486" spans="2:35" x14ac:dyDescent="0.3">
      <c r="B486" s="5" t="s">
        <v>3061</v>
      </c>
      <c r="C486" s="5" t="s">
        <v>13</v>
      </c>
      <c r="D486" s="12" t="s">
        <v>686</v>
      </c>
      <c r="E486" s="6" t="s">
        <v>1203</v>
      </c>
      <c r="F486" s="13" t="s">
        <v>1204</v>
      </c>
      <c r="G486" s="6" t="s">
        <v>694</v>
      </c>
      <c r="H486" s="7" t="str">
        <f t="shared" si="7"/>
        <v>SEC-PHV-D593-07- No Activity Code -</v>
      </c>
      <c r="I486" s="8" t="s">
        <v>18</v>
      </c>
      <c r="J486" s="8" t="s">
        <v>454</v>
      </c>
      <c r="K486" s="8" t="s">
        <v>454</v>
      </c>
      <c r="L486" s="9"/>
      <c r="M486" s="9"/>
      <c r="N486" s="9"/>
      <c r="O486" s="9"/>
      <c r="P486" s="9"/>
      <c r="Q486" s="9"/>
      <c r="R486" s="9"/>
      <c r="S486" s="9"/>
      <c r="T486" s="9">
        <v>293.92</v>
      </c>
      <c r="U486" s="9">
        <v>299.60000000000002</v>
      </c>
      <c r="V486" s="9"/>
      <c r="W486" s="9"/>
      <c r="X486" s="9">
        <v>0</v>
      </c>
      <c r="Y486" s="9">
        <v>0</v>
      </c>
      <c r="Z486" s="9"/>
      <c r="AA486" s="9"/>
      <c r="AB486" s="9"/>
      <c r="AC486" s="9"/>
      <c r="AD486" s="9"/>
      <c r="AE486" s="9"/>
      <c r="AF486" s="9"/>
      <c r="AG486" s="9"/>
      <c r="AH486" s="7">
        <v>0</v>
      </c>
      <c r="AI486" s="7">
        <v>0</v>
      </c>
    </row>
    <row r="487" spans="2:35" x14ac:dyDescent="0.3">
      <c r="B487" s="5" t="s">
        <v>3061</v>
      </c>
      <c r="C487" s="5" t="s">
        <v>13</v>
      </c>
      <c r="D487" s="12" t="s">
        <v>686</v>
      </c>
      <c r="E487" s="6" t="s">
        <v>1205</v>
      </c>
      <c r="F487" s="13" t="s">
        <v>1206</v>
      </c>
      <c r="G487" s="6" t="s">
        <v>694</v>
      </c>
      <c r="H487" s="7" t="str">
        <f t="shared" si="7"/>
        <v>SEC-PHV-D593-08- No Activity Code -</v>
      </c>
      <c r="I487" s="8" t="s">
        <v>18</v>
      </c>
      <c r="J487" s="8" t="s">
        <v>454</v>
      </c>
      <c r="K487" s="8" t="s">
        <v>454</v>
      </c>
      <c r="L487" s="9"/>
      <c r="M487" s="9"/>
      <c r="N487" s="9"/>
      <c r="O487" s="9"/>
      <c r="P487" s="9"/>
      <c r="Q487" s="9"/>
      <c r="R487" s="9"/>
      <c r="S487" s="9"/>
      <c r="T487" s="9">
        <v>295.42</v>
      </c>
      <c r="U487" s="9">
        <v>290.92</v>
      </c>
      <c r="V487" s="9"/>
      <c r="W487" s="9"/>
      <c r="X487" s="9">
        <v>0</v>
      </c>
      <c r="Y487" s="9">
        <v>0</v>
      </c>
      <c r="Z487" s="9"/>
      <c r="AA487" s="9"/>
      <c r="AB487" s="9"/>
      <c r="AC487" s="9"/>
      <c r="AD487" s="9"/>
      <c r="AE487" s="9"/>
      <c r="AF487" s="9"/>
      <c r="AG487" s="9"/>
      <c r="AH487" s="7">
        <v>0</v>
      </c>
      <c r="AI487" s="7">
        <v>0</v>
      </c>
    </row>
    <row r="488" spans="2:35" x14ac:dyDescent="0.3">
      <c r="B488" s="5" t="s">
        <v>3061</v>
      </c>
      <c r="C488" s="5" t="s">
        <v>13</v>
      </c>
      <c r="D488" s="12" t="s">
        <v>686</v>
      </c>
      <c r="E488" s="6" t="s">
        <v>1207</v>
      </c>
      <c r="F488" s="13" t="s">
        <v>1208</v>
      </c>
      <c r="G488" s="6" t="s">
        <v>360</v>
      </c>
      <c r="H488" s="7" t="str">
        <f t="shared" si="7"/>
        <v>EPC-IPU-C888-01- No Activity Code -</v>
      </c>
      <c r="I488" s="8" t="s">
        <v>18</v>
      </c>
      <c r="J488" s="8" t="s">
        <v>76</v>
      </c>
      <c r="K488" s="8" t="s">
        <v>76</v>
      </c>
      <c r="L488" s="9"/>
      <c r="M488" s="9"/>
      <c r="N488" s="9"/>
      <c r="O488" s="9"/>
      <c r="P488" s="9"/>
      <c r="Q488" s="9"/>
      <c r="R488" s="9"/>
      <c r="S488" s="9"/>
      <c r="T488" s="9">
        <v>0</v>
      </c>
      <c r="U488" s="9">
        <v>0</v>
      </c>
      <c r="V488" s="9"/>
      <c r="W488" s="9"/>
      <c r="X488" s="9">
        <v>0</v>
      </c>
      <c r="Y488" s="9">
        <v>0</v>
      </c>
      <c r="Z488" s="9"/>
      <c r="AA488" s="9"/>
      <c r="AB488" s="9"/>
      <c r="AC488" s="9"/>
      <c r="AD488" s="9"/>
      <c r="AE488" s="9"/>
      <c r="AF488" s="9"/>
      <c r="AG488" s="9"/>
      <c r="AH488" s="7">
        <v>0</v>
      </c>
      <c r="AI488" s="7">
        <v>0</v>
      </c>
    </row>
    <row r="489" spans="2:35" x14ac:dyDescent="0.3">
      <c r="B489" s="5" t="s">
        <v>3061</v>
      </c>
      <c r="C489" s="5" t="s">
        <v>13</v>
      </c>
      <c r="D489" s="12" t="s">
        <v>686</v>
      </c>
      <c r="E489" s="6" t="s">
        <v>500</v>
      </c>
      <c r="F489" s="13" t="s">
        <v>501</v>
      </c>
      <c r="G489" s="6" t="s">
        <v>1209</v>
      </c>
      <c r="H489" s="7" t="str">
        <f t="shared" si="7"/>
        <v>PPP-IPU-H793-01- No Activity Code -</v>
      </c>
      <c r="I489" s="8" t="s">
        <v>18</v>
      </c>
      <c r="J489" s="8" t="s">
        <v>19</v>
      </c>
      <c r="K489" s="8" t="s">
        <v>20</v>
      </c>
      <c r="L489" s="9"/>
      <c r="M489" s="9"/>
      <c r="N489" s="9"/>
      <c r="O489" s="9"/>
      <c r="P489" s="9"/>
      <c r="Q489" s="9"/>
      <c r="R489" s="9"/>
      <c r="S489" s="9"/>
      <c r="T489" s="9">
        <v>0</v>
      </c>
      <c r="U489" s="9">
        <v>0</v>
      </c>
      <c r="V489" s="9"/>
      <c r="W489" s="9"/>
      <c r="X489" s="9">
        <v>0</v>
      </c>
      <c r="Y489" s="9">
        <v>0</v>
      </c>
      <c r="Z489" s="9"/>
      <c r="AA489" s="9"/>
      <c r="AB489" s="9"/>
      <c r="AC489" s="9"/>
      <c r="AD489" s="9"/>
      <c r="AE489" s="9"/>
      <c r="AF489" s="9"/>
      <c r="AG489" s="9"/>
      <c r="AH489" s="7">
        <v>0</v>
      </c>
      <c r="AI489" s="7">
        <v>0</v>
      </c>
    </row>
    <row r="490" spans="2:35" x14ac:dyDescent="0.3">
      <c r="B490" s="5" t="s">
        <v>3061</v>
      </c>
      <c r="C490" s="5" t="s">
        <v>13</v>
      </c>
      <c r="D490" s="12" t="s">
        <v>686</v>
      </c>
      <c r="E490" s="6" t="s">
        <v>1210</v>
      </c>
      <c r="F490" s="13" t="s">
        <v>1211</v>
      </c>
      <c r="G490" s="6" t="s">
        <v>1184</v>
      </c>
      <c r="H490" s="7" t="str">
        <f t="shared" si="7"/>
        <v>EPC-IPU-I457-02- No Activity Code -</v>
      </c>
      <c r="I490" s="8" t="s">
        <v>18</v>
      </c>
      <c r="J490" s="8" t="s">
        <v>76</v>
      </c>
      <c r="K490" s="8" t="s">
        <v>76</v>
      </c>
      <c r="L490" s="9"/>
      <c r="M490" s="9"/>
      <c r="N490" s="9"/>
      <c r="O490" s="9"/>
      <c r="P490" s="9"/>
      <c r="Q490" s="9"/>
      <c r="R490" s="9"/>
      <c r="S490" s="9"/>
      <c r="T490" s="9">
        <v>0</v>
      </c>
      <c r="U490" s="9">
        <v>0</v>
      </c>
      <c r="V490" s="9"/>
      <c r="W490" s="9"/>
      <c r="X490" s="9">
        <v>0</v>
      </c>
      <c r="Y490" s="9">
        <v>0</v>
      </c>
      <c r="Z490" s="9"/>
      <c r="AA490" s="9"/>
      <c r="AB490" s="9"/>
      <c r="AC490" s="9"/>
      <c r="AD490" s="9"/>
      <c r="AE490" s="9"/>
      <c r="AF490" s="9"/>
      <c r="AG490" s="9"/>
      <c r="AH490" s="7">
        <v>0</v>
      </c>
      <c r="AI490" s="7">
        <v>0</v>
      </c>
    </row>
    <row r="491" spans="2:35" x14ac:dyDescent="0.3">
      <c r="B491" s="5" t="s">
        <v>3061</v>
      </c>
      <c r="C491" s="5" t="s">
        <v>13</v>
      </c>
      <c r="D491" s="12" t="s">
        <v>72</v>
      </c>
      <c r="E491" s="6" t="s">
        <v>997</v>
      </c>
      <c r="F491" s="13" t="s">
        <v>998</v>
      </c>
      <c r="G491" s="6" t="s">
        <v>1212</v>
      </c>
      <c r="H491" s="7" t="str">
        <f t="shared" si="7"/>
        <v>EPC-VS-C638-01EXTRA LAVORI</v>
      </c>
      <c r="I491" s="8" t="s">
        <v>56</v>
      </c>
      <c r="J491" s="8" t="s">
        <v>76</v>
      </c>
      <c r="K491" s="8" t="s">
        <v>76</v>
      </c>
      <c r="L491" s="9"/>
      <c r="M491" s="9"/>
      <c r="N491" s="9"/>
      <c r="O491" s="9"/>
      <c r="P491" s="9"/>
      <c r="Q491" s="9"/>
      <c r="R491" s="9"/>
      <c r="S491" s="9"/>
      <c r="T491" s="9">
        <v>0</v>
      </c>
      <c r="U491" s="9">
        <v>1229.52</v>
      </c>
      <c r="V491" s="9"/>
      <c r="W491" s="9"/>
      <c r="X491" s="9">
        <v>0</v>
      </c>
      <c r="Y491" s="9">
        <v>0</v>
      </c>
      <c r="Z491" s="9"/>
      <c r="AA491" s="9"/>
      <c r="AB491" s="9"/>
      <c r="AC491" s="9"/>
      <c r="AD491" s="9"/>
      <c r="AE491" s="9"/>
      <c r="AF491" s="9"/>
      <c r="AG491" s="9"/>
      <c r="AH491" s="7">
        <v>0</v>
      </c>
      <c r="AI491" s="7">
        <v>0</v>
      </c>
    </row>
    <row r="492" spans="2:35" x14ac:dyDescent="0.3">
      <c r="B492" s="5" t="s">
        <v>3061</v>
      </c>
      <c r="C492" s="5" t="s">
        <v>13</v>
      </c>
      <c r="D492" s="12" t="s">
        <v>72</v>
      </c>
      <c r="E492" s="6" t="s">
        <v>1139</v>
      </c>
      <c r="F492" s="13" t="s">
        <v>1140</v>
      </c>
      <c r="G492" s="6" t="s">
        <v>604</v>
      </c>
      <c r="H492" s="7" t="str">
        <f t="shared" si="7"/>
        <v>EPC-IPU-D472-01EXTRA LAVORI</v>
      </c>
      <c r="I492" s="8" t="s">
        <v>24</v>
      </c>
      <c r="J492" s="8" t="s">
        <v>76</v>
      </c>
      <c r="K492" s="8" t="s">
        <v>76</v>
      </c>
      <c r="L492" s="9"/>
      <c r="M492" s="9"/>
      <c r="N492" s="9"/>
      <c r="O492" s="9"/>
      <c r="P492" s="9"/>
      <c r="Q492" s="9"/>
      <c r="R492" s="9"/>
      <c r="S492" s="9"/>
      <c r="T492" s="9">
        <v>0</v>
      </c>
      <c r="U492" s="9">
        <v>577.4</v>
      </c>
      <c r="V492" s="9"/>
      <c r="W492" s="9"/>
      <c r="X492" s="9">
        <v>0</v>
      </c>
      <c r="Y492" s="9">
        <v>0</v>
      </c>
      <c r="Z492" s="9"/>
      <c r="AA492" s="9"/>
      <c r="AB492" s="9"/>
      <c r="AC492" s="9"/>
      <c r="AD492" s="9"/>
      <c r="AE492" s="9"/>
      <c r="AF492" s="9"/>
      <c r="AG492" s="9"/>
      <c r="AH492" s="7">
        <v>0</v>
      </c>
      <c r="AI492" s="7">
        <v>0</v>
      </c>
    </row>
    <row r="493" spans="2:35" x14ac:dyDescent="0.3">
      <c r="B493" s="5" t="s">
        <v>3061</v>
      </c>
      <c r="C493" s="5" t="s">
        <v>13</v>
      </c>
      <c r="D493" s="12" t="s">
        <v>72</v>
      </c>
      <c r="E493" s="6" t="s">
        <v>926</v>
      </c>
      <c r="F493" s="13" t="s">
        <v>927</v>
      </c>
      <c r="G493" s="6" t="s">
        <v>243</v>
      </c>
      <c r="H493" s="7" t="str">
        <f t="shared" si="7"/>
        <v>EPC-IPU-H240-01EXTRA LAVORI</v>
      </c>
      <c r="I493" s="8" t="s">
        <v>49</v>
      </c>
      <c r="J493" s="8" t="s">
        <v>76</v>
      </c>
      <c r="K493" s="8" t="s">
        <v>76</v>
      </c>
      <c r="L493" s="9"/>
      <c r="M493" s="9"/>
      <c r="N493" s="9"/>
      <c r="O493" s="9"/>
      <c r="P493" s="9"/>
      <c r="Q493" s="9"/>
      <c r="R493" s="9"/>
      <c r="S493" s="9"/>
      <c r="T493" s="9">
        <v>0</v>
      </c>
      <c r="U493" s="9">
        <v>19334.03</v>
      </c>
      <c r="V493" s="9"/>
      <c r="W493" s="9"/>
      <c r="X493" s="9">
        <v>0</v>
      </c>
      <c r="Y493" s="9">
        <v>0</v>
      </c>
      <c r="Z493" s="9"/>
      <c r="AA493" s="9"/>
      <c r="AB493" s="9"/>
      <c r="AC493" s="9"/>
      <c r="AD493" s="9"/>
      <c r="AE493" s="9"/>
      <c r="AF493" s="9"/>
      <c r="AG493" s="9"/>
      <c r="AH493" s="7">
        <v>0</v>
      </c>
      <c r="AI493" s="7">
        <v>0</v>
      </c>
    </row>
    <row r="494" spans="2:35" x14ac:dyDescent="0.3">
      <c r="B494" s="5" t="s">
        <v>3061</v>
      </c>
      <c r="C494" s="5" t="s">
        <v>13</v>
      </c>
      <c r="D494" s="12" t="s">
        <v>72</v>
      </c>
      <c r="E494" s="6" t="s">
        <v>1076</v>
      </c>
      <c r="F494" s="13" t="s">
        <v>1077</v>
      </c>
      <c r="G494" s="6" t="s">
        <v>616</v>
      </c>
      <c r="H494" s="7" t="str">
        <f t="shared" si="7"/>
        <v>EPC-IPU-F632-06EXTRA LAVORI</v>
      </c>
      <c r="I494" s="8" t="s">
        <v>24</v>
      </c>
      <c r="J494" s="8" t="s">
        <v>76</v>
      </c>
      <c r="K494" s="8" t="s">
        <v>76</v>
      </c>
      <c r="L494" s="9"/>
      <c r="M494" s="9"/>
      <c r="N494" s="9"/>
      <c r="O494" s="9"/>
      <c r="P494" s="9"/>
      <c r="Q494" s="9"/>
      <c r="R494" s="9"/>
      <c r="S494" s="9"/>
      <c r="T494" s="9">
        <v>6190</v>
      </c>
      <c r="U494" s="9">
        <v>0</v>
      </c>
      <c r="V494" s="9"/>
      <c r="W494" s="9"/>
      <c r="X494" s="9">
        <v>0</v>
      </c>
      <c r="Y494" s="9">
        <v>0</v>
      </c>
      <c r="Z494" s="9"/>
      <c r="AA494" s="9"/>
      <c r="AB494" s="9"/>
      <c r="AC494" s="9"/>
      <c r="AD494" s="9"/>
      <c r="AE494" s="9"/>
      <c r="AF494" s="9"/>
      <c r="AG494" s="9"/>
      <c r="AH494" s="7">
        <v>0</v>
      </c>
      <c r="AI494" s="7">
        <v>0</v>
      </c>
    </row>
    <row r="495" spans="2:35" x14ac:dyDescent="0.3">
      <c r="B495" s="5" t="s">
        <v>3061</v>
      </c>
      <c r="C495" s="5" t="s">
        <v>13</v>
      </c>
      <c r="D495" s="12" t="s">
        <v>14</v>
      </c>
      <c r="E495" s="6" t="s">
        <v>1180</v>
      </c>
      <c r="F495" s="13" t="s">
        <v>1181</v>
      </c>
      <c r="G495" s="6" t="s">
        <v>360</v>
      </c>
      <c r="H495" s="7" t="str">
        <f t="shared" si="7"/>
        <v>EPC-IPU-C888-03OPERATIONAL</v>
      </c>
      <c r="I495" s="8" t="s">
        <v>18</v>
      </c>
      <c r="J495" s="8" t="s">
        <v>76</v>
      </c>
      <c r="K495" s="8" t="s">
        <v>76</v>
      </c>
      <c r="L495" s="9"/>
      <c r="M495" s="9"/>
      <c r="N495" s="9"/>
      <c r="O495" s="9"/>
      <c r="P495" s="9"/>
      <c r="Q495" s="9"/>
      <c r="R495" s="9"/>
      <c r="S495" s="9"/>
      <c r="T495" s="9">
        <v>0</v>
      </c>
      <c r="U495" s="9">
        <v>750.72500000000002</v>
      </c>
      <c r="V495" s="9"/>
      <c r="W495" s="9"/>
      <c r="X495" s="9">
        <v>0</v>
      </c>
      <c r="Y495" s="9">
        <v>0</v>
      </c>
      <c r="Z495" s="9"/>
      <c r="AA495" s="9"/>
      <c r="AB495" s="9"/>
      <c r="AC495" s="9"/>
      <c r="AD495" s="9"/>
      <c r="AE495" s="9"/>
      <c r="AF495" s="9"/>
      <c r="AG495" s="9"/>
      <c r="AH495" s="7">
        <v>0</v>
      </c>
      <c r="AI495" s="7">
        <v>0</v>
      </c>
    </row>
    <row r="496" spans="2:35" x14ac:dyDescent="0.3">
      <c r="B496" s="5" t="s">
        <v>3061</v>
      </c>
      <c r="C496" s="5" t="s">
        <v>13</v>
      </c>
      <c r="D496" s="12" t="s">
        <v>72</v>
      </c>
      <c r="E496" s="6" t="s">
        <v>1210</v>
      </c>
      <c r="F496" s="13" t="s">
        <v>1211</v>
      </c>
      <c r="G496" s="6" t="s">
        <v>1184</v>
      </c>
      <c r="H496" s="7" t="str">
        <f t="shared" si="7"/>
        <v>EPC-IPU-I457-02EXTRA LAVORI</v>
      </c>
      <c r="I496" s="8" t="s">
        <v>18</v>
      </c>
      <c r="J496" s="8" t="s">
        <v>76</v>
      </c>
      <c r="K496" s="8" t="s">
        <v>76</v>
      </c>
      <c r="L496" s="9"/>
      <c r="M496" s="9"/>
      <c r="N496" s="9"/>
      <c r="O496" s="9"/>
      <c r="P496" s="9"/>
      <c r="Q496" s="9"/>
      <c r="R496" s="9"/>
      <c r="S496" s="9"/>
      <c r="T496" s="9">
        <v>0</v>
      </c>
      <c r="U496" s="9">
        <v>70.89</v>
      </c>
      <c r="V496" s="9"/>
      <c r="W496" s="9"/>
      <c r="X496" s="9">
        <v>0</v>
      </c>
      <c r="Y496" s="9">
        <v>0</v>
      </c>
      <c r="Z496" s="9"/>
      <c r="AA496" s="9"/>
      <c r="AB496" s="9"/>
      <c r="AC496" s="9"/>
      <c r="AD496" s="9"/>
      <c r="AE496" s="9"/>
      <c r="AF496" s="9"/>
      <c r="AG496" s="9"/>
      <c r="AH496" s="7">
        <v>0</v>
      </c>
      <c r="AI496" s="7">
        <v>0</v>
      </c>
    </row>
    <row r="497" spans="2:35" x14ac:dyDescent="0.3">
      <c r="B497" s="5" t="s">
        <v>3061</v>
      </c>
      <c r="C497" s="5" t="s">
        <v>13</v>
      </c>
      <c r="D497" s="12" t="s">
        <v>1213</v>
      </c>
      <c r="E497" s="6" t="s">
        <v>215</v>
      </c>
      <c r="F497" s="13" t="s">
        <v>216</v>
      </c>
      <c r="G497" s="6" t="s">
        <v>217</v>
      </c>
      <c r="H497" s="7" t="str">
        <f t="shared" si="7"/>
        <v>CL3-IPU-H930-01Operation &amp; Maintenance</v>
      </c>
      <c r="I497" s="8" t="s">
        <v>49</v>
      </c>
      <c r="J497" s="8" t="s">
        <v>19</v>
      </c>
      <c r="K497" s="8" t="s">
        <v>98</v>
      </c>
      <c r="L497" s="9"/>
      <c r="M497" s="9"/>
      <c r="N497" s="9"/>
      <c r="O497" s="9"/>
      <c r="P497" s="9"/>
      <c r="Q497" s="9"/>
      <c r="R497" s="9"/>
      <c r="S497" s="9"/>
      <c r="T497" s="9"/>
      <c r="U497" s="9"/>
      <c r="V497" s="9"/>
      <c r="W497" s="9"/>
      <c r="X497" s="9">
        <v>-765.47</v>
      </c>
      <c r="Y497" s="9">
        <v>19113.5</v>
      </c>
      <c r="Z497" s="9"/>
      <c r="AA497" s="9"/>
      <c r="AB497" s="9"/>
      <c r="AC497" s="9"/>
      <c r="AD497" s="9"/>
      <c r="AE497" s="9"/>
      <c r="AF497" s="9"/>
      <c r="AG497" s="9"/>
      <c r="AH497" s="7">
        <v>-765.47</v>
      </c>
      <c r="AI497" s="7">
        <v>19113.5</v>
      </c>
    </row>
    <row r="498" spans="2:35" x14ac:dyDescent="0.3">
      <c r="B498" s="5" t="s">
        <v>3061</v>
      </c>
      <c r="C498" s="5" t="s">
        <v>13</v>
      </c>
      <c r="D498" s="12" t="s">
        <v>1213</v>
      </c>
      <c r="E498" s="6" t="s">
        <v>123</v>
      </c>
      <c r="F498" s="13" t="s">
        <v>124</v>
      </c>
      <c r="G498" s="6" t="s">
        <v>125</v>
      </c>
      <c r="H498" s="7" t="str">
        <f t="shared" si="7"/>
        <v>CL3-IPU-D869-01Operation &amp; Maintenance</v>
      </c>
      <c r="I498" s="8" t="s">
        <v>49</v>
      </c>
      <c r="J498" s="8" t="s">
        <v>19</v>
      </c>
      <c r="K498" s="8" t="s">
        <v>98</v>
      </c>
      <c r="L498" s="9"/>
      <c r="M498" s="9"/>
      <c r="N498" s="9"/>
      <c r="O498" s="9"/>
      <c r="P498" s="9"/>
      <c r="Q498" s="9"/>
      <c r="R498" s="9"/>
      <c r="S498" s="9"/>
      <c r="T498" s="9"/>
      <c r="U498" s="9"/>
      <c r="V498" s="9"/>
      <c r="W498" s="9"/>
      <c r="X498" s="9">
        <v>0</v>
      </c>
      <c r="Y498" s="9">
        <v>51011.79</v>
      </c>
      <c r="Z498" s="9"/>
      <c r="AA498" s="9"/>
      <c r="AB498" s="9"/>
      <c r="AC498" s="9"/>
      <c r="AD498" s="9"/>
      <c r="AE498" s="9"/>
      <c r="AF498" s="9"/>
      <c r="AG498" s="9"/>
      <c r="AH498" s="7">
        <v>0</v>
      </c>
      <c r="AI498" s="7">
        <v>51011.79</v>
      </c>
    </row>
    <row r="499" spans="2:35" x14ac:dyDescent="0.3">
      <c r="B499" s="5" t="s">
        <v>3061</v>
      </c>
      <c r="C499" s="5" t="s">
        <v>13</v>
      </c>
      <c r="D499" s="12" t="s">
        <v>1213</v>
      </c>
      <c r="E499" s="6" t="s">
        <v>642</v>
      </c>
      <c r="F499" s="13" t="s">
        <v>643</v>
      </c>
      <c r="G499" s="6" t="s">
        <v>576</v>
      </c>
      <c r="H499" s="7" t="str">
        <f t="shared" si="7"/>
        <v>EPC-IPU-I441-04Operation &amp; Maintenance</v>
      </c>
      <c r="I499" s="8" t="s">
        <v>49</v>
      </c>
      <c r="J499" s="8" t="s">
        <v>76</v>
      </c>
      <c r="K499" s="8" t="s">
        <v>76</v>
      </c>
      <c r="L499" s="9"/>
      <c r="M499" s="9"/>
      <c r="N499" s="9"/>
      <c r="O499" s="9"/>
      <c r="P499" s="9"/>
      <c r="Q499" s="9"/>
      <c r="R499" s="9"/>
      <c r="S499" s="9"/>
      <c r="T499" s="9"/>
      <c r="U499" s="9"/>
      <c r="V499" s="9"/>
      <c r="W499" s="9"/>
      <c r="X499" s="9">
        <v>611.4</v>
      </c>
      <c r="Y499" s="9">
        <v>0</v>
      </c>
      <c r="Z499" s="9"/>
      <c r="AA499" s="9"/>
      <c r="AB499" s="9"/>
      <c r="AC499" s="9"/>
      <c r="AD499" s="9"/>
      <c r="AE499" s="9"/>
      <c r="AF499" s="9"/>
      <c r="AG499" s="9"/>
      <c r="AH499" s="7">
        <v>611.4</v>
      </c>
      <c r="AI499" s="7">
        <v>0</v>
      </c>
    </row>
    <row r="500" spans="2:35" x14ac:dyDescent="0.3">
      <c r="B500" s="5" t="s">
        <v>3061</v>
      </c>
      <c r="C500" s="5" t="s">
        <v>13</v>
      </c>
      <c r="D500" s="12" t="s">
        <v>1214</v>
      </c>
      <c r="E500" s="6" t="s">
        <v>699</v>
      </c>
      <c r="F500" s="13" t="s">
        <v>699</v>
      </c>
      <c r="G500" s="6" t="s">
        <v>688</v>
      </c>
      <c r="H500" s="7" t="str">
        <f t="shared" si="7"/>
        <v>STRUTTURAUnknown</v>
      </c>
      <c r="I500" s="8" t="s">
        <v>689</v>
      </c>
      <c r="J500" s="8" t="s">
        <v>690</v>
      </c>
      <c r="K500" s="8" t="s">
        <v>690</v>
      </c>
      <c r="L500" s="9"/>
      <c r="M500" s="9"/>
      <c r="N500" s="9"/>
      <c r="O500" s="9"/>
      <c r="P500" s="9"/>
      <c r="Q500" s="9"/>
      <c r="R500" s="9"/>
      <c r="S500" s="9"/>
      <c r="T500" s="9"/>
      <c r="U500" s="9"/>
      <c r="V500" s="9"/>
      <c r="W500" s="9"/>
      <c r="X500" s="9">
        <v>0</v>
      </c>
      <c r="Y500" s="9">
        <v>1484291.21</v>
      </c>
      <c r="Z500" s="9"/>
      <c r="AA500" s="9"/>
      <c r="AB500" s="9"/>
      <c r="AC500" s="9"/>
      <c r="AD500" s="9"/>
      <c r="AE500" s="9"/>
      <c r="AF500" s="9"/>
      <c r="AG500" s="9"/>
      <c r="AH500" s="7">
        <v>0</v>
      </c>
      <c r="AI500" s="7">
        <v>1484291.21</v>
      </c>
    </row>
    <row r="501" spans="2:35" x14ac:dyDescent="0.3">
      <c r="B501" s="5" t="s">
        <v>3061</v>
      </c>
      <c r="C501" s="5" t="s">
        <v>13</v>
      </c>
      <c r="D501" s="12" t="s">
        <v>1214</v>
      </c>
      <c r="E501" s="6" t="s">
        <v>706</v>
      </c>
      <c r="F501" s="13" t="s">
        <v>706</v>
      </c>
      <c r="G501" s="6" t="s">
        <v>688</v>
      </c>
      <c r="H501" s="7" t="str">
        <f t="shared" si="7"/>
        <v>STRUTTURA BU CENTROUnknown</v>
      </c>
      <c r="I501" s="8" t="s">
        <v>24</v>
      </c>
      <c r="J501" s="8" t="s">
        <v>690</v>
      </c>
      <c r="K501" s="8" t="s">
        <v>690</v>
      </c>
      <c r="L501" s="9"/>
      <c r="M501" s="9"/>
      <c r="N501" s="9"/>
      <c r="O501" s="9"/>
      <c r="P501" s="9"/>
      <c r="Q501" s="9"/>
      <c r="R501" s="9"/>
      <c r="S501" s="9"/>
      <c r="T501" s="9"/>
      <c r="U501" s="9"/>
      <c r="V501" s="9"/>
      <c r="W501" s="9"/>
      <c r="X501" s="9">
        <v>0</v>
      </c>
      <c r="Y501" s="9">
        <v>307053.68</v>
      </c>
      <c r="Z501" s="9"/>
      <c r="AA501" s="9"/>
      <c r="AB501" s="9"/>
      <c r="AC501" s="9"/>
      <c r="AD501" s="9"/>
      <c r="AE501" s="9"/>
      <c r="AF501" s="9"/>
      <c r="AG501" s="9"/>
      <c r="AH501" s="7">
        <v>0</v>
      </c>
      <c r="AI501" s="7">
        <v>307053.68</v>
      </c>
    </row>
    <row r="502" spans="2:35" x14ac:dyDescent="0.3">
      <c r="B502" s="5" t="s">
        <v>3061</v>
      </c>
      <c r="C502" s="5" t="s">
        <v>13</v>
      </c>
      <c r="D502" s="12" t="s">
        <v>1213</v>
      </c>
      <c r="E502" s="6" t="s">
        <v>349</v>
      </c>
      <c r="F502" s="13" t="s">
        <v>350</v>
      </c>
      <c r="G502" s="6" t="s">
        <v>351</v>
      </c>
      <c r="H502" s="7" t="str">
        <f t="shared" si="7"/>
        <v>PPP-IPU-A519-01Operation &amp; Maintenance</v>
      </c>
      <c r="I502" s="8" t="s">
        <v>18</v>
      </c>
      <c r="J502" s="8" t="s">
        <v>19</v>
      </c>
      <c r="K502" s="8" t="s">
        <v>20</v>
      </c>
      <c r="L502" s="9"/>
      <c r="M502" s="9"/>
      <c r="N502" s="9"/>
      <c r="O502" s="9"/>
      <c r="P502" s="9"/>
      <c r="Q502" s="9"/>
      <c r="R502" s="9"/>
      <c r="S502" s="9"/>
      <c r="T502" s="9"/>
      <c r="U502" s="9"/>
      <c r="V502" s="9"/>
      <c r="W502" s="9"/>
      <c r="X502" s="9">
        <v>29847.49</v>
      </c>
      <c r="Y502" s="9">
        <v>10143.19</v>
      </c>
      <c r="Z502" s="9"/>
      <c r="AA502" s="9"/>
      <c r="AB502" s="9"/>
      <c r="AC502" s="9"/>
      <c r="AD502" s="9"/>
      <c r="AE502" s="9"/>
      <c r="AF502" s="9"/>
      <c r="AG502" s="9"/>
      <c r="AH502" s="7">
        <v>29847.49</v>
      </c>
      <c r="AI502" s="7">
        <v>10143.19</v>
      </c>
    </row>
    <row r="503" spans="2:35" x14ac:dyDescent="0.3">
      <c r="B503" s="5" t="s">
        <v>3061</v>
      </c>
      <c r="C503" s="5" t="s">
        <v>13</v>
      </c>
      <c r="D503" s="12" t="s">
        <v>1213</v>
      </c>
      <c r="E503" s="6" t="s">
        <v>132</v>
      </c>
      <c r="F503" s="13" t="s">
        <v>133</v>
      </c>
      <c r="G503" s="6" t="s">
        <v>134</v>
      </c>
      <c r="H503" s="7" t="str">
        <f t="shared" si="7"/>
        <v>PPP-IPU-E919-01Operation &amp; Maintenance</v>
      </c>
      <c r="I503" s="8" t="s">
        <v>18</v>
      </c>
      <c r="J503" s="8" t="s">
        <v>19</v>
      </c>
      <c r="K503" s="8" t="s">
        <v>20</v>
      </c>
      <c r="L503" s="9"/>
      <c r="M503" s="9"/>
      <c r="N503" s="9"/>
      <c r="O503" s="9"/>
      <c r="P503" s="9"/>
      <c r="Q503" s="9"/>
      <c r="R503" s="9"/>
      <c r="S503" s="9"/>
      <c r="T503" s="9"/>
      <c r="U503" s="9"/>
      <c r="V503" s="9"/>
      <c r="W503" s="9"/>
      <c r="X503" s="9">
        <v>47609.13</v>
      </c>
      <c r="Y503" s="9">
        <v>5882.52</v>
      </c>
      <c r="Z503" s="9"/>
      <c r="AA503" s="9"/>
      <c r="AB503" s="9"/>
      <c r="AC503" s="9"/>
      <c r="AD503" s="9"/>
      <c r="AE503" s="9"/>
      <c r="AF503" s="9"/>
      <c r="AG503" s="9"/>
      <c r="AH503" s="7">
        <v>47609.13</v>
      </c>
      <c r="AI503" s="7">
        <v>5882.52</v>
      </c>
    </row>
    <row r="504" spans="2:35" x14ac:dyDescent="0.3">
      <c r="B504" s="5" t="s">
        <v>3061</v>
      </c>
      <c r="C504" s="5" t="s">
        <v>13</v>
      </c>
      <c r="D504" s="12" t="s">
        <v>1214</v>
      </c>
      <c r="E504" s="6" t="s">
        <v>707</v>
      </c>
      <c r="F504" s="13" t="s">
        <v>707</v>
      </c>
      <c r="G504" s="6" t="s">
        <v>688</v>
      </c>
      <c r="H504" s="7" t="str">
        <f t="shared" si="7"/>
        <v>STRUTTURA BU SUDUnknown</v>
      </c>
      <c r="I504" s="8" t="s">
        <v>18</v>
      </c>
      <c r="J504" s="8" t="s">
        <v>690</v>
      </c>
      <c r="K504" s="8" t="s">
        <v>690</v>
      </c>
      <c r="L504" s="9"/>
      <c r="M504" s="9"/>
      <c r="N504" s="9"/>
      <c r="O504" s="9"/>
      <c r="P504" s="9"/>
      <c r="Q504" s="9"/>
      <c r="R504" s="9"/>
      <c r="S504" s="9"/>
      <c r="T504" s="9"/>
      <c r="U504" s="9"/>
      <c r="V504" s="9"/>
      <c r="W504" s="9"/>
      <c r="X504" s="9">
        <v>0</v>
      </c>
      <c r="Y504" s="9">
        <v>52157.67</v>
      </c>
      <c r="Z504" s="9"/>
      <c r="AA504" s="9"/>
      <c r="AB504" s="9"/>
      <c r="AC504" s="9"/>
      <c r="AD504" s="9"/>
      <c r="AE504" s="9"/>
      <c r="AF504" s="9"/>
      <c r="AG504" s="9"/>
      <c r="AH504" s="7">
        <v>0</v>
      </c>
      <c r="AI504" s="7">
        <v>52157.67</v>
      </c>
    </row>
    <row r="505" spans="2:35" x14ac:dyDescent="0.3">
      <c r="B505" s="5" t="s">
        <v>3061</v>
      </c>
      <c r="C505" s="5" t="s">
        <v>13</v>
      </c>
      <c r="D505" s="12" t="s">
        <v>1213</v>
      </c>
      <c r="E505" s="6" t="s">
        <v>60</v>
      </c>
      <c r="F505" s="13" t="s">
        <v>61</v>
      </c>
      <c r="G505" s="6" t="s">
        <v>62</v>
      </c>
      <c r="H505" s="7" t="str">
        <f t="shared" si="7"/>
        <v>PPP-IPU-A208-01Operation &amp; Maintenance</v>
      </c>
      <c r="I505" s="8" t="s">
        <v>18</v>
      </c>
      <c r="J505" s="8" t="s">
        <v>19</v>
      </c>
      <c r="K505" s="8" t="s">
        <v>20</v>
      </c>
      <c r="L505" s="9"/>
      <c r="M505" s="9"/>
      <c r="N505" s="9"/>
      <c r="O505" s="9"/>
      <c r="P505" s="9"/>
      <c r="Q505" s="9"/>
      <c r="R505" s="9"/>
      <c r="S505" s="9"/>
      <c r="T505" s="9"/>
      <c r="U505" s="9"/>
      <c r="V505" s="9"/>
      <c r="W505" s="9"/>
      <c r="X505" s="9">
        <v>25289.66</v>
      </c>
      <c r="Y505" s="9">
        <v>9380.3700000000008</v>
      </c>
      <c r="Z505" s="9"/>
      <c r="AA505" s="9"/>
      <c r="AB505" s="9"/>
      <c r="AC505" s="9"/>
      <c r="AD505" s="9"/>
      <c r="AE505" s="9"/>
      <c r="AF505" s="9"/>
      <c r="AG505" s="9"/>
      <c r="AH505" s="7">
        <v>25289.66</v>
      </c>
      <c r="AI505" s="7">
        <v>9380.3700000000008</v>
      </c>
    </row>
    <row r="506" spans="2:35" x14ac:dyDescent="0.3">
      <c r="B506" s="5" t="s">
        <v>3061</v>
      </c>
      <c r="C506" s="5" t="s">
        <v>13</v>
      </c>
      <c r="D506" s="12" t="s">
        <v>1213</v>
      </c>
      <c r="E506" s="6" t="s">
        <v>415</v>
      </c>
      <c r="F506" s="13" t="s">
        <v>416</v>
      </c>
      <c r="G506" s="6" t="s">
        <v>417</v>
      </c>
      <c r="H506" s="7" t="str">
        <f t="shared" si="7"/>
        <v>CL3-IPU-A683-01Operation &amp; Maintenance</v>
      </c>
      <c r="I506" s="8" t="s">
        <v>49</v>
      </c>
      <c r="J506" s="8" t="s">
        <v>19</v>
      </c>
      <c r="K506" s="8" t="s">
        <v>98</v>
      </c>
      <c r="L506" s="9"/>
      <c r="M506" s="9"/>
      <c r="N506" s="9"/>
      <c r="O506" s="9"/>
      <c r="P506" s="9"/>
      <c r="Q506" s="9"/>
      <c r="R506" s="9"/>
      <c r="S506" s="9"/>
      <c r="T506" s="9"/>
      <c r="U506" s="9"/>
      <c r="V506" s="9"/>
      <c r="W506" s="9"/>
      <c r="X506" s="9">
        <v>0</v>
      </c>
      <c r="Y506" s="9">
        <v>2147.4699999999998</v>
      </c>
      <c r="Z506" s="9"/>
      <c r="AA506" s="9"/>
      <c r="AB506" s="9"/>
      <c r="AC506" s="9"/>
      <c r="AD506" s="9"/>
      <c r="AE506" s="9"/>
      <c r="AF506" s="9"/>
      <c r="AG506" s="9"/>
      <c r="AH506" s="7">
        <v>0</v>
      </c>
      <c r="AI506" s="7">
        <v>2147.4699999999998</v>
      </c>
    </row>
    <row r="507" spans="2:35" x14ac:dyDescent="0.3">
      <c r="B507" s="5" t="s">
        <v>3061</v>
      </c>
      <c r="C507" s="5" t="s">
        <v>13</v>
      </c>
      <c r="D507" s="12" t="s">
        <v>1213</v>
      </c>
      <c r="E507" s="6" t="s">
        <v>1207</v>
      </c>
      <c r="F507" s="13" t="s">
        <v>1208</v>
      </c>
      <c r="G507" s="6" t="s">
        <v>360</v>
      </c>
      <c r="H507" s="7" t="str">
        <f t="shared" si="7"/>
        <v>EPC-IPU-C888-01Operation &amp; Maintenance</v>
      </c>
      <c r="I507" s="8" t="s">
        <v>18</v>
      </c>
      <c r="J507" s="8" t="s">
        <v>76</v>
      </c>
      <c r="K507" s="8" t="s">
        <v>76</v>
      </c>
      <c r="L507" s="9"/>
      <c r="M507" s="9"/>
      <c r="N507" s="9"/>
      <c r="O507" s="9"/>
      <c r="P507" s="9"/>
      <c r="Q507" s="9"/>
      <c r="R507" s="9"/>
      <c r="S507" s="9"/>
      <c r="T507" s="9"/>
      <c r="U507" s="9"/>
      <c r="V507" s="9"/>
      <c r="W507" s="9"/>
      <c r="X507" s="9">
        <v>0</v>
      </c>
      <c r="Y507" s="9">
        <v>9732.86</v>
      </c>
      <c r="Z507" s="9"/>
      <c r="AA507" s="9"/>
      <c r="AB507" s="9"/>
      <c r="AC507" s="9"/>
      <c r="AD507" s="9"/>
      <c r="AE507" s="9"/>
      <c r="AF507" s="9"/>
      <c r="AG507" s="9"/>
      <c r="AH507" s="7">
        <v>0</v>
      </c>
      <c r="AI507" s="7">
        <v>9732.86</v>
      </c>
    </row>
    <row r="508" spans="2:35" x14ac:dyDescent="0.3">
      <c r="B508" s="5" t="s">
        <v>3061</v>
      </c>
      <c r="C508" s="5" t="s">
        <v>13</v>
      </c>
      <c r="D508" s="12" t="s">
        <v>1214</v>
      </c>
      <c r="E508" s="6" t="s">
        <v>1207</v>
      </c>
      <c r="F508" s="13" t="s">
        <v>1208</v>
      </c>
      <c r="G508" s="6" t="s">
        <v>360</v>
      </c>
      <c r="H508" s="7" t="str">
        <f t="shared" si="7"/>
        <v>EPC-IPU-C888-01Unknown</v>
      </c>
      <c r="I508" s="8" t="s">
        <v>18</v>
      </c>
      <c r="J508" s="8" t="s">
        <v>76</v>
      </c>
      <c r="K508" s="8" t="s">
        <v>76</v>
      </c>
      <c r="L508" s="9"/>
      <c r="M508" s="9"/>
      <c r="N508" s="9"/>
      <c r="O508" s="9"/>
      <c r="P508" s="9"/>
      <c r="Q508" s="9"/>
      <c r="R508" s="9"/>
      <c r="S508" s="9"/>
      <c r="T508" s="9"/>
      <c r="U508" s="9"/>
      <c r="V508" s="9"/>
      <c r="W508" s="9"/>
      <c r="X508" s="9">
        <v>0</v>
      </c>
      <c r="Y508" s="9">
        <v>0</v>
      </c>
      <c r="Z508" s="9"/>
      <c r="AA508" s="9"/>
      <c r="AB508" s="9"/>
      <c r="AC508" s="9"/>
      <c r="AD508" s="9"/>
      <c r="AE508" s="9"/>
      <c r="AF508" s="9"/>
      <c r="AG508" s="9"/>
      <c r="AH508" s="7">
        <v>0</v>
      </c>
      <c r="AI508" s="7">
        <v>0</v>
      </c>
    </row>
    <row r="509" spans="2:35" x14ac:dyDescent="0.3">
      <c r="B509" s="5" t="s">
        <v>3061</v>
      </c>
      <c r="C509" s="5" t="s">
        <v>13</v>
      </c>
      <c r="D509" s="12" t="s">
        <v>1213</v>
      </c>
      <c r="E509" s="6" t="s">
        <v>382</v>
      </c>
      <c r="F509" s="13" t="s">
        <v>383</v>
      </c>
      <c r="G509" s="6" t="s">
        <v>158</v>
      </c>
      <c r="H509" s="7" t="str">
        <f t="shared" si="7"/>
        <v>CL3-IPU-F952-01Operation &amp; Maintenance</v>
      </c>
      <c r="I509" s="8" t="s">
        <v>49</v>
      </c>
      <c r="J509" s="8" t="s">
        <v>19</v>
      </c>
      <c r="K509" s="8" t="s">
        <v>98</v>
      </c>
      <c r="L509" s="9"/>
      <c r="M509" s="9"/>
      <c r="N509" s="9"/>
      <c r="O509" s="9"/>
      <c r="P509" s="9"/>
      <c r="Q509" s="9"/>
      <c r="R509" s="9"/>
      <c r="S509" s="9"/>
      <c r="T509" s="9"/>
      <c r="U509" s="9"/>
      <c r="V509" s="9"/>
      <c r="W509" s="9"/>
      <c r="X509" s="9">
        <v>0</v>
      </c>
      <c r="Y509" s="9">
        <v>33767.279999999999</v>
      </c>
      <c r="Z509" s="9"/>
      <c r="AA509" s="9"/>
      <c r="AB509" s="9"/>
      <c r="AC509" s="9"/>
      <c r="AD509" s="9"/>
      <c r="AE509" s="9"/>
      <c r="AF509" s="9"/>
      <c r="AG509" s="9"/>
      <c r="AH509" s="7">
        <v>0</v>
      </c>
      <c r="AI509" s="7">
        <v>33767.279999999999</v>
      </c>
    </row>
    <row r="510" spans="2:35" x14ac:dyDescent="0.3">
      <c r="B510" s="5" t="s">
        <v>3061</v>
      </c>
      <c r="C510" s="5" t="s">
        <v>13</v>
      </c>
      <c r="D510" s="12" t="s">
        <v>1213</v>
      </c>
      <c r="E510" s="6" t="s">
        <v>263</v>
      </c>
      <c r="F510" s="13" t="s">
        <v>264</v>
      </c>
      <c r="G510" s="6" t="s">
        <v>265</v>
      </c>
      <c r="H510" s="7" t="str">
        <f t="shared" si="7"/>
        <v>PPP-IPU-A854-01Operation &amp; Maintenance</v>
      </c>
      <c r="I510" s="8" t="s">
        <v>18</v>
      </c>
      <c r="J510" s="8" t="s">
        <v>19</v>
      </c>
      <c r="K510" s="8" t="s">
        <v>20</v>
      </c>
      <c r="L510" s="9"/>
      <c r="M510" s="9"/>
      <c r="N510" s="9"/>
      <c r="O510" s="9"/>
      <c r="P510" s="9"/>
      <c r="Q510" s="9"/>
      <c r="R510" s="9"/>
      <c r="S510" s="9"/>
      <c r="T510" s="9"/>
      <c r="U510" s="9"/>
      <c r="V510" s="9"/>
      <c r="W510" s="9"/>
      <c r="X510" s="9">
        <v>7142.92</v>
      </c>
      <c r="Y510" s="9">
        <v>4533.54</v>
      </c>
      <c r="Z510" s="9"/>
      <c r="AA510" s="9"/>
      <c r="AB510" s="9"/>
      <c r="AC510" s="9"/>
      <c r="AD510" s="9"/>
      <c r="AE510" s="9"/>
      <c r="AF510" s="9"/>
      <c r="AG510" s="9"/>
      <c r="AH510" s="7">
        <v>7142.92</v>
      </c>
      <c r="AI510" s="7">
        <v>4533.54</v>
      </c>
    </row>
    <row r="511" spans="2:35" x14ac:dyDescent="0.3">
      <c r="B511" s="5" t="s">
        <v>3061</v>
      </c>
      <c r="C511" s="5" t="s">
        <v>13</v>
      </c>
      <c r="D511" s="12" t="s">
        <v>1213</v>
      </c>
      <c r="E511" s="6" t="s">
        <v>302</v>
      </c>
      <c r="F511" s="13" t="s">
        <v>303</v>
      </c>
      <c r="G511" s="6" t="s">
        <v>304</v>
      </c>
      <c r="H511" s="7" t="str">
        <f t="shared" si="7"/>
        <v>PPP-IPU-I480-02Operation &amp; Maintenance</v>
      </c>
      <c r="I511" s="8" t="s">
        <v>49</v>
      </c>
      <c r="J511" s="8" t="s">
        <v>19</v>
      </c>
      <c r="K511" s="8" t="s">
        <v>20</v>
      </c>
      <c r="L511" s="9"/>
      <c r="M511" s="9"/>
      <c r="N511" s="9"/>
      <c r="O511" s="9"/>
      <c r="P511" s="9"/>
      <c r="Q511" s="9"/>
      <c r="R511" s="9"/>
      <c r="S511" s="9"/>
      <c r="T511" s="9"/>
      <c r="U511" s="9"/>
      <c r="V511" s="9"/>
      <c r="W511" s="9"/>
      <c r="X511" s="9">
        <v>668736.82999999996</v>
      </c>
      <c r="Y511" s="9">
        <v>10135.030000000001</v>
      </c>
      <c r="Z511" s="9"/>
      <c r="AA511" s="9"/>
      <c r="AB511" s="9"/>
      <c r="AC511" s="9"/>
      <c r="AD511" s="9"/>
      <c r="AE511" s="9"/>
      <c r="AF511" s="9"/>
      <c r="AG511" s="9"/>
      <c r="AH511" s="7">
        <v>668736.82999999996</v>
      </c>
      <c r="AI511" s="7">
        <v>10135.030000000001</v>
      </c>
    </row>
    <row r="512" spans="2:35" x14ac:dyDescent="0.3">
      <c r="B512" s="5" t="s">
        <v>3061</v>
      </c>
      <c r="C512" s="5" t="s">
        <v>13</v>
      </c>
      <c r="D512" s="12" t="s">
        <v>1213</v>
      </c>
      <c r="E512" s="6" t="s">
        <v>34</v>
      </c>
      <c r="F512" s="13" t="s">
        <v>35</v>
      </c>
      <c r="G512" s="6" t="s">
        <v>36</v>
      </c>
      <c r="H512" s="7" t="str">
        <f t="shared" si="7"/>
        <v>PPP-IPU-E882-01Operation &amp; Maintenance</v>
      </c>
      <c r="I512" s="8" t="s">
        <v>18</v>
      </c>
      <c r="J512" s="8" t="s">
        <v>19</v>
      </c>
      <c r="K512" s="8" t="s">
        <v>20</v>
      </c>
      <c r="L512" s="9"/>
      <c r="M512" s="9"/>
      <c r="N512" s="9"/>
      <c r="O512" s="9"/>
      <c r="P512" s="9"/>
      <c r="Q512" s="9"/>
      <c r="R512" s="9"/>
      <c r="S512" s="9"/>
      <c r="T512" s="9"/>
      <c r="U512" s="9"/>
      <c r="V512" s="9"/>
      <c r="W512" s="9"/>
      <c r="X512" s="9">
        <v>93849.84</v>
      </c>
      <c r="Y512" s="9">
        <v>5651.95</v>
      </c>
      <c r="Z512" s="9"/>
      <c r="AA512" s="9"/>
      <c r="AB512" s="9"/>
      <c r="AC512" s="9"/>
      <c r="AD512" s="9"/>
      <c r="AE512" s="9"/>
      <c r="AF512" s="9"/>
      <c r="AG512" s="9"/>
      <c r="AH512" s="7">
        <v>93849.84</v>
      </c>
      <c r="AI512" s="7">
        <v>5651.95</v>
      </c>
    </row>
    <row r="513" spans="2:35" x14ac:dyDescent="0.3">
      <c r="B513" s="5" t="s">
        <v>3061</v>
      </c>
      <c r="C513" s="5" t="s">
        <v>13</v>
      </c>
      <c r="D513" s="12" t="s">
        <v>1213</v>
      </c>
      <c r="E513" s="6" t="s">
        <v>460</v>
      </c>
      <c r="F513" s="13" t="s">
        <v>461</v>
      </c>
      <c r="G513" s="6" t="s">
        <v>462</v>
      </c>
      <c r="H513" s="7" t="str">
        <f t="shared" si="7"/>
        <v>PPP-VS-C638-01Operation &amp; Maintenance</v>
      </c>
      <c r="I513" s="8" t="s">
        <v>56</v>
      </c>
      <c r="J513" s="8" t="s">
        <v>463</v>
      </c>
      <c r="K513" s="8" t="s">
        <v>463</v>
      </c>
      <c r="L513" s="9"/>
      <c r="M513" s="9"/>
      <c r="N513" s="9"/>
      <c r="O513" s="9"/>
      <c r="P513" s="9"/>
      <c r="Q513" s="9"/>
      <c r="R513" s="9"/>
      <c r="S513" s="9"/>
      <c r="T513" s="9"/>
      <c r="U513" s="9"/>
      <c r="V513" s="9"/>
      <c r="W513" s="9"/>
      <c r="X513" s="9">
        <v>0</v>
      </c>
      <c r="Y513" s="9">
        <v>2379.5700000000002</v>
      </c>
      <c r="Z513" s="9"/>
      <c r="AA513" s="9"/>
      <c r="AB513" s="9"/>
      <c r="AC513" s="9"/>
      <c r="AD513" s="9"/>
      <c r="AE513" s="9"/>
      <c r="AF513" s="9"/>
      <c r="AG513" s="9"/>
      <c r="AH513" s="7">
        <v>0</v>
      </c>
      <c r="AI513" s="7">
        <v>2379.5700000000002</v>
      </c>
    </row>
    <row r="514" spans="2:35" x14ac:dyDescent="0.3">
      <c r="B514" s="5" t="s">
        <v>3061</v>
      </c>
      <c r="C514" s="5" t="s">
        <v>13</v>
      </c>
      <c r="D514" s="12" t="s">
        <v>1214</v>
      </c>
      <c r="E514" s="6" t="s">
        <v>739</v>
      </c>
      <c r="F514" s="13" t="s">
        <v>739</v>
      </c>
      <c r="G514" s="6" t="s">
        <v>688</v>
      </c>
      <c r="H514" s="7" t="str">
        <f t="shared" si="7"/>
        <v>STRUTTURA BU NORD ESTUnknown</v>
      </c>
      <c r="I514" s="8" t="s">
        <v>56</v>
      </c>
      <c r="J514" s="8" t="s">
        <v>690</v>
      </c>
      <c r="K514" s="8" t="s">
        <v>690</v>
      </c>
      <c r="L514" s="9"/>
      <c r="M514" s="9"/>
      <c r="N514" s="9"/>
      <c r="O514" s="9"/>
      <c r="P514" s="9"/>
      <c r="Q514" s="9"/>
      <c r="R514" s="9"/>
      <c r="S514" s="9"/>
      <c r="T514" s="9"/>
      <c r="U514" s="9"/>
      <c r="V514" s="9"/>
      <c r="W514" s="9"/>
      <c r="X514" s="9">
        <v>0</v>
      </c>
      <c r="Y514" s="9">
        <v>172285.81</v>
      </c>
      <c r="Z514" s="9"/>
      <c r="AA514" s="9"/>
      <c r="AB514" s="9"/>
      <c r="AC514" s="9"/>
      <c r="AD514" s="9"/>
      <c r="AE514" s="9"/>
      <c r="AF514" s="9"/>
      <c r="AG514" s="9"/>
      <c r="AH514" s="7">
        <v>0</v>
      </c>
      <c r="AI514" s="7">
        <v>172285.81</v>
      </c>
    </row>
    <row r="515" spans="2:35" x14ac:dyDescent="0.3">
      <c r="B515" s="5" t="s">
        <v>3061</v>
      </c>
      <c r="C515" s="5" t="s">
        <v>13</v>
      </c>
      <c r="D515" s="12" t="s">
        <v>1213</v>
      </c>
      <c r="E515" s="6" t="s">
        <v>37</v>
      </c>
      <c r="F515" s="13" t="s">
        <v>38</v>
      </c>
      <c r="G515" s="6" t="s">
        <v>39</v>
      </c>
      <c r="H515" s="7" t="str">
        <f t="shared" ref="H515:H578" si="8">+F515&amp;D515</f>
        <v>PPP-IPU-B506-01Operation &amp; Maintenance</v>
      </c>
      <c r="I515" s="8" t="s">
        <v>18</v>
      </c>
      <c r="J515" s="8" t="s">
        <v>19</v>
      </c>
      <c r="K515" s="8" t="s">
        <v>20</v>
      </c>
      <c r="L515" s="9"/>
      <c r="M515" s="9"/>
      <c r="N515" s="9"/>
      <c r="O515" s="9"/>
      <c r="P515" s="9"/>
      <c r="Q515" s="9"/>
      <c r="R515" s="9"/>
      <c r="S515" s="9"/>
      <c r="T515" s="9"/>
      <c r="U515" s="9"/>
      <c r="V515" s="9"/>
      <c r="W515" s="9"/>
      <c r="X515" s="9">
        <v>3283.33</v>
      </c>
      <c r="Y515" s="9">
        <v>1602.42</v>
      </c>
      <c r="Z515" s="9"/>
      <c r="AA515" s="9"/>
      <c r="AB515" s="9"/>
      <c r="AC515" s="9"/>
      <c r="AD515" s="9"/>
      <c r="AE515" s="9"/>
      <c r="AF515" s="9"/>
      <c r="AG515" s="9"/>
      <c r="AH515" s="7">
        <v>3283.33</v>
      </c>
      <c r="AI515" s="7">
        <v>1602.42</v>
      </c>
    </row>
    <row r="516" spans="2:35" x14ac:dyDescent="0.3">
      <c r="B516" s="5" t="s">
        <v>3061</v>
      </c>
      <c r="C516" s="5" t="s">
        <v>13</v>
      </c>
      <c r="D516" s="12" t="s">
        <v>1213</v>
      </c>
      <c r="E516" s="6" t="s">
        <v>105</v>
      </c>
      <c r="F516" s="13" t="s">
        <v>106</v>
      </c>
      <c r="G516" s="6" t="s">
        <v>107</v>
      </c>
      <c r="H516" s="7" t="str">
        <f t="shared" si="8"/>
        <v>CL3-IPU-B593-01Operation &amp; Maintenance</v>
      </c>
      <c r="I516" s="8" t="s">
        <v>49</v>
      </c>
      <c r="J516" s="8" t="s">
        <v>19</v>
      </c>
      <c r="K516" s="8" t="s">
        <v>98</v>
      </c>
      <c r="L516" s="9"/>
      <c r="M516" s="9"/>
      <c r="N516" s="9"/>
      <c r="O516" s="9"/>
      <c r="P516" s="9"/>
      <c r="Q516" s="9"/>
      <c r="R516" s="9"/>
      <c r="S516" s="9"/>
      <c r="T516" s="9"/>
      <c r="U516" s="9"/>
      <c r="V516" s="9"/>
      <c r="W516" s="9"/>
      <c r="X516" s="9">
        <v>0</v>
      </c>
      <c r="Y516" s="9">
        <v>13586.9</v>
      </c>
      <c r="Z516" s="9"/>
      <c r="AA516" s="9"/>
      <c r="AB516" s="9"/>
      <c r="AC516" s="9"/>
      <c r="AD516" s="9"/>
      <c r="AE516" s="9"/>
      <c r="AF516" s="9"/>
      <c r="AG516" s="9"/>
      <c r="AH516" s="7">
        <v>0</v>
      </c>
      <c r="AI516" s="7">
        <v>13586.9</v>
      </c>
    </row>
    <row r="517" spans="2:35" x14ac:dyDescent="0.3">
      <c r="B517" s="5" t="s">
        <v>3061</v>
      </c>
      <c r="C517" s="5" t="s">
        <v>13</v>
      </c>
      <c r="D517" s="12" t="s">
        <v>1213</v>
      </c>
      <c r="E517" s="6" t="s">
        <v>241</v>
      </c>
      <c r="F517" s="13" t="s">
        <v>242</v>
      </c>
      <c r="G517" s="6" t="s">
        <v>243</v>
      </c>
      <c r="H517" s="7" t="str">
        <f t="shared" si="8"/>
        <v>CL3-IPU-H240-01Operation &amp; Maintenance</v>
      </c>
      <c r="I517" s="8" t="s">
        <v>49</v>
      </c>
      <c r="J517" s="8" t="s">
        <v>19</v>
      </c>
      <c r="K517" s="8" t="s">
        <v>98</v>
      </c>
      <c r="L517" s="9"/>
      <c r="M517" s="9"/>
      <c r="N517" s="9"/>
      <c r="O517" s="9"/>
      <c r="P517" s="9"/>
      <c r="Q517" s="9"/>
      <c r="R517" s="9"/>
      <c r="S517" s="9"/>
      <c r="T517" s="9"/>
      <c r="U517" s="9"/>
      <c r="V517" s="9"/>
      <c r="W517" s="9"/>
      <c r="X517" s="9">
        <v>0</v>
      </c>
      <c r="Y517" s="9">
        <v>23127.88</v>
      </c>
      <c r="Z517" s="9"/>
      <c r="AA517" s="9"/>
      <c r="AB517" s="9"/>
      <c r="AC517" s="9"/>
      <c r="AD517" s="9"/>
      <c r="AE517" s="9"/>
      <c r="AF517" s="9"/>
      <c r="AG517" s="9"/>
      <c r="AH517" s="7">
        <v>0</v>
      </c>
      <c r="AI517" s="7">
        <v>23127.88</v>
      </c>
    </row>
    <row r="518" spans="2:35" x14ac:dyDescent="0.3">
      <c r="B518" s="5" t="s">
        <v>3061</v>
      </c>
      <c r="C518" s="5" t="s">
        <v>13</v>
      </c>
      <c r="D518" s="12" t="s">
        <v>1213</v>
      </c>
      <c r="E518" s="6" t="s">
        <v>384</v>
      </c>
      <c r="F518" s="13" t="s">
        <v>385</v>
      </c>
      <c r="G518" s="6" t="s">
        <v>386</v>
      </c>
      <c r="H518" s="7" t="str">
        <f t="shared" si="8"/>
        <v>PPP-IPU-C638-01Operation &amp; Maintenance</v>
      </c>
      <c r="I518" s="8" t="s">
        <v>56</v>
      </c>
      <c r="J518" s="8" t="s">
        <v>19</v>
      </c>
      <c r="K518" s="8" t="s">
        <v>20</v>
      </c>
      <c r="L518" s="9"/>
      <c r="M518" s="9"/>
      <c r="N518" s="9"/>
      <c r="O518" s="9"/>
      <c r="P518" s="9"/>
      <c r="Q518" s="9"/>
      <c r="R518" s="9"/>
      <c r="S518" s="9"/>
      <c r="T518" s="9"/>
      <c r="U518" s="9"/>
      <c r="V518" s="9"/>
      <c r="W518" s="9"/>
      <c r="X518" s="9">
        <v>0</v>
      </c>
      <c r="Y518" s="9">
        <v>6271.41</v>
      </c>
      <c r="Z518" s="9"/>
      <c r="AA518" s="9"/>
      <c r="AB518" s="9"/>
      <c r="AC518" s="9"/>
      <c r="AD518" s="9"/>
      <c r="AE518" s="9"/>
      <c r="AF518" s="9"/>
      <c r="AG518" s="9"/>
      <c r="AH518" s="7">
        <v>0</v>
      </c>
      <c r="AI518" s="7">
        <v>6271.41</v>
      </c>
    </row>
    <row r="519" spans="2:35" x14ac:dyDescent="0.3">
      <c r="B519" s="5" t="s">
        <v>3061</v>
      </c>
      <c r="C519" s="5" t="s">
        <v>13</v>
      </c>
      <c r="D519" s="12" t="s">
        <v>1213</v>
      </c>
      <c r="E519" s="6" t="s">
        <v>593</v>
      </c>
      <c r="F519" s="13" t="s">
        <v>594</v>
      </c>
      <c r="G519" s="6" t="s">
        <v>252</v>
      </c>
      <c r="H519" s="7" t="str">
        <f t="shared" si="8"/>
        <v>EPC-IPU-D542-01Operation &amp; Maintenance</v>
      </c>
      <c r="I519" s="8" t="s">
        <v>24</v>
      </c>
      <c r="J519" s="8" t="s">
        <v>76</v>
      </c>
      <c r="K519" s="8" t="s">
        <v>76</v>
      </c>
      <c r="L519" s="9"/>
      <c r="M519" s="9"/>
      <c r="N519" s="9"/>
      <c r="O519" s="9"/>
      <c r="P519" s="9"/>
      <c r="Q519" s="9"/>
      <c r="R519" s="9"/>
      <c r="S519" s="9"/>
      <c r="T519" s="9"/>
      <c r="U519" s="9"/>
      <c r="V519" s="9"/>
      <c r="W519" s="9"/>
      <c r="X519" s="9">
        <v>0</v>
      </c>
      <c r="Y519" s="9">
        <v>362.08</v>
      </c>
      <c r="Z519" s="9"/>
      <c r="AA519" s="9"/>
      <c r="AB519" s="9"/>
      <c r="AC519" s="9"/>
      <c r="AD519" s="9"/>
      <c r="AE519" s="9"/>
      <c r="AF519" s="9"/>
      <c r="AG519" s="9"/>
      <c r="AH519" s="7">
        <v>0</v>
      </c>
      <c r="AI519" s="7">
        <v>362.08</v>
      </c>
    </row>
    <row r="520" spans="2:35" x14ac:dyDescent="0.3">
      <c r="B520" s="5" t="s">
        <v>3061</v>
      </c>
      <c r="C520" s="5" t="s">
        <v>13</v>
      </c>
      <c r="D520" s="12" t="s">
        <v>1213</v>
      </c>
      <c r="E520" s="6" t="s">
        <v>316</v>
      </c>
      <c r="F520" s="13" t="s">
        <v>317</v>
      </c>
      <c r="G520" s="6" t="s">
        <v>318</v>
      </c>
      <c r="H520" s="7" t="str">
        <f t="shared" si="8"/>
        <v>PPP-IPU-A615-01Operation &amp; Maintenance</v>
      </c>
      <c r="I520" s="8" t="s">
        <v>18</v>
      </c>
      <c r="J520" s="8" t="s">
        <v>19</v>
      </c>
      <c r="K520" s="8" t="s">
        <v>20</v>
      </c>
      <c r="L520" s="9"/>
      <c r="M520" s="9"/>
      <c r="N520" s="9"/>
      <c r="O520" s="9"/>
      <c r="P520" s="9"/>
      <c r="Q520" s="9"/>
      <c r="R520" s="9"/>
      <c r="S520" s="9"/>
      <c r="T520" s="9"/>
      <c r="U520" s="9"/>
      <c r="V520" s="9"/>
      <c r="W520" s="9"/>
      <c r="X520" s="9">
        <v>9253.5</v>
      </c>
      <c r="Y520" s="9">
        <v>4331.08</v>
      </c>
      <c r="Z520" s="9"/>
      <c r="AA520" s="9"/>
      <c r="AB520" s="9"/>
      <c r="AC520" s="9"/>
      <c r="AD520" s="9"/>
      <c r="AE520" s="9"/>
      <c r="AF520" s="9"/>
      <c r="AG520" s="9"/>
      <c r="AH520" s="7">
        <v>9253.5</v>
      </c>
      <c r="AI520" s="7">
        <v>4331.08</v>
      </c>
    </row>
    <row r="521" spans="2:35" x14ac:dyDescent="0.3">
      <c r="B521" s="5" t="s">
        <v>3061</v>
      </c>
      <c r="C521" s="5" t="s">
        <v>13</v>
      </c>
      <c r="D521" s="12" t="s">
        <v>1213</v>
      </c>
      <c r="E521" s="6" t="s">
        <v>236</v>
      </c>
      <c r="F521" s="13" t="s">
        <v>237</v>
      </c>
      <c r="G521" s="6" t="s">
        <v>238</v>
      </c>
      <c r="H521" s="7" t="str">
        <f t="shared" si="8"/>
        <v>PPP-IPU-B391-01Operation &amp; Maintenance</v>
      </c>
      <c r="I521" s="8" t="s">
        <v>18</v>
      </c>
      <c r="J521" s="8" t="s">
        <v>19</v>
      </c>
      <c r="K521" s="8" t="s">
        <v>20</v>
      </c>
      <c r="L521" s="9"/>
      <c r="M521" s="9"/>
      <c r="N521" s="9"/>
      <c r="O521" s="9"/>
      <c r="P521" s="9"/>
      <c r="Q521" s="9"/>
      <c r="R521" s="9"/>
      <c r="S521" s="9"/>
      <c r="T521" s="9"/>
      <c r="U521" s="9"/>
      <c r="V521" s="9"/>
      <c r="W521" s="9"/>
      <c r="X521" s="9">
        <v>3309.69</v>
      </c>
      <c r="Y521" s="9">
        <v>1370.25</v>
      </c>
      <c r="Z521" s="9"/>
      <c r="AA521" s="9"/>
      <c r="AB521" s="9"/>
      <c r="AC521" s="9"/>
      <c r="AD521" s="9"/>
      <c r="AE521" s="9"/>
      <c r="AF521" s="9"/>
      <c r="AG521" s="9"/>
      <c r="AH521" s="7">
        <v>3309.69</v>
      </c>
      <c r="AI521" s="7">
        <v>1370.25</v>
      </c>
    </row>
    <row r="522" spans="2:35" x14ac:dyDescent="0.3">
      <c r="B522" s="5" t="s">
        <v>3061</v>
      </c>
      <c r="C522" s="5" t="s">
        <v>13</v>
      </c>
      <c r="D522" s="12" t="s">
        <v>1213</v>
      </c>
      <c r="E522" s="6" t="s">
        <v>472</v>
      </c>
      <c r="F522" s="13" t="s">
        <v>473</v>
      </c>
      <c r="G522" s="6" t="s">
        <v>474</v>
      </c>
      <c r="H522" s="7" t="str">
        <f t="shared" si="8"/>
        <v>AQ1-IPU-D541-01Operation &amp; Maintenance</v>
      </c>
      <c r="I522" s="8" t="s">
        <v>24</v>
      </c>
      <c r="J522" s="8" t="s">
        <v>19</v>
      </c>
      <c r="K522" s="8" t="s">
        <v>475</v>
      </c>
      <c r="L522" s="9"/>
      <c r="M522" s="9"/>
      <c r="N522" s="9"/>
      <c r="O522" s="9"/>
      <c r="P522" s="9"/>
      <c r="Q522" s="9"/>
      <c r="R522" s="9"/>
      <c r="S522" s="9"/>
      <c r="T522" s="9"/>
      <c r="U522" s="9"/>
      <c r="V522" s="9"/>
      <c r="W522" s="9"/>
      <c r="X522" s="9">
        <v>0</v>
      </c>
      <c r="Y522" s="9">
        <v>3969.82</v>
      </c>
      <c r="Z522" s="9"/>
      <c r="AA522" s="9"/>
      <c r="AB522" s="9"/>
      <c r="AC522" s="9"/>
      <c r="AD522" s="9"/>
      <c r="AE522" s="9"/>
      <c r="AF522" s="9"/>
      <c r="AG522" s="9"/>
      <c r="AH522" s="7">
        <v>0</v>
      </c>
      <c r="AI522" s="7">
        <v>3969.82</v>
      </c>
    </row>
    <row r="523" spans="2:35" x14ac:dyDescent="0.3">
      <c r="B523" s="5" t="s">
        <v>3061</v>
      </c>
      <c r="C523" s="5" t="s">
        <v>13</v>
      </c>
      <c r="D523" s="12" t="s">
        <v>1215</v>
      </c>
      <c r="E523" s="6" t="s">
        <v>808</v>
      </c>
      <c r="F523" s="13" t="s">
        <v>809</v>
      </c>
      <c r="G523" s="6" t="s">
        <v>810</v>
      </c>
      <c r="H523" s="7" t="str">
        <f t="shared" si="8"/>
        <v>EPC-IPU-L357-01Spot</v>
      </c>
      <c r="I523" s="8" t="s">
        <v>18</v>
      </c>
      <c r="J523" s="8" t="s">
        <v>259</v>
      </c>
      <c r="K523" s="8" t="s">
        <v>259</v>
      </c>
      <c r="L523" s="9"/>
      <c r="M523" s="9"/>
      <c r="N523" s="9"/>
      <c r="O523" s="9"/>
      <c r="P523" s="9"/>
      <c r="Q523" s="9"/>
      <c r="R523" s="9"/>
      <c r="S523" s="9"/>
      <c r="T523" s="9"/>
      <c r="U523" s="9"/>
      <c r="V523" s="9"/>
      <c r="W523" s="9"/>
      <c r="X523" s="9">
        <v>7077.9</v>
      </c>
      <c r="Y523" s="9">
        <v>1101.1400000000001</v>
      </c>
      <c r="Z523" s="9"/>
      <c r="AA523" s="9"/>
      <c r="AB523" s="9"/>
      <c r="AC523" s="9"/>
      <c r="AD523" s="9"/>
      <c r="AE523" s="9"/>
      <c r="AF523" s="9"/>
      <c r="AG523" s="9"/>
      <c r="AH523" s="7">
        <v>7077.9</v>
      </c>
      <c r="AI523" s="7">
        <v>1101.1400000000001</v>
      </c>
    </row>
    <row r="524" spans="2:35" x14ac:dyDescent="0.3">
      <c r="B524" s="5" t="s">
        <v>3061</v>
      </c>
      <c r="C524" s="5" t="s">
        <v>13</v>
      </c>
      <c r="D524" s="12" t="s">
        <v>1213</v>
      </c>
      <c r="E524" s="6" t="s">
        <v>808</v>
      </c>
      <c r="F524" s="13" t="s">
        <v>809</v>
      </c>
      <c r="G524" s="6" t="s">
        <v>810</v>
      </c>
      <c r="H524" s="7" t="str">
        <f t="shared" si="8"/>
        <v>EPC-IPU-L357-01Operation &amp; Maintenance</v>
      </c>
      <c r="I524" s="8" t="s">
        <v>18</v>
      </c>
      <c r="J524" s="8" t="s">
        <v>259</v>
      </c>
      <c r="K524" s="8" t="s">
        <v>259</v>
      </c>
      <c r="L524" s="9"/>
      <c r="M524" s="9"/>
      <c r="N524" s="9"/>
      <c r="O524" s="9"/>
      <c r="P524" s="9"/>
      <c r="Q524" s="9"/>
      <c r="R524" s="9"/>
      <c r="S524" s="9"/>
      <c r="T524" s="9"/>
      <c r="U524" s="9"/>
      <c r="V524" s="9"/>
      <c r="W524" s="9"/>
      <c r="X524" s="9">
        <v>0</v>
      </c>
      <c r="Y524" s="9">
        <v>460.55</v>
      </c>
      <c r="Z524" s="9"/>
      <c r="AA524" s="9"/>
      <c r="AB524" s="9"/>
      <c r="AC524" s="9"/>
      <c r="AD524" s="9"/>
      <c r="AE524" s="9"/>
      <c r="AF524" s="9"/>
      <c r="AG524" s="9"/>
      <c r="AH524" s="7">
        <v>0</v>
      </c>
      <c r="AI524" s="7">
        <v>460.55</v>
      </c>
    </row>
    <row r="525" spans="2:35" x14ac:dyDescent="0.3">
      <c r="B525" s="5" t="s">
        <v>3061</v>
      </c>
      <c r="C525" s="5" t="s">
        <v>13</v>
      </c>
      <c r="D525" s="12" t="s">
        <v>1213</v>
      </c>
      <c r="E525" s="6" t="s">
        <v>175</v>
      </c>
      <c r="F525" s="13" t="s">
        <v>176</v>
      </c>
      <c r="G525" s="6" t="s">
        <v>177</v>
      </c>
      <c r="H525" s="7" t="str">
        <f t="shared" si="8"/>
        <v>PPP-IPU-D223-01Operation &amp; Maintenance</v>
      </c>
      <c r="I525" s="8" t="s">
        <v>18</v>
      </c>
      <c r="J525" s="8" t="s">
        <v>19</v>
      </c>
      <c r="K525" s="8" t="s">
        <v>20</v>
      </c>
      <c r="L525" s="9"/>
      <c r="M525" s="9"/>
      <c r="N525" s="9"/>
      <c r="O525" s="9"/>
      <c r="P525" s="9"/>
      <c r="Q525" s="9"/>
      <c r="R525" s="9"/>
      <c r="S525" s="9"/>
      <c r="T525" s="9"/>
      <c r="U525" s="9"/>
      <c r="V525" s="9"/>
      <c r="W525" s="9"/>
      <c r="X525" s="9">
        <v>10805.63</v>
      </c>
      <c r="Y525" s="9">
        <v>4983.8599999999997</v>
      </c>
      <c r="Z525" s="9"/>
      <c r="AA525" s="9"/>
      <c r="AB525" s="9"/>
      <c r="AC525" s="9"/>
      <c r="AD525" s="9"/>
      <c r="AE525" s="9"/>
      <c r="AF525" s="9"/>
      <c r="AG525" s="9"/>
      <c r="AH525" s="7">
        <v>10805.63</v>
      </c>
      <c r="AI525" s="7">
        <v>4983.8599999999997</v>
      </c>
    </row>
    <row r="526" spans="2:35" x14ac:dyDescent="0.3">
      <c r="B526" s="5" t="s">
        <v>3061</v>
      </c>
      <c r="C526" s="5" t="s">
        <v>13</v>
      </c>
      <c r="D526" s="12" t="s">
        <v>1213</v>
      </c>
      <c r="E526" s="6" t="s">
        <v>500</v>
      </c>
      <c r="F526" s="13" t="s">
        <v>501</v>
      </c>
      <c r="G526" s="6" t="s">
        <v>502</v>
      </c>
      <c r="H526" s="7" t="str">
        <f t="shared" si="8"/>
        <v>PPP-IPU-H793-01Operation &amp; Maintenance</v>
      </c>
      <c r="I526" s="8" t="s">
        <v>18</v>
      </c>
      <c r="J526" s="8" t="s">
        <v>19</v>
      </c>
      <c r="K526" s="8" t="s">
        <v>20</v>
      </c>
      <c r="L526" s="9"/>
      <c r="M526" s="9"/>
      <c r="N526" s="9"/>
      <c r="O526" s="9"/>
      <c r="P526" s="9"/>
      <c r="Q526" s="9"/>
      <c r="R526" s="9"/>
      <c r="S526" s="9"/>
      <c r="T526" s="9"/>
      <c r="U526" s="9"/>
      <c r="V526" s="9"/>
      <c r="W526" s="9"/>
      <c r="X526" s="9">
        <v>3166.66</v>
      </c>
      <c r="Y526" s="9">
        <v>931.58</v>
      </c>
      <c r="Z526" s="9"/>
      <c r="AA526" s="9"/>
      <c r="AB526" s="9"/>
      <c r="AC526" s="9"/>
      <c r="AD526" s="9"/>
      <c r="AE526" s="9"/>
      <c r="AF526" s="9"/>
      <c r="AG526" s="9"/>
      <c r="AH526" s="7">
        <v>3166.66</v>
      </c>
      <c r="AI526" s="7">
        <v>931.58</v>
      </c>
    </row>
    <row r="527" spans="2:35" x14ac:dyDescent="0.3">
      <c r="B527" s="5" t="s">
        <v>3061</v>
      </c>
      <c r="C527" s="5" t="s">
        <v>13</v>
      </c>
      <c r="D527" s="12" t="s">
        <v>1214</v>
      </c>
      <c r="E527" s="6" t="s">
        <v>500</v>
      </c>
      <c r="F527" s="13" t="s">
        <v>501</v>
      </c>
      <c r="G527" s="6" t="s">
        <v>502</v>
      </c>
      <c r="H527" s="7" t="str">
        <f t="shared" si="8"/>
        <v>PPP-IPU-H793-01Unknown</v>
      </c>
      <c r="I527" s="8" t="s">
        <v>18</v>
      </c>
      <c r="J527" s="8" t="s">
        <v>19</v>
      </c>
      <c r="K527" s="8" t="s">
        <v>20</v>
      </c>
      <c r="L527" s="9"/>
      <c r="M527" s="9"/>
      <c r="N527" s="9"/>
      <c r="O527" s="9"/>
      <c r="P527" s="9"/>
      <c r="Q527" s="9"/>
      <c r="R527" s="9"/>
      <c r="S527" s="9"/>
      <c r="T527" s="9"/>
      <c r="U527" s="9"/>
      <c r="V527" s="9"/>
      <c r="W527" s="9"/>
      <c r="X527" s="9">
        <v>0</v>
      </c>
      <c r="Y527" s="9">
        <v>300</v>
      </c>
      <c r="Z527" s="9"/>
      <c r="AA527" s="9"/>
      <c r="AB527" s="9"/>
      <c r="AC527" s="9"/>
      <c r="AD527" s="9"/>
      <c r="AE527" s="9"/>
      <c r="AF527" s="9"/>
      <c r="AG527" s="9"/>
      <c r="AH527" s="7">
        <v>0</v>
      </c>
      <c r="AI527" s="7">
        <v>300</v>
      </c>
    </row>
    <row r="528" spans="2:35" x14ac:dyDescent="0.3">
      <c r="B528" s="5" t="s">
        <v>3061</v>
      </c>
      <c r="C528" s="5" t="s">
        <v>13</v>
      </c>
      <c r="D528" s="12" t="s">
        <v>1213</v>
      </c>
      <c r="E528" s="6" t="s">
        <v>40</v>
      </c>
      <c r="F528" s="13" t="s">
        <v>41</v>
      </c>
      <c r="G528" s="6" t="s">
        <v>42</v>
      </c>
      <c r="H528" s="7" t="str">
        <f t="shared" si="8"/>
        <v>PPP-IPU-F637-01Operation &amp; Maintenance</v>
      </c>
      <c r="I528" s="8" t="s">
        <v>18</v>
      </c>
      <c r="J528" s="8" t="s">
        <v>19</v>
      </c>
      <c r="K528" s="8" t="s">
        <v>20</v>
      </c>
      <c r="L528" s="9"/>
      <c r="M528" s="9"/>
      <c r="N528" s="9"/>
      <c r="O528" s="9"/>
      <c r="P528" s="9"/>
      <c r="Q528" s="9"/>
      <c r="R528" s="9"/>
      <c r="S528" s="9"/>
      <c r="T528" s="9"/>
      <c r="U528" s="9"/>
      <c r="V528" s="9"/>
      <c r="W528" s="9"/>
      <c r="X528" s="9">
        <v>28852.47</v>
      </c>
      <c r="Y528" s="9">
        <v>8537.09</v>
      </c>
      <c r="Z528" s="9"/>
      <c r="AA528" s="9"/>
      <c r="AB528" s="9"/>
      <c r="AC528" s="9"/>
      <c r="AD528" s="9"/>
      <c r="AE528" s="9"/>
      <c r="AF528" s="9"/>
      <c r="AG528" s="9"/>
      <c r="AH528" s="7">
        <v>28852.47</v>
      </c>
      <c r="AI528" s="7">
        <v>8537.09</v>
      </c>
    </row>
    <row r="529" spans="2:35" x14ac:dyDescent="0.3">
      <c r="B529" s="5" t="s">
        <v>3061</v>
      </c>
      <c r="C529" s="5" t="s">
        <v>13</v>
      </c>
      <c r="D529" s="12" t="s">
        <v>1213</v>
      </c>
      <c r="E529" s="6" t="s">
        <v>878</v>
      </c>
      <c r="F529" s="13" t="s">
        <v>879</v>
      </c>
      <c r="G529" s="6" t="s">
        <v>880</v>
      </c>
      <c r="H529" s="7" t="str">
        <f t="shared" si="8"/>
        <v>PPP-IPU-E630-01Operation &amp; Maintenance</v>
      </c>
      <c r="I529" s="8" t="s">
        <v>18</v>
      </c>
      <c r="J529" s="8" t="s">
        <v>19</v>
      </c>
      <c r="K529" s="8" t="s">
        <v>20</v>
      </c>
      <c r="L529" s="9"/>
      <c r="M529" s="9"/>
      <c r="N529" s="9"/>
      <c r="O529" s="9"/>
      <c r="P529" s="9"/>
      <c r="Q529" s="9"/>
      <c r="R529" s="9"/>
      <c r="S529" s="9"/>
      <c r="T529" s="9"/>
      <c r="U529" s="9"/>
      <c r="V529" s="9"/>
      <c r="W529" s="9"/>
      <c r="X529" s="9">
        <v>28853.27</v>
      </c>
      <c r="Y529" s="9">
        <v>13918.53</v>
      </c>
      <c r="Z529" s="9"/>
      <c r="AA529" s="9"/>
      <c r="AB529" s="9"/>
      <c r="AC529" s="9"/>
      <c r="AD529" s="9"/>
      <c r="AE529" s="9"/>
      <c r="AF529" s="9"/>
      <c r="AG529" s="9"/>
      <c r="AH529" s="7">
        <v>28853.27</v>
      </c>
      <c r="AI529" s="7">
        <v>13918.53</v>
      </c>
    </row>
    <row r="530" spans="2:35" x14ac:dyDescent="0.3">
      <c r="B530" s="5" t="s">
        <v>3061</v>
      </c>
      <c r="C530" s="5" t="s">
        <v>13</v>
      </c>
      <c r="D530" s="12" t="s">
        <v>1213</v>
      </c>
      <c r="E530" s="6" t="s">
        <v>138</v>
      </c>
      <c r="F530" s="13" t="s">
        <v>139</v>
      </c>
      <c r="G530" s="6" t="s">
        <v>140</v>
      </c>
      <c r="H530" s="7" t="str">
        <f t="shared" si="8"/>
        <v>PPP-IPU-A350-01Operation &amp; Maintenance</v>
      </c>
      <c r="I530" s="8" t="s">
        <v>18</v>
      </c>
      <c r="J530" s="8" t="s">
        <v>19</v>
      </c>
      <c r="K530" s="8" t="s">
        <v>20</v>
      </c>
      <c r="L530" s="9"/>
      <c r="M530" s="9"/>
      <c r="N530" s="9"/>
      <c r="O530" s="9"/>
      <c r="P530" s="9"/>
      <c r="Q530" s="9"/>
      <c r="R530" s="9"/>
      <c r="S530" s="9"/>
      <c r="T530" s="9"/>
      <c r="U530" s="9"/>
      <c r="V530" s="9"/>
      <c r="W530" s="9"/>
      <c r="X530" s="9">
        <v>133362.16</v>
      </c>
      <c r="Y530" s="9">
        <v>8583.4500000000007</v>
      </c>
      <c r="Z530" s="9"/>
      <c r="AA530" s="9"/>
      <c r="AB530" s="9"/>
      <c r="AC530" s="9"/>
      <c r="AD530" s="9"/>
      <c r="AE530" s="9"/>
      <c r="AF530" s="9"/>
      <c r="AG530" s="9"/>
      <c r="AH530" s="7">
        <v>133362.16</v>
      </c>
      <c r="AI530" s="7">
        <v>8583.4500000000007</v>
      </c>
    </row>
    <row r="531" spans="2:35" x14ac:dyDescent="0.3">
      <c r="B531" s="5" t="s">
        <v>3061</v>
      </c>
      <c r="C531" s="5" t="s">
        <v>13</v>
      </c>
      <c r="D531" s="12" t="s">
        <v>1213</v>
      </c>
      <c r="E531" s="6" t="s">
        <v>272</v>
      </c>
      <c r="F531" s="13" t="s">
        <v>273</v>
      </c>
      <c r="G531" s="6" t="s">
        <v>274</v>
      </c>
      <c r="H531" s="7" t="str">
        <f t="shared" si="8"/>
        <v>PPP-IPU-H641-01Operation &amp; Maintenance</v>
      </c>
      <c r="I531" s="8" t="s">
        <v>18</v>
      </c>
      <c r="J531" s="8" t="s">
        <v>19</v>
      </c>
      <c r="K531" s="8" t="s">
        <v>20</v>
      </c>
      <c r="L531" s="9"/>
      <c r="M531" s="9"/>
      <c r="N531" s="9"/>
      <c r="O531" s="9"/>
      <c r="P531" s="9"/>
      <c r="Q531" s="9"/>
      <c r="R531" s="9"/>
      <c r="S531" s="9"/>
      <c r="T531" s="9"/>
      <c r="U531" s="9"/>
      <c r="V531" s="9"/>
      <c r="W531" s="9"/>
      <c r="X531" s="9">
        <v>10622.59</v>
      </c>
      <c r="Y531" s="9">
        <v>3810.74</v>
      </c>
      <c r="Z531" s="9"/>
      <c r="AA531" s="9"/>
      <c r="AB531" s="9"/>
      <c r="AC531" s="9"/>
      <c r="AD531" s="9"/>
      <c r="AE531" s="9"/>
      <c r="AF531" s="9"/>
      <c r="AG531" s="9"/>
      <c r="AH531" s="7">
        <v>10622.59</v>
      </c>
      <c r="AI531" s="7">
        <v>3810.74</v>
      </c>
    </row>
    <row r="532" spans="2:35" x14ac:dyDescent="0.3">
      <c r="B532" s="5" t="s">
        <v>3061</v>
      </c>
      <c r="C532" s="5" t="s">
        <v>13</v>
      </c>
      <c r="D532" s="12" t="s">
        <v>1215</v>
      </c>
      <c r="E532" s="6" t="s">
        <v>811</v>
      </c>
      <c r="F532" s="13" t="s">
        <v>812</v>
      </c>
      <c r="G532" s="6" t="s">
        <v>813</v>
      </c>
      <c r="H532" s="7" t="str">
        <f t="shared" si="8"/>
        <v>EPC-IPU-M269-04Spot</v>
      </c>
      <c r="I532" s="8" t="s">
        <v>18</v>
      </c>
      <c r="J532" s="8" t="s">
        <v>259</v>
      </c>
      <c r="K532" s="8" t="s">
        <v>259</v>
      </c>
      <c r="L532" s="9"/>
      <c r="M532" s="9"/>
      <c r="N532" s="9"/>
      <c r="O532" s="9"/>
      <c r="P532" s="9"/>
      <c r="Q532" s="9"/>
      <c r="R532" s="9"/>
      <c r="S532" s="9"/>
      <c r="T532" s="9"/>
      <c r="U532" s="9"/>
      <c r="V532" s="9"/>
      <c r="W532" s="9"/>
      <c r="X532" s="9">
        <v>19098.48</v>
      </c>
      <c r="Y532" s="9">
        <v>9560.1299999999992</v>
      </c>
      <c r="Z532" s="9"/>
      <c r="AA532" s="9"/>
      <c r="AB532" s="9"/>
      <c r="AC532" s="9"/>
      <c r="AD532" s="9"/>
      <c r="AE532" s="9"/>
      <c r="AF532" s="9"/>
      <c r="AG532" s="9"/>
      <c r="AH532" s="7">
        <v>19098.48</v>
      </c>
      <c r="AI532" s="7">
        <v>9560.1299999999992</v>
      </c>
    </row>
    <row r="533" spans="2:35" x14ac:dyDescent="0.3">
      <c r="B533" s="5" t="s">
        <v>3061</v>
      </c>
      <c r="C533" s="5" t="s">
        <v>13</v>
      </c>
      <c r="D533" s="12" t="s">
        <v>1213</v>
      </c>
      <c r="E533" s="6" t="s">
        <v>811</v>
      </c>
      <c r="F533" s="13" t="s">
        <v>812</v>
      </c>
      <c r="G533" s="6" t="s">
        <v>813</v>
      </c>
      <c r="H533" s="7" t="str">
        <f t="shared" si="8"/>
        <v>EPC-IPU-M269-04Operation &amp; Maintenance</v>
      </c>
      <c r="I533" s="8" t="s">
        <v>18</v>
      </c>
      <c r="J533" s="8" t="s">
        <v>259</v>
      </c>
      <c r="K533" s="8" t="s">
        <v>259</v>
      </c>
      <c r="L533" s="9"/>
      <c r="M533" s="9"/>
      <c r="N533" s="9"/>
      <c r="O533" s="9"/>
      <c r="P533" s="9"/>
      <c r="Q533" s="9"/>
      <c r="R533" s="9"/>
      <c r="S533" s="9"/>
      <c r="T533" s="9"/>
      <c r="U533" s="9"/>
      <c r="V533" s="9"/>
      <c r="W533" s="9"/>
      <c r="X533" s="9">
        <v>0</v>
      </c>
      <c r="Y533" s="9">
        <v>3512.29</v>
      </c>
      <c r="Z533" s="9"/>
      <c r="AA533" s="9"/>
      <c r="AB533" s="9"/>
      <c r="AC533" s="9"/>
      <c r="AD533" s="9"/>
      <c r="AE533" s="9"/>
      <c r="AF533" s="9"/>
      <c r="AG533" s="9"/>
      <c r="AH533" s="7">
        <v>0</v>
      </c>
      <c r="AI533" s="7">
        <v>3512.29</v>
      </c>
    </row>
    <row r="534" spans="2:35" x14ac:dyDescent="0.3">
      <c r="B534" s="5" t="s">
        <v>3061</v>
      </c>
      <c r="C534" s="5" t="s">
        <v>13</v>
      </c>
      <c r="D534" s="12" t="s">
        <v>1213</v>
      </c>
      <c r="E534" s="6" t="s">
        <v>781</v>
      </c>
      <c r="F534" s="13" t="s">
        <v>782</v>
      </c>
      <c r="G534" s="6" t="s">
        <v>783</v>
      </c>
      <c r="H534" s="7" t="str">
        <f t="shared" si="8"/>
        <v>PPP-IPU-B415-01Operation &amp; Maintenance</v>
      </c>
      <c r="I534" s="8" t="s">
        <v>18</v>
      </c>
      <c r="J534" s="8" t="s">
        <v>19</v>
      </c>
      <c r="K534" s="8" t="s">
        <v>20</v>
      </c>
      <c r="L534" s="9"/>
      <c r="M534" s="9"/>
      <c r="N534" s="9"/>
      <c r="O534" s="9"/>
      <c r="P534" s="9"/>
      <c r="Q534" s="9"/>
      <c r="R534" s="9"/>
      <c r="S534" s="9"/>
      <c r="T534" s="9"/>
      <c r="U534" s="9"/>
      <c r="V534" s="9"/>
      <c r="W534" s="9"/>
      <c r="X534" s="9">
        <v>0</v>
      </c>
      <c r="Y534" s="9">
        <v>8801.33</v>
      </c>
      <c r="Z534" s="9"/>
      <c r="AA534" s="9"/>
      <c r="AB534" s="9"/>
      <c r="AC534" s="9"/>
      <c r="AD534" s="9"/>
      <c r="AE534" s="9"/>
      <c r="AF534" s="9"/>
      <c r="AG534" s="9"/>
      <c r="AH534" s="7">
        <v>0</v>
      </c>
      <c r="AI534" s="7">
        <v>8801.33</v>
      </c>
    </row>
    <row r="535" spans="2:35" x14ac:dyDescent="0.3">
      <c r="B535" s="5" t="s">
        <v>3061</v>
      </c>
      <c r="C535" s="5" t="s">
        <v>13</v>
      </c>
      <c r="D535" s="12" t="s">
        <v>1213</v>
      </c>
      <c r="E535" s="6" t="s">
        <v>275</v>
      </c>
      <c r="F535" s="13" t="s">
        <v>276</v>
      </c>
      <c r="G535" s="6" t="s">
        <v>277</v>
      </c>
      <c r="H535" s="7" t="str">
        <f t="shared" si="8"/>
        <v>PPP-IPU-A017-01Operation &amp; Maintenance</v>
      </c>
      <c r="I535" s="8" t="s">
        <v>18</v>
      </c>
      <c r="J535" s="8" t="s">
        <v>19</v>
      </c>
      <c r="K535" s="8" t="s">
        <v>20</v>
      </c>
      <c r="L535" s="9"/>
      <c r="M535" s="9"/>
      <c r="N535" s="9"/>
      <c r="O535" s="9"/>
      <c r="P535" s="9"/>
      <c r="Q535" s="9"/>
      <c r="R535" s="9"/>
      <c r="S535" s="9"/>
      <c r="T535" s="9"/>
      <c r="U535" s="9"/>
      <c r="V535" s="9"/>
      <c r="W535" s="9"/>
      <c r="X535" s="9">
        <v>11774.35</v>
      </c>
      <c r="Y535" s="9">
        <v>2192.83</v>
      </c>
      <c r="Z535" s="9"/>
      <c r="AA535" s="9"/>
      <c r="AB535" s="9"/>
      <c r="AC535" s="9"/>
      <c r="AD535" s="9"/>
      <c r="AE535" s="9"/>
      <c r="AF535" s="9"/>
      <c r="AG535" s="9"/>
      <c r="AH535" s="7">
        <v>11774.35</v>
      </c>
      <c r="AI535" s="7">
        <v>2192.83</v>
      </c>
    </row>
    <row r="536" spans="2:35" x14ac:dyDescent="0.3">
      <c r="B536" s="5" t="s">
        <v>3061</v>
      </c>
      <c r="C536" s="5" t="s">
        <v>13</v>
      </c>
      <c r="D536" s="12" t="s">
        <v>1213</v>
      </c>
      <c r="E536" s="6" t="s">
        <v>120</v>
      </c>
      <c r="F536" s="13" t="s">
        <v>121</v>
      </c>
      <c r="G536" s="6" t="s">
        <v>122</v>
      </c>
      <c r="H536" s="7" t="str">
        <f t="shared" si="8"/>
        <v>ATI-IPU-B628-01Operation &amp; Maintenance</v>
      </c>
      <c r="I536" s="8" t="s">
        <v>49</v>
      </c>
      <c r="J536" s="8" t="s">
        <v>19</v>
      </c>
      <c r="K536" s="8" t="s">
        <v>20</v>
      </c>
      <c r="L536" s="9"/>
      <c r="M536" s="9"/>
      <c r="N536" s="9"/>
      <c r="O536" s="9"/>
      <c r="P536" s="9"/>
      <c r="Q536" s="9"/>
      <c r="R536" s="9"/>
      <c r="S536" s="9"/>
      <c r="T536" s="9"/>
      <c r="U536" s="9"/>
      <c r="V536" s="9"/>
      <c r="W536" s="9"/>
      <c r="X536" s="9">
        <v>5045.47</v>
      </c>
      <c r="Y536" s="9">
        <v>2705.44</v>
      </c>
      <c r="Z536" s="9"/>
      <c r="AA536" s="9"/>
      <c r="AB536" s="9"/>
      <c r="AC536" s="9"/>
      <c r="AD536" s="9"/>
      <c r="AE536" s="9"/>
      <c r="AF536" s="9"/>
      <c r="AG536" s="9"/>
      <c r="AH536" s="7">
        <v>5045.47</v>
      </c>
      <c r="AI536" s="7">
        <v>2705.44</v>
      </c>
    </row>
    <row r="537" spans="2:35" x14ac:dyDescent="0.3">
      <c r="B537" s="5" t="s">
        <v>3061</v>
      </c>
      <c r="C537" s="5" t="s">
        <v>13</v>
      </c>
      <c r="D537" s="12" t="s">
        <v>1213</v>
      </c>
      <c r="E537" s="6" t="s">
        <v>165</v>
      </c>
      <c r="F537" s="13" t="s">
        <v>166</v>
      </c>
      <c r="G537" s="6" t="s">
        <v>167</v>
      </c>
      <c r="H537" s="7" t="str">
        <f t="shared" si="8"/>
        <v>PPP-IPU-L008-01Operation &amp; Maintenance</v>
      </c>
      <c r="I537" s="8" t="s">
        <v>18</v>
      </c>
      <c r="J537" s="8" t="s">
        <v>19</v>
      </c>
      <c r="K537" s="8" t="s">
        <v>20</v>
      </c>
      <c r="L537" s="9"/>
      <c r="M537" s="9"/>
      <c r="N537" s="9"/>
      <c r="O537" s="9"/>
      <c r="P537" s="9"/>
      <c r="Q537" s="9"/>
      <c r="R537" s="9"/>
      <c r="S537" s="9"/>
      <c r="T537" s="9"/>
      <c r="U537" s="9"/>
      <c r="V537" s="9"/>
      <c r="W537" s="9"/>
      <c r="X537" s="9">
        <v>10018.07</v>
      </c>
      <c r="Y537" s="9">
        <v>4746.32</v>
      </c>
      <c r="Z537" s="9"/>
      <c r="AA537" s="9"/>
      <c r="AB537" s="9"/>
      <c r="AC537" s="9"/>
      <c r="AD537" s="9"/>
      <c r="AE537" s="9"/>
      <c r="AF537" s="9"/>
      <c r="AG537" s="9"/>
      <c r="AH537" s="7">
        <v>10018.07</v>
      </c>
      <c r="AI537" s="7">
        <v>4746.32</v>
      </c>
    </row>
    <row r="538" spans="2:35" x14ac:dyDescent="0.3">
      <c r="B538" s="5" t="s">
        <v>3061</v>
      </c>
      <c r="C538" s="5" t="s">
        <v>13</v>
      </c>
      <c r="D538" s="12" t="s">
        <v>1214</v>
      </c>
      <c r="E538" s="6" t="s">
        <v>725</v>
      </c>
      <c r="F538" s="13" t="s">
        <v>726</v>
      </c>
      <c r="G538" s="6" t="s">
        <v>727</v>
      </c>
      <c r="H538" s="7" t="str">
        <f t="shared" si="8"/>
        <v>SEC-PHV-I457-01Unknown</v>
      </c>
      <c r="I538" s="8" t="s">
        <v>18</v>
      </c>
      <c r="J538" s="8" t="s">
        <v>454</v>
      </c>
      <c r="K538" s="8" t="s">
        <v>454</v>
      </c>
      <c r="L538" s="9"/>
      <c r="M538" s="9"/>
      <c r="N538" s="9"/>
      <c r="O538" s="9"/>
      <c r="P538" s="9"/>
      <c r="Q538" s="9"/>
      <c r="R538" s="9"/>
      <c r="S538" s="9"/>
      <c r="T538" s="9"/>
      <c r="U538" s="9"/>
      <c r="V538" s="9"/>
      <c r="W538" s="9"/>
      <c r="X538" s="9">
        <v>0</v>
      </c>
      <c r="Y538" s="9">
        <v>491.61</v>
      </c>
      <c r="Z538" s="9"/>
      <c r="AA538" s="9"/>
      <c r="AB538" s="9"/>
      <c r="AC538" s="9"/>
      <c r="AD538" s="9"/>
      <c r="AE538" s="9"/>
      <c r="AF538" s="9"/>
      <c r="AG538" s="9"/>
      <c r="AH538" s="7">
        <v>0</v>
      </c>
      <c r="AI538" s="7">
        <v>491.61</v>
      </c>
    </row>
    <row r="539" spans="2:35" x14ac:dyDescent="0.3">
      <c r="B539" s="5" t="s">
        <v>3061</v>
      </c>
      <c r="C539" s="5" t="s">
        <v>13</v>
      </c>
      <c r="D539" s="12" t="s">
        <v>1213</v>
      </c>
      <c r="E539" s="6" t="s">
        <v>482</v>
      </c>
      <c r="F539" s="13" t="s">
        <v>483</v>
      </c>
      <c r="G539" s="6" t="s">
        <v>484</v>
      </c>
      <c r="H539" s="7" t="str">
        <f t="shared" si="8"/>
        <v>PPP-IPU-B476-01Operation &amp; Maintenance</v>
      </c>
      <c r="I539" s="8" t="s">
        <v>18</v>
      </c>
      <c r="J539" s="8" t="s">
        <v>19</v>
      </c>
      <c r="K539" s="8" t="s">
        <v>20</v>
      </c>
      <c r="L539" s="9"/>
      <c r="M539" s="9"/>
      <c r="N539" s="9"/>
      <c r="O539" s="9"/>
      <c r="P539" s="9"/>
      <c r="Q539" s="9"/>
      <c r="R539" s="9"/>
      <c r="S539" s="9"/>
      <c r="T539" s="9"/>
      <c r="U539" s="9"/>
      <c r="V539" s="9"/>
      <c r="W539" s="9"/>
      <c r="X539" s="9">
        <v>24557.49</v>
      </c>
      <c r="Y539" s="9">
        <v>6070.94</v>
      </c>
      <c r="Z539" s="9"/>
      <c r="AA539" s="9"/>
      <c r="AB539" s="9"/>
      <c r="AC539" s="9"/>
      <c r="AD539" s="9"/>
      <c r="AE539" s="9"/>
      <c r="AF539" s="9"/>
      <c r="AG539" s="9"/>
      <c r="AH539" s="7">
        <v>24557.49</v>
      </c>
      <c r="AI539" s="7">
        <v>6070.94</v>
      </c>
    </row>
    <row r="540" spans="2:35" x14ac:dyDescent="0.3">
      <c r="B540" s="5" t="s">
        <v>3061</v>
      </c>
      <c r="C540" s="5" t="s">
        <v>13</v>
      </c>
      <c r="D540" s="12" t="s">
        <v>1213</v>
      </c>
      <c r="E540" s="6" t="s">
        <v>607</v>
      </c>
      <c r="F540" s="13" t="s">
        <v>608</v>
      </c>
      <c r="G540" s="6" t="s">
        <v>551</v>
      </c>
      <c r="H540" s="7" t="str">
        <f t="shared" si="8"/>
        <v>EPC-IPU-C767-02Operation &amp; Maintenance</v>
      </c>
      <c r="I540" s="8" t="s">
        <v>24</v>
      </c>
      <c r="J540" s="8" t="s">
        <v>76</v>
      </c>
      <c r="K540" s="8" t="s">
        <v>76</v>
      </c>
      <c r="L540" s="9"/>
      <c r="M540" s="9"/>
      <c r="N540" s="9"/>
      <c r="O540" s="9"/>
      <c r="P540" s="9"/>
      <c r="Q540" s="9"/>
      <c r="R540" s="9"/>
      <c r="S540" s="9"/>
      <c r="T540" s="9"/>
      <c r="U540" s="9"/>
      <c r="V540" s="9"/>
      <c r="W540" s="9"/>
      <c r="X540" s="9">
        <v>29000</v>
      </c>
      <c r="Y540" s="9">
        <v>0</v>
      </c>
      <c r="Z540" s="9"/>
      <c r="AA540" s="9"/>
      <c r="AB540" s="9"/>
      <c r="AC540" s="9"/>
      <c r="AD540" s="9"/>
      <c r="AE540" s="9"/>
      <c r="AF540" s="9"/>
      <c r="AG540" s="9"/>
      <c r="AH540" s="7">
        <v>29000</v>
      </c>
      <c r="AI540" s="7">
        <v>0</v>
      </c>
    </row>
    <row r="541" spans="2:35" x14ac:dyDescent="0.3">
      <c r="B541" s="5" t="s">
        <v>3061</v>
      </c>
      <c r="C541" s="5" t="s">
        <v>13</v>
      </c>
      <c r="D541" s="12" t="s">
        <v>1213</v>
      </c>
      <c r="E541" s="6" t="s">
        <v>196</v>
      </c>
      <c r="F541" s="13" t="s">
        <v>197</v>
      </c>
      <c r="G541" s="6" t="s">
        <v>198</v>
      </c>
      <c r="H541" s="7" t="str">
        <f t="shared" si="8"/>
        <v>PPP-IPU-B294-01Operation &amp; Maintenance</v>
      </c>
      <c r="I541" s="8" t="s">
        <v>24</v>
      </c>
      <c r="J541" s="8" t="s">
        <v>19</v>
      </c>
      <c r="K541" s="8" t="s">
        <v>20</v>
      </c>
      <c r="L541" s="9"/>
      <c r="M541" s="9"/>
      <c r="N541" s="9"/>
      <c r="O541" s="9"/>
      <c r="P541" s="9"/>
      <c r="Q541" s="9"/>
      <c r="R541" s="9"/>
      <c r="S541" s="9"/>
      <c r="T541" s="9"/>
      <c r="U541" s="9"/>
      <c r="V541" s="9"/>
      <c r="W541" s="9"/>
      <c r="X541" s="9">
        <v>26372.43</v>
      </c>
      <c r="Y541" s="9">
        <v>8590.73</v>
      </c>
      <c r="Z541" s="9"/>
      <c r="AA541" s="9"/>
      <c r="AB541" s="9"/>
      <c r="AC541" s="9"/>
      <c r="AD541" s="9"/>
      <c r="AE541" s="9"/>
      <c r="AF541" s="9"/>
      <c r="AG541" s="9"/>
      <c r="AH541" s="7">
        <v>26372.43</v>
      </c>
      <c r="AI541" s="7">
        <v>8590.73</v>
      </c>
    </row>
    <row r="542" spans="2:35" x14ac:dyDescent="0.3">
      <c r="B542" s="5" t="s">
        <v>3061</v>
      </c>
      <c r="C542" s="5" t="s">
        <v>13</v>
      </c>
      <c r="D542" s="12" t="s">
        <v>1213</v>
      </c>
      <c r="E542" s="6" t="s">
        <v>144</v>
      </c>
      <c r="F542" s="13" t="s">
        <v>145</v>
      </c>
      <c r="G542" s="6" t="s">
        <v>146</v>
      </c>
      <c r="H542" s="7" t="str">
        <f t="shared" si="8"/>
        <v>PPP-IPU-L326-01Operation &amp; Maintenance</v>
      </c>
      <c r="I542" s="8" t="s">
        <v>18</v>
      </c>
      <c r="J542" s="8" t="s">
        <v>19</v>
      </c>
      <c r="K542" s="8" t="s">
        <v>20</v>
      </c>
      <c r="L542" s="9"/>
      <c r="M542" s="9"/>
      <c r="N542" s="9"/>
      <c r="O542" s="9"/>
      <c r="P542" s="9"/>
      <c r="Q542" s="9"/>
      <c r="R542" s="9"/>
      <c r="S542" s="9"/>
      <c r="T542" s="9"/>
      <c r="U542" s="9"/>
      <c r="V542" s="9"/>
      <c r="W542" s="9"/>
      <c r="X542" s="9">
        <v>10374</v>
      </c>
      <c r="Y542" s="9">
        <v>7577.99</v>
      </c>
      <c r="Z542" s="9"/>
      <c r="AA542" s="9"/>
      <c r="AB542" s="9"/>
      <c r="AC542" s="9"/>
      <c r="AD542" s="9"/>
      <c r="AE542" s="9"/>
      <c r="AF542" s="9"/>
      <c r="AG542" s="9"/>
      <c r="AH542" s="7">
        <v>10374</v>
      </c>
      <c r="AI542" s="7">
        <v>7577.99</v>
      </c>
    </row>
    <row r="543" spans="2:35" x14ac:dyDescent="0.3">
      <c r="B543" s="5" t="s">
        <v>3061</v>
      </c>
      <c r="C543" s="5" t="s">
        <v>13</v>
      </c>
      <c r="D543" s="12" t="s">
        <v>1213</v>
      </c>
      <c r="E543" s="6" t="s">
        <v>506</v>
      </c>
      <c r="F543" s="13" t="s">
        <v>507</v>
      </c>
      <c r="G543" s="6" t="s">
        <v>508</v>
      </c>
      <c r="H543" s="7" t="str">
        <f t="shared" si="8"/>
        <v>PPP-IPU-G910-01Operation &amp; Maintenance</v>
      </c>
      <c r="I543" s="8" t="s">
        <v>24</v>
      </c>
      <c r="J543" s="8" t="s">
        <v>19</v>
      </c>
      <c r="K543" s="8" t="s">
        <v>20</v>
      </c>
      <c r="L543" s="9"/>
      <c r="M543" s="9"/>
      <c r="N543" s="9"/>
      <c r="O543" s="9"/>
      <c r="P543" s="9"/>
      <c r="Q543" s="9"/>
      <c r="R543" s="9"/>
      <c r="S543" s="9"/>
      <c r="T543" s="9"/>
      <c r="U543" s="9"/>
      <c r="V543" s="9"/>
      <c r="W543" s="9"/>
      <c r="X543" s="9">
        <v>8086.39</v>
      </c>
      <c r="Y543" s="9">
        <v>2971.19</v>
      </c>
      <c r="Z543" s="9"/>
      <c r="AA543" s="9"/>
      <c r="AB543" s="9"/>
      <c r="AC543" s="9"/>
      <c r="AD543" s="9"/>
      <c r="AE543" s="9"/>
      <c r="AF543" s="9"/>
      <c r="AG543" s="9"/>
      <c r="AH543" s="7">
        <v>8086.39</v>
      </c>
      <c r="AI543" s="7">
        <v>2971.19</v>
      </c>
    </row>
    <row r="544" spans="2:35" x14ac:dyDescent="0.3">
      <c r="B544" s="5" t="s">
        <v>3061</v>
      </c>
      <c r="C544" s="5" t="s">
        <v>13</v>
      </c>
      <c r="D544" s="12" t="s">
        <v>1213</v>
      </c>
      <c r="E544" s="6" t="s">
        <v>95</v>
      </c>
      <c r="F544" s="13" t="s">
        <v>96</v>
      </c>
      <c r="G544" s="6" t="s">
        <v>97</v>
      </c>
      <c r="H544" s="7" t="str">
        <f t="shared" si="8"/>
        <v>CL3-IPU-H601-01Operation &amp; Maintenance</v>
      </c>
      <c r="I544" s="8" t="s">
        <v>49</v>
      </c>
      <c r="J544" s="8" t="s">
        <v>19</v>
      </c>
      <c r="K544" s="8" t="s">
        <v>98</v>
      </c>
      <c r="L544" s="9"/>
      <c r="M544" s="9"/>
      <c r="N544" s="9"/>
      <c r="O544" s="9"/>
      <c r="P544" s="9"/>
      <c r="Q544" s="9"/>
      <c r="R544" s="9"/>
      <c r="S544" s="9"/>
      <c r="T544" s="9"/>
      <c r="U544" s="9"/>
      <c r="V544" s="9"/>
      <c r="W544" s="9"/>
      <c r="X544" s="9">
        <v>0</v>
      </c>
      <c r="Y544" s="9">
        <v>18820.37</v>
      </c>
      <c r="Z544" s="9"/>
      <c r="AA544" s="9"/>
      <c r="AB544" s="9"/>
      <c r="AC544" s="9"/>
      <c r="AD544" s="9"/>
      <c r="AE544" s="9"/>
      <c r="AF544" s="9"/>
      <c r="AG544" s="9"/>
      <c r="AH544" s="7">
        <v>0</v>
      </c>
      <c r="AI544" s="7">
        <v>18820.37</v>
      </c>
    </row>
    <row r="545" spans="2:35" x14ac:dyDescent="0.3">
      <c r="B545" s="5" t="s">
        <v>3061</v>
      </c>
      <c r="C545" s="5" t="s">
        <v>13</v>
      </c>
      <c r="D545" s="12" t="s">
        <v>1213</v>
      </c>
      <c r="E545" s="6" t="s">
        <v>233</v>
      </c>
      <c r="F545" s="13" t="s">
        <v>234</v>
      </c>
      <c r="G545" s="6" t="s">
        <v>235</v>
      </c>
      <c r="H545" s="7" t="str">
        <f t="shared" si="8"/>
        <v>CL3-IPU-G103-01Operation &amp; Maintenance</v>
      </c>
      <c r="I545" s="8" t="s">
        <v>49</v>
      </c>
      <c r="J545" s="8" t="s">
        <v>19</v>
      </c>
      <c r="K545" s="8" t="s">
        <v>98</v>
      </c>
      <c r="L545" s="9"/>
      <c r="M545" s="9"/>
      <c r="N545" s="9"/>
      <c r="O545" s="9"/>
      <c r="P545" s="9"/>
      <c r="Q545" s="9"/>
      <c r="R545" s="9"/>
      <c r="S545" s="9"/>
      <c r="T545" s="9"/>
      <c r="U545" s="9"/>
      <c r="V545" s="9"/>
      <c r="W545" s="9"/>
      <c r="X545" s="9">
        <v>0</v>
      </c>
      <c r="Y545" s="9">
        <v>8050.05</v>
      </c>
      <c r="Z545" s="9"/>
      <c r="AA545" s="9"/>
      <c r="AB545" s="9"/>
      <c r="AC545" s="9"/>
      <c r="AD545" s="9"/>
      <c r="AE545" s="9"/>
      <c r="AF545" s="9"/>
      <c r="AG545" s="9"/>
      <c r="AH545" s="7">
        <v>0</v>
      </c>
      <c r="AI545" s="7">
        <v>8050.05</v>
      </c>
    </row>
    <row r="546" spans="2:35" x14ac:dyDescent="0.3">
      <c r="B546" s="5" t="s">
        <v>3061</v>
      </c>
      <c r="C546" s="5" t="s">
        <v>13</v>
      </c>
      <c r="D546" s="12" t="s">
        <v>1213</v>
      </c>
      <c r="E546" s="6" t="s">
        <v>585</v>
      </c>
      <c r="F546" s="13" t="s">
        <v>586</v>
      </c>
      <c r="G546" s="6" t="s">
        <v>587</v>
      </c>
      <c r="H546" s="7" t="str">
        <f t="shared" si="8"/>
        <v>PPP-IPU-L736-02Operation &amp; Maintenance</v>
      </c>
      <c r="I546" s="8" t="s">
        <v>56</v>
      </c>
      <c r="J546" s="8" t="s">
        <v>19</v>
      </c>
      <c r="K546" s="8" t="s">
        <v>20</v>
      </c>
      <c r="L546" s="9"/>
      <c r="M546" s="9"/>
      <c r="N546" s="9"/>
      <c r="O546" s="9"/>
      <c r="P546" s="9"/>
      <c r="Q546" s="9"/>
      <c r="R546" s="9"/>
      <c r="S546" s="9"/>
      <c r="T546" s="9"/>
      <c r="U546" s="9"/>
      <c r="V546" s="9"/>
      <c r="W546" s="9"/>
      <c r="X546" s="9">
        <v>479116.5</v>
      </c>
      <c r="Y546" s="9">
        <v>83827.16</v>
      </c>
      <c r="Z546" s="9"/>
      <c r="AA546" s="9"/>
      <c r="AB546" s="9"/>
      <c r="AC546" s="9"/>
      <c r="AD546" s="9"/>
      <c r="AE546" s="9"/>
      <c r="AF546" s="9"/>
      <c r="AG546" s="9"/>
      <c r="AH546" s="7">
        <v>479116.5</v>
      </c>
      <c r="AI546" s="7">
        <v>83827.16</v>
      </c>
    </row>
    <row r="547" spans="2:35" x14ac:dyDescent="0.3">
      <c r="B547" s="5" t="s">
        <v>3061</v>
      </c>
      <c r="C547" s="5" t="s">
        <v>13</v>
      </c>
      <c r="D547" s="12" t="s">
        <v>1213</v>
      </c>
      <c r="E547" s="6" t="s">
        <v>46</v>
      </c>
      <c r="F547" s="13" t="s">
        <v>47</v>
      </c>
      <c r="G547" s="6" t="s">
        <v>48</v>
      </c>
      <c r="H547" s="7" t="str">
        <f t="shared" si="8"/>
        <v>PPP-IPU-E569-01Operation &amp; Maintenance</v>
      </c>
      <c r="I547" s="8" t="s">
        <v>49</v>
      </c>
      <c r="J547" s="8" t="s">
        <v>19</v>
      </c>
      <c r="K547" s="8" t="s">
        <v>20</v>
      </c>
      <c r="L547" s="9"/>
      <c r="M547" s="9"/>
      <c r="N547" s="9"/>
      <c r="O547" s="9"/>
      <c r="P547" s="9"/>
      <c r="Q547" s="9"/>
      <c r="R547" s="9"/>
      <c r="S547" s="9"/>
      <c r="T547" s="9"/>
      <c r="U547" s="9"/>
      <c r="V547" s="9"/>
      <c r="W547" s="9"/>
      <c r="X547" s="9">
        <v>27311.9</v>
      </c>
      <c r="Y547" s="9">
        <v>1298.3399999999999</v>
      </c>
      <c r="Z547" s="9"/>
      <c r="AA547" s="9"/>
      <c r="AB547" s="9"/>
      <c r="AC547" s="9"/>
      <c r="AD547" s="9"/>
      <c r="AE547" s="9"/>
      <c r="AF547" s="9"/>
      <c r="AG547" s="9"/>
      <c r="AH547" s="7">
        <v>27311.9</v>
      </c>
      <c r="AI547" s="7">
        <v>1298.3399999999999</v>
      </c>
    </row>
    <row r="548" spans="2:35" x14ac:dyDescent="0.3">
      <c r="B548" s="5" t="s">
        <v>3061</v>
      </c>
      <c r="C548" s="5" t="s">
        <v>13</v>
      </c>
      <c r="D548" s="12" t="s">
        <v>1213</v>
      </c>
      <c r="E548" s="6" t="s">
        <v>894</v>
      </c>
      <c r="F548" s="13" t="s">
        <v>895</v>
      </c>
      <c r="G548" s="6" t="s">
        <v>459</v>
      </c>
      <c r="H548" s="7" t="str">
        <f t="shared" si="8"/>
        <v>PPP-IPU-G616-01Operation &amp; Maintenance</v>
      </c>
      <c r="I548" s="8" t="s">
        <v>18</v>
      </c>
      <c r="J548" s="8" t="s">
        <v>19</v>
      </c>
      <c r="K548" s="8" t="s">
        <v>20</v>
      </c>
      <c r="L548" s="9"/>
      <c r="M548" s="9"/>
      <c r="N548" s="9"/>
      <c r="O548" s="9"/>
      <c r="P548" s="9"/>
      <c r="Q548" s="9"/>
      <c r="R548" s="9"/>
      <c r="S548" s="9"/>
      <c r="T548" s="9"/>
      <c r="U548" s="9"/>
      <c r="V548" s="9"/>
      <c r="W548" s="9"/>
      <c r="X548" s="9">
        <v>0</v>
      </c>
      <c r="Y548" s="9">
        <v>86.78</v>
      </c>
      <c r="Z548" s="9"/>
      <c r="AA548" s="9"/>
      <c r="AB548" s="9"/>
      <c r="AC548" s="9"/>
      <c r="AD548" s="9"/>
      <c r="AE548" s="9"/>
      <c r="AF548" s="9"/>
      <c r="AG548" s="9"/>
      <c r="AH548" s="7">
        <v>0</v>
      </c>
      <c r="AI548" s="7">
        <v>86.78</v>
      </c>
    </row>
    <row r="549" spans="2:35" x14ac:dyDescent="0.3">
      <c r="B549" s="5" t="s">
        <v>3061</v>
      </c>
      <c r="C549" s="5" t="s">
        <v>13</v>
      </c>
      <c r="D549" s="12" t="s">
        <v>1213</v>
      </c>
      <c r="E549" s="6" t="s">
        <v>319</v>
      </c>
      <c r="F549" s="13" t="s">
        <v>320</v>
      </c>
      <c r="G549" s="6" t="s">
        <v>321</v>
      </c>
      <c r="H549" s="7" t="str">
        <f t="shared" si="8"/>
        <v>PPP-IPU-B959-01Operation &amp; Maintenance</v>
      </c>
      <c r="I549" s="8" t="s">
        <v>18</v>
      </c>
      <c r="J549" s="8" t="s">
        <v>19</v>
      </c>
      <c r="K549" s="8" t="s">
        <v>20</v>
      </c>
      <c r="L549" s="9"/>
      <c r="M549" s="9"/>
      <c r="N549" s="9"/>
      <c r="O549" s="9"/>
      <c r="P549" s="9"/>
      <c r="Q549" s="9"/>
      <c r="R549" s="9"/>
      <c r="S549" s="9"/>
      <c r="T549" s="9"/>
      <c r="U549" s="9"/>
      <c r="V549" s="9"/>
      <c r="W549" s="9"/>
      <c r="X549" s="9">
        <v>6455.96</v>
      </c>
      <c r="Y549" s="9">
        <v>3119.38</v>
      </c>
      <c r="Z549" s="9"/>
      <c r="AA549" s="9"/>
      <c r="AB549" s="9"/>
      <c r="AC549" s="9"/>
      <c r="AD549" s="9"/>
      <c r="AE549" s="9"/>
      <c r="AF549" s="9"/>
      <c r="AG549" s="9"/>
      <c r="AH549" s="7">
        <v>6455.96</v>
      </c>
      <c r="AI549" s="7">
        <v>3119.38</v>
      </c>
    </row>
    <row r="550" spans="2:35" x14ac:dyDescent="0.3">
      <c r="B550" s="5" t="s">
        <v>3061</v>
      </c>
      <c r="C550" s="5" t="s">
        <v>13</v>
      </c>
      <c r="D550" s="12" t="s">
        <v>1213</v>
      </c>
      <c r="E550" s="6" t="s">
        <v>247</v>
      </c>
      <c r="F550" s="13" t="s">
        <v>248</v>
      </c>
      <c r="G550" s="6" t="s">
        <v>249</v>
      </c>
      <c r="H550" s="7" t="str">
        <f t="shared" si="8"/>
        <v>ATI-IPU-H498-01Operation &amp; Maintenance</v>
      </c>
      <c r="I550" s="8" t="s">
        <v>49</v>
      </c>
      <c r="J550" s="8" t="s">
        <v>19</v>
      </c>
      <c r="K550" s="8" t="s">
        <v>20</v>
      </c>
      <c r="L550" s="9"/>
      <c r="M550" s="9"/>
      <c r="N550" s="9"/>
      <c r="O550" s="9"/>
      <c r="P550" s="9"/>
      <c r="Q550" s="9"/>
      <c r="R550" s="9"/>
      <c r="S550" s="9"/>
      <c r="T550" s="9"/>
      <c r="U550" s="9"/>
      <c r="V550" s="9"/>
      <c r="W550" s="9"/>
      <c r="X550" s="9">
        <v>6700.65</v>
      </c>
      <c r="Y550" s="9">
        <v>2958.45</v>
      </c>
      <c r="Z550" s="9"/>
      <c r="AA550" s="9"/>
      <c r="AB550" s="9"/>
      <c r="AC550" s="9"/>
      <c r="AD550" s="9"/>
      <c r="AE550" s="9"/>
      <c r="AF550" s="9"/>
      <c r="AG550" s="9"/>
      <c r="AH550" s="7">
        <v>6700.65</v>
      </c>
      <c r="AI550" s="7">
        <v>2958.45</v>
      </c>
    </row>
    <row r="551" spans="2:35" x14ac:dyDescent="0.3">
      <c r="B551" s="5" t="s">
        <v>3061</v>
      </c>
      <c r="C551" s="5" t="s">
        <v>13</v>
      </c>
      <c r="D551" s="12" t="s">
        <v>1213</v>
      </c>
      <c r="E551" s="6" t="s">
        <v>524</v>
      </c>
      <c r="F551" s="13" t="s">
        <v>525</v>
      </c>
      <c r="G551" s="6" t="s">
        <v>526</v>
      </c>
      <c r="H551" s="7" t="str">
        <f t="shared" si="8"/>
        <v>PPP-IPU-A746-01Operation &amp; Maintenance</v>
      </c>
      <c r="I551" s="8" t="s">
        <v>24</v>
      </c>
      <c r="J551" s="8" t="s">
        <v>19</v>
      </c>
      <c r="K551" s="8" t="s">
        <v>20</v>
      </c>
      <c r="L551" s="9"/>
      <c r="M551" s="9"/>
      <c r="N551" s="9"/>
      <c r="O551" s="9"/>
      <c r="P551" s="9"/>
      <c r="Q551" s="9"/>
      <c r="R551" s="9"/>
      <c r="S551" s="9"/>
      <c r="T551" s="9"/>
      <c r="U551" s="9"/>
      <c r="V551" s="9"/>
      <c r="W551" s="9"/>
      <c r="X551" s="9">
        <v>61325.15</v>
      </c>
      <c r="Y551" s="9">
        <v>5193.5600000000004</v>
      </c>
      <c r="Z551" s="9"/>
      <c r="AA551" s="9"/>
      <c r="AB551" s="9"/>
      <c r="AC551" s="9"/>
      <c r="AD551" s="9"/>
      <c r="AE551" s="9"/>
      <c r="AF551" s="9"/>
      <c r="AG551" s="9"/>
      <c r="AH551" s="7">
        <v>61325.15</v>
      </c>
      <c r="AI551" s="7">
        <v>5193.5600000000004</v>
      </c>
    </row>
    <row r="552" spans="2:35" x14ac:dyDescent="0.3">
      <c r="B552" s="5" t="s">
        <v>3061</v>
      </c>
      <c r="C552" s="5" t="s">
        <v>13</v>
      </c>
      <c r="D552" s="12" t="s">
        <v>1213</v>
      </c>
      <c r="E552" s="6" t="s">
        <v>108</v>
      </c>
      <c r="F552" s="13" t="s">
        <v>109</v>
      </c>
      <c r="G552" s="6" t="s">
        <v>110</v>
      </c>
      <c r="H552" s="7" t="str">
        <f t="shared" si="8"/>
        <v>PPP-IPU-A462-01Operation &amp; Maintenance</v>
      </c>
      <c r="I552" s="8" t="s">
        <v>24</v>
      </c>
      <c r="J552" s="8" t="s">
        <v>19</v>
      </c>
      <c r="K552" s="8" t="s">
        <v>20</v>
      </c>
      <c r="L552" s="9"/>
      <c r="M552" s="9"/>
      <c r="N552" s="9"/>
      <c r="O552" s="9"/>
      <c r="P552" s="9"/>
      <c r="Q552" s="9"/>
      <c r="R552" s="9"/>
      <c r="S552" s="9"/>
      <c r="T552" s="9"/>
      <c r="U552" s="9"/>
      <c r="V552" s="9"/>
      <c r="W552" s="9"/>
      <c r="X552" s="9">
        <v>80445.600000000006</v>
      </c>
      <c r="Y552" s="9">
        <v>3207.22</v>
      </c>
      <c r="Z552" s="9"/>
      <c r="AA552" s="9"/>
      <c r="AB552" s="9"/>
      <c r="AC552" s="9"/>
      <c r="AD552" s="9"/>
      <c r="AE552" s="9"/>
      <c r="AF552" s="9"/>
      <c r="AG552" s="9"/>
      <c r="AH552" s="7">
        <v>80445.600000000006</v>
      </c>
      <c r="AI552" s="7">
        <v>3207.22</v>
      </c>
    </row>
    <row r="553" spans="2:35" x14ac:dyDescent="0.3">
      <c r="B553" s="5" t="s">
        <v>3061</v>
      </c>
      <c r="C553" s="5" t="s">
        <v>13</v>
      </c>
      <c r="D553" s="12" t="s">
        <v>1213</v>
      </c>
      <c r="E553" s="6" t="s">
        <v>582</v>
      </c>
      <c r="F553" s="13" t="s">
        <v>583</v>
      </c>
      <c r="G553" s="6" t="s">
        <v>584</v>
      </c>
      <c r="H553" s="7" t="str">
        <f t="shared" si="8"/>
        <v>PPP-IPU-L424-01Operation &amp; Maintenance</v>
      </c>
      <c r="I553" s="8" t="s">
        <v>56</v>
      </c>
      <c r="J553" s="8" t="s">
        <v>19</v>
      </c>
      <c r="K553" s="8" t="s">
        <v>20</v>
      </c>
      <c r="L553" s="9"/>
      <c r="M553" s="9"/>
      <c r="N553" s="9"/>
      <c r="O553" s="9"/>
      <c r="P553" s="9"/>
      <c r="Q553" s="9"/>
      <c r="R553" s="9"/>
      <c r="S553" s="9"/>
      <c r="T553" s="9"/>
      <c r="U553" s="9"/>
      <c r="V553" s="9"/>
      <c r="W553" s="9"/>
      <c r="X553" s="9">
        <v>0</v>
      </c>
      <c r="Y553" s="9">
        <v>63835.13</v>
      </c>
      <c r="Z553" s="9"/>
      <c r="AA553" s="9"/>
      <c r="AB553" s="9"/>
      <c r="AC553" s="9"/>
      <c r="AD553" s="9"/>
      <c r="AE553" s="9"/>
      <c r="AF553" s="9"/>
      <c r="AG553" s="9"/>
      <c r="AH553" s="7">
        <v>0</v>
      </c>
      <c r="AI553" s="7">
        <v>63835.13</v>
      </c>
    </row>
    <row r="554" spans="2:35" x14ac:dyDescent="0.3">
      <c r="B554" s="5" t="s">
        <v>3061</v>
      </c>
      <c r="C554" s="5" t="s">
        <v>13</v>
      </c>
      <c r="D554" s="12" t="s">
        <v>1215</v>
      </c>
      <c r="E554" s="6" t="s">
        <v>746</v>
      </c>
      <c r="F554" s="13" t="s">
        <v>747</v>
      </c>
      <c r="G554" s="6" t="s">
        <v>748</v>
      </c>
      <c r="H554" s="7" t="str">
        <f t="shared" si="8"/>
        <v>EPC-IPU-E951-08Spot</v>
      </c>
      <c r="I554" s="8" t="s">
        <v>49</v>
      </c>
      <c r="J554" s="8" t="s">
        <v>259</v>
      </c>
      <c r="K554" s="8" t="s">
        <v>259</v>
      </c>
      <c r="L554" s="9"/>
      <c r="M554" s="9"/>
      <c r="N554" s="9"/>
      <c r="O554" s="9"/>
      <c r="P554" s="9"/>
      <c r="Q554" s="9"/>
      <c r="R554" s="9"/>
      <c r="S554" s="9"/>
      <c r="T554" s="9"/>
      <c r="U554" s="9"/>
      <c r="V554" s="9"/>
      <c r="W554" s="9"/>
      <c r="X554" s="9">
        <v>626.74</v>
      </c>
      <c r="Y554" s="9">
        <v>0</v>
      </c>
      <c r="Z554" s="9"/>
      <c r="AA554" s="9"/>
      <c r="AB554" s="9"/>
      <c r="AC554" s="9"/>
      <c r="AD554" s="9"/>
      <c r="AE554" s="9"/>
      <c r="AF554" s="9"/>
      <c r="AG554" s="9"/>
      <c r="AH554" s="7">
        <v>626.74</v>
      </c>
      <c r="AI554" s="7">
        <v>0</v>
      </c>
    </row>
    <row r="555" spans="2:35" x14ac:dyDescent="0.3">
      <c r="B555" s="5" t="s">
        <v>3061</v>
      </c>
      <c r="C555" s="5" t="s">
        <v>13</v>
      </c>
      <c r="D555" s="12" t="s">
        <v>1213</v>
      </c>
      <c r="E555" s="6" t="s">
        <v>25</v>
      </c>
      <c r="F555" s="13" t="s">
        <v>26</v>
      </c>
      <c r="G555" s="6" t="s">
        <v>27</v>
      </c>
      <c r="H555" s="7" t="str">
        <f t="shared" si="8"/>
        <v>PPP-IPU-G136-01Operation &amp; Maintenance</v>
      </c>
      <c r="I555" s="8" t="s">
        <v>18</v>
      </c>
      <c r="J555" s="8" t="s">
        <v>19</v>
      </c>
      <c r="K555" s="8" t="s">
        <v>20</v>
      </c>
      <c r="L555" s="9"/>
      <c r="M555" s="9"/>
      <c r="N555" s="9"/>
      <c r="O555" s="9"/>
      <c r="P555" s="9"/>
      <c r="Q555" s="9"/>
      <c r="R555" s="9"/>
      <c r="S555" s="9"/>
      <c r="T555" s="9"/>
      <c r="U555" s="9"/>
      <c r="V555" s="9"/>
      <c r="W555" s="9"/>
      <c r="X555" s="9">
        <v>12258.14</v>
      </c>
      <c r="Y555" s="9">
        <v>5321.44</v>
      </c>
      <c r="Z555" s="9"/>
      <c r="AA555" s="9"/>
      <c r="AB555" s="9"/>
      <c r="AC555" s="9"/>
      <c r="AD555" s="9"/>
      <c r="AE555" s="9"/>
      <c r="AF555" s="9"/>
      <c r="AG555" s="9"/>
      <c r="AH555" s="7">
        <v>12258.14</v>
      </c>
      <c r="AI555" s="7">
        <v>5321.44</v>
      </c>
    </row>
    <row r="556" spans="2:35" x14ac:dyDescent="0.3">
      <c r="B556" s="5" t="s">
        <v>3061</v>
      </c>
      <c r="C556" s="5" t="s">
        <v>13</v>
      </c>
      <c r="D556" s="12" t="s">
        <v>1213</v>
      </c>
      <c r="E556" s="6" t="s">
        <v>536</v>
      </c>
      <c r="F556" s="13" t="s">
        <v>537</v>
      </c>
      <c r="G556" s="6" t="s">
        <v>538</v>
      </c>
      <c r="H556" s="7" t="str">
        <f t="shared" si="8"/>
        <v>PPP-IPU-I019-01Operation &amp; Maintenance</v>
      </c>
      <c r="I556" s="8" t="s">
        <v>18</v>
      </c>
      <c r="J556" s="8" t="s">
        <v>19</v>
      </c>
      <c r="K556" s="8" t="s">
        <v>20</v>
      </c>
      <c r="L556" s="9"/>
      <c r="M556" s="9"/>
      <c r="N556" s="9"/>
      <c r="O556" s="9"/>
      <c r="P556" s="9"/>
      <c r="Q556" s="9"/>
      <c r="R556" s="9"/>
      <c r="S556" s="9"/>
      <c r="T556" s="9"/>
      <c r="U556" s="9"/>
      <c r="V556" s="9"/>
      <c r="W556" s="9"/>
      <c r="X556" s="9">
        <v>14913.14</v>
      </c>
      <c r="Y556" s="9">
        <v>7866.14</v>
      </c>
      <c r="Z556" s="9"/>
      <c r="AA556" s="9"/>
      <c r="AB556" s="9"/>
      <c r="AC556" s="9"/>
      <c r="AD556" s="9"/>
      <c r="AE556" s="9"/>
      <c r="AF556" s="9"/>
      <c r="AG556" s="9"/>
      <c r="AH556" s="7">
        <v>14913.14</v>
      </c>
      <c r="AI556" s="7">
        <v>7866.14</v>
      </c>
    </row>
    <row r="557" spans="2:35" x14ac:dyDescent="0.3">
      <c r="B557" s="5" t="s">
        <v>3061</v>
      </c>
      <c r="C557" s="5" t="s">
        <v>13</v>
      </c>
      <c r="D557" s="12" t="s">
        <v>1213</v>
      </c>
      <c r="E557" s="6" t="s">
        <v>527</v>
      </c>
      <c r="F557" s="13" t="s">
        <v>528</v>
      </c>
      <c r="G557" s="6" t="s">
        <v>529</v>
      </c>
      <c r="H557" s="7" t="str">
        <f t="shared" si="8"/>
        <v>PPP-IPU-G226-01Operation &amp; Maintenance</v>
      </c>
      <c r="I557" s="8" t="s">
        <v>18</v>
      </c>
      <c r="J557" s="8" t="s">
        <v>19</v>
      </c>
      <c r="K557" s="8" t="s">
        <v>20</v>
      </c>
      <c r="L557" s="9"/>
      <c r="M557" s="9"/>
      <c r="N557" s="9"/>
      <c r="O557" s="9"/>
      <c r="P557" s="9"/>
      <c r="Q557" s="9"/>
      <c r="R557" s="9"/>
      <c r="S557" s="9"/>
      <c r="T557" s="9"/>
      <c r="U557" s="9"/>
      <c r="V557" s="9"/>
      <c r="W557" s="9"/>
      <c r="X557" s="9">
        <v>22916.37</v>
      </c>
      <c r="Y557" s="9">
        <v>7789.59</v>
      </c>
      <c r="Z557" s="9"/>
      <c r="AA557" s="9"/>
      <c r="AB557" s="9"/>
      <c r="AC557" s="9"/>
      <c r="AD557" s="9"/>
      <c r="AE557" s="9"/>
      <c r="AF557" s="9"/>
      <c r="AG557" s="9"/>
      <c r="AH557" s="7">
        <v>22916.37</v>
      </c>
      <c r="AI557" s="7">
        <v>7789.59</v>
      </c>
    </row>
    <row r="558" spans="2:35" x14ac:dyDescent="0.3">
      <c r="B558" s="5" t="s">
        <v>3061</v>
      </c>
      <c r="C558" s="5" t="s">
        <v>13</v>
      </c>
      <c r="D558" s="12" t="s">
        <v>1213</v>
      </c>
      <c r="E558" s="6" t="s">
        <v>114</v>
      </c>
      <c r="F558" s="13" t="s">
        <v>115</v>
      </c>
      <c r="G558" s="6" t="s">
        <v>116</v>
      </c>
      <c r="H558" s="7" t="str">
        <f t="shared" si="8"/>
        <v>PPP-IPU-D464-01Operation &amp; Maintenance</v>
      </c>
      <c r="I558" s="8" t="s">
        <v>18</v>
      </c>
      <c r="J558" s="8" t="s">
        <v>19</v>
      </c>
      <c r="K558" s="8" t="s">
        <v>20</v>
      </c>
      <c r="L558" s="9"/>
      <c r="M558" s="9"/>
      <c r="N558" s="9"/>
      <c r="O558" s="9"/>
      <c r="P558" s="9"/>
      <c r="Q558" s="9"/>
      <c r="R558" s="9"/>
      <c r="S558" s="9"/>
      <c r="T558" s="9"/>
      <c r="U558" s="9"/>
      <c r="V558" s="9"/>
      <c r="W558" s="9"/>
      <c r="X558" s="9">
        <v>13838.18</v>
      </c>
      <c r="Y558" s="9">
        <v>6748.64</v>
      </c>
      <c r="Z558" s="9"/>
      <c r="AA558" s="9"/>
      <c r="AB558" s="9"/>
      <c r="AC558" s="9"/>
      <c r="AD558" s="9"/>
      <c r="AE558" s="9"/>
      <c r="AF558" s="9"/>
      <c r="AG558" s="9"/>
      <c r="AH558" s="7">
        <v>13838.18</v>
      </c>
      <c r="AI558" s="7">
        <v>6748.64</v>
      </c>
    </row>
    <row r="559" spans="2:35" x14ac:dyDescent="0.3">
      <c r="B559" s="5" t="s">
        <v>3061</v>
      </c>
      <c r="C559" s="5" t="s">
        <v>13</v>
      </c>
      <c r="D559" s="12" t="s">
        <v>1213</v>
      </c>
      <c r="E559" s="6" t="s">
        <v>224</v>
      </c>
      <c r="F559" s="13" t="s">
        <v>225</v>
      </c>
      <c r="G559" s="6" t="s">
        <v>226</v>
      </c>
      <c r="H559" s="7" t="str">
        <f t="shared" si="8"/>
        <v>PPP-IPU-I332-01Operation &amp; Maintenance</v>
      </c>
      <c r="I559" s="8" t="s">
        <v>24</v>
      </c>
      <c r="J559" s="8" t="s">
        <v>19</v>
      </c>
      <c r="K559" s="8" t="s">
        <v>20</v>
      </c>
      <c r="L559" s="9"/>
      <c r="M559" s="9"/>
      <c r="N559" s="9"/>
      <c r="O559" s="9"/>
      <c r="P559" s="9"/>
      <c r="Q559" s="9"/>
      <c r="R559" s="9"/>
      <c r="S559" s="9"/>
      <c r="T559" s="9"/>
      <c r="U559" s="9"/>
      <c r="V559" s="9"/>
      <c r="W559" s="9"/>
      <c r="X559" s="9">
        <v>3863.17</v>
      </c>
      <c r="Y559" s="9">
        <v>2048.34</v>
      </c>
      <c r="Z559" s="9"/>
      <c r="AA559" s="9"/>
      <c r="AB559" s="9"/>
      <c r="AC559" s="9"/>
      <c r="AD559" s="9"/>
      <c r="AE559" s="9"/>
      <c r="AF559" s="9"/>
      <c r="AG559" s="9"/>
      <c r="AH559" s="7">
        <v>3863.17</v>
      </c>
      <c r="AI559" s="7">
        <v>2048.34</v>
      </c>
    </row>
    <row r="560" spans="2:35" x14ac:dyDescent="0.3">
      <c r="B560" s="5" t="s">
        <v>3061</v>
      </c>
      <c r="C560" s="5" t="s">
        <v>13</v>
      </c>
      <c r="D560" s="12" t="s">
        <v>1213</v>
      </c>
      <c r="E560" s="6" t="s">
        <v>723</v>
      </c>
      <c r="F560" s="13" t="s">
        <v>724</v>
      </c>
      <c r="G560" s="6" t="s">
        <v>386</v>
      </c>
      <c r="H560" s="7" t="str">
        <f t="shared" si="8"/>
        <v>PPP-EEE-C638-02Operation &amp; Maintenance</v>
      </c>
      <c r="I560" s="8" t="s">
        <v>56</v>
      </c>
      <c r="J560" s="8" t="s">
        <v>202</v>
      </c>
      <c r="K560" s="8" t="s">
        <v>202</v>
      </c>
      <c r="L560" s="9"/>
      <c r="M560" s="9"/>
      <c r="N560" s="9"/>
      <c r="O560" s="9"/>
      <c r="P560" s="9"/>
      <c r="Q560" s="9"/>
      <c r="R560" s="9"/>
      <c r="S560" s="9"/>
      <c r="T560" s="9"/>
      <c r="U560" s="9"/>
      <c r="V560" s="9"/>
      <c r="W560" s="9"/>
      <c r="X560" s="9">
        <v>0</v>
      </c>
      <c r="Y560" s="9">
        <v>42956.85</v>
      </c>
      <c r="Z560" s="9"/>
      <c r="AA560" s="9"/>
      <c r="AB560" s="9"/>
      <c r="AC560" s="9"/>
      <c r="AD560" s="9"/>
      <c r="AE560" s="9"/>
      <c r="AF560" s="9"/>
      <c r="AG560" s="9"/>
      <c r="AH560" s="7">
        <v>0</v>
      </c>
      <c r="AI560" s="7">
        <v>42956.85</v>
      </c>
    </row>
    <row r="561" spans="2:35" x14ac:dyDescent="0.3">
      <c r="B561" s="5" t="s">
        <v>3061</v>
      </c>
      <c r="C561" s="5" t="s">
        <v>13</v>
      </c>
      <c r="D561" s="12" t="s">
        <v>1213</v>
      </c>
      <c r="E561" s="6" t="s">
        <v>290</v>
      </c>
      <c r="F561" s="13" t="s">
        <v>291</v>
      </c>
      <c r="G561" s="6" t="s">
        <v>292</v>
      </c>
      <c r="H561" s="7" t="str">
        <f t="shared" si="8"/>
        <v>PPP-IPU-F165-01Operation &amp; Maintenance</v>
      </c>
      <c r="I561" s="8" t="s">
        <v>49</v>
      </c>
      <c r="J561" s="8" t="s">
        <v>19</v>
      </c>
      <c r="K561" s="8" t="s">
        <v>20</v>
      </c>
      <c r="L561" s="9"/>
      <c r="M561" s="9"/>
      <c r="N561" s="9"/>
      <c r="O561" s="9"/>
      <c r="P561" s="9"/>
      <c r="Q561" s="9"/>
      <c r="R561" s="9"/>
      <c r="S561" s="9"/>
      <c r="T561" s="9"/>
      <c r="U561" s="9"/>
      <c r="V561" s="9"/>
      <c r="W561" s="9"/>
      <c r="X561" s="9">
        <v>5086.5</v>
      </c>
      <c r="Y561" s="9">
        <v>9898.4599999999991</v>
      </c>
      <c r="Z561" s="9"/>
      <c r="AA561" s="9"/>
      <c r="AB561" s="9"/>
      <c r="AC561" s="9"/>
      <c r="AD561" s="9"/>
      <c r="AE561" s="9"/>
      <c r="AF561" s="9"/>
      <c r="AG561" s="9"/>
      <c r="AH561" s="7">
        <v>5086.5</v>
      </c>
      <c r="AI561" s="7">
        <v>9898.4599999999991</v>
      </c>
    </row>
    <row r="562" spans="2:35" x14ac:dyDescent="0.3">
      <c r="B562" s="5" t="s">
        <v>3061</v>
      </c>
      <c r="C562" s="5" t="s">
        <v>13</v>
      </c>
      <c r="D562" s="12" t="s">
        <v>1213</v>
      </c>
      <c r="E562" s="6" t="s">
        <v>150</v>
      </c>
      <c r="F562" s="13" t="s">
        <v>151</v>
      </c>
      <c r="G562" s="6" t="s">
        <v>152</v>
      </c>
      <c r="H562" s="7" t="str">
        <f t="shared" si="8"/>
        <v>PPP-IPU-E976-01Operation &amp; Maintenance</v>
      </c>
      <c r="I562" s="8" t="s">
        <v>18</v>
      </c>
      <c r="J562" s="8" t="s">
        <v>19</v>
      </c>
      <c r="K562" s="8" t="s">
        <v>20</v>
      </c>
      <c r="L562" s="9"/>
      <c r="M562" s="9"/>
      <c r="N562" s="9"/>
      <c r="O562" s="9"/>
      <c r="P562" s="9"/>
      <c r="Q562" s="9"/>
      <c r="R562" s="9"/>
      <c r="S562" s="9"/>
      <c r="T562" s="9"/>
      <c r="U562" s="9"/>
      <c r="V562" s="9"/>
      <c r="W562" s="9"/>
      <c r="X562" s="9">
        <v>9487.49</v>
      </c>
      <c r="Y562" s="9">
        <v>9095.48</v>
      </c>
      <c r="Z562" s="9"/>
      <c r="AA562" s="9"/>
      <c r="AB562" s="9"/>
      <c r="AC562" s="9"/>
      <c r="AD562" s="9"/>
      <c r="AE562" s="9"/>
      <c r="AF562" s="9"/>
      <c r="AG562" s="9"/>
      <c r="AH562" s="7">
        <v>9487.49</v>
      </c>
      <c r="AI562" s="7">
        <v>9095.48</v>
      </c>
    </row>
    <row r="563" spans="2:35" x14ac:dyDescent="0.3">
      <c r="B563" s="5" t="s">
        <v>3061</v>
      </c>
      <c r="C563" s="5" t="s">
        <v>13</v>
      </c>
      <c r="D563" s="12" t="s">
        <v>1213</v>
      </c>
      <c r="E563" s="6" t="s">
        <v>69</v>
      </c>
      <c r="F563" s="13" t="s">
        <v>70</v>
      </c>
      <c r="G563" s="6" t="s">
        <v>71</v>
      </c>
      <c r="H563" s="7" t="str">
        <f t="shared" si="8"/>
        <v>PPP-IPU-D883-01Operation &amp; Maintenance</v>
      </c>
      <c r="I563" s="8" t="s">
        <v>18</v>
      </c>
      <c r="J563" s="8" t="s">
        <v>19</v>
      </c>
      <c r="K563" s="8" t="s">
        <v>20</v>
      </c>
      <c r="L563" s="9"/>
      <c r="M563" s="9"/>
      <c r="N563" s="9"/>
      <c r="O563" s="9"/>
      <c r="P563" s="9"/>
      <c r="Q563" s="9"/>
      <c r="R563" s="9"/>
      <c r="S563" s="9"/>
      <c r="T563" s="9"/>
      <c r="U563" s="9"/>
      <c r="V563" s="9"/>
      <c r="W563" s="9"/>
      <c r="X563" s="9">
        <v>65262.23</v>
      </c>
      <c r="Y563" s="9">
        <v>17412.41</v>
      </c>
      <c r="Z563" s="9"/>
      <c r="AA563" s="9"/>
      <c r="AB563" s="9"/>
      <c r="AC563" s="9"/>
      <c r="AD563" s="9"/>
      <c r="AE563" s="9"/>
      <c r="AF563" s="9"/>
      <c r="AG563" s="9"/>
      <c r="AH563" s="7">
        <v>65262.23</v>
      </c>
      <c r="AI563" s="7">
        <v>17412.41</v>
      </c>
    </row>
    <row r="564" spans="2:35" x14ac:dyDescent="0.3">
      <c r="B564" s="5" t="s">
        <v>3061</v>
      </c>
      <c r="C564" s="5" t="s">
        <v>13</v>
      </c>
      <c r="D564" s="12" t="s">
        <v>1213</v>
      </c>
      <c r="E564" s="6" t="s">
        <v>53</v>
      </c>
      <c r="F564" s="13" t="s">
        <v>54</v>
      </c>
      <c r="G564" s="6" t="s">
        <v>55</v>
      </c>
      <c r="H564" s="7" t="str">
        <f t="shared" si="8"/>
        <v>PPP-IPU-G957-01Operation &amp; Maintenance</v>
      </c>
      <c r="I564" s="8" t="s">
        <v>56</v>
      </c>
      <c r="J564" s="8" t="s">
        <v>19</v>
      </c>
      <c r="K564" s="8" t="s">
        <v>20</v>
      </c>
      <c r="L564" s="9"/>
      <c r="M564" s="9"/>
      <c r="N564" s="9"/>
      <c r="O564" s="9"/>
      <c r="P564" s="9"/>
      <c r="Q564" s="9"/>
      <c r="R564" s="9"/>
      <c r="S564" s="9"/>
      <c r="T564" s="9"/>
      <c r="U564" s="9"/>
      <c r="V564" s="9"/>
      <c r="W564" s="9"/>
      <c r="X564" s="9">
        <v>41242.42</v>
      </c>
      <c r="Y564" s="9">
        <v>3153.68</v>
      </c>
      <c r="Z564" s="9"/>
      <c r="AA564" s="9"/>
      <c r="AB564" s="9"/>
      <c r="AC564" s="9"/>
      <c r="AD564" s="9"/>
      <c r="AE564" s="9"/>
      <c r="AF564" s="9"/>
      <c r="AG564" s="9"/>
      <c r="AH564" s="7">
        <v>41242.42</v>
      </c>
      <c r="AI564" s="7">
        <v>3153.68</v>
      </c>
    </row>
    <row r="565" spans="2:35" x14ac:dyDescent="0.3">
      <c r="B565" s="5" t="s">
        <v>3061</v>
      </c>
      <c r="C565" s="5" t="s">
        <v>13</v>
      </c>
      <c r="D565" s="12" t="s">
        <v>1213</v>
      </c>
      <c r="E565" s="6" t="s">
        <v>427</v>
      </c>
      <c r="F565" s="13" t="s">
        <v>428</v>
      </c>
      <c r="G565" s="6" t="s">
        <v>429</v>
      </c>
      <c r="H565" s="7" t="str">
        <f t="shared" si="8"/>
        <v>PPP-IPU-F874-01Operation &amp; Maintenance</v>
      </c>
      <c r="I565" s="8" t="s">
        <v>49</v>
      </c>
      <c r="J565" s="8" t="s">
        <v>19</v>
      </c>
      <c r="K565" s="8" t="s">
        <v>20</v>
      </c>
      <c r="L565" s="9"/>
      <c r="M565" s="9"/>
      <c r="N565" s="9"/>
      <c r="O565" s="9"/>
      <c r="P565" s="9"/>
      <c r="Q565" s="9"/>
      <c r="R565" s="9"/>
      <c r="S565" s="9"/>
      <c r="T565" s="9"/>
      <c r="U565" s="9"/>
      <c r="V565" s="9"/>
      <c r="W565" s="9"/>
      <c r="X565" s="9">
        <v>0</v>
      </c>
      <c r="Y565" s="9">
        <v>23114.27</v>
      </c>
      <c r="Z565" s="9"/>
      <c r="AA565" s="9"/>
      <c r="AB565" s="9"/>
      <c r="AC565" s="9"/>
      <c r="AD565" s="9"/>
      <c r="AE565" s="9"/>
      <c r="AF565" s="9"/>
      <c r="AG565" s="9"/>
      <c r="AH565" s="7">
        <v>0</v>
      </c>
      <c r="AI565" s="7">
        <v>23114.27</v>
      </c>
    </row>
    <row r="566" spans="2:35" x14ac:dyDescent="0.3">
      <c r="B566" s="5" t="s">
        <v>3061</v>
      </c>
      <c r="C566" s="5" t="s">
        <v>13</v>
      </c>
      <c r="D566" s="12" t="s">
        <v>1213</v>
      </c>
      <c r="E566" s="6" t="s">
        <v>530</v>
      </c>
      <c r="F566" s="13" t="s">
        <v>531</v>
      </c>
      <c r="G566" s="6" t="s">
        <v>532</v>
      </c>
      <c r="H566" s="7" t="str">
        <f t="shared" si="8"/>
        <v>PPP-IPU-C492-01Operation &amp; Maintenance</v>
      </c>
      <c r="I566" s="8" t="s">
        <v>24</v>
      </c>
      <c r="J566" s="8" t="s">
        <v>19</v>
      </c>
      <c r="K566" s="8" t="s">
        <v>20</v>
      </c>
      <c r="L566" s="9"/>
      <c r="M566" s="9"/>
      <c r="N566" s="9"/>
      <c r="O566" s="9"/>
      <c r="P566" s="9"/>
      <c r="Q566" s="9"/>
      <c r="R566" s="9"/>
      <c r="S566" s="9"/>
      <c r="T566" s="9"/>
      <c r="U566" s="9"/>
      <c r="V566" s="9"/>
      <c r="W566" s="9"/>
      <c r="X566" s="9">
        <v>24777.95</v>
      </c>
      <c r="Y566" s="9">
        <v>4157.26</v>
      </c>
      <c r="Z566" s="9"/>
      <c r="AA566" s="9"/>
      <c r="AB566" s="9"/>
      <c r="AC566" s="9"/>
      <c r="AD566" s="9"/>
      <c r="AE566" s="9"/>
      <c r="AF566" s="9"/>
      <c r="AG566" s="9"/>
      <c r="AH566" s="7">
        <v>24777.95</v>
      </c>
      <c r="AI566" s="7">
        <v>4157.26</v>
      </c>
    </row>
    <row r="567" spans="2:35" x14ac:dyDescent="0.3">
      <c r="B567" s="5" t="s">
        <v>3061</v>
      </c>
      <c r="C567" s="5" t="s">
        <v>13</v>
      </c>
      <c r="D567" s="12" t="s">
        <v>1213</v>
      </c>
      <c r="E567" s="6" t="s">
        <v>418</v>
      </c>
      <c r="F567" s="13" t="s">
        <v>419</v>
      </c>
      <c r="G567" s="6" t="s">
        <v>420</v>
      </c>
      <c r="H567" s="7" t="str">
        <f t="shared" si="8"/>
        <v>PPP-IPU-D012-01Operation &amp; Maintenance</v>
      </c>
      <c r="I567" s="8" t="s">
        <v>49</v>
      </c>
      <c r="J567" s="8" t="s">
        <v>19</v>
      </c>
      <c r="K567" s="8" t="s">
        <v>20</v>
      </c>
      <c r="L567" s="9"/>
      <c r="M567" s="9"/>
      <c r="N567" s="9"/>
      <c r="O567" s="9"/>
      <c r="P567" s="9"/>
      <c r="Q567" s="9"/>
      <c r="R567" s="9"/>
      <c r="S567" s="9"/>
      <c r="T567" s="9"/>
      <c r="U567" s="9"/>
      <c r="V567" s="9"/>
      <c r="W567" s="9"/>
      <c r="X567" s="9">
        <v>0</v>
      </c>
      <c r="Y567" s="9">
        <v>4082.64</v>
      </c>
      <c r="Z567" s="9"/>
      <c r="AA567" s="9"/>
      <c r="AB567" s="9"/>
      <c r="AC567" s="9"/>
      <c r="AD567" s="9"/>
      <c r="AE567" s="9"/>
      <c r="AF567" s="9"/>
      <c r="AG567" s="9"/>
      <c r="AH567" s="7">
        <v>0</v>
      </c>
      <c r="AI567" s="7">
        <v>4082.64</v>
      </c>
    </row>
    <row r="568" spans="2:35" x14ac:dyDescent="0.3">
      <c r="B568" s="5" t="s">
        <v>3061</v>
      </c>
      <c r="C568" s="5" t="s">
        <v>13</v>
      </c>
      <c r="D568" s="12" t="s">
        <v>1213</v>
      </c>
      <c r="E568" s="6" t="s">
        <v>21</v>
      </c>
      <c r="F568" s="13" t="s">
        <v>22</v>
      </c>
      <c r="G568" s="6" t="s">
        <v>23</v>
      </c>
      <c r="H568" s="7" t="str">
        <f t="shared" si="8"/>
        <v>PPP-IPU-L505-01Operation &amp; Maintenance</v>
      </c>
      <c r="I568" s="8" t="s">
        <v>24</v>
      </c>
      <c r="J568" s="8" t="s">
        <v>19</v>
      </c>
      <c r="K568" s="8" t="s">
        <v>20</v>
      </c>
      <c r="L568" s="9"/>
      <c r="M568" s="9"/>
      <c r="N568" s="9"/>
      <c r="O568" s="9"/>
      <c r="P568" s="9"/>
      <c r="Q568" s="9"/>
      <c r="R568" s="9"/>
      <c r="S568" s="9"/>
      <c r="T568" s="9"/>
      <c r="U568" s="9"/>
      <c r="V568" s="9"/>
      <c r="W568" s="9"/>
      <c r="X568" s="9">
        <v>56144</v>
      </c>
      <c r="Y568" s="9">
        <v>10246.94</v>
      </c>
      <c r="Z568" s="9"/>
      <c r="AA568" s="9"/>
      <c r="AB568" s="9"/>
      <c r="AC568" s="9"/>
      <c r="AD568" s="9"/>
      <c r="AE568" s="9"/>
      <c r="AF568" s="9"/>
      <c r="AG568" s="9"/>
      <c r="AH568" s="7">
        <v>56144</v>
      </c>
      <c r="AI568" s="7">
        <v>10246.94</v>
      </c>
    </row>
    <row r="569" spans="2:35" x14ac:dyDescent="0.3">
      <c r="B569" s="5" t="s">
        <v>3061</v>
      </c>
      <c r="C569" s="5" t="s">
        <v>13</v>
      </c>
      <c r="D569" s="12" t="s">
        <v>1213</v>
      </c>
      <c r="E569" s="6" t="s">
        <v>269</v>
      </c>
      <c r="F569" s="13" t="s">
        <v>270</v>
      </c>
      <c r="G569" s="6" t="s">
        <v>271</v>
      </c>
      <c r="H569" s="7" t="str">
        <f t="shared" si="8"/>
        <v>PPP-IPU-G878-01Operation &amp; Maintenance</v>
      </c>
      <c r="I569" s="8" t="s">
        <v>24</v>
      </c>
      <c r="J569" s="8" t="s">
        <v>19</v>
      </c>
      <c r="K569" s="8" t="s">
        <v>20</v>
      </c>
      <c r="L569" s="9"/>
      <c r="M569" s="9"/>
      <c r="N569" s="9"/>
      <c r="O569" s="9"/>
      <c r="P569" s="9"/>
      <c r="Q569" s="9"/>
      <c r="R569" s="9"/>
      <c r="S569" s="9"/>
      <c r="T569" s="9"/>
      <c r="U569" s="9"/>
      <c r="V569" s="9"/>
      <c r="W569" s="9"/>
      <c r="X569" s="9">
        <v>152167.32999999999</v>
      </c>
      <c r="Y569" s="9">
        <v>4037.66</v>
      </c>
      <c r="Z569" s="9"/>
      <c r="AA569" s="9"/>
      <c r="AB569" s="9"/>
      <c r="AC569" s="9"/>
      <c r="AD569" s="9"/>
      <c r="AE569" s="9"/>
      <c r="AF569" s="9"/>
      <c r="AG569" s="9"/>
      <c r="AH569" s="7">
        <v>152167.32999999999</v>
      </c>
      <c r="AI569" s="7">
        <v>4037.66</v>
      </c>
    </row>
    <row r="570" spans="2:35" x14ac:dyDescent="0.3">
      <c r="B570" s="5" t="s">
        <v>3061</v>
      </c>
      <c r="C570" s="5" t="s">
        <v>13</v>
      </c>
      <c r="D570" s="12" t="s">
        <v>1213</v>
      </c>
      <c r="E570" s="6" t="s">
        <v>299</v>
      </c>
      <c r="F570" s="13" t="s">
        <v>300</v>
      </c>
      <c r="G570" s="6" t="s">
        <v>301</v>
      </c>
      <c r="H570" s="7" t="str">
        <f t="shared" si="8"/>
        <v>PPP-IPU-E152-01Operation &amp; Maintenance</v>
      </c>
      <c r="I570" s="8" t="s">
        <v>49</v>
      </c>
      <c r="J570" s="8" t="s">
        <v>19</v>
      </c>
      <c r="K570" s="8" t="s">
        <v>20</v>
      </c>
      <c r="L570" s="9"/>
      <c r="M570" s="9"/>
      <c r="N570" s="9"/>
      <c r="O570" s="9"/>
      <c r="P570" s="9"/>
      <c r="Q570" s="9"/>
      <c r="R570" s="9"/>
      <c r="S570" s="9"/>
      <c r="T570" s="9"/>
      <c r="U570" s="9"/>
      <c r="V570" s="9"/>
      <c r="W570" s="9"/>
      <c r="X570" s="9">
        <v>3023.45</v>
      </c>
      <c r="Y570" s="9">
        <v>352.07</v>
      </c>
      <c r="Z570" s="9"/>
      <c r="AA570" s="9"/>
      <c r="AB570" s="9"/>
      <c r="AC570" s="9"/>
      <c r="AD570" s="9"/>
      <c r="AE570" s="9"/>
      <c r="AF570" s="9"/>
      <c r="AG570" s="9"/>
      <c r="AH570" s="7">
        <v>3023.45</v>
      </c>
      <c r="AI570" s="7">
        <v>352.07</v>
      </c>
    </row>
    <row r="571" spans="2:35" x14ac:dyDescent="0.3">
      <c r="B571" s="5" t="s">
        <v>3061</v>
      </c>
      <c r="C571" s="5" t="s">
        <v>13</v>
      </c>
      <c r="D571" s="12" t="s">
        <v>1213</v>
      </c>
      <c r="E571" s="6" t="s">
        <v>387</v>
      </c>
      <c r="F571" s="13" t="s">
        <v>388</v>
      </c>
      <c r="G571" s="6" t="s">
        <v>389</v>
      </c>
      <c r="H571" s="7" t="str">
        <f t="shared" si="8"/>
        <v>PPP-IPU-E498-01Operation &amp; Maintenance</v>
      </c>
      <c r="I571" s="8" t="s">
        <v>18</v>
      </c>
      <c r="J571" s="8" t="s">
        <v>19</v>
      </c>
      <c r="K571" s="8" t="s">
        <v>20</v>
      </c>
      <c r="L571" s="9"/>
      <c r="M571" s="9"/>
      <c r="N571" s="9"/>
      <c r="O571" s="9"/>
      <c r="P571" s="9"/>
      <c r="Q571" s="9"/>
      <c r="R571" s="9"/>
      <c r="S571" s="9"/>
      <c r="T571" s="9"/>
      <c r="U571" s="9"/>
      <c r="V571" s="9"/>
      <c r="W571" s="9"/>
      <c r="X571" s="9">
        <v>14692.13</v>
      </c>
      <c r="Y571" s="9">
        <v>898.07</v>
      </c>
      <c r="Z571" s="9"/>
      <c r="AA571" s="9"/>
      <c r="AB571" s="9"/>
      <c r="AC571" s="9"/>
      <c r="AD571" s="9"/>
      <c r="AE571" s="9"/>
      <c r="AF571" s="9"/>
      <c r="AG571" s="9"/>
      <c r="AH571" s="7">
        <v>14692.13</v>
      </c>
      <c r="AI571" s="7">
        <v>898.07</v>
      </c>
    </row>
    <row r="572" spans="2:35" x14ac:dyDescent="0.3">
      <c r="B572" s="5" t="s">
        <v>3061</v>
      </c>
      <c r="C572" s="5" t="s">
        <v>13</v>
      </c>
      <c r="D572" s="12" t="s">
        <v>1213</v>
      </c>
      <c r="E572" s="6" t="s">
        <v>325</v>
      </c>
      <c r="F572" s="13" t="s">
        <v>326</v>
      </c>
      <c r="G572" s="6" t="s">
        <v>327</v>
      </c>
      <c r="H572" s="7" t="str">
        <f t="shared" si="8"/>
        <v>PPP-IPU-L835-01Operation &amp; Maintenance</v>
      </c>
      <c r="I572" s="8" t="s">
        <v>18</v>
      </c>
      <c r="J572" s="8" t="s">
        <v>19</v>
      </c>
      <c r="K572" s="8" t="s">
        <v>20</v>
      </c>
      <c r="L572" s="9"/>
      <c r="M572" s="9"/>
      <c r="N572" s="9"/>
      <c r="O572" s="9"/>
      <c r="P572" s="9"/>
      <c r="Q572" s="9"/>
      <c r="R572" s="9"/>
      <c r="S572" s="9"/>
      <c r="T572" s="9"/>
      <c r="U572" s="9"/>
      <c r="V572" s="9"/>
      <c r="W572" s="9"/>
      <c r="X572" s="9">
        <v>12580.38</v>
      </c>
      <c r="Y572" s="9">
        <v>5018.47</v>
      </c>
      <c r="Z572" s="9"/>
      <c r="AA572" s="9"/>
      <c r="AB572" s="9"/>
      <c r="AC572" s="9"/>
      <c r="AD572" s="9"/>
      <c r="AE572" s="9"/>
      <c r="AF572" s="9"/>
      <c r="AG572" s="9"/>
      <c r="AH572" s="7">
        <v>12580.38</v>
      </c>
      <c r="AI572" s="7">
        <v>5018.47</v>
      </c>
    </row>
    <row r="573" spans="2:35" x14ac:dyDescent="0.3">
      <c r="B573" s="5" t="s">
        <v>3061</v>
      </c>
      <c r="C573" s="5" t="s">
        <v>13</v>
      </c>
      <c r="D573" s="12" t="s">
        <v>1213</v>
      </c>
      <c r="E573" s="6" t="s">
        <v>407</v>
      </c>
      <c r="F573" s="13" t="s">
        <v>408</v>
      </c>
      <c r="G573" s="6" t="s">
        <v>409</v>
      </c>
      <c r="H573" s="7" t="str">
        <f t="shared" si="8"/>
        <v>PPP-IPU-D947-01Operation &amp; Maintenance</v>
      </c>
      <c r="I573" s="8" t="s">
        <v>24</v>
      </c>
      <c r="J573" s="8" t="s">
        <v>19</v>
      </c>
      <c r="K573" s="8" t="s">
        <v>20</v>
      </c>
      <c r="L573" s="9"/>
      <c r="M573" s="9"/>
      <c r="N573" s="9"/>
      <c r="O573" s="9"/>
      <c r="P573" s="9"/>
      <c r="Q573" s="9"/>
      <c r="R573" s="9"/>
      <c r="S573" s="9"/>
      <c r="T573" s="9"/>
      <c r="U573" s="9"/>
      <c r="V573" s="9"/>
      <c r="W573" s="9"/>
      <c r="X573" s="9">
        <v>11193.73</v>
      </c>
      <c r="Y573" s="9">
        <v>13554.95</v>
      </c>
      <c r="Z573" s="9"/>
      <c r="AA573" s="9"/>
      <c r="AB573" s="9"/>
      <c r="AC573" s="9"/>
      <c r="AD573" s="9"/>
      <c r="AE573" s="9"/>
      <c r="AF573" s="9"/>
      <c r="AG573" s="9"/>
      <c r="AH573" s="7">
        <v>11193.73</v>
      </c>
      <c r="AI573" s="7">
        <v>13554.95</v>
      </c>
    </row>
    <row r="574" spans="2:35" x14ac:dyDescent="0.3">
      <c r="B574" s="5" t="s">
        <v>3061</v>
      </c>
      <c r="C574" s="5" t="s">
        <v>13</v>
      </c>
      <c r="D574" s="12" t="s">
        <v>1213</v>
      </c>
      <c r="E574" s="6" t="s">
        <v>293</v>
      </c>
      <c r="F574" s="13" t="s">
        <v>294</v>
      </c>
      <c r="G574" s="6" t="s">
        <v>295</v>
      </c>
      <c r="H574" s="7" t="str">
        <f t="shared" si="8"/>
        <v>PPP-IPU-E033-01Operation &amp; Maintenance</v>
      </c>
      <c r="I574" s="8" t="s">
        <v>18</v>
      </c>
      <c r="J574" s="8" t="s">
        <v>19</v>
      </c>
      <c r="K574" s="8" t="s">
        <v>20</v>
      </c>
      <c r="L574" s="9"/>
      <c r="M574" s="9"/>
      <c r="N574" s="9"/>
      <c r="O574" s="9"/>
      <c r="P574" s="9"/>
      <c r="Q574" s="9"/>
      <c r="R574" s="9"/>
      <c r="S574" s="9"/>
      <c r="T574" s="9"/>
      <c r="U574" s="9"/>
      <c r="V574" s="9"/>
      <c r="W574" s="9"/>
      <c r="X574" s="9">
        <v>13394.46</v>
      </c>
      <c r="Y574" s="9">
        <v>2775.82</v>
      </c>
      <c r="Z574" s="9"/>
      <c r="AA574" s="9"/>
      <c r="AB574" s="9"/>
      <c r="AC574" s="9"/>
      <c r="AD574" s="9"/>
      <c r="AE574" s="9"/>
      <c r="AF574" s="9"/>
      <c r="AG574" s="9"/>
      <c r="AH574" s="7">
        <v>13394.46</v>
      </c>
      <c r="AI574" s="7">
        <v>2775.82</v>
      </c>
    </row>
    <row r="575" spans="2:35" x14ac:dyDescent="0.3">
      <c r="B575" s="5" t="s">
        <v>3061</v>
      </c>
      <c r="C575" s="5" t="s">
        <v>13</v>
      </c>
      <c r="D575" s="12" t="s">
        <v>1213</v>
      </c>
      <c r="E575" s="6" t="s">
        <v>494</v>
      </c>
      <c r="F575" s="13" t="s">
        <v>495</v>
      </c>
      <c r="G575" s="6" t="s">
        <v>496</v>
      </c>
      <c r="H575" s="7" t="str">
        <f t="shared" si="8"/>
        <v>PPP-IPU-E026-01Operation &amp; Maintenance</v>
      </c>
      <c r="I575" s="8" t="s">
        <v>18</v>
      </c>
      <c r="J575" s="8" t="s">
        <v>19</v>
      </c>
      <c r="K575" s="8" t="s">
        <v>20</v>
      </c>
      <c r="L575" s="9"/>
      <c r="M575" s="9"/>
      <c r="N575" s="9"/>
      <c r="O575" s="9"/>
      <c r="P575" s="9"/>
      <c r="Q575" s="9"/>
      <c r="R575" s="9"/>
      <c r="S575" s="9"/>
      <c r="T575" s="9"/>
      <c r="U575" s="9"/>
      <c r="V575" s="9"/>
      <c r="W575" s="9"/>
      <c r="X575" s="9">
        <v>10067.4</v>
      </c>
      <c r="Y575" s="9">
        <v>10644.94</v>
      </c>
      <c r="Z575" s="9"/>
      <c r="AA575" s="9"/>
      <c r="AB575" s="9"/>
      <c r="AC575" s="9"/>
      <c r="AD575" s="9"/>
      <c r="AE575" s="9"/>
      <c r="AF575" s="9"/>
      <c r="AG575" s="9"/>
      <c r="AH575" s="7">
        <v>10067.4</v>
      </c>
      <c r="AI575" s="7">
        <v>10644.94</v>
      </c>
    </row>
    <row r="576" spans="2:35" x14ac:dyDescent="0.3">
      <c r="B576" s="5" t="s">
        <v>3061</v>
      </c>
      <c r="C576" s="5" t="s">
        <v>13</v>
      </c>
      <c r="D576" s="12" t="s">
        <v>1213</v>
      </c>
      <c r="E576" s="6" t="s">
        <v>253</v>
      </c>
      <c r="F576" s="13" t="s">
        <v>254</v>
      </c>
      <c r="G576" s="6" t="s">
        <v>255</v>
      </c>
      <c r="H576" s="7" t="str">
        <f t="shared" si="8"/>
        <v>PPP-IPU-G707-01Operation &amp; Maintenance</v>
      </c>
      <c r="I576" s="8" t="s">
        <v>18</v>
      </c>
      <c r="J576" s="8" t="s">
        <v>19</v>
      </c>
      <c r="K576" s="8" t="s">
        <v>20</v>
      </c>
      <c r="L576" s="9"/>
      <c r="M576" s="9"/>
      <c r="N576" s="9"/>
      <c r="O576" s="9"/>
      <c r="P576" s="9"/>
      <c r="Q576" s="9"/>
      <c r="R576" s="9"/>
      <c r="S576" s="9"/>
      <c r="T576" s="9"/>
      <c r="U576" s="9"/>
      <c r="V576" s="9"/>
      <c r="W576" s="9"/>
      <c r="X576" s="9">
        <v>16156.88</v>
      </c>
      <c r="Y576" s="9">
        <v>5231.22</v>
      </c>
      <c r="Z576" s="9"/>
      <c r="AA576" s="9"/>
      <c r="AB576" s="9"/>
      <c r="AC576" s="9"/>
      <c r="AD576" s="9"/>
      <c r="AE576" s="9"/>
      <c r="AF576" s="9"/>
      <c r="AG576" s="9"/>
      <c r="AH576" s="7">
        <v>16156.88</v>
      </c>
      <c r="AI576" s="7">
        <v>5231.22</v>
      </c>
    </row>
    <row r="577" spans="2:35" x14ac:dyDescent="0.3">
      <c r="B577" s="5" t="s">
        <v>3061</v>
      </c>
      <c r="C577" s="5" t="s">
        <v>13</v>
      </c>
      <c r="D577" s="12" t="s">
        <v>1213</v>
      </c>
      <c r="E577" s="6" t="s">
        <v>66</v>
      </c>
      <c r="F577" s="13" t="s">
        <v>67</v>
      </c>
      <c r="G577" s="6" t="s">
        <v>68</v>
      </c>
      <c r="H577" s="7" t="str">
        <f t="shared" si="8"/>
        <v>PPP-IPU-G348-01Operation &amp; Maintenance</v>
      </c>
      <c r="I577" s="8" t="s">
        <v>18</v>
      </c>
      <c r="J577" s="8" t="s">
        <v>19</v>
      </c>
      <c r="K577" s="8" t="s">
        <v>20</v>
      </c>
      <c r="L577" s="9"/>
      <c r="M577" s="9"/>
      <c r="N577" s="9"/>
      <c r="O577" s="9"/>
      <c r="P577" s="9"/>
      <c r="Q577" s="9"/>
      <c r="R577" s="9"/>
      <c r="S577" s="9"/>
      <c r="T577" s="9"/>
      <c r="U577" s="9"/>
      <c r="V577" s="9"/>
      <c r="W577" s="9"/>
      <c r="X577" s="9">
        <v>635940.44999999995</v>
      </c>
      <c r="Y577" s="9">
        <v>20377.79</v>
      </c>
      <c r="Z577" s="9"/>
      <c r="AA577" s="9"/>
      <c r="AB577" s="9"/>
      <c r="AC577" s="9"/>
      <c r="AD577" s="9"/>
      <c r="AE577" s="9"/>
      <c r="AF577" s="9"/>
      <c r="AG577" s="9"/>
      <c r="AH577" s="7">
        <v>635940.44999999995</v>
      </c>
      <c r="AI577" s="7">
        <v>20377.79</v>
      </c>
    </row>
    <row r="578" spans="2:35" x14ac:dyDescent="0.3">
      <c r="B578" s="5" t="s">
        <v>3061</v>
      </c>
      <c r="C578" s="5" t="s">
        <v>13</v>
      </c>
      <c r="D578" s="12" t="s">
        <v>1213</v>
      </c>
      <c r="E578" s="6" t="s">
        <v>244</v>
      </c>
      <c r="F578" s="13" t="s">
        <v>245</v>
      </c>
      <c r="G578" s="6" t="s">
        <v>246</v>
      </c>
      <c r="H578" s="7" t="str">
        <f t="shared" si="8"/>
        <v>PPP-IPU-M367-01Operation &amp; Maintenance</v>
      </c>
      <c r="I578" s="8" t="s">
        <v>24</v>
      </c>
      <c r="J578" s="8" t="s">
        <v>19</v>
      </c>
      <c r="K578" s="8" t="s">
        <v>20</v>
      </c>
      <c r="L578" s="9"/>
      <c r="M578" s="9"/>
      <c r="N578" s="9"/>
      <c r="O578" s="9"/>
      <c r="P578" s="9"/>
      <c r="Q578" s="9"/>
      <c r="R578" s="9"/>
      <c r="S578" s="9"/>
      <c r="T578" s="9"/>
      <c r="U578" s="9"/>
      <c r="V578" s="9"/>
      <c r="W578" s="9"/>
      <c r="X578" s="9">
        <v>19995.96</v>
      </c>
      <c r="Y578" s="9">
        <v>4659.6899999999996</v>
      </c>
      <c r="Z578" s="9"/>
      <c r="AA578" s="9"/>
      <c r="AB578" s="9"/>
      <c r="AC578" s="9"/>
      <c r="AD578" s="9"/>
      <c r="AE578" s="9"/>
      <c r="AF578" s="9"/>
      <c r="AG578" s="9"/>
      <c r="AH578" s="7">
        <v>19995.96</v>
      </c>
      <c r="AI578" s="7">
        <v>4659.6899999999996</v>
      </c>
    </row>
    <row r="579" spans="2:35" x14ac:dyDescent="0.3">
      <c r="B579" s="5" t="s">
        <v>3061</v>
      </c>
      <c r="C579" s="5" t="s">
        <v>13</v>
      </c>
      <c r="D579" s="12" t="s">
        <v>1213</v>
      </c>
      <c r="E579" s="6" t="s">
        <v>83</v>
      </c>
      <c r="F579" s="13" t="s">
        <v>84</v>
      </c>
      <c r="G579" s="6" t="s">
        <v>85</v>
      </c>
      <c r="H579" s="7" t="str">
        <f t="shared" ref="H579:H642" si="9">+F579&amp;D579</f>
        <v>PPP-IPU-I553-01Operation &amp; Maintenance</v>
      </c>
      <c r="I579" s="8" t="s">
        <v>24</v>
      </c>
      <c r="J579" s="8" t="s">
        <v>19</v>
      </c>
      <c r="K579" s="8" t="s">
        <v>20</v>
      </c>
      <c r="L579" s="9"/>
      <c r="M579" s="9"/>
      <c r="N579" s="9"/>
      <c r="O579" s="9"/>
      <c r="P579" s="9"/>
      <c r="Q579" s="9"/>
      <c r="R579" s="9"/>
      <c r="S579" s="9"/>
      <c r="T579" s="9"/>
      <c r="U579" s="9"/>
      <c r="V579" s="9"/>
      <c r="W579" s="9"/>
      <c r="X579" s="9">
        <v>8447.7099999999991</v>
      </c>
      <c r="Y579" s="9">
        <v>9607.6299999999992</v>
      </c>
      <c r="Z579" s="9"/>
      <c r="AA579" s="9"/>
      <c r="AB579" s="9"/>
      <c r="AC579" s="9"/>
      <c r="AD579" s="9"/>
      <c r="AE579" s="9"/>
      <c r="AF579" s="9"/>
      <c r="AG579" s="9"/>
      <c r="AH579" s="7">
        <v>8447.7099999999991</v>
      </c>
      <c r="AI579" s="7">
        <v>9607.6299999999992</v>
      </c>
    </row>
    <row r="580" spans="2:35" x14ac:dyDescent="0.3">
      <c r="B580" s="5" t="s">
        <v>3061</v>
      </c>
      <c r="C580" s="5" t="s">
        <v>13</v>
      </c>
      <c r="D580" s="12" t="s">
        <v>1213</v>
      </c>
      <c r="E580" s="6" t="s">
        <v>57</v>
      </c>
      <c r="F580" s="13" t="s">
        <v>58</v>
      </c>
      <c r="G580" s="6" t="s">
        <v>59</v>
      </c>
      <c r="H580" s="7" t="str">
        <f t="shared" si="9"/>
        <v>PPP-IPU-L850-01Operation &amp; Maintenance</v>
      </c>
      <c r="I580" s="8" t="s">
        <v>24</v>
      </c>
      <c r="J580" s="8" t="s">
        <v>19</v>
      </c>
      <c r="K580" s="8" t="s">
        <v>20</v>
      </c>
      <c r="L580" s="9"/>
      <c r="M580" s="9"/>
      <c r="N580" s="9"/>
      <c r="O580" s="9"/>
      <c r="P580" s="9"/>
      <c r="Q580" s="9"/>
      <c r="R580" s="9"/>
      <c r="S580" s="9"/>
      <c r="T580" s="9"/>
      <c r="U580" s="9"/>
      <c r="V580" s="9"/>
      <c r="W580" s="9"/>
      <c r="X580" s="9">
        <v>30958.639999999999</v>
      </c>
      <c r="Y580" s="9">
        <v>6383.53</v>
      </c>
      <c r="Z580" s="9"/>
      <c r="AA580" s="9"/>
      <c r="AB580" s="9"/>
      <c r="AC580" s="9"/>
      <c r="AD580" s="9"/>
      <c r="AE580" s="9"/>
      <c r="AF580" s="9"/>
      <c r="AG580" s="9"/>
      <c r="AH580" s="7">
        <v>30958.639999999999</v>
      </c>
      <c r="AI580" s="7">
        <v>6383.53</v>
      </c>
    </row>
    <row r="581" spans="2:35" x14ac:dyDescent="0.3">
      <c r="B581" s="5" t="s">
        <v>3061</v>
      </c>
      <c r="C581" s="5" t="s">
        <v>13</v>
      </c>
      <c r="D581" s="12" t="s">
        <v>1213</v>
      </c>
      <c r="E581" s="6" t="s">
        <v>549</v>
      </c>
      <c r="F581" s="13" t="s">
        <v>550</v>
      </c>
      <c r="G581" s="6" t="s">
        <v>551</v>
      </c>
      <c r="H581" s="7" t="str">
        <f t="shared" si="9"/>
        <v>PPP-IPU-C767-01Operation &amp; Maintenance</v>
      </c>
      <c r="I581" s="8" t="s">
        <v>24</v>
      </c>
      <c r="J581" s="8" t="s">
        <v>19</v>
      </c>
      <c r="K581" s="8" t="s">
        <v>20</v>
      </c>
      <c r="L581" s="9"/>
      <c r="M581" s="9"/>
      <c r="N581" s="9"/>
      <c r="O581" s="9"/>
      <c r="P581" s="9"/>
      <c r="Q581" s="9"/>
      <c r="R581" s="9"/>
      <c r="S581" s="9"/>
      <c r="T581" s="9"/>
      <c r="U581" s="9"/>
      <c r="V581" s="9"/>
      <c r="W581" s="9"/>
      <c r="X581" s="9">
        <v>22200.3</v>
      </c>
      <c r="Y581" s="9">
        <v>5366.49</v>
      </c>
      <c r="Z581" s="9"/>
      <c r="AA581" s="9"/>
      <c r="AB581" s="9"/>
      <c r="AC581" s="9"/>
      <c r="AD581" s="9"/>
      <c r="AE581" s="9"/>
      <c r="AF581" s="9"/>
      <c r="AG581" s="9"/>
      <c r="AH581" s="7">
        <v>22200.3</v>
      </c>
      <c r="AI581" s="7">
        <v>5366.49</v>
      </c>
    </row>
    <row r="582" spans="2:35" x14ac:dyDescent="0.3">
      <c r="B582" s="5" t="s">
        <v>3061</v>
      </c>
      <c r="C582" s="5" t="s">
        <v>13</v>
      </c>
      <c r="D582" s="12" t="s">
        <v>1213</v>
      </c>
      <c r="E582" s="6" t="s">
        <v>178</v>
      </c>
      <c r="F582" s="13" t="s">
        <v>179</v>
      </c>
      <c r="G582" s="6" t="s">
        <v>180</v>
      </c>
      <c r="H582" s="7" t="str">
        <f t="shared" si="9"/>
        <v>ATI-IPU-G325-01Operation &amp; Maintenance</v>
      </c>
      <c r="I582" s="8" t="s">
        <v>18</v>
      </c>
      <c r="J582" s="8" t="s">
        <v>19</v>
      </c>
      <c r="K582" s="8" t="s">
        <v>20</v>
      </c>
      <c r="L582" s="9"/>
      <c r="M582" s="9"/>
      <c r="N582" s="9"/>
      <c r="O582" s="9"/>
      <c r="P582" s="9"/>
      <c r="Q582" s="9"/>
      <c r="R582" s="9"/>
      <c r="S582" s="9"/>
      <c r="T582" s="9"/>
      <c r="U582" s="9"/>
      <c r="V582" s="9"/>
      <c r="W582" s="9"/>
      <c r="X582" s="9">
        <v>3900.61</v>
      </c>
      <c r="Y582" s="9">
        <v>1256.5</v>
      </c>
      <c r="Z582" s="9"/>
      <c r="AA582" s="9"/>
      <c r="AB582" s="9"/>
      <c r="AC582" s="9"/>
      <c r="AD582" s="9"/>
      <c r="AE582" s="9"/>
      <c r="AF582" s="9"/>
      <c r="AG582" s="9"/>
      <c r="AH582" s="7">
        <v>3900.61</v>
      </c>
      <c r="AI582" s="7">
        <v>1256.5</v>
      </c>
    </row>
    <row r="583" spans="2:35" x14ac:dyDescent="0.3">
      <c r="B583" s="5" t="s">
        <v>3061</v>
      </c>
      <c r="C583" s="5" t="s">
        <v>13</v>
      </c>
      <c r="D583" s="12" t="s">
        <v>1213</v>
      </c>
      <c r="E583" s="6" t="s">
        <v>424</v>
      </c>
      <c r="F583" s="13" t="s">
        <v>425</v>
      </c>
      <c r="G583" s="6" t="s">
        <v>426</v>
      </c>
      <c r="H583" s="7" t="str">
        <f t="shared" si="9"/>
        <v>PPP-IPU-F370-01Operation &amp; Maintenance</v>
      </c>
      <c r="I583" s="8" t="s">
        <v>18</v>
      </c>
      <c r="J583" s="8" t="s">
        <v>19</v>
      </c>
      <c r="K583" s="8" t="s">
        <v>20</v>
      </c>
      <c r="L583" s="9"/>
      <c r="M583" s="9"/>
      <c r="N583" s="9"/>
      <c r="O583" s="9"/>
      <c r="P583" s="9"/>
      <c r="Q583" s="9"/>
      <c r="R583" s="9"/>
      <c r="S583" s="9"/>
      <c r="T583" s="9"/>
      <c r="U583" s="9"/>
      <c r="V583" s="9"/>
      <c r="W583" s="9"/>
      <c r="X583" s="9">
        <v>8571.33</v>
      </c>
      <c r="Y583" s="9">
        <v>5246.34</v>
      </c>
      <c r="Z583" s="9"/>
      <c r="AA583" s="9"/>
      <c r="AB583" s="9"/>
      <c r="AC583" s="9"/>
      <c r="AD583" s="9"/>
      <c r="AE583" s="9"/>
      <c r="AF583" s="9"/>
      <c r="AG583" s="9"/>
      <c r="AH583" s="7">
        <v>8571.33</v>
      </c>
      <c r="AI583" s="7">
        <v>5246.34</v>
      </c>
    </row>
    <row r="584" spans="2:35" x14ac:dyDescent="0.3">
      <c r="B584" s="5" t="s">
        <v>3061</v>
      </c>
      <c r="C584" s="5" t="s">
        <v>13</v>
      </c>
      <c r="D584" s="12" t="s">
        <v>1213</v>
      </c>
      <c r="E584" s="6" t="s">
        <v>602</v>
      </c>
      <c r="F584" s="13" t="s">
        <v>603</v>
      </c>
      <c r="G584" s="6" t="s">
        <v>604</v>
      </c>
      <c r="H584" s="7" t="str">
        <f t="shared" si="9"/>
        <v>CL3-IPU-D472-01Operation &amp; Maintenance</v>
      </c>
      <c r="I584" s="8" t="s">
        <v>24</v>
      </c>
      <c r="J584" s="8" t="s">
        <v>19</v>
      </c>
      <c r="K584" s="8" t="s">
        <v>98</v>
      </c>
      <c r="L584" s="9"/>
      <c r="M584" s="9"/>
      <c r="N584" s="9"/>
      <c r="O584" s="9"/>
      <c r="P584" s="9"/>
      <c r="Q584" s="9"/>
      <c r="R584" s="9"/>
      <c r="S584" s="9"/>
      <c r="T584" s="9"/>
      <c r="U584" s="9"/>
      <c r="V584" s="9"/>
      <c r="W584" s="9"/>
      <c r="X584" s="9">
        <v>0</v>
      </c>
      <c r="Y584" s="9">
        <v>13765.51</v>
      </c>
      <c r="Z584" s="9"/>
      <c r="AA584" s="9"/>
      <c r="AB584" s="9"/>
      <c r="AC584" s="9"/>
      <c r="AD584" s="9"/>
      <c r="AE584" s="9"/>
      <c r="AF584" s="9"/>
      <c r="AG584" s="9"/>
      <c r="AH584" s="7">
        <v>0</v>
      </c>
      <c r="AI584" s="7">
        <v>13765.51</v>
      </c>
    </row>
    <row r="585" spans="2:35" x14ac:dyDescent="0.3">
      <c r="B585" s="5" t="s">
        <v>3061</v>
      </c>
      <c r="C585" s="5" t="s">
        <v>13</v>
      </c>
      <c r="D585" s="12" t="s">
        <v>1213</v>
      </c>
      <c r="E585" s="6" t="s">
        <v>367</v>
      </c>
      <c r="F585" s="13" t="s">
        <v>368</v>
      </c>
      <c r="G585" s="6" t="s">
        <v>369</v>
      </c>
      <c r="H585" s="7" t="str">
        <f t="shared" si="9"/>
        <v>PPP-IPU-H990-01Operation &amp; Maintenance</v>
      </c>
      <c r="I585" s="8" t="s">
        <v>24</v>
      </c>
      <c r="J585" s="8" t="s">
        <v>19</v>
      </c>
      <c r="K585" s="8" t="s">
        <v>20</v>
      </c>
      <c r="L585" s="9"/>
      <c r="M585" s="9"/>
      <c r="N585" s="9"/>
      <c r="O585" s="9"/>
      <c r="P585" s="9"/>
      <c r="Q585" s="9"/>
      <c r="R585" s="9"/>
      <c r="S585" s="9"/>
      <c r="T585" s="9"/>
      <c r="U585" s="9"/>
      <c r="V585" s="9"/>
      <c r="W585" s="9"/>
      <c r="X585" s="9">
        <v>8580.5300000000007</v>
      </c>
      <c r="Y585" s="9">
        <v>4773.16</v>
      </c>
      <c r="Z585" s="9"/>
      <c r="AA585" s="9"/>
      <c r="AB585" s="9"/>
      <c r="AC585" s="9"/>
      <c r="AD585" s="9"/>
      <c r="AE585" s="9"/>
      <c r="AF585" s="9"/>
      <c r="AG585" s="9"/>
      <c r="AH585" s="7">
        <v>8580.5300000000007</v>
      </c>
      <c r="AI585" s="7">
        <v>4773.16</v>
      </c>
    </row>
    <row r="586" spans="2:35" x14ac:dyDescent="0.3">
      <c r="B586" s="5" t="s">
        <v>3061</v>
      </c>
      <c r="C586" s="5" t="s">
        <v>13</v>
      </c>
      <c r="D586" s="12" t="s">
        <v>1213</v>
      </c>
      <c r="E586" s="6" t="s">
        <v>379</v>
      </c>
      <c r="F586" s="13" t="s">
        <v>380</v>
      </c>
      <c r="G586" s="6" t="s">
        <v>381</v>
      </c>
      <c r="H586" s="7" t="str">
        <f t="shared" si="9"/>
        <v>PPP-IPU-A488-01Operation &amp; Maintenance</v>
      </c>
      <c r="I586" s="8" t="s">
        <v>24</v>
      </c>
      <c r="J586" s="8" t="s">
        <v>19</v>
      </c>
      <c r="K586" s="8" t="s">
        <v>20</v>
      </c>
      <c r="L586" s="9"/>
      <c r="M586" s="9"/>
      <c r="N586" s="9"/>
      <c r="O586" s="9"/>
      <c r="P586" s="9"/>
      <c r="Q586" s="9"/>
      <c r="R586" s="9"/>
      <c r="S586" s="9"/>
      <c r="T586" s="9"/>
      <c r="U586" s="9"/>
      <c r="V586" s="9"/>
      <c r="W586" s="9"/>
      <c r="X586" s="9">
        <v>46854.83</v>
      </c>
      <c r="Y586" s="9">
        <v>17396.3</v>
      </c>
      <c r="Z586" s="9"/>
      <c r="AA586" s="9"/>
      <c r="AB586" s="9"/>
      <c r="AC586" s="9"/>
      <c r="AD586" s="9"/>
      <c r="AE586" s="9"/>
      <c r="AF586" s="9"/>
      <c r="AG586" s="9"/>
      <c r="AH586" s="7">
        <v>46854.83</v>
      </c>
      <c r="AI586" s="7">
        <v>17396.3</v>
      </c>
    </row>
    <row r="587" spans="2:35" x14ac:dyDescent="0.3">
      <c r="B587" s="5" t="s">
        <v>3061</v>
      </c>
      <c r="C587" s="5" t="s">
        <v>13</v>
      </c>
      <c r="D587" s="12" t="s">
        <v>1213</v>
      </c>
      <c r="E587" s="6" t="s">
        <v>239</v>
      </c>
      <c r="F587" s="13" t="s">
        <v>240</v>
      </c>
      <c r="G587" s="6" t="s">
        <v>75</v>
      </c>
      <c r="H587" s="7" t="str">
        <f t="shared" si="9"/>
        <v>PPP-IPU-E053-01Operation &amp; Maintenance</v>
      </c>
      <c r="I587" s="8" t="s">
        <v>18</v>
      </c>
      <c r="J587" s="8" t="s">
        <v>19</v>
      </c>
      <c r="K587" s="8" t="s">
        <v>20</v>
      </c>
      <c r="L587" s="9"/>
      <c r="M587" s="9"/>
      <c r="N587" s="9"/>
      <c r="O587" s="9"/>
      <c r="P587" s="9"/>
      <c r="Q587" s="9"/>
      <c r="R587" s="9"/>
      <c r="S587" s="9"/>
      <c r="T587" s="9"/>
      <c r="U587" s="9"/>
      <c r="V587" s="9"/>
      <c r="W587" s="9"/>
      <c r="X587" s="9">
        <v>4234.97</v>
      </c>
      <c r="Y587" s="9">
        <v>3731.64</v>
      </c>
      <c r="Z587" s="9"/>
      <c r="AA587" s="9"/>
      <c r="AB587" s="9"/>
      <c r="AC587" s="9"/>
      <c r="AD587" s="9"/>
      <c r="AE587" s="9"/>
      <c r="AF587" s="9"/>
      <c r="AG587" s="9"/>
      <c r="AH587" s="7">
        <v>4234.97</v>
      </c>
      <c r="AI587" s="7">
        <v>3731.64</v>
      </c>
    </row>
    <row r="588" spans="2:35" x14ac:dyDescent="0.3">
      <c r="B588" s="5" t="s">
        <v>3061</v>
      </c>
      <c r="C588" s="5" t="s">
        <v>865</v>
      </c>
      <c r="D588" s="12" t="s">
        <v>1213</v>
      </c>
      <c r="E588" s="6" t="s">
        <v>881</v>
      </c>
      <c r="F588" s="13" t="s">
        <v>882</v>
      </c>
      <c r="G588" s="6" t="s">
        <v>868</v>
      </c>
      <c r="H588" s="7" t="str">
        <f t="shared" si="9"/>
        <v>PPP-IPU-I895-01Operation &amp; Maintenance</v>
      </c>
      <c r="I588" s="8" t="s">
        <v>18</v>
      </c>
      <c r="J588" s="8" t="s">
        <v>19</v>
      </c>
      <c r="K588" s="8" t="s">
        <v>20</v>
      </c>
      <c r="L588" s="9"/>
      <c r="M588" s="9"/>
      <c r="N588" s="9"/>
      <c r="O588" s="9"/>
      <c r="P588" s="9"/>
      <c r="Q588" s="9"/>
      <c r="R588" s="9"/>
      <c r="S588" s="9"/>
      <c r="T588" s="9"/>
      <c r="U588" s="9"/>
      <c r="V588" s="9"/>
      <c r="W588" s="9"/>
      <c r="X588" s="9">
        <v>31830.27</v>
      </c>
      <c r="Y588" s="9">
        <v>22758.58</v>
      </c>
      <c r="Z588" s="9"/>
      <c r="AA588" s="9"/>
      <c r="AB588" s="9"/>
      <c r="AC588" s="9"/>
      <c r="AD588" s="9"/>
      <c r="AE588" s="9"/>
      <c r="AF588" s="9"/>
      <c r="AG588" s="9"/>
      <c r="AH588" s="7">
        <v>31830.27</v>
      </c>
      <c r="AI588" s="7">
        <v>22758.58</v>
      </c>
    </row>
    <row r="589" spans="2:35" x14ac:dyDescent="0.3">
      <c r="B589" s="5" t="s">
        <v>3061</v>
      </c>
      <c r="C589" s="5" t="s">
        <v>13</v>
      </c>
      <c r="D589" s="12" t="s">
        <v>1213</v>
      </c>
      <c r="E589" s="6" t="s">
        <v>181</v>
      </c>
      <c r="F589" s="13" t="s">
        <v>182</v>
      </c>
      <c r="G589" s="6" t="s">
        <v>183</v>
      </c>
      <c r="H589" s="7" t="str">
        <f t="shared" si="9"/>
        <v>PPP-IPU-C448-01Operation &amp; Maintenance</v>
      </c>
      <c r="I589" s="8" t="s">
        <v>18</v>
      </c>
      <c r="J589" s="8" t="s">
        <v>19</v>
      </c>
      <c r="K589" s="8" t="s">
        <v>20</v>
      </c>
      <c r="L589" s="9"/>
      <c r="M589" s="9"/>
      <c r="N589" s="9"/>
      <c r="O589" s="9"/>
      <c r="P589" s="9"/>
      <c r="Q589" s="9"/>
      <c r="R589" s="9"/>
      <c r="S589" s="9"/>
      <c r="T589" s="9"/>
      <c r="U589" s="9"/>
      <c r="V589" s="9"/>
      <c r="W589" s="9"/>
      <c r="X589" s="9">
        <v>24937.17</v>
      </c>
      <c r="Y589" s="9">
        <v>6817.86</v>
      </c>
      <c r="Z589" s="9"/>
      <c r="AA589" s="9"/>
      <c r="AB589" s="9"/>
      <c r="AC589" s="9"/>
      <c r="AD589" s="9"/>
      <c r="AE589" s="9"/>
      <c r="AF589" s="9"/>
      <c r="AG589" s="9"/>
      <c r="AH589" s="7">
        <v>24937.17</v>
      </c>
      <c r="AI589" s="7">
        <v>6817.86</v>
      </c>
    </row>
    <row r="590" spans="2:35" x14ac:dyDescent="0.3">
      <c r="B590" s="5" t="s">
        <v>3061</v>
      </c>
      <c r="C590" s="5" t="s">
        <v>13</v>
      </c>
      <c r="D590" s="12" t="s">
        <v>1213</v>
      </c>
      <c r="E590" s="6" t="s">
        <v>558</v>
      </c>
      <c r="F590" s="13" t="s">
        <v>559</v>
      </c>
      <c r="G590" s="6" t="s">
        <v>560</v>
      </c>
      <c r="H590" s="7" t="str">
        <f t="shared" si="9"/>
        <v>CL3-IPU-C752-01Operation &amp; Maintenance</v>
      </c>
      <c r="I590" s="8" t="s">
        <v>49</v>
      </c>
      <c r="J590" s="8" t="s">
        <v>19</v>
      </c>
      <c r="K590" s="8" t="s">
        <v>98</v>
      </c>
      <c r="L590" s="9"/>
      <c r="M590" s="9"/>
      <c r="N590" s="9"/>
      <c r="O590" s="9"/>
      <c r="P590" s="9"/>
      <c r="Q590" s="9"/>
      <c r="R590" s="9"/>
      <c r="S590" s="9"/>
      <c r="T590" s="9"/>
      <c r="U590" s="9"/>
      <c r="V590" s="9"/>
      <c r="W590" s="9"/>
      <c r="X590" s="9">
        <v>0</v>
      </c>
      <c r="Y590" s="9">
        <v>3446.81</v>
      </c>
      <c r="Z590" s="9"/>
      <c r="AA590" s="9"/>
      <c r="AB590" s="9"/>
      <c r="AC590" s="9"/>
      <c r="AD590" s="9"/>
      <c r="AE590" s="9"/>
      <c r="AF590" s="9"/>
      <c r="AG590" s="9"/>
      <c r="AH590" s="7">
        <v>0</v>
      </c>
      <c r="AI590" s="7">
        <v>3446.81</v>
      </c>
    </row>
    <row r="591" spans="2:35" x14ac:dyDescent="0.3">
      <c r="B591" s="5" t="s">
        <v>3061</v>
      </c>
      <c r="C591" s="5" t="s">
        <v>13</v>
      </c>
      <c r="D591" s="12" t="s">
        <v>1213</v>
      </c>
      <c r="E591" s="6" t="s">
        <v>682</v>
      </c>
      <c r="F591" s="13" t="s">
        <v>683</v>
      </c>
      <c r="G591" s="6" t="s">
        <v>658</v>
      </c>
      <c r="H591" s="7" t="str">
        <f t="shared" si="9"/>
        <v>CL3-IPU-E951-01Operation &amp; Maintenance</v>
      </c>
      <c r="I591" s="8" t="s">
        <v>49</v>
      </c>
      <c r="J591" s="8" t="s">
        <v>19</v>
      </c>
      <c r="K591" s="8" t="s">
        <v>98</v>
      </c>
      <c r="L591" s="9"/>
      <c r="M591" s="9"/>
      <c r="N591" s="9"/>
      <c r="O591" s="9"/>
      <c r="P591" s="9"/>
      <c r="Q591" s="9"/>
      <c r="R591" s="9"/>
      <c r="S591" s="9"/>
      <c r="T591" s="9"/>
      <c r="U591" s="9"/>
      <c r="V591" s="9"/>
      <c r="W591" s="9"/>
      <c r="X591" s="9">
        <v>0</v>
      </c>
      <c r="Y591" s="9">
        <v>22287.57</v>
      </c>
      <c r="Z591" s="9"/>
      <c r="AA591" s="9"/>
      <c r="AB591" s="9"/>
      <c r="AC591" s="9"/>
      <c r="AD591" s="9"/>
      <c r="AE591" s="9"/>
      <c r="AF591" s="9"/>
      <c r="AG591" s="9"/>
      <c r="AH591" s="7">
        <v>0</v>
      </c>
      <c r="AI591" s="7">
        <v>22287.57</v>
      </c>
    </row>
    <row r="592" spans="2:35" x14ac:dyDescent="0.3">
      <c r="B592" s="5" t="s">
        <v>3061</v>
      </c>
      <c r="C592" s="5" t="s">
        <v>13</v>
      </c>
      <c r="D592" s="12" t="s">
        <v>1213</v>
      </c>
      <c r="E592" s="6" t="s">
        <v>773</v>
      </c>
      <c r="F592" s="13" t="s">
        <v>774</v>
      </c>
      <c r="G592" s="6" t="s">
        <v>775</v>
      </c>
      <c r="H592" s="7" t="str">
        <f t="shared" si="9"/>
        <v>CL4-IPU-E955-01Operation &amp; Maintenance</v>
      </c>
      <c r="I592" s="8" t="s">
        <v>18</v>
      </c>
      <c r="J592" s="8" t="s">
        <v>19</v>
      </c>
      <c r="K592" s="8" t="s">
        <v>573</v>
      </c>
      <c r="L592" s="9"/>
      <c r="M592" s="9"/>
      <c r="N592" s="9"/>
      <c r="O592" s="9"/>
      <c r="P592" s="9"/>
      <c r="Q592" s="9"/>
      <c r="R592" s="9"/>
      <c r="S592" s="9"/>
      <c r="T592" s="9"/>
      <c r="U592" s="9"/>
      <c r="V592" s="9"/>
      <c r="W592" s="9"/>
      <c r="X592" s="9">
        <v>7102.11</v>
      </c>
      <c r="Y592" s="9">
        <v>0</v>
      </c>
      <c r="Z592" s="9"/>
      <c r="AA592" s="9"/>
      <c r="AB592" s="9"/>
      <c r="AC592" s="9"/>
      <c r="AD592" s="9"/>
      <c r="AE592" s="9"/>
      <c r="AF592" s="9"/>
      <c r="AG592" s="9"/>
      <c r="AH592" s="7">
        <v>7102.11</v>
      </c>
      <c r="AI592" s="7">
        <v>0</v>
      </c>
    </row>
    <row r="593" spans="2:35" x14ac:dyDescent="0.3">
      <c r="B593" s="5" t="s">
        <v>3061</v>
      </c>
      <c r="C593" s="5" t="s">
        <v>13</v>
      </c>
      <c r="D593" s="12" t="s">
        <v>1213</v>
      </c>
      <c r="E593" s="6" t="s">
        <v>512</v>
      </c>
      <c r="F593" s="13" t="s">
        <v>513</v>
      </c>
      <c r="G593" s="6" t="s">
        <v>514</v>
      </c>
      <c r="H593" s="7" t="str">
        <f t="shared" si="9"/>
        <v>PPP-IPU-L074-01Operation &amp; Maintenance</v>
      </c>
      <c r="I593" s="8" t="s">
        <v>18</v>
      </c>
      <c r="J593" s="8" t="s">
        <v>19</v>
      </c>
      <c r="K593" s="8" t="s">
        <v>20</v>
      </c>
      <c r="L593" s="9"/>
      <c r="M593" s="9"/>
      <c r="N593" s="9"/>
      <c r="O593" s="9"/>
      <c r="P593" s="9"/>
      <c r="Q593" s="9"/>
      <c r="R593" s="9"/>
      <c r="S593" s="9"/>
      <c r="T593" s="9"/>
      <c r="U593" s="9"/>
      <c r="V593" s="9"/>
      <c r="W593" s="9"/>
      <c r="X593" s="9">
        <v>41872.910000000003</v>
      </c>
      <c r="Y593" s="9">
        <v>36820.879999999997</v>
      </c>
      <c r="Z593" s="9"/>
      <c r="AA593" s="9"/>
      <c r="AB593" s="9"/>
      <c r="AC593" s="9"/>
      <c r="AD593" s="9"/>
      <c r="AE593" s="9"/>
      <c r="AF593" s="9"/>
      <c r="AG593" s="9"/>
      <c r="AH593" s="7">
        <v>41872.910000000003</v>
      </c>
      <c r="AI593" s="7">
        <v>36820.879999999997</v>
      </c>
    </row>
    <row r="594" spans="2:35" x14ac:dyDescent="0.3">
      <c r="B594" s="5" t="s">
        <v>3061</v>
      </c>
      <c r="C594" s="5" t="s">
        <v>13</v>
      </c>
      <c r="D594" s="12" t="s">
        <v>1213</v>
      </c>
      <c r="E594" s="6" t="s">
        <v>614</v>
      </c>
      <c r="F594" s="13" t="s">
        <v>615</v>
      </c>
      <c r="G594" s="6" t="s">
        <v>616</v>
      </c>
      <c r="H594" s="7" t="str">
        <f t="shared" si="9"/>
        <v>CL3-IPU-F632-01Operation &amp; Maintenance</v>
      </c>
      <c r="I594" s="8" t="s">
        <v>24</v>
      </c>
      <c r="J594" s="8" t="s">
        <v>19</v>
      </c>
      <c r="K594" s="8" t="s">
        <v>98</v>
      </c>
      <c r="L594" s="9"/>
      <c r="M594" s="9"/>
      <c r="N594" s="9"/>
      <c r="O594" s="9"/>
      <c r="P594" s="9"/>
      <c r="Q594" s="9"/>
      <c r="R594" s="9"/>
      <c r="S594" s="9"/>
      <c r="T594" s="9"/>
      <c r="U594" s="9"/>
      <c r="V594" s="9"/>
      <c r="W594" s="9"/>
      <c r="X594" s="9">
        <v>0</v>
      </c>
      <c r="Y594" s="9">
        <v>9824.35</v>
      </c>
      <c r="Z594" s="9"/>
      <c r="AA594" s="9"/>
      <c r="AB594" s="9"/>
      <c r="AC594" s="9"/>
      <c r="AD594" s="9"/>
      <c r="AE594" s="9"/>
      <c r="AF594" s="9"/>
      <c r="AG594" s="9"/>
      <c r="AH594" s="7">
        <v>0</v>
      </c>
      <c r="AI594" s="7">
        <v>9824.35</v>
      </c>
    </row>
    <row r="595" spans="2:35" x14ac:dyDescent="0.3">
      <c r="B595" s="5" t="s">
        <v>3061</v>
      </c>
      <c r="C595" s="5" t="s">
        <v>13</v>
      </c>
      <c r="D595" s="12" t="s">
        <v>1213</v>
      </c>
      <c r="E595" s="6" t="s">
        <v>1004</v>
      </c>
      <c r="F595" s="13" t="s">
        <v>1005</v>
      </c>
      <c r="G595" s="6" t="s">
        <v>386</v>
      </c>
      <c r="H595" s="7" t="str">
        <f t="shared" si="9"/>
        <v>PPP-IPU-C638-02Operation &amp; Maintenance</v>
      </c>
      <c r="I595" s="8" t="s">
        <v>56</v>
      </c>
      <c r="J595" s="8" t="s">
        <v>19</v>
      </c>
      <c r="K595" s="8" t="s">
        <v>20</v>
      </c>
      <c r="L595" s="9"/>
      <c r="M595" s="9"/>
      <c r="N595" s="9"/>
      <c r="O595" s="9"/>
      <c r="P595" s="9"/>
      <c r="Q595" s="9"/>
      <c r="R595" s="9"/>
      <c r="S595" s="9"/>
      <c r="T595" s="9"/>
      <c r="U595" s="9"/>
      <c r="V595" s="9"/>
      <c r="W595" s="9"/>
      <c r="X595" s="9">
        <v>0</v>
      </c>
      <c r="Y595" s="9">
        <v>397.3</v>
      </c>
      <c r="Z595" s="9"/>
      <c r="AA595" s="9"/>
      <c r="AB595" s="9"/>
      <c r="AC595" s="9"/>
      <c r="AD595" s="9"/>
      <c r="AE595" s="9"/>
      <c r="AF595" s="9"/>
      <c r="AG595" s="9"/>
      <c r="AH595" s="7">
        <v>0</v>
      </c>
      <c r="AI595" s="7">
        <v>397.3</v>
      </c>
    </row>
    <row r="596" spans="2:35" x14ac:dyDescent="0.3">
      <c r="B596" s="5" t="s">
        <v>3061</v>
      </c>
      <c r="C596" s="5" t="s">
        <v>13</v>
      </c>
      <c r="D596" s="12" t="s">
        <v>1213</v>
      </c>
      <c r="E596" s="6" t="s">
        <v>577</v>
      </c>
      <c r="F596" s="13" t="s">
        <v>578</v>
      </c>
      <c r="G596" s="6" t="s">
        <v>579</v>
      </c>
      <c r="H596" s="7" t="str">
        <f t="shared" si="9"/>
        <v>PPP-EEE-L736-01Operation &amp; Maintenance</v>
      </c>
      <c r="I596" s="8" t="s">
        <v>56</v>
      </c>
      <c r="J596" s="8" t="s">
        <v>202</v>
      </c>
      <c r="K596" s="8" t="s">
        <v>202</v>
      </c>
      <c r="L596" s="9"/>
      <c r="M596" s="9"/>
      <c r="N596" s="9"/>
      <c r="O596" s="9"/>
      <c r="P596" s="9"/>
      <c r="Q596" s="9"/>
      <c r="R596" s="9"/>
      <c r="S596" s="9"/>
      <c r="T596" s="9"/>
      <c r="U596" s="9"/>
      <c r="V596" s="9"/>
      <c r="W596" s="9"/>
      <c r="X596" s="9">
        <v>327617.44</v>
      </c>
      <c r="Y596" s="9">
        <v>131571</v>
      </c>
      <c r="Z596" s="9"/>
      <c r="AA596" s="9"/>
      <c r="AB596" s="9"/>
      <c r="AC596" s="9"/>
      <c r="AD596" s="9"/>
      <c r="AE596" s="9"/>
      <c r="AF596" s="9"/>
      <c r="AG596" s="9"/>
      <c r="AH596" s="7">
        <v>327617.44</v>
      </c>
      <c r="AI596" s="7">
        <v>131571</v>
      </c>
    </row>
    <row r="597" spans="2:35" x14ac:dyDescent="0.3">
      <c r="B597" s="5" t="s">
        <v>3061</v>
      </c>
      <c r="C597" s="5" t="s">
        <v>13</v>
      </c>
      <c r="D597" s="12" t="s">
        <v>1215</v>
      </c>
      <c r="E597" s="6" t="s">
        <v>841</v>
      </c>
      <c r="F597" s="13" t="s">
        <v>842</v>
      </c>
      <c r="G597" s="6" t="s">
        <v>843</v>
      </c>
      <c r="H597" s="7" t="str">
        <f t="shared" si="9"/>
        <v>EPC-PHV-L736-02Spot</v>
      </c>
      <c r="I597" s="8" t="s">
        <v>56</v>
      </c>
      <c r="J597" s="8" t="s">
        <v>259</v>
      </c>
      <c r="K597" s="8" t="s">
        <v>259</v>
      </c>
      <c r="L597" s="9"/>
      <c r="M597" s="9"/>
      <c r="N597" s="9"/>
      <c r="O597" s="9"/>
      <c r="P597" s="9"/>
      <c r="Q597" s="9"/>
      <c r="R597" s="9"/>
      <c r="S597" s="9"/>
      <c r="T597" s="9"/>
      <c r="U597" s="9"/>
      <c r="V597" s="9"/>
      <c r="W597" s="9"/>
      <c r="X597" s="9">
        <v>355849.44</v>
      </c>
      <c r="Y597" s="9">
        <v>208730.66</v>
      </c>
      <c r="Z597" s="9"/>
      <c r="AA597" s="9"/>
      <c r="AB597" s="9"/>
      <c r="AC597" s="9"/>
      <c r="AD597" s="9"/>
      <c r="AE597" s="9"/>
      <c r="AF597" s="9"/>
      <c r="AG597" s="9"/>
      <c r="AH597" s="7">
        <v>355849.44</v>
      </c>
      <c r="AI597" s="7">
        <v>208730.66</v>
      </c>
    </row>
    <row r="598" spans="2:35" x14ac:dyDescent="0.3">
      <c r="B598" s="5" t="s">
        <v>3061</v>
      </c>
      <c r="C598" s="5" t="s">
        <v>13</v>
      </c>
      <c r="D598" s="12" t="s">
        <v>1213</v>
      </c>
      <c r="E598" s="6" t="s">
        <v>841</v>
      </c>
      <c r="F598" s="13" t="s">
        <v>842</v>
      </c>
      <c r="G598" s="6" t="s">
        <v>843</v>
      </c>
      <c r="H598" s="7" t="str">
        <f t="shared" si="9"/>
        <v>EPC-PHV-L736-02Operation &amp; Maintenance</v>
      </c>
      <c r="I598" s="8" t="s">
        <v>56</v>
      </c>
      <c r="J598" s="8" t="s">
        <v>259</v>
      </c>
      <c r="K598" s="8" t="s">
        <v>259</v>
      </c>
      <c r="L598" s="9"/>
      <c r="M598" s="9"/>
      <c r="N598" s="9"/>
      <c r="O598" s="9"/>
      <c r="P598" s="9"/>
      <c r="Q598" s="9"/>
      <c r="R598" s="9"/>
      <c r="S598" s="9"/>
      <c r="T598" s="9"/>
      <c r="U598" s="9"/>
      <c r="V598" s="9"/>
      <c r="W598" s="9"/>
      <c r="X598" s="9">
        <v>0</v>
      </c>
      <c r="Y598" s="9">
        <v>1070</v>
      </c>
      <c r="Z598" s="9"/>
      <c r="AA598" s="9"/>
      <c r="AB598" s="9"/>
      <c r="AC598" s="9"/>
      <c r="AD598" s="9"/>
      <c r="AE598" s="9"/>
      <c r="AF598" s="9"/>
      <c r="AG598" s="9"/>
      <c r="AH598" s="7">
        <v>0</v>
      </c>
      <c r="AI598" s="7">
        <v>1070</v>
      </c>
    </row>
    <row r="599" spans="2:35" x14ac:dyDescent="0.3">
      <c r="B599" s="5" t="s">
        <v>3061</v>
      </c>
      <c r="C599" s="5" t="s">
        <v>13</v>
      </c>
      <c r="D599" s="12" t="s">
        <v>1213</v>
      </c>
      <c r="E599" s="6" t="s">
        <v>63</v>
      </c>
      <c r="F599" s="13" t="s">
        <v>64</v>
      </c>
      <c r="G599" s="6" t="s">
        <v>65</v>
      </c>
      <c r="H599" s="7" t="str">
        <f t="shared" si="9"/>
        <v>PPP-IPU-L009-01Operation &amp; Maintenance</v>
      </c>
      <c r="I599" s="8" t="s">
        <v>24</v>
      </c>
      <c r="J599" s="8" t="s">
        <v>19</v>
      </c>
      <c r="K599" s="8" t="s">
        <v>20</v>
      </c>
      <c r="L599" s="9"/>
      <c r="M599" s="9"/>
      <c r="N599" s="9"/>
      <c r="O599" s="9"/>
      <c r="P599" s="9"/>
      <c r="Q599" s="9"/>
      <c r="R599" s="9"/>
      <c r="S599" s="9"/>
      <c r="T599" s="9"/>
      <c r="U599" s="9"/>
      <c r="V599" s="9"/>
      <c r="W599" s="9"/>
      <c r="X599" s="9">
        <v>62181.1</v>
      </c>
      <c r="Y599" s="9">
        <v>3880.4</v>
      </c>
      <c r="Z599" s="9"/>
      <c r="AA599" s="9"/>
      <c r="AB599" s="9"/>
      <c r="AC599" s="9"/>
      <c r="AD599" s="9"/>
      <c r="AE599" s="9"/>
      <c r="AF599" s="9"/>
      <c r="AG599" s="9"/>
      <c r="AH599" s="7">
        <v>62181.1</v>
      </c>
      <c r="AI599" s="7">
        <v>3880.4</v>
      </c>
    </row>
    <row r="600" spans="2:35" x14ac:dyDescent="0.3">
      <c r="B600" s="5" t="s">
        <v>3061</v>
      </c>
      <c r="C600" s="5" t="s">
        <v>13</v>
      </c>
      <c r="D600" s="12" t="s">
        <v>1213</v>
      </c>
      <c r="E600" s="6" t="s">
        <v>322</v>
      </c>
      <c r="F600" s="13" t="s">
        <v>323</v>
      </c>
      <c r="G600" s="6" t="s">
        <v>324</v>
      </c>
      <c r="H600" s="7" t="str">
        <f t="shared" si="9"/>
        <v>PPP-IPU-L656-01Operation &amp; Maintenance</v>
      </c>
      <c r="I600" s="8" t="s">
        <v>18</v>
      </c>
      <c r="J600" s="8" t="s">
        <v>19</v>
      </c>
      <c r="K600" s="8" t="s">
        <v>20</v>
      </c>
      <c r="L600" s="9"/>
      <c r="M600" s="9"/>
      <c r="N600" s="9"/>
      <c r="O600" s="9"/>
      <c r="P600" s="9"/>
      <c r="Q600" s="9"/>
      <c r="R600" s="9"/>
      <c r="S600" s="9"/>
      <c r="T600" s="9"/>
      <c r="U600" s="9"/>
      <c r="V600" s="9"/>
      <c r="W600" s="9"/>
      <c r="X600" s="9">
        <v>7471.31</v>
      </c>
      <c r="Y600" s="9">
        <v>385.58</v>
      </c>
      <c r="Z600" s="9"/>
      <c r="AA600" s="9"/>
      <c r="AB600" s="9"/>
      <c r="AC600" s="9"/>
      <c r="AD600" s="9"/>
      <c r="AE600" s="9"/>
      <c r="AF600" s="9"/>
      <c r="AG600" s="9"/>
      <c r="AH600" s="7">
        <v>7471.31</v>
      </c>
      <c r="AI600" s="7">
        <v>385.58</v>
      </c>
    </row>
    <row r="601" spans="2:35" x14ac:dyDescent="0.3">
      <c r="B601" s="5" t="s">
        <v>3061</v>
      </c>
      <c r="C601" s="5" t="s">
        <v>13</v>
      </c>
      <c r="D601" s="12" t="s">
        <v>1215</v>
      </c>
      <c r="E601" s="6" t="s">
        <v>869</v>
      </c>
      <c r="F601" s="13" t="s">
        <v>870</v>
      </c>
      <c r="G601" s="6" t="s">
        <v>871</v>
      </c>
      <c r="H601" s="7" t="str">
        <f t="shared" si="9"/>
        <v>EPC-IPU-D010-01Spot</v>
      </c>
      <c r="I601" s="8" t="s">
        <v>18</v>
      </c>
      <c r="J601" s="8" t="s">
        <v>259</v>
      </c>
      <c r="K601" s="8" t="s">
        <v>259</v>
      </c>
      <c r="L601" s="9"/>
      <c r="M601" s="9"/>
      <c r="N601" s="9"/>
      <c r="O601" s="9"/>
      <c r="P601" s="9"/>
      <c r="Q601" s="9"/>
      <c r="R601" s="9"/>
      <c r="S601" s="9"/>
      <c r="T601" s="9"/>
      <c r="U601" s="9"/>
      <c r="V601" s="9"/>
      <c r="W601" s="9"/>
      <c r="X601" s="9">
        <v>362.8</v>
      </c>
      <c r="Y601" s="9">
        <v>0</v>
      </c>
      <c r="Z601" s="9"/>
      <c r="AA601" s="9"/>
      <c r="AB601" s="9"/>
      <c r="AC601" s="9"/>
      <c r="AD601" s="9"/>
      <c r="AE601" s="9"/>
      <c r="AF601" s="9"/>
      <c r="AG601" s="9"/>
      <c r="AH601" s="7">
        <v>362.8</v>
      </c>
      <c r="AI601" s="7">
        <v>0</v>
      </c>
    </row>
    <row r="602" spans="2:35" x14ac:dyDescent="0.3">
      <c r="B602" s="5" t="s">
        <v>3061</v>
      </c>
      <c r="C602" s="5" t="s">
        <v>13</v>
      </c>
      <c r="D602" s="12" t="s">
        <v>1213</v>
      </c>
      <c r="E602" s="6" t="s">
        <v>102</v>
      </c>
      <c r="F602" s="13" t="s">
        <v>103</v>
      </c>
      <c r="G602" s="6" t="s">
        <v>104</v>
      </c>
      <c r="H602" s="7" t="str">
        <f t="shared" si="9"/>
        <v>PPP-IPU-I145-01Operation &amp; Maintenance</v>
      </c>
      <c r="I602" s="8" t="s">
        <v>18</v>
      </c>
      <c r="J602" s="8" t="s">
        <v>19</v>
      </c>
      <c r="K602" s="8" t="s">
        <v>20</v>
      </c>
      <c r="L602" s="9"/>
      <c r="M602" s="9"/>
      <c r="N602" s="9"/>
      <c r="O602" s="9"/>
      <c r="P602" s="9"/>
      <c r="Q602" s="9"/>
      <c r="R602" s="9"/>
      <c r="S602" s="9"/>
      <c r="T602" s="9"/>
      <c r="U602" s="9"/>
      <c r="V602" s="9"/>
      <c r="W602" s="9"/>
      <c r="X602" s="9">
        <v>11795.42</v>
      </c>
      <c r="Y602" s="9">
        <v>5795.42</v>
      </c>
      <c r="Z602" s="9"/>
      <c r="AA602" s="9"/>
      <c r="AB602" s="9"/>
      <c r="AC602" s="9"/>
      <c r="AD602" s="9"/>
      <c r="AE602" s="9"/>
      <c r="AF602" s="9"/>
      <c r="AG602" s="9"/>
      <c r="AH602" s="7">
        <v>11795.42</v>
      </c>
      <c r="AI602" s="7">
        <v>5795.42</v>
      </c>
    </row>
    <row r="603" spans="2:35" x14ac:dyDescent="0.3">
      <c r="B603" s="5" t="s">
        <v>3061</v>
      </c>
      <c r="C603" s="5" t="s">
        <v>886</v>
      </c>
      <c r="D603" s="12" t="s">
        <v>1213</v>
      </c>
      <c r="E603" s="6" t="s">
        <v>887</v>
      </c>
      <c r="F603" s="13" t="s">
        <v>888</v>
      </c>
      <c r="G603" s="6" t="s">
        <v>889</v>
      </c>
      <c r="H603" s="7" t="str">
        <f t="shared" si="9"/>
        <v>PPP-IPU-H090-01Operation &amp; Maintenance</v>
      </c>
      <c r="I603" s="8" t="s">
        <v>18</v>
      </c>
      <c r="J603" s="8" t="s">
        <v>19</v>
      </c>
      <c r="K603" s="8" t="s">
        <v>20</v>
      </c>
      <c r="L603" s="9"/>
      <c r="M603" s="9"/>
      <c r="N603" s="9"/>
      <c r="O603" s="9"/>
      <c r="P603" s="9"/>
      <c r="Q603" s="9"/>
      <c r="R603" s="9"/>
      <c r="S603" s="9"/>
      <c r="T603" s="9"/>
      <c r="U603" s="9"/>
      <c r="V603" s="9"/>
      <c r="W603" s="9"/>
      <c r="X603" s="9">
        <v>117409.4</v>
      </c>
      <c r="Y603" s="9">
        <v>30729.81</v>
      </c>
      <c r="Z603" s="9"/>
      <c r="AA603" s="9"/>
      <c r="AB603" s="9"/>
      <c r="AC603" s="9"/>
      <c r="AD603" s="9"/>
      <c r="AE603" s="9"/>
      <c r="AF603" s="9"/>
      <c r="AG603" s="9"/>
      <c r="AH603" s="7">
        <v>117409.4</v>
      </c>
      <c r="AI603" s="7">
        <v>30729.81</v>
      </c>
    </row>
    <row r="604" spans="2:35" x14ac:dyDescent="0.3">
      <c r="B604" s="5" t="s">
        <v>3061</v>
      </c>
      <c r="C604" s="5" t="s">
        <v>13</v>
      </c>
      <c r="D604" s="12" t="s">
        <v>14</v>
      </c>
      <c r="E604" s="6" t="s">
        <v>1027</v>
      </c>
      <c r="F604" s="13" t="s">
        <v>1028</v>
      </c>
      <c r="G604" s="6" t="s">
        <v>597</v>
      </c>
      <c r="H604" s="7" t="str">
        <f t="shared" si="9"/>
        <v>EPC-EEE-L736-02OPERATIONAL</v>
      </c>
      <c r="I604" s="8" t="s">
        <v>56</v>
      </c>
      <c r="J604" s="8" t="s">
        <v>76</v>
      </c>
      <c r="K604" s="8" t="s">
        <v>76</v>
      </c>
      <c r="L604" s="9"/>
      <c r="M604" s="9"/>
      <c r="N604" s="9"/>
      <c r="O604" s="9"/>
      <c r="P604" s="9"/>
      <c r="Q604" s="9"/>
      <c r="R604" s="9"/>
      <c r="S604" s="9"/>
      <c r="T604" s="9"/>
      <c r="U604" s="9"/>
      <c r="V604" s="9"/>
      <c r="W604" s="9"/>
      <c r="X604" s="9">
        <v>7570.5</v>
      </c>
      <c r="Y604" s="9">
        <v>0</v>
      </c>
      <c r="Z604" s="9"/>
      <c r="AA604" s="9"/>
      <c r="AB604" s="9"/>
      <c r="AC604" s="9"/>
      <c r="AD604" s="9"/>
      <c r="AE604" s="9"/>
      <c r="AF604" s="9"/>
      <c r="AG604" s="9"/>
      <c r="AH604" s="7">
        <v>7570.5</v>
      </c>
      <c r="AI604" s="7">
        <v>0</v>
      </c>
    </row>
    <row r="605" spans="2:35" x14ac:dyDescent="0.3">
      <c r="B605" s="5" t="s">
        <v>3061</v>
      </c>
      <c r="C605" s="5" t="s">
        <v>13</v>
      </c>
      <c r="D605" s="12" t="s">
        <v>1213</v>
      </c>
      <c r="E605" s="6" t="s">
        <v>1027</v>
      </c>
      <c r="F605" s="13" t="s">
        <v>1028</v>
      </c>
      <c r="G605" s="6" t="s">
        <v>597</v>
      </c>
      <c r="H605" s="7" t="str">
        <f t="shared" si="9"/>
        <v>EPC-EEE-L736-02Operation &amp; Maintenance</v>
      </c>
      <c r="I605" s="8" t="s">
        <v>56</v>
      </c>
      <c r="J605" s="8" t="s">
        <v>76</v>
      </c>
      <c r="K605" s="8" t="s">
        <v>76</v>
      </c>
      <c r="L605" s="9"/>
      <c r="M605" s="9"/>
      <c r="N605" s="9"/>
      <c r="O605" s="9"/>
      <c r="P605" s="9"/>
      <c r="Q605" s="9"/>
      <c r="R605" s="9"/>
      <c r="S605" s="9"/>
      <c r="T605" s="9"/>
      <c r="U605" s="9"/>
      <c r="V605" s="9"/>
      <c r="W605" s="9"/>
      <c r="X605" s="9">
        <v>0</v>
      </c>
      <c r="Y605" s="9">
        <v>184.12</v>
      </c>
      <c r="Z605" s="9"/>
      <c r="AA605" s="9"/>
      <c r="AB605" s="9"/>
      <c r="AC605" s="9"/>
      <c r="AD605" s="9"/>
      <c r="AE605" s="9"/>
      <c r="AF605" s="9"/>
      <c r="AG605" s="9"/>
      <c r="AH605" s="7">
        <v>0</v>
      </c>
      <c r="AI605" s="7">
        <v>184.12</v>
      </c>
    </row>
    <row r="606" spans="2:35" x14ac:dyDescent="0.3">
      <c r="B606" s="5" t="s">
        <v>3061</v>
      </c>
      <c r="C606" s="5" t="s">
        <v>13</v>
      </c>
      <c r="D606" s="12" t="s">
        <v>1213</v>
      </c>
      <c r="E606" s="6" t="s">
        <v>588</v>
      </c>
      <c r="F606" s="13" t="s">
        <v>589</v>
      </c>
      <c r="G606" s="6" t="s">
        <v>590</v>
      </c>
      <c r="H606" s="7" t="str">
        <f t="shared" si="9"/>
        <v>AQ1-IPU-D946-01Operation &amp; Maintenance</v>
      </c>
      <c r="I606" s="8" t="s">
        <v>49</v>
      </c>
      <c r="J606" s="8" t="s">
        <v>19</v>
      </c>
      <c r="K606" s="8" t="s">
        <v>475</v>
      </c>
      <c r="L606" s="9"/>
      <c r="M606" s="9"/>
      <c r="N606" s="9"/>
      <c r="O606" s="9"/>
      <c r="P606" s="9"/>
      <c r="Q606" s="9"/>
      <c r="R606" s="9"/>
      <c r="S606" s="9"/>
      <c r="T606" s="9"/>
      <c r="U606" s="9"/>
      <c r="V606" s="9"/>
      <c r="W606" s="9"/>
      <c r="X606" s="9">
        <v>0</v>
      </c>
      <c r="Y606" s="9">
        <v>15495.12</v>
      </c>
      <c r="Z606" s="9"/>
      <c r="AA606" s="9"/>
      <c r="AB606" s="9"/>
      <c r="AC606" s="9"/>
      <c r="AD606" s="9"/>
      <c r="AE606" s="9"/>
      <c r="AF606" s="9"/>
      <c r="AG606" s="9"/>
      <c r="AH606" s="7">
        <v>0</v>
      </c>
      <c r="AI606" s="7">
        <v>15495.12</v>
      </c>
    </row>
    <row r="607" spans="2:35" x14ac:dyDescent="0.3">
      <c r="B607" s="5" t="s">
        <v>3061</v>
      </c>
      <c r="C607" s="5" t="s">
        <v>13</v>
      </c>
      <c r="D607" s="12" t="s">
        <v>1213</v>
      </c>
      <c r="E607" s="6" t="s">
        <v>168</v>
      </c>
      <c r="F607" s="13" t="s">
        <v>169</v>
      </c>
      <c r="G607" s="6" t="s">
        <v>170</v>
      </c>
      <c r="H607" s="7" t="str">
        <f t="shared" si="9"/>
        <v>PPP-IPU-G293-01Operation &amp; Maintenance</v>
      </c>
      <c r="I607" s="8" t="s">
        <v>24</v>
      </c>
      <c r="J607" s="8" t="s">
        <v>19</v>
      </c>
      <c r="K607" s="8" t="s">
        <v>20</v>
      </c>
      <c r="L607" s="9"/>
      <c r="M607" s="9"/>
      <c r="N607" s="9"/>
      <c r="O607" s="9"/>
      <c r="P607" s="9"/>
      <c r="Q607" s="9"/>
      <c r="R607" s="9"/>
      <c r="S607" s="9"/>
      <c r="T607" s="9"/>
      <c r="U607" s="9"/>
      <c r="V607" s="9"/>
      <c r="W607" s="9"/>
      <c r="X607" s="9">
        <v>48566.47</v>
      </c>
      <c r="Y607" s="9">
        <v>4408.88</v>
      </c>
      <c r="Z607" s="9"/>
      <c r="AA607" s="9"/>
      <c r="AB607" s="9"/>
      <c r="AC607" s="9"/>
      <c r="AD607" s="9"/>
      <c r="AE607" s="9"/>
      <c r="AF607" s="9"/>
      <c r="AG607" s="9"/>
      <c r="AH607" s="7">
        <v>48566.47</v>
      </c>
      <c r="AI607" s="7">
        <v>4408.88</v>
      </c>
    </row>
    <row r="608" spans="2:35" x14ac:dyDescent="0.3">
      <c r="B608" s="5" t="s">
        <v>3061</v>
      </c>
      <c r="C608" s="5" t="s">
        <v>13</v>
      </c>
      <c r="D608" s="12" t="s">
        <v>1213</v>
      </c>
      <c r="E608" s="6" t="s">
        <v>945</v>
      </c>
      <c r="F608" s="13" t="s">
        <v>946</v>
      </c>
      <c r="G608" s="6" t="s">
        <v>658</v>
      </c>
      <c r="H608" s="7" t="str">
        <f t="shared" si="9"/>
        <v>EPC-IPU-E951-07Operation &amp; Maintenance</v>
      </c>
      <c r="I608" s="8" t="s">
        <v>49</v>
      </c>
      <c r="J608" s="8" t="s">
        <v>76</v>
      </c>
      <c r="K608" s="8" t="s">
        <v>76</v>
      </c>
      <c r="L608" s="9"/>
      <c r="M608" s="9"/>
      <c r="N608" s="9"/>
      <c r="O608" s="9"/>
      <c r="P608" s="9"/>
      <c r="Q608" s="9"/>
      <c r="R608" s="9"/>
      <c r="S608" s="9"/>
      <c r="T608" s="9"/>
      <c r="U608" s="9"/>
      <c r="V608" s="9"/>
      <c r="W608" s="9"/>
      <c r="X608" s="9">
        <v>0</v>
      </c>
      <c r="Y608" s="9">
        <v>2517</v>
      </c>
      <c r="Z608" s="9"/>
      <c r="AA608" s="9"/>
      <c r="AB608" s="9"/>
      <c r="AC608" s="9"/>
      <c r="AD608" s="9"/>
      <c r="AE608" s="9"/>
      <c r="AF608" s="9"/>
      <c r="AG608" s="9"/>
      <c r="AH608" s="7">
        <v>0</v>
      </c>
      <c r="AI608" s="7">
        <v>2517</v>
      </c>
    </row>
    <row r="609" spans="2:35" x14ac:dyDescent="0.3">
      <c r="B609" s="5" t="s">
        <v>3061</v>
      </c>
      <c r="C609" s="5" t="s">
        <v>13</v>
      </c>
      <c r="D609" s="12" t="s">
        <v>1213</v>
      </c>
      <c r="E609" s="6" t="s">
        <v>485</v>
      </c>
      <c r="F609" s="13" t="s">
        <v>486</v>
      </c>
      <c r="G609" s="6" t="s">
        <v>487</v>
      </c>
      <c r="H609" s="7" t="str">
        <f t="shared" si="9"/>
        <v>PPP-IPU-C334-01Operation &amp; Maintenance</v>
      </c>
      <c r="I609" s="8" t="s">
        <v>18</v>
      </c>
      <c r="J609" s="8" t="s">
        <v>19</v>
      </c>
      <c r="K609" s="8" t="s">
        <v>20</v>
      </c>
      <c r="L609" s="9"/>
      <c r="M609" s="9"/>
      <c r="N609" s="9"/>
      <c r="O609" s="9"/>
      <c r="P609" s="9"/>
      <c r="Q609" s="9"/>
      <c r="R609" s="9"/>
      <c r="S609" s="9"/>
      <c r="T609" s="9"/>
      <c r="U609" s="9"/>
      <c r="V609" s="9"/>
      <c r="W609" s="9"/>
      <c r="X609" s="9">
        <v>7560.32</v>
      </c>
      <c r="Y609" s="9">
        <v>2280.66</v>
      </c>
      <c r="Z609" s="9"/>
      <c r="AA609" s="9"/>
      <c r="AB609" s="9"/>
      <c r="AC609" s="9"/>
      <c r="AD609" s="9"/>
      <c r="AE609" s="9"/>
      <c r="AF609" s="9"/>
      <c r="AG609" s="9"/>
      <c r="AH609" s="7">
        <v>7560.32</v>
      </c>
      <c r="AI609" s="7">
        <v>2280.66</v>
      </c>
    </row>
    <row r="610" spans="2:35" x14ac:dyDescent="0.3">
      <c r="B610" s="5" t="s">
        <v>3061</v>
      </c>
      <c r="C610" s="5" t="s">
        <v>13</v>
      </c>
      <c r="D610" s="12" t="s">
        <v>1214</v>
      </c>
      <c r="E610" s="6" t="s">
        <v>485</v>
      </c>
      <c r="F610" s="13" t="s">
        <v>486</v>
      </c>
      <c r="G610" s="6" t="s">
        <v>487</v>
      </c>
      <c r="H610" s="7" t="str">
        <f t="shared" si="9"/>
        <v>PPP-IPU-C334-01Unknown</v>
      </c>
      <c r="I610" s="8" t="s">
        <v>18</v>
      </c>
      <c r="J610" s="8" t="s">
        <v>19</v>
      </c>
      <c r="K610" s="8" t="s">
        <v>20</v>
      </c>
      <c r="L610" s="9"/>
      <c r="M610" s="9"/>
      <c r="N610" s="9"/>
      <c r="O610" s="9"/>
      <c r="P610" s="9"/>
      <c r="Q610" s="9"/>
      <c r="R610" s="9"/>
      <c r="S610" s="9"/>
      <c r="T610" s="9"/>
      <c r="U610" s="9"/>
      <c r="V610" s="9"/>
      <c r="W610" s="9"/>
      <c r="X610" s="9">
        <v>0</v>
      </c>
      <c r="Y610" s="9">
        <v>1056.01</v>
      </c>
      <c r="Z610" s="9"/>
      <c r="AA610" s="9"/>
      <c r="AB610" s="9"/>
      <c r="AC610" s="9"/>
      <c r="AD610" s="9"/>
      <c r="AE610" s="9"/>
      <c r="AF610" s="9"/>
      <c r="AG610" s="9"/>
      <c r="AH610" s="7">
        <v>0</v>
      </c>
      <c r="AI610" s="7">
        <v>1056.01</v>
      </c>
    </row>
    <row r="611" spans="2:35" x14ac:dyDescent="0.3">
      <c r="B611" s="5" t="s">
        <v>3061</v>
      </c>
      <c r="C611" s="5" t="s">
        <v>13</v>
      </c>
      <c r="D611" s="12" t="s">
        <v>1213</v>
      </c>
      <c r="E611" s="6" t="s">
        <v>497</v>
      </c>
      <c r="F611" s="13" t="s">
        <v>498</v>
      </c>
      <c r="G611" s="6" t="s">
        <v>499</v>
      </c>
      <c r="H611" s="7" t="str">
        <f t="shared" si="9"/>
        <v>SEC-IPU-L781-01Operation &amp; Maintenance</v>
      </c>
      <c r="I611" s="8" t="s">
        <v>56</v>
      </c>
      <c r="J611" s="8" t="s">
        <v>19</v>
      </c>
      <c r="K611" s="8" t="s">
        <v>20</v>
      </c>
      <c r="L611" s="9"/>
      <c r="M611" s="9"/>
      <c r="N611" s="9"/>
      <c r="O611" s="9"/>
      <c r="P611" s="9"/>
      <c r="Q611" s="9"/>
      <c r="R611" s="9"/>
      <c r="S611" s="9"/>
      <c r="T611" s="9"/>
      <c r="U611" s="9"/>
      <c r="V611" s="9"/>
      <c r="W611" s="9"/>
      <c r="X611" s="9">
        <v>1680</v>
      </c>
      <c r="Y611" s="9">
        <v>75.25</v>
      </c>
      <c r="Z611" s="9"/>
      <c r="AA611" s="9"/>
      <c r="AB611" s="9"/>
      <c r="AC611" s="9"/>
      <c r="AD611" s="9"/>
      <c r="AE611" s="9"/>
      <c r="AF611" s="9"/>
      <c r="AG611" s="9"/>
      <c r="AH611" s="7">
        <v>1680</v>
      </c>
      <c r="AI611" s="7">
        <v>75.25</v>
      </c>
    </row>
    <row r="612" spans="2:35" x14ac:dyDescent="0.3">
      <c r="B612" s="5" t="s">
        <v>3061</v>
      </c>
      <c r="C612" s="5" t="s">
        <v>13</v>
      </c>
      <c r="D612" s="12" t="s">
        <v>1213</v>
      </c>
      <c r="E612" s="6" t="s">
        <v>376</v>
      </c>
      <c r="F612" s="13" t="s">
        <v>377</v>
      </c>
      <c r="G612" s="6" t="s">
        <v>378</v>
      </c>
      <c r="H612" s="7" t="str">
        <f t="shared" si="9"/>
        <v>PPP-IPU-F229-01Operation &amp; Maintenance</v>
      </c>
      <c r="I612" s="8" t="s">
        <v>56</v>
      </c>
      <c r="J612" s="8" t="s">
        <v>19</v>
      </c>
      <c r="K612" s="8" t="s">
        <v>20</v>
      </c>
      <c r="L612" s="9"/>
      <c r="M612" s="9"/>
      <c r="N612" s="9"/>
      <c r="O612" s="9"/>
      <c r="P612" s="9"/>
      <c r="Q612" s="9"/>
      <c r="R612" s="9"/>
      <c r="S612" s="9"/>
      <c r="T612" s="9"/>
      <c r="U612" s="9"/>
      <c r="V612" s="9"/>
      <c r="W612" s="9"/>
      <c r="X612" s="9">
        <v>37428.9</v>
      </c>
      <c r="Y612" s="9">
        <v>34884.620000000003</v>
      </c>
      <c r="Z612" s="9"/>
      <c r="AA612" s="9"/>
      <c r="AB612" s="9"/>
      <c r="AC612" s="9"/>
      <c r="AD612" s="9"/>
      <c r="AE612" s="9"/>
      <c r="AF612" s="9"/>
      <c r="AG612" s="9"/>
      <c r="AH612" s="7">
        <v>37428.9</v>
      </c>
      <c r="AI612" s="7">
        <v>34884.620000000003</v>
      </c>
    </row>
    <row r="613" spans="2:35" x14ac:dyDescent="0.3">
      <c r="B613" s="5" t="s">
        <v>3061</v>
      </c>
      <c r="C613" s="5" t="s">
        <v>13</v>
      </c>
      <c r="D613" s="12" t="s">
        <v>1213</v>
      </c>
      <c r="E613" s="6" t="s">
        <v>199</v>
      </c>
      <c r="F613" s="13" t="s">
        <v>200</v>
      </c>
      <c r="G613" s="6" t="s">
        <v>201</v>
      </c>
      <c r="H613" s="7" t="str">
        <f t="shared" si="9"/>
        <v>PPP-EEE-B294-03Operation &amp; Maintenance</v>
      </c>
      <c r="I613" s="8" t="s">
        <v>24</v>
      </c>
      <c r="J613" s="8" t="s">
        <v>202</v>
      </c>
      <c r="K613" s="8" t="s">
        <v>202</v>
      </c>
      <c r="L613" s="9"/>
      <c r="M613" s="9"/>
      <c r="N613" s="9"/>
      <c r="O613" s="9"/>
      <c r="P613" s="9"/>
      <c r="Q613" s="9"/>
      <c r="R613" s="9"/>
      <c r="S613" s="9"/>
      <c r="T613" s="9"/>
      <c r="U613" s="9"/>
      <c r="V613" s="9"/>
      <c r="W613" s="9"/>
      <c r="X613" s="9">
        <v>190024.08</v>
      </c>
      <c r="Y613" s="9">
        <v>5133.38</v>
      </c>
      <c r="Z613" s="9"/>
      <c r="AA613" s="9"/>
      <c r="AB613" s="9"/>
      <c r="AC613" s="9"/>
      <c r="AD613" s="9"/>
      <c r="AE613" s="9"/>
      <c r="AF613" s="9"/>
      <c r="AG613" s="9"/>
      <c r="AH613" s="7">
        <v>190024.08</v>
      </c>
      <c r="AI613" s="7">
        <v>5133.38</v>
      </c>
    </row>
    <row r="614" spans="2:35" x14ac:dyDescent="0.3">
      <c r="B614" s="5" t="s">
        <v>3061</v>
      </c>
      <c r="C614" s="5" t="s">
        <v>13</v>
      </c>
      <c r="D614" s="12" t="s">
        <v>1213</v>
      </c>
      <c r="E614" s="6" t="s">
        <v>1118</v>
      </c>
      <c r="F614" s="13" t="s">
        <v>1119</v>
      </c>
      <c r="G614" s="6" t="s">
        <v>45</v>
      </c>
      <c r="H614" s="7" t="str">
        <f t="shared" si="9"/>
        <v>EPC-IPU-E716-06Operation &amp; Maintenance</v>
      </c>
      <c r="I614" s="8" t="s">
        <v>18</v>
      </c>
      <c r="J614" s="8" t="s">
        <v>76</v>
      </c>
      <c r="K614" s="8" t="s">
        <v>76</v>
      </c>
      <c r="L614" s="9"/>
      <c r="M614" s="9"/>
      <c r="N614" s="9"/>
      <c r="O614" s="9"/>
      <c r="P614" s="9"/>
      <c r="Q614" s="9"/>
      <c r="R614" s="9"/>
      <c r="S614" s="9"/>
      <c r="T614" s="9"/>
      <c r="U614" s="9"/>
      <c r="V614" s="9"/>
      <c r="W614" s="9"/>
      <c r="X614" s="9">
        <v>37628.04</v>
      </c>
      <c r="Y614" s="9">
        <v>0</v>
      </c>
      <c r="Z614" s="9"/>
      <c r="AA614" s="9"/>
      <c r="AB614" s="9"/>
      <c r="AC614" s="9"/>
      <c r="AD614" s="9"/>
      <c r="AE614" s="9"/>
      <c r="AF614" s="9"/>
      <c r="AG614" s="9"/>
      <c r="AH614" s="7">
        <v>37628.04</v>
      </c>
      <c r="AI614" s="7">
        <v>0</v>
      </c>
    </row>
    <row r="615" spans="2:35" x14ac:dyDescent="0.3">
      <c r="B615" s="5" t="s">
        <v>3061</v>
      </c>
      <c r="C615" s="5" t="s">
        <v>13</v>
      </c>
      <c r="D615" s="12" t="s">
        <v>1213</v>
      </c>
      <c r="E615" s="6" t="s">
        <v>580</v>
      </c>
      <c r="F615" s="13" t="s">
        <v>581</v>
      </c>
      <c r="G615" s="6" t="s">
        <v>566</v>
      </c>
      <c r="H615" s="7" t="str">
        <f t="shared" si="9"/>
        <v>AQ1-IPU-L191-01Operation &amp; Maintenance</v>
      </c>
      <c r="I615" s="8" t="s">
        <v>24</v>
      </c>
      <c r="J615" s="8" t="s">
        <v>19</v>
      </c>
      <c r="K615" s="8" t="s">
        <v>475</v>
      </c>
      <c r="L615" s="9"/>
      <c r="M615" s="9"/>
      <c r="N615" s="9"/>
      <c r="O615" s="9"/>
      <c r="P615" s="9"/>
      <c r="Q615" s="9"/>
      <c r="R615" s="9"/>
      <c r="S615" s="9"/>
      <c r="T615" s="9"/>
      <c r="U615" s="9"/>
      <c r="V615" s="9"/>
      <c r="W615" s="9"/>
      <c r="X615" s="9">
        <v>0</v>
      </c>
      <c r="Y615" s="9">
        <v>2262.1999999999998</v>
      </c>
      <c r="Z615" s="9"/>
      <c r="AA615" s="9"/>
      <c r="AB615" s="9"/>
      <c r="AC615" s="9"/>
      <c r="AD615" s="9"/>
      <c r="AE615" s="9"/>
      <c r="AF615" s="9"/>
      <c r="AG615" s="9"/>
      <c r="AH615" s="7">
        <v>0</v>
      </c>
      <c r="AI615" s="7">
        <v>2262.1999999999998</v>
      </c>
    </row>
    <row r="616" spans="2:35" x14ac:dyDescent="0.3">
      <c r="B616" s="5" t="s">
        <v>3061</v>
      </c>
      <c r="C616" s="5" t="s">
        <v>13</v>
      </c>
      <c r="D616" s="12" t="s">
        <v>1213</v>
      </c>
      <c r="E616" s="6" t="s">
        <v>937</v>
      </c>
      <c r="F616" s="13" t="s">
        <v>938</v>
      </c>
      <c r="G616" s="6" t="s">
        <v>450</v>
      </c>
      <c r="H616" s="7" t="str">
        <f t="shared" si="9"/>
        <v>EPC-IPU-F348-05Operation &amp; Maintenance</v>
      </c>
      <c r="I616" s="8" t="s">
        <v>24</v>
      </c>
      <c r="J616" s="8" t="s">
        <v>76</v>
      </c>
      <c r="K616" s="8" t="s">
        <v>76</v>
      </c>
      <c r="L616" s="9"/>
      <c r="M616" s="9"/>
      <c r="N616" s="9"/>
      <c r="O616" s="9"/>
      <c r="P616" s="9"/>
      <c r="Q616" s="9"/>
      <c r="R616" s="9"/>
      <c r="S616" s="9"/>
      <c r="T616" s="9"/>
      <c r="U616" s="9"/>
      <c r="V616" s="9"/>
      <c r="W616" s="9"/>
      <c r="X616" s="9">
        <v>0</v>
      </c>
      <c r="Y616" s="9">
        <v>58.95</v>
      </c>
      <c r="Z616" s="9"/>
      <c r="AA616" s="9"/>
      <c r="AB616" s="9"/>
      <c r="AC616" s="9"/>
      <c r="AD616" s="9"/>
      <c r="AE616" s="9"/>
      <c r="AF616" s="9"/>
      <c r="AG616" s="9"/>
      <c r="AH616" s="7">
        <v>0</v>
      </c>
      <c r="AI616" s="7">
        <v>58.95</v>
      </c>
    </row>
    <row r="617" spans="2:35" x14ac:dyDescent="0.3">
      <c r="B617" s="5" t="s">
        <v>3061</v>
      </c>
      <c r="C617" s="5" t="s">
        <v>13</v>
      </c>
      <c r="D617" s="12" t="s">
        <v>1213</v>
      </c>
      <c r="E617" s="6" t="s">
        <v>464</v>
      </c>
      <c r="F617" s="13" t="s">
        <v>465</v>
      </c>
      <c r="G617" s="6" t="s">
        <v>466</v>
      </c>
      <c r="H617" s="7" t="str">
        <f t="shared" si="9"/>
        <v>CL3-IPU-B162-01Operation &amp; Maintenance</v>
      </c>
      <c r="I617" s="8" t="s">
        <v>49</v>
      </c>
      <c r="J617" s="8" t="s">
        <v>19</v>
      </c>
      <c r="K617" s="8" t="s">
        <v>98</v>
      </c>
      <c r="L617" s="9"/>
      <c r="M617" s="9"/>
      <c r="N617" s="9"/>
      <c r="O617" s="9"/>
      <c r="P617" s="9"/>
      <c r="Q617" s="9"/>
      <c r="R617" s="9"/>
      <c r="S617" s="9"/>
      <c r="T617" s="9"/>
      <c r="U617" s="9"/>
      <c r="V617" s="9"/>
      <c r="W617" s="9"/>
      <c r="X617" s="9">
        <v>0</v>
      </c>
      <c r="Y617" s="9">
        <v>6276.75</v>
      </c>
      <c r="Z617" s="9"/>
      <c r="AA617" s="9"/>
      <c r="AB617" s="9"/>
      <c r="AC617" s="9"/>
      <c r="AD617" s="9"/>
      <c r="AE617" s="9"/>
      <c r="AF617" s="9"/>
      <c r="AG617" s="9"/>
      <c r="AH617" s="7">
        <v>0</v>
      </c>
      <c r="AI617" s="7">
        <v>6276.75</v>
      </c>
    </row>
    <row r="618" spans="2:35" x14ac:dyDescent="0.3">
      <c r="B618" s="5" t="s">
        <v>3061</v>
      </c>
      <c r="C618" s="5" t="s">
        <v>13</v>
      </c>
      <c r="D618" s="12" t="s">
        <v>1214</v>
      </c>
      <c r="E618" s="6" t="s">
        <v>711</v>
      </c>
      <c r="F618" s="13" t="s">
        <v>711</v>
      </c>
      <c r="G618" s="6" t="s">
        <v>688</v>
      </c>
      <c r="H618" s="7" t="str">
        <f t="shared" si="9"/>
        <v>STRUTTURA BU NORD OVESTUnknown</v>
      </c>
      <c r="I618" s="8" t="s">
        <v>49</v>
      </c>
      <c r="J618" s="8" t="s">
        <v>690</v>
      </c>
      <c r="K618" s="8" t="s">
        <v>690</v>
      </c>
      <c r="L618" s="9"/>
      <c r="M618" s="9"/>
      <c r="N618" s="9"/>
      <c r="O618" s="9"/>
      <c r="P618" s="9"/>
      <c r="Q618" s="9"/>
      <c r="R618" s="9"/>
      <c r="S618" s="9"/>
      <c r="T618" s="9"/>
      <c r="U618" s="9"/>
      <c r="V618" s="9"/>
      <c r="W618" s="9"/>
      <c r="X618" s="9">
        <v>0</v>
      </c>
      <c r="Y618" s="9">
        <v>70745.11</v>
      </c>
      <c r="Z618" s="9"/>
      <c r="AA618" s="9"/>
      <c r="AB618" s="9"/>
      <c r="AC618" s="9"/>
      <c r="AD618" s="9"/>
      <c r="AE618" s="9"/>
      <c r="AF618" s="9"/>
      <c r="AG618" s="9"/>
      <c r="AH618" s="7">
        <v>0</v>
      </c>
      <c r="AI618" s="7">
        <v>70745.11</v>
      </c>
    </row>
    <row r="619" spans="2:35" x14ac:dyDescent="0.3">
      <c r="B619" s="5" t="s">
        <v>3061</v>
      </c>
      <c r="C619" s="5" t="s">
        <v>13</v>
      </c>
      <c r="D619" s="12" t="s">
        <v>1213</v>
      </c>
      <c r="E619" s="6" t="s">
        <v>439</v>
      </c>
      <c r="F619" s="13" t="s">
        <v>440</v>
      </c>
      <c r="G619" s="6" t="s">
        <v>441</v>
      </c>
      <c r="H619" s="7" t="str">
        <f t="shared" si="9"/>
        <v>PPP-IPU-E558-01Operation &amp; Maintenance</v>
      </c>
      <c r="I619" s="8" t="s">
        <v>24</v>
      </c>
      <c r="J619" s="8" t="s">
        <v>19</v>
      </c>
      <c r="K619" s="8" t="s">
        <v>20</v>
      </c>
      <c r="L619" s="9"/>
      <c r="M619" s="9"/>
      <c r="N619" s="9"/>
      <c r="O619" s="9"/>
      <c r="P619" s="9"/>
      <c r="Q619" s="9"/>
      <c r="R619" s="9"/>
      <c r="S619" s="9"/>
      <c r="T619" s="9"/>
      <c r="U619" s="9"/>
      <c r="V619" s="9"/>
      <c r="W619" s="9"/>
      <c r="X619" s="9">
        <v>11073.5</v>
      </c>
      <c r="Y619" s="9">
        <v>4335.66</v>
      </c>
      <c r="Z619" s="9"/>
      <c r="AA619" s="9"/>
      <c r="AB619" s="9"/>
      <c r="AC619" s="9"/>
      <c r="AD619" s="9"/>
      <c r="AE619" s="9"/>
      <c r="AF619" s="9"/>
      <c r="AG619" s="9"/>
      <c r="AH619" s="7">
        <v>11073.5</v>
      </c>
      <c r="AI619" s="7">
        <v>4335.66</v>
      </c>
    </row>
    <row r="620" spans="2:35" x14ac:dyDescent="0.3">
      <c r="B620" s="5" t="s">
        <v>3061</v>
      </c>
      <c r="C620" s="5" t="s">
        <v>13</v>
      </c>
      <c r="D620" s="12" t="s">
        <v>1214</v>
      </c>
      <c r="E620" s="6" t="s">
        <v>714</v>
      </c>
      <c r="F620" s="13" t="s">
        <v>715</v>
      </c>
      <c r="G620" s="6" t="s">
        <v>716</v>
      </c>
      <c r="H620" s="7" t="str">
        <f t="shared" si="9"/>
        <v>SEC-PHV-F415-01Unknown</v>
      </c>
      <c r="I620" s="8" t="s">
        <v>24</v>
      </c>
      <c r="J620" s="8" t="s">
        <v>454</v>
      </c>
      <c r="K620" s="8" t="s">
        <v>454</v>
      </c>
      <c r="L620" s="9"/>
      <c r="M620" s="9"/>
      <c r="N620" s="9"/>
      <c r="O620" s="9"/>
      <c r="P620" s="9"/>
      <c r="Q620" s="9"/>
      <c r="R620" s="9"/>
      <c r="S620" s="9"/>
      <c r="T620" s="9"/>
      <c r="U620" s="9"/>
      <c r="V620" s="9"/>
      <c r="W620" s="9"/>
      <c r="X620" s="9">
        <v>0</v>
      </c>
      <c r="Y620" s="9">
        <v>221.49</v>
      </c>
      <c r="Z620" s="9"/>
      <c r="AA620" s="9"/>
      <c r="AB620" s="9"/>
      <c r="AC620" s="9"/>
      <c r="AD620" s="9"/>
      <c r="AE620" s="9"/>
      <c r="AF620" s="9"/>
      <c r="AG620" s="9"/>
      <c r="AH620" s="7">
        <v>0</v>
      </c>
      <c r="AI620" s="7">
        <v>221.49</v>
      </c>
    </row>
    <row r="621" spans="2:35" x14ac:dyDescent="0.3">
      <c r="B621" s="5" t="s">
        <v>3061</v>
      </c>
      <c r="C621" s="5" t="s">
        <v>865</v>
      </c>
      <c r="D621" s="12" t="s">
        <v>1213</v>
      </c>
      <c r="E621" s="6" t="s">
        <v>883</v>
      </c>
      <c r="F621" s="13" t="s">
        <v>884</v>
      </c>
      <c r="G621" s="6" t="s">
        <v>885</v>
      </c>
      <c r="H621" s="7" t="str">
        <f t="shared" si="9"/>
        <v>PPP-IPU-D184-01Operation &amp; Maintenance</v>
      </c>
      <c r="I621" s="8" t="s">
        <v>18</v>
      </c>
      <c r="J621" s="8" t="s">
        <v>19</v>
      </c>
      <c r="K621" s="8" t="s">
        <v>20</v>
      </c>
      <c r="L621" s="9"/>
      <c r="M621" s="9"/>
      <c r="N621" s="9"/>
      <c r="O621" s="9"/>
      <c r="P621" s="9"/>
      <c r="Q621" s="9"/>
      <c r="R621" s="9"/>
      <c r="S621" s="9"/>
      <c r="T621" s="9"/>
      <c r="U621" s="9"/>
      <c r="V621" s="9"/>
      <c r="W621" s="9"/>
      <c r="X621" s="9">
        <v>39310.61</v>
      </c>
      <c r="Y621" s="9">
        <v>19897.66</v>
      </c>
      <c r="Z621" s="9"/>
      <c r="AA621" s="9"/>
      <c r="AB621" s="9"/>
      <c r="AC621" s="9"/>
      <c r="AD621" s="9"/>
      <c r="AE621" s="9"/>
      <c r="AF621" s="9"/>
      <c r="AG621" s="9"/>
      <c r="AH621" s="7">
        <v>39310.61</v>
      </c>
      <c r="AI621" s="7">
        <v>19897.66</v>
      </c>
    </row>
    <row r="622" spans="2:35" x14ac:dyDescent="0.3">
      <c r="B622" s="5" t="s">
        <v>3061</v>
      </c>
      <c r="C622" s="5" t="s">
        <v>13</v>
      </c>
      <c r="D622" s="12" t="s">
        <v>1215</v>
      </c>
      <c r="E622" s="6" t="s">
        <v>1046</v>
      </c>
      <c r="F622" s="13" t="s">
        <v>1047</v>
      </c>
      <c r="G622" s="6" t="s">
        <v>1048</v>
      </c>
      <c r="H622" s="7" t="str">
        <f t="shared" si="9"/>
        <v>EPC-IPU-L124-01Spot</v>
      </c>
      <c r="I622" s="8" t="s">
        <v>18</v>
      </c>
      <c r="J622" s="8" t="s">
        <v>259</v>
      </c>
      <c r="K622" s="8" t="s">
        <v>259</v>
      </c>
      <c r="L622" s="9"/>
      <c r="M622" s="9"/>
      <c r="N622" s="9"/>
      <c r="O622" s="9"/>
      <c r="P622" s="9"/>
      <c r="Q622" s="9"/>
      <c r="R622" s="9"/>
      <c r="S622" s="9"/>
      <c r="T622" s="9"/>
      <c r="U622" s="9"/>
      <c r="V622" s="9"/>
      <c r="W622" s="9"/>
      <c r="X622" s="9">
        <v>3466.56</v>
      </c>
      <c r="Y622" s="9">
        <v>1282.98</v>
      </c>
      <c r="Z622" s="9"/>
      <c r="AA622" s="9"/>
      <c r="AB622" s="9"/>
      <c r="AC622" s="9"/>
      <c r="AD622" s="9"/>
      <c r="AE622" s="9"/>
      <c r="AF622" s="9"/>
      <c r="AG622" s="9"/>
      <c r="AH622" s="7">
        <v>3466.56</v>
      </c>
      <c r="AI622" s="7">
        <v>1282.98</v>
      </c>
    </row>
    <row r="623" spans="2:35" x14ac:dyDescent="0.3">
      <c r="B623" s="5" t="s">
        <v>3061</v>
      </c>
      <c r="C623" s="5" t="s">
        <v>13</v>
      </c>
      <c r="D623" s="12" t="s">
        <v>1213</v>
      </c>
      <c r="E623" s="6" t="s">
        <v>86</v>
      </c>
      <c r="F623" s="13" t="s">
        <v>87</v>
      </c>
      <c r="G623" s="6" t="s">
        <v>88</v>
      </c>
      <c r="H623" s="7" t="str">
        <f t="shared" si="9"/>
        <v>PPP-IPU-I965-01Operation &amp; Maintenance</v>
      </c>
      <c r="I623" s="8" t="s">
        <v>56</v>
      </c>
      <c r="J623" s="8" t="s">
        <v>19</v>
      </c>
      <c r="K623" s="8" t="s">
        <v>20</v>
      </c>
      <c r="L623" s="9"/>
      <c r="M623" s="9"/>
      <c r="N623" s="9"/>
      <c r="O623" s="9"/>
      <c r="P623" s="9"/>
      <c r="Q623" s="9"/>
      <c r="R623" s="9"/>
      <c r="S623" s="9"/>
      <c r="T623" s="9"/>
      <c r="U623" s="9"/>
      <c r="V623" s="9"/>
      <c r="W623" s="9"/>
      <c r="X623" s="9">
        <v>9974.4599999999991</v>
      </c>
      <c r="Y623" s="9">
        <v>49466.77</v>
      </c>
      <c r="Z623" s="9"/>
      <c r="AA623" s="9"/>
      <c r="AB623" s="9"/>
      <c r="AC623" s="9"/>
      <c r="AD623" s="9"/>
      <c r="AE623" s="9"/>
      <c r="AF623" s="9"/>
      <c r="AG623" s="9"/>
      <c r="AH623" s="7">
        <v>9974.4599999999991</v>
      </c>
      <c r="AI623" s="7">
        <v>49466.77</v>
      </c>
    </row>
    <row r="624" spans="2:35" x14ac:dyDescent="0.3">
      <c r="B624" s="5" t="s">
        <v>3061</v>
      </c>
      <c r="C624" s="5" t="s">
        <v>13</v>
      </c>
      <c r="D624" s="12" t="s">
        <v>1213</v>
      </c>
      <c r="E624" s="6" t="s">
        <v>479</v>
      </c>
      <c r="F624" s="13" t="s">
        <v>480</v>
      </c>
      <c r="G624" s="6" t="s">
        <v>481</v>
      </c>
      <c r="H624" s="7" t="str">
        <f t="shared" si="9"/>
        <v>ATI-IPU-H943-01Operation &amp; Maintenance</v>
      </c>
      <c r="I624" s="8" t="s">
        <v>18</v>
      </c>
      <c r="J624" s="8" t="s">
        <v>19</v>
      </c>
      <c r="K624" s="8" t="s">
        <v>20</v>
      </c>
      <c r="L624" s="9"/>
      <c r="M624" s="9"/>
      <c r="N624" s="9"/>
      <c r="O624" s="9"/>
      <c r="P624" s="9"/>
      <c r="Q624" s="9"/>
      <c r="R624" s="9"/>
      <c r="S624" s="9"/>
      <c r="T624" s="9"/>
      <c r="U624" s="9"/>
      <c r="V624" s="9"/>
      <c r="W624" s="9"/>
      <c r="X624" s="9">
        <v>5818.65</v>
      </c>
      <c r="Y624" s="9">
        <v>1464.44</v>
      </c>
      <c r="Z624" s="9"/>
      <c r="AA624" s="9"/>
      <c r="AB624" s="9"/>
      <c r="AC624" s="9"/>
      <c r="AD624" s="9"/>
      <c r="AE624" s="9"/>
      <c r="AF624" s="9"/>
      <c r="AG624" s="9"/>
      <c r="AH624" s="7">
        <v>5818.65</v>
      </c>
      <c r="AI624" s="7">
        <v>1464.44</v>
      </c>
    </row>
    <row r="625" spans="2:35" x14ac:dyDescent="0.3">
      <c r="B625" s="5" t="s">
        <v>3061</v>
      </c>
      <c r="C625" s="5" t="s">
        <v>13</v>
      </c>
      <c r="D625" s="12" t="s">
        <v>1215</v>
      </c>
      <c r="E625" s="6" t="s">
        <v>955</v>
      </c>
      <c r="F625" s="13" t="s">
        <v>956</v>
      </c>
      <c r="G625" s="6" t="s">
        <v>795</v>
      </c>
      <c r="H625" s="7" t="str">
        <f t="shared" si="9"/>
        <v>EPC-IPU-G283-01Spot</v>
      </c>
      <c r="I625" s="8" t="s">
        <v>18</v>
      </c>
      <c r="J625" s="8" t="s">
        <v>76</v>
      </c>
      <c r="K625" s="8" t="s">
        <v>76</v>
      </c>
      <c r="L625" s="9"/>
      <c r="M625" s="9"/>
      <c r="N625" s="9"/>
      <c r="O625" s="9"/>
      <c r="P625" s="9"/>
      <c r="Q625" s="9"/>
      <c r="R625" s="9"/>
      <c r="S625" s="9"/>
      <c r="T625" s="9"/>
      <c r="U625" s="9"/>
      <c r="V625" s="9"/>
      <c r="W625" s="9"/>
      <c r="X625" s="9">
        <v>1325.79</v>
      </c>
      <c r="Y625" s="9">
        <v>0</v>
      </c>
      <c r="Z625" s="9"/>
      <c r="AA625" s="9"/>
      <c r="AB625" s="9"/>
      <c r="AC625" s="9"/>
      <c r="AD625" s="9"/>
      <c r="AE625" s="9"/>
      <c r="AF625" s="9"/>
      <c r="AG625" s="9"/>
      <c r="AH625" s="7">
        <v>1325.79</v>
      </c>
      <c r="AI625" s="7">
        <v>0</v>
      </c>
    </row>
    <row r="626" spans="2:35" x14ac:dyDescent="0.3">
      <c r="B626" s="5" t="s">
        <v>3061</v>
      </c>
      <c r="C626" s="5" t="s">
        <v>13</v>
      </c>
      <c r="D626" s="12" t="s">
        <v>1215</v>
      </c>
      <c r="E626" s="6" t="s">
        <v>835</v>
      </c>
      <c r="F626" s="13" t="s">
        <v>836</v>
      </c>
      <c r="G626" s="6" t="s">
        <v>837</v>
      </c>
      <c r="H626" s="7" t="str">
        <f t="shared" si="9"/>
        <v>SEC-IPU-A087-01Spot</v>
      </c>
      <c r="I626" s="8" t="s">
        <v>49</v>
      </c>
      <c r="J626" s="8" t="s">
        <v>259</v>
      </c>
      <c r="K626" s="8" t="s">
        <v>259</v>
      </c>
      <c r="L626" s="9"/>
      <c r="M626" s="9"/>
      <c r="N626" s="9"/>
      <c r="O626" s="9"/>
      <c r="P626" s="9"/>
      <c r="Q626" s="9"/>
      <c r="R626" s="9"/>
      <c r="S626" s="9"/>
      <c r="T626" s="9"/>
      <c r="U626" s="9"/>
      <c r="V626" s="9"/>
      <c r="W626" s="9"/>
      <c r="X626" s="9">
        <v>696.52</v>
      </c>
      <c r="Y626" s="9">
        <v>0</v>
      </c>
      <c r="Z626" s="9"/>
      <c r="AA626" s="9"/>
      <c r="AB626" s="9"/>
      <c r="AC626" s="9"/>
      <c r="AD626" s="9"/>
      <c r="AE626" s="9"/>
      <c r="AF626" s="9"/>
      <c r="AG626" s="9"/>
      <c r="AH626" s="7">
        <v>696.52</v>
      </c>
      <c r="AI626" s="7">
        <v>0</v>
      </c>
    </row>
    <row r="627" spans="2:35" x14ac:dyDescent="0.3">
      <c r="B627" s="5" t="s">
        <v>3061</v>
      </c>
      <c r="C627" s="5" t="s">
        <v>13</v>
      </c>
      <c r="D627" s="12" t="s">
        <v>1213</v>
      </c>
      <c r="E627" s="6" t="s">
        <v>835</v>
      </c>
      <c r="F627" s="13" t="s">
        <v>836</v>
      </c>
      <c r="G627" s="6" t="s">
        <v>837</v>
      </c>
      <c r="H627" s="7" t="str">
        <f t="shared" si="9"/>
        <v>SEC-IPU-A087-01Operation &amp; Maintenance</v>
      </c>
      <c r="I627" s="8" t="s">
        <v>49</v>
      </c>
      <c r="J627" s="8" t="s">
        <v>259</v>
      </c>
      <c r="K627" s="8" t="s">
        <v>259</v>
      </c>
      <c r="L627" s="9"/>
      <c r="M627" s="9"/>
      <c r="N627" s="9"/>
      <c r="O627" s="9"/>
      <c r="P627" s="9"/>
      <c r="Q627" s="9"/>
      <c r="R627" s="9"/>
      <c r="S627" s="9"/>
      <c r="T627" s="9"/>
      <c r="U627" s="9"/>
      <c r="V627" s="9"/>
      <c r="W627" s="9"/>
      <c r="X627" s="9">
        <v>232.17</v>
      </c>
      <c r="Y627" s="9">
        <v>0</v>
      </c>
      <c r="Z627" s="9"/>
      <c r="AA627" s="9"/>
      <c r="AB627" s="9"/>
      <c r="AC627" s="9"/>
      <c r="AD627" s="9"/>
      <c r="AE627" s="9"/>
      <c r="AF627" s="9"/>
      <c r="AG627" s="9"/>
      <c r="AH627" s="7">
        <v>232.17</v>
      </c>
      <c r="AI627" s="7">
        <v>0</v>
      </c>
    </row>
    <row r="628" spans="2:35" x14ac:dyDescent="0.3">
      <c r="B628" s="5" t="s">
        <v>3061</v>
      </c>
      <c r="C628" s="5" t="s">
        <v>13</v>
      </c>
      <c r="D628" s="12" t="s">
        <v>1215</v>
      </c>
      <c r="E628" s="6" t="s">
        <v>1066</v>
      </c>
      <c r="F628" s="13" t="s">
        <v>1067</v>
      </c>
      <c r="G628" s="6" t="s">
        <v>1068</v>
      </c>
      <c r="H628" s="7" t="str">
        <f t="shared" si="9"/>
        <v>EPC-IPU-L285-01Spot</v>
      </c>
      <c r="I628" s="8" t="s">
        <v>49</v>
      </c>
      <c r="J628" s="8" t="s">
        <v>76</v>
      </c>
      <c r="K628" s="8" t="s">
        <v>76</v>
      </c>
      <c r="L628" s="9"/>
      <c r="M628" s="9"/>
      <c r="N628" s="9"/>
      <c r="O628" s="9"/>
      <c r="P628" s="9"/>
      <c r="Q628" s="9"/>
      <c r="R628" s="9"/>
      <c r="S628" s="9"/>
      <c r="T628" s="9"/>
      <c r="U628" s="9"/>
      <c r="V628" s="9"/>
      <c r="W628" s="9"/>
      <c r="X628" s="9">
        <v>19209.39</v>
      </c>
      <c r="Y628" s="9">
        <v>10583.6</v>
      </c>
      <c r="Z628" s="9"/>
      <c r="AA628" s="9"/>
      <c r="AB628" s="9"/>
      <c r="AC628" s="9"/>
      <c r="AD628" s="9"/>
      <c r="AE628" s="9"/>
      <c r="AF628" s="9"/>
      <c r="AG628" s="9"/>
      <c r="AH628" s="7">
        <v>19209.39</v>
      </c>
      <c r="AI628" s="7">
        <v>10583.6</v>
      </c>
    </row>
    <row r="629" spans="2:35" x14ac:dyDescent="0.3">
      <c r="B629" s="5" t="s">
        <v>3061</v>
      </c>
      <c r="C629" s="5" t="s">
        <v>13</v>
      </c>
      <c r="D629" s="12" t="s">
        <v>1213</v>
      </c>
      <c r="E629" s="6" t="s">
        <v>1066</v>
      </c>
      <c r="F629" s="13" t="s">
        <v>1067</v>
      </c>
      <c r="G629" s="6" t="s">
        <v>1068</v>
      </c>
      <c r="H629" s="7" t="str">
        <f t="shared" si="9"/>
        <v>EPC-IPU-L285-01Operation &amp; Maintenance</v>
      </c>
      <c r="I629" s="8" t="s">
        <v>49</v>
      </c>
      <c r="J629" s="8" t="s">
        <v>76</v>
      </c>
      <c r="K629" s="8" t="s">
        <v>76</v>
      </c>
      <c r="L629" s="9"/>
      <c r="M629" s="9"/>
      <c r="N629" s="9"/>
      <c r="O629" s="9"/>
      <c r="P629" s="9"/>
      <c r="Q629" s="9"/>
      <c r="R629" s="9"/>
      <c r="S629" s="9"/>
      <c r="T629" s="9"/>
      <c r="U629" s="9"/>
      <c r="V629" s="9"/>
      <c r="W629" s="9"/>
      <c r="X629" s="9">
        <v>0</v>
      </c>
      <c r="Y629" s="9">
        <v>1990</v>
      </c>
      <c r="Z629" s="9"/>
      <c r="AA629" s="9"/>
      <c r="AB629" s="9"/>
      <c r="AC629" s="9"/>
      <c r="AD629" s="9"/>
      <c r="AE629" s="9"/>
      <c r="AF629" s="9"/>
      <c r="AG629" s="9"/>
      <c r="AH629" s="7">
        <v>0</v>
      </c>
      <c r="AI629" s="7">
        <v>1990</v>
      </c>
    </row>
    <row r="630" spans="2:35" x14ac:dyDescent="0.3">
      <c r="B630" s="5" t="s">
        <v>3061</v>
      </c>
      <c r="C630" s="5" t="s">
        <v>13</v>
      </c>
      <c r="D630" s="12" t="s">
        <v>1213</v>
      </c>
      <c r="E630" s="6" t="s">
        <v>390</v>
      </c>
      <c r="F630" s="13" t="s">
        <v>391</v>
      </c>
      <c r="G630" s="6" t="s">
        <v>113</v>
      </c>
      <c r="H630" s="7" t="str">
        <f t="shared" si="9"/>
        <v>PPP-IPU-C717-01Operation &amp; Maintenance</v>
      </c>
      <c r="I630" s="8" t="s">
        <v>18</v>
      </c>
      <c r="J630" s="8" t="s">
        <v>19</v>
      </c>
      <c r="K630" s="8" t="s">
        <v>20</v>
      </c>
      <c r="L630" s="9"/>
      <c r="M630" s="9"/>
      <c r="N630" s="9"/>
      <c r="O630" s="9"/>
      <c r="P630" s="9"/>
      <c r="Q630" s="9"/>
      <c r="R630" s="9"/>
      <c r="S630" s="9"/>
      <c r="T630" s="9"/>
      <c r="U630" s="9"/>
      <c r="V630" s="9"/>
      <c r="W630" s="9"/>
      <c r="X630" s="9">
        <v>26999.759999999998</v>
      </c>
      <c r="Y630" s="9">
        <v>11257.75</v>
      </c>
      <c r="Z630" s="9"/>
      <c r="AA630" s="9"/>
      <c r="AB630" s="9"/>
      <c r="AC630" s="9"/>
      <c r="AD630" s="9"/>
      <c r="AE630" s="9"/>
      <c r="AF630" s="9"/>
      <c r="AG630" s="9"/>
      <c r="AH630" s="7">
        <v>26999.759999999998</v>
      </c>
      <c r="AI630" s="7">
        <v>11257.75</v>
      </c>
    </row>
    <row r="631" spans="2:35" x14ac:dyDescent="0.3">
      <c r="B631" s="5" t="s">
        <v>3061</v>
      </c>
      <c r="C631" s="5" t="s">
        <v>13</v>
      </c>
      <c r="D631" s="12" t="s">
        <v>1215</v>
      </c>
      <c r="E631" s="6" t="s">
        <v>1081</v>
      </c>
      <c r="F631" s="13" t="s">
        <v>1082</v>
      </c>
      <c r="G631" s="6" t="s">
        <v>1083</v>
      </c>
      <c r="H631" s="7" t="str">
        <f t="shared" si="9"/>
        <v>EPC-IPU-G942-10Spot</v>
      </c>
      <c r="I631" s="8" t="s">
        <v>18</v>
      </c>
      <c r="J631" s="8" t="s">
        <v>259</v>
      </c>
      <c r="K631" s="8" t="s">
        <v>259</v>
      </c>
      <c r="L631" s="9"/>
      <c r="M631" s="9"/>
      <c r="N631" s="9"/>
      <c r="O631" s="9"/>
      <c r="P631" s="9"/>
      <c r="Q631" s="9"/>
      <c r="R631" s="9"/>
      <c r="S631" s="9"/>
      <c r="T631" s="9"/>
      <c r="U631" s="9"/>
      <c r="V631" s="9"/>
      <c r="W631" s="9"/>
      <c r="X631" s="9">
        <v>1842.9</v>
      </c>
      <c r="Y631" s="9">
        <v>740.83</v>
      </c>
      <c r="Z631" s="9"/>
      <c r="AA631" s="9"/>
      <c r="AB631" s="9"/>
      <c r="AC631" s="9"/>
      <c r="AD631" s="9"/>
      <c r="AE631" s="9"/>
      <c r="AF631" s="9"/>
      <c r="AG631" s="9"/>
      <c r="AH631" s="7">
        <v>1842.9</v>
      </c>
      <c r="AI631" s="7">
        <v>740.83</v>
      </c>
    </row>
    <row r="632" spans="2:35" x14ac:dyDescent="0.3">
      <c r="B632" s="5" t="s">
        <v>3061</v>
      </c>
      <c r="C632" s="5" t="s">
        <v>13</v>
      </c>
      <c r="D632" s="12" t="s">
        <v>1215</v>
      </c>
      <c r="E632" s="6" t="s">
        <v>1156</v>
      </c>
      <c r="F632" s="13" t="s">
        <v>1157</v>
      </c>
      <c r="G632" s="6" t="s">
        <v>381</v>
      </c>
      <c r="H632" s="7" t="str">
        <f t="shared" si="9"/>
        <v>EPC-IPU-A488-03Spot</v>
      </c>
      <c r="I632" s="8" t="s">
        <v>24</v>
      </c>
      <c r="J632" s="8" t="s">
        <v>76</v>
      </c>
      <c r="K632" s="8" t="s">
        <v>76</v>
      </c>
      <c r="L632" s="9"/>
      <c r="M632" s="9"/>
      <c r="N632" s="9"/>
      <c r="O632" s="9"/>
      <c r="P632" s="9"/>
      <c r="Q632" s="9"/>
      <c r="R632" s="9"/>
      <c r="S632" s="9"/>
      <c r="T632" s="9"/>
      <c r="U632" s="9"/>
      <c r="V632" s="9"/>
      <c r="W632" s="9"/>
      <c r="X632" s="9">
        <v>250</v>
      </c>
      <c r="Y632" s="9">
        <v>0</v>
      </c>
      <c r="Z632" s="9"/>
      <c r="AA632" s="9"/>
      <c r="AB632" s="9"/>
      <c r="AC632" s="9"/>
      <c r="AD632" s="9"/>
      <c r="AE632" s="9"/>
      <c r="AF632" s="9"/>
      <c r="AG632" s="9"/>
      <c r="AH632" s="7">
        <v>250</v>
      </c>
      <c r="AI632" s="7">
        <v>0</v>
      </c>
    </row>
    <row r="633" spans="2:35" x14ac:dyDescent="0.3">
      <c r="B633" s="5" t="s">
        <v>3061</v>
      </c>
      <c r="C633" s="5" t="s">
        <v>13</v>
      </c>
      <c r="D633" s="12" t="s">
        <v>1214</v>
      </c>
      <c r="E633" s="6" t="s">
        <v>1201</v>
      </c>
      <c r="F633" s="13" t="s">
        <v>1202</v>
      </c>
      <c r="G633" s="6" t="s">
        <v>694</v>
      </c>
      <c r="H633" s="7" t="str">
        <f t="shared" si="9"/>
        <v>SEC-PHV-D593-06Unknown</v>
      </c>
      <c r="I633" s="8" t="s">
        <v>18</v>
      </c>
      <c r="J633" s="8" t="s">
        <v>454</v>
      </c>
      <c r="K633" s="8" t="s">
        <v>454</v>
      </c>
      <c r="L633" s="9"/>
      <c r="M633" s="9"/>
      <c r="N633" s="9"/>
      <c r="O633" s="9"/>
      <c r="P633" s="9"/>
      <c r="Q633" s="9"/>
      <c r="R633" s="9"/>
      <c r="S633" s="9"/>
      <c r="T633" s="9"/>
      <c r="U633" s="9"/>
      <c r="V633" s="9"/>
      <c r="W633" s="9"/>
      <c r="X633" s="9">
        <v>1411.55</v>
      </c>
      <c r="Y633" s="9">
        <v>134.12</v>
      </c>
      <c r="Z633" s="9"/>
      <c r="AA633" s="9"/>
      <c r="AB633" s="9"/>
      <c r="AC633" s="9"/>
      <c r="AD633" s="9"/>
      <c r="AE633" s="9"/>
      <c r="AF633" s="9"/>
      <c r="AG633" s="9"/>
      <c r="AH633" s="7">
        <v>1411.55</v>
      </c>
      <c r="AI633" s="7">
        <v>134.12</v>
      </c>
    </row>
    <row r="634" spans="2:35" x14ac:dyDescent="0.3">
      <c r="B634" s="5" t="s">
        <v>3061</v>
      </c>
      <c r="C634" s="5" t="s">
        <v>13</v>
      </c>
      <c r="D634" s="12" t="s">
        <v>1213</v>
      </c>
      <c r="E634" s="6" t="s">
        <v>1180</v>
      </c>
      <c r="F634" s="13" t="s">
        <v>1181</v>
      </c>
      <c r="G634" s="6" t="s">
        <v>360</v>
      </c>
      <c r="H634" s="7" t="str">
        <f t="shared" si="9"/>
        <v>EPC-IPU-C888-03Operation &amp; Maintenance</v>
      </c>
      <c r="I634" s="8" t="s">
        <v>18</v>
      </c>
      <c r="J634" s="8" t="s">
        <v>76</v>
      </c>
      <c r="K634" s="8" t="s">
        <v>76</v>
      </c>
      <c r="L634" s="9"/>
      <c r="M634" s="9"/>
      <c r="N634" s="9"/>
      <c r="O634" s="9"/>
      <c r="P634" s="9"/>
      <c r="Q634" s="9"/>
      <c r="R634" s="9"/>
      <c r="S634" s="9"/>
      <c r="T634" s="9"/>
      <c r="U634" s="9"/>
      <c r="V634" s="9"/>
      <c r="W634" s="9"/>
      <c r="X634" s="9">
        <v>0</v>
      </c>
      <c r="Y634" s="9">
        <v>492.25</v>
      </c>
      <c r="Z634" s="9"/>
      <c r="AA634" s="9"/>
      <c r="AB634" s="9"/>
      <c r="AC634" s="9"/>
      <c r="AD634" s="9"/>
      <c r="AE634" s="9"/>
      <c r="AF634" s="9"/>
      <c r="AG634" s="9"/>
      <c r="AH634" s="7">
        <v>0</v>
      </c>
      <c r="AI634" s="7">
        <v>492.25</v>
      </c>
    </row>
    <row r="635" spans="2:35" x14ac:dyDescent="0.3">
      <c r="B635" s="5" t="s">
        <v>3061</v>
      </c>
      <c r="C635" s="5" t="s">
        <v>13</v>
      </c>
      <c r="D635" s="12" t="s">
        <v>1215</v>
      </c>
      <c r="E635" s="6" t="s">
        <v>1098</v>
      </c>
      <c r="F635" s="13" t="s">
        <v>1099</v>
      </c>
      <c r="G635" s="6" t="s">
        <v>1100</v>
      </c>
      <c r="H635" s="7" t="str">
        <f t="shared" si="9"/>
        <v>EPC-IPU-A413-08Spot</v>
      </c>
      <c r="I635" s="8" t="s">
        <v>49</v>
      </c>
      <c r="J635" s="8" t="s">
        <v>259</v>
      </c>
      <c r="K635" s="8" t="s">
        <v>259</v>
      </c>
      <c r="L635" s="9"/>
      <c r="M635" s="9"/>
      <c r="N635" s="9"/>
      <c r="O635" s="9"/>
      <c r="P635" s="9"/>
      <c r="Q635" s="9"/>
      <c r="R635" s="9"/>
      <c r="S635" s="9"/>
      <c r="T635" s="9"/>
      <c r="U635" s="9"/>
      <c r="V635" s="9"/>
      <c r="W635" s="9"/>
      <c r="X635" s="9">
        <v>12500</v>
      </c>
      <c r="Y635" s="9">
        <v>3127</v>
      </c>
      <c r="Z635" s="9"/>
      <c r="AA635" s="9"/>
      <c r="AB635" s="9"/>
      <c r="AC635" s="9"/>
      <c r="AD635" s="9"/>
      <c r="AE635" s="9"/>
      <c r="AF635" s="9"/>
      <c r="AG635" s="9"/>
      <c r="AH635" s="7">
        <v>12500</v>
      </c>
      <c r="AI635" s="7">
        <v>3127</v>
      </c>
    </row>
    <row r="636" spans="2:35" x14ac:dyDescent="0.3">
      <c r="B636" s="5" t="s">
        <v>3061</v>
      </c>
      <c r="C636" s="5" t="s">
        <v>13</v>
      </c>
      <c r="D636" s="12" t="s">
        <v>1213</v>
      </c>
      <c r="E636" s="6" t="s">
        <v>1137</v>
      </c>
      <c r="F636" s="13" t="s">
        <v>1138</v>
      </c>
      <c r="G636" s="6" t="s">
        <v>576</v>
      </c>
      <c r="H636" s="7" t="str">
        <f t="shared" si="9"/>
        <v>PPP-IPU-I441-01Operation &amp; Maintenance</v>
      </c>
      <c r="I636" s="8" t="s">
        <v>49</v>
      </c>
      <c r="J636" s="8" t="s">
        <v>19</v>
      </c>
      <c r="K636" s="8" t="s">
        <v>20</v>
      </c>
      <c r="L636" s="9"/>
      <c r="M636" s="9"/>
      <c r="N636" s="9"/>
      <c r="O636" s="9"/>
      <c r="P636" s="9"/>
      <c r="Q636" s="9"/>
      <c r="R636" s="9"/>
      <c r="S636" s="9"/>
      <c r="T636" s="9"/>
      <c r="U636" s="9"/>
      <c r="V636" s="9"/>
      <c r="W636" s="9"/>
      <c r="X636" s="9">
        <v>0</v>
      </c>
      <c r="Y636" s="9">
        <v>23870.1</v>
      </c>
      <c r="Z636" s="9"/>
      <c r="AA636" s="9"/>
      <c r="AB636" s="9"/>
      <c r="AC636" s="9"/>
      <c r="AD636" s="9"/>
      <c r="AE636" s="9"/>
      <c r="AF636" s="9"/>
      <c r="AG636" s="9"/>
      <c r="AH636" s="7">
        <v>0</v>
      </c>
      <c r="AI636" s="7">
        <v>23870.1</v>
      </c>
    </row>
    <row r="637" spans="2:35" x14ac:dyDescent="0.3">
      <c r="B637" s="5" t="s">
        <v>3061</v>
      </c>
      <c r="C637" s="5" t="s">
        <v>13</v>
      </c>
      <c r="D637" s="12" t="s">
        <v>1213</v>
      </c>
      <c r="E637" s="6" t="s">
        <v>1139</v>
      </c>
      <c r="F637" s="13" t="s">
        <v>1140</v>
      </c>
      <c r="G637" s="6" t="s">
        <v>1141</v>
      </c>
      <c r="H637" s="7" t="str">
        <f t="shared" si="9"/>
        <v>EPC-IPU-D472-01Operation &amp; Maintenance</v>
      </c>
      <c r="I637" s="8" t="s">
        <v>24</v>
      </c>
      <c r="J637" s="8" t="s">
        <v>76</v>
      </c>
      <c r="K637" s="8" t="s">
        <v>76</v>
      </c>
      <c r="L637" s="9"/>
      <c r="M637" s="9"/>
      <c r="N637" s="9"/>
      <c r="O637" s="9"/>
      <c r="P637" s="9"/>
      <c r="Q637" s="9"/>
      <c r="R637" s="9"/>
      <c r="S637" s="9"/>
      <c r="T637" s="9"/>
      <c r="U637" s="9"/>
      <c r="V637" s="9"/>
      <c r="W637" s="9"/>
      <c r="X637" s="9">
        <v>0</v>
      </c>
      <c r="Y637" s="9">
        <v>384.54</v>
      </c>
      <c r="Z637" s="9"/>
      <c r="AA637" s="9"/>
      <c r="AB637" s="9"/>
      <c r="AC637" s="9"/>
      <c r="AD637" s="9"/>
      <c r="AE637" s="9"/>
      <c r="AF637" s="9"/>
      <c r="AG637" s="9"/>
      <c r="AH637" s="7">
        <v>0</v>
      </c>
      <c r="AI637" s="7">
        <v>384.54</v>
      </c>
    </row>
    <row r="638" spans="2:35" x14ac:dyDescent="0.3">
      <c r="B638" s="5" t="s">
        <v>3061</v>
      </c>
      <c r="C638" s="5" t="s">
        <v>13</v>
      </c>
      <c r="D638" s="12" t="s">
        <v>1213</v>
      </c>
      <c r="E638" s="6" t="s">
        <v>135</v>
      </c>
      <c r="F638" s="13" t="s">
        <v>136</v>
      </c>
      <c r="G638" s="6" t="s">
        <v>137</v>
      </c>
      <c r="H638" s="7" t="str">
        <f t="shared" si="9"/>
        <v>PPP-IPU-M428-02Operation &amp; Maintenance</v>
      </c>
      <c r="I638" s="8" t="s">
        <v>18</v>
      </c>
      <c r="J638" s="8" t="s">
        <v>19</v>
      </c>
      <c r="K638" s="8" t="s">
        <v>20</v>
      </c>
      <c r="L638" s="9"/>
      <c r="M638" s="9"/>
      <c r="N638" s="9"/>
      <c r="O638" s="9"/>
      <c r="P638" s="9"/>
      <c r="Q638" s="9"/>
      <c r="R638" s="9"/>
      <c r="S638" s="9"/>
      <c r="T638" s="9"/>
      <c r="U638" s="9"/>
      <c r="V638" s="9"/>
      <c r="W638" s="9"/>
      <c r="X638" s="9">
        <v>84608.57</v>
      </c>
      <c r="Y638" s="9">
        <v>36951.599999999999</v>
      </c>
      <c r="Z638" s="9"/>
      <c r="AA638" s="9"/>
      <c r="AB638" s="9"/>
      <c r="AC638" s="9"/>
      <c r="AD638" s="9"/>
      <c r="AE638" s="9"/>
      <c r="AF638" s="9"/>
      <c r="AG638" s="9"/>
      <c r="AH638" s="7">
        <v>84608.57</v>
      </c>
      <c r="AI638" s="7">
        <v>36951.599999999999</v>
      </c>
    </row>
    <row r="639" spans="2:35" x14ac:dyDescent="0.3">
      <c r="B639" s="5" t="s">
        <v>3061</v>
      </c>
      <c r="C639" s="5" t="s">
        <v>13</v>
      </c>
      <c r="D639" s="12" t="s">
        <v>1215</v>
      </c>
      <c r="E639" s="6" t="s">
        <v>1089</v>
      </c>
      <c r="F639" s="13" t="s">
        <v>1090</v>
      </c>
      <c r="G639" s="6" t="s">
        <v>1091</v>
      </c>
      <c r="H639" s="7" t="str">
        <f t="shared" si="9"/>
        <v>EPC-IPU-I457-01Spot</v>
      </c>
      <c r="I639" s="8" t="s">
        <v>18</v>
      </c>
      <c r="J639" s="8" t="s">
        <v>259</v>
      </c>
      <c r="K639" s="8" t="s">
        <v>259</v>
      </c>
      <c r="L639" s="9"/>
      <c r="M639" s="9"/>
      <c r="N639" s="9"/>
      <c r="O639" s="9"/>
      <c r="P639" s="9"/>
      <c r="Q639" s="9"/>
      <c r="R639" s="9"/>
      <c r="S639" s="9"/>
      <c r="T639" s="9"/>
      <c r="U639" s="9"/>
      <c r="V639" s="9"/>
      <c r="W639" s="9"/>
      <c r="X639" s="9">
        <v>3136.5</v>
      </c>
      <c r="Y639" s="9">
        <v>0</v>
      </c>
      <c r="Z639" s="9"/>
      <c r="AA639" s="9"/>
      <c r="AB639" s="9"/>
      <c r="AC639" s="9"/>
      <c r="AD639" s="9"/>
      <c r="AE639" s="9"/>
      <c r="AF639" s="9"/>
      <c r="AG639" s="9"/>
      <c r="AH639" s="7">
        <v>3136.5</v>
      </c>
      <c r="AI639" s="7">
        <v>0</v>
      </c>
    </row>
    <row r="640" spans="2:35" x14ac:dyDescent="0.3">
      <c r="B640" s="5" t="s">
        <v>3061</v>
      </c>
      <c r="C640" s="5" t="s">
        <v>13</v>
      </c>
      <c r="D640" s="12" t="s">
        <v>1213</v>
      </c>
      <c r="E640" s="6" t="s">
        <v>817</v>
      </c>
      <c r="F640" s="13" t="s">
        <v>818</v>
      </c>
      <c r="G640" s="6" t="s">
        <v>819</v>
      </c>
      <c r="H640" s="7" t="str">
        <f t="shared" si="9"/>
        <v>EPC-EEE-L736-01Operation &amp; Maintenance</v>
      </c>
      <c r="I640" s="8" t="s">
        <v>56</v>
      </c>
      <c r="J640" s="8" t="s">
        <v>259</v>
      </c>
      <c r="K640" s="8" t="s">
        <v>259</v>
      </c>
      <c r="L640" s="9"/>
      <c r="M640" s="9"/>
      <c r="N640" s="9"/>
      <c r="O640" s="9"/>
      <c r="P640" s="9"/>
      <c r="Q640" s="9"/>
      <c r="R640" s="9"/>
      <c r="S640" s="9"/>
      <c r="T640" s="9"/>
      <c r="U640" s="9"/>
      <c r="V640" s="9"/>
      <c r="W640" s="9"/>
      <c r="X640" s="9">
        <v>0</v>
      </c>
      <c r="Y640" s="9">
        <v>174644.72</v>
      </c>
      <c r="Z640" s="9"/>
      <c r="AA640" s="9"/>
      <c r="AB640" s="9"/>
      <c r="AC640" s="9"/>
      <c r="AD640" s="9"/>
      <c r="AE640" s="9"/>
      <c r="AF640" s="9"/>
      <c r="AG640" s="9"/>
      <c r="AH640" s="7">
        <v>0</v>
      </c>
      <c r="AI640" s="7">
        <v>174644.72</v>
      </c>
    </row>
    <row r="641" spans="2:35" x14ac:dyDescent="0.3">
      <c r="B641" s="5" t="s">
        <v>3061</v>
      </c>
      <c r="C641" s="5" t="s">
        <v>13</v>
      </c>
      <c r="D641" s="12" t="s">
        <v>1215</v>
      </c>
      <c r="E641" s="6" t="s">
        <v>817</v>
      </c>
      <c r="F641" s="13" t="s">
        <v>818</v>
      </c>
      <c r="G641" s="6" t="s">
        <v>819</v>
      </c>
      <c r="H641" s="7" t="str">
        <f t="shared" si="9"/>
        <v>EPC-EEE-L736-01Spot</v>
      </c>
      <c r="I641" s="8" t="s">
        <v>56</v>
      </c>
      <c r="J641" s="8" t="s">
        <v>259</v>
      </c>
      <c r="K641" s="8" t="s">
        <v>259</v>
      </c>
      <c r="L641" s="9"/>
      <c r="M641" s="9"/>
      <c r="N641" s="9"/>
      <c r="O641" s="9"/>
      <c r="P641" s="9"/>
      <c r="Q641" s="9"/>
      <c r="R641" s="9"/>
      <c r="S641" s="9"/>
      <c r="T641" s="9"/>
      <c r="U641" s="9"/>
      <c r="V641" s="9"/>
      <c r="W641" s="9"/>
      <c r="X641" s="9" t="e">
        <v>#REF!</v>
      </c>
      <c r="Y641" s="9" t="e">
        <v>#REF!</v>
      </c>
      <c r="Z641" s="9"/>
      <c r="AA641" s="9"/>
      <c r="AB641" s="9"/>
      <c r="AC641" s="9"/>
      <c r="AD641" s="9"/>
      <c r="AE641" s="9"/>
      <c r="AF641" s="9"/>
      <c r="AG641" s="9"/>
      <c r="AH641" s="7" t="e">
        <v>#REF!</v>
      </c>
      <c r="AI641" s="7" t="e">
        <v>#REF!</v>
      </c>
    </row>
    <row r="642" spans="2:35" x14ac:dyDescent="0.3">
      <c r="B642" s="5" t="s">
        <v>3061</v>
      </c>
      <c r="C642" s="5" t="s">
        <v>13</v>
      </c>
      <c r="D642" s="12" t="s">
        <v>1213</v>
      </c>
      <c r="E642" s="6" t="s">
        <v>776</v>
      </c>
      <c r="F642" s="13" t="s">
        <v>777</v>
      </c>
      <c r="G642" s="6" t="s">
        <v>641</v>
      </c>
      <c r="H642" s="7" t="str">
        <f t="shared" si="9"/>
        <v>PPP-IPU-F201-01Operation &amp; Maintenance</v>
      </c>
      <c r="I642" s="8" t="s">
        <v>18</v>
      </c>
      <c r="J642" s="8" t="s">
        <v>19</v>
      </c>
      <c r="K642" s="8" t="s">
        <v>20</v>
      </c>
      <c r="L642" s="9"/>
      <c r="M642" s="9"/>
      <c r="N642" s="9"/>
      <c r="O642" s="9"/>
      <c r="P642" s="9"/>
      <c r="Q642" s="9"/>
      <c r="R642" s="9"/>
      <c r="S642" s="9"/>
      <c r="T642" s="9"/>
      <c r="U642" s="9"/>
      <c r="V642" s="9"/>
      <c r="W642" s="9"/>
      <c r="X642" s="9">
        <v>9024.4</v>
      </c>
      <c r="Y642" s="9">
        <v>2937.01</v>
      </c>
      <c r="Z642" s="9"/>
      <c r="AA642" s="9"/>
      <c r="AB642" s="9"/>
      <c r="AC642" s="9"/>
      <c r="AD642" s="9"/>
      <c r="AE642" s="9"/>
      <c r="AF642" s="9"/>
      <c r="AG642" s="9"/>
      <c r="AH642" s="7">
        <v>9024.4</v>
      </c>
      <c r="AI642" s="7">
        <v>2937.01</v>
      </c>
    </row>
    <row r="643" spans="2:35" x14ac:dyDescent="0.3">
      <c r="B643" s="5" t="s">
        <v>3061</v>
      </c>
      <c r="C643" s="5" t="s">
        <v>13</v>
      </c>
      <c r="D643" s="12" t="s">
        <v>1213</v>
      </c>
      <c r="E643" s="6" t="s">
        <v>153</v>
      </c>
      <c r="F643" s="13" t="s">
        <v>154</v>
      </c>
      <c r="G643" s="6" t="s">
        <v>155</v>
      </c>
      <c r="H643" s="7" t="str">
        <f t="shared" ref="H643:H706" si="10">+F643&amp;D643</f>
        <v>CL3-IPU-A413-01Operation &amp; Maintenance</v>
      </c>
      <c r="I643" s="8" t="s">
        <v>49</v>
      </c>
      <c r="J643" s="8" t="s">
        <v>19</v>
      </c>
      <c r="K643" s="8" t="s">
        <v>98</v>
      </c>
      <c r="L643" s="9"/>
      <c r="M643" s="9"/>
      <c r="N643" s="9"/>
      <c r="O643" s="9"/>
      <c r="P643" s="9"/>
      <c r="Q643" s="9"/>
      <c r="R643" s="9"/>
      <c r="S643" s="9"/>
      <c r="T643" s="9"/>
      <c r="U643" s="9"/>
      <c r="V643" s="9"/>
      <c r="W643" s="9"/>
      <c r="X643" s="9">
        <v>0</v>
      </c>
      <c r="Y643" s="9">
        <v>15259.09</v>
      </c>
      <c r="Z643" s="9"/>
      <c r="AA643" s="9"/>
      <c r="AB643" s="9"/>
      <c r="AC643" s="9"/>
      <c r="AD643" s="9"/>
      <c r="AE643" s="9"/>
      <c r="AF643" s="9"/>
      <c r="AG643" s="9"/>
      <c r="AH643" s="7">
        <v>0</v>
      </c>
      <c r="AI643" s="7">
        <v>15259.09</v>
      </c>
    </row>
    <row r="644" spans="2:35" x14ac:dyDescent="0.3">
      <c r="B644" s="5" t="s">
        <v>3061</v>
      </c>
      <c r="C644" s="5" t="s">
        <v>13</v>
      </c>
      <c r="D644" s="12" t="s">
        <v>1213</v>
      </c>
      <c r="E644" s="6" t="s">
        <v>111</v>
      </c>
      <c r="F644" s="13" t="s">
        <v>112</v>
      </c>
      <c r="G644" s="6" t="s">
        <v>113</v>
      </c>
      <c r="H644" s="7" t="str">
        <f t="shared" si="10"/>
        <v>PPP-IPU-H307-01Operation &amp; Maintenance</v>
      </c>
      <c r="I644" s="8" t="s">
        <v>18</v>
      </c>
      <c r="J644" s="8" t="s">
        <v>19</v>
      </c>
      <c r="K644" s="8" t="s">
        <v>20</v>
      </c>
      <c r="L644" s="9"/>
      <c r="M644" s="9"/>
      <c r="N644" s="9"/>
      <c r="O644" s="9"/>
      <c r="P644" s="9"/>
      <c r="Q644" s="9"/>
      <c r="R644" s="9"/>
      <c r="S644" s="9"/>
      <c r="T644" s="9"/>
      <c r="U644" s="9"/>
      <c r="V644" s="9"/>
      <c r="W644" s="9"/>
      <c r="X644" s="9">
        <v>36099.699999999997</v>
      </c>
      <c r="Y644" s="9">
        <v>12435.24</v>
      </c>
      <c r="Z644" s="9"/>
      <c r="AA644" s="9"/>
      <c r="AB644" s="9"/>
      <c r="AC644" s="9"/>
      <c r="AD644" s="9"/>
      <c r="AE644" s="9"/>
      <c r="AF644" s="9"/>
      <c r="AG644" s="9"/>
      <c r="AH644" s="7">
        <v>36099.699999999997</v>
      </c>
      <c r="AI644" s="7">
        <v>12435.24</v>
      </c>
    </row>
    <row r="645" spans="2:35" x14ac:dyDescent="0.3">
      <c r="B645" s="5" t="s">
        <v>3061</v>
      </c>
      <c r="C645" s="5" t="s">
        <v>13</v>
      </c>
      <c r="D645" s="12" t="s">
        <v>1213</v>
      </c>
      <c r="E645" s="6" t="s">
        <v>117</v>
      </c>
      <c r="F645" s="13" t="s">
        <v>118</v>
      </c>
      <c r="G645" s="6" t="s">
        <v>119</v>
      </c>
      <c r="H645" s="7" t="str">
        <f t="shared" si="10"/>
        <v>ATI-IPU-G674-01Operation &amp; Maintenance</v>
      </c>
      <c r="I645" s="8" t="s">
        <v>49</v>
      </c>
      <c r="J645" s="8" t="s">
        <v>19</v>
      </c>
      <c r="K645" s="8" t="s">
        <v>20</v>
      </c>
      <c r="L645" s="9"/>
      <c r="M645" s="9"/>
      <c r="N645" s="9"/>
      <c r="O645" s="9"/>
      <c r="P645" s="9"/>
      <c r="Q645" s="9"/>
      <c r="R645" s="9"/>
      <c r="S645" s="9"/>
      <c r="T645" s="9"/>
      <c r="U645" s="9"/>
      <c r="V645" s="9"/>
      <c r="W645" s="9"/>
      <c r="X645" s="9">
        <v>74384.31</v>
      </c>
      <c r="Y645" s="9">
        <v>37333.599999999999</v>
      </c>
      <c r="Z645" s="9"/>
      <c r="AA645" s="9"/>
      <c r="AB645" s="9"/>
      <c r="AC645" s="9"/>
      <c r="AD645" s="9"/>
      <c r="AE645" s="9"/>
      <c r="AF645" s="9"/>
      <c r="AG645" s="9"/>
      <c r="AH645" s="7">
        <v>74384.31</v>
      </c>
      <c r="AI645" s="7">
        <v>37333.599999999999</v>
      </c>
    </row>
    <row r="646" spans="2:35" x14ac:dyDescent="0.3">
      <c r="B646" s="5" t="s">
        <v>3061</v>
      </c>
      <c r="C646" s="5" t="s">
        <v>13</v>
      </c>
      <c r="D646" s="12" t="s">
        <v>1213</v>
      </c>
      <c r="E646" s="6" t="s">
        <v>448</v>
      </c>
      <c r="F646" s="13" t="s">
        <v>449</v>
      </c>
      <c r="G646" s="6" t="s">
        <v>450</v>
      </c>
      <c r="H646" s="7" t="str">
        <f t="shared" si="10"/>
        <v>CL3-IPU-F348-01Operation &amp; Maintenance</v>
      </c>
      <c r="I646" s="8" t="s">
        <v>24</v>
      </c>
      <c r="J646" s="8" t="s">
        <v>19</v>
      </c>
      <c r="K646" s="8" t="s">
        <v>98</v>
      </c>
      <c r="L646" s="9"/>
      <c r="M646" s="9"/>
      <c r="N646" s="9"/>
      <c r="O646" s="9"/>
      <c r="P646" s="9"/>
      <c r="Q646" s="9"/>
      <c r="R646" s="9"/>
      <c r="S646" s="9"/>
      <c r="T646" s="9"/>
      <c r="U646" s="9"/>
      <c r="V646" s="9"/>
      <c r="W646" s="9"/>
      <c r="X646" s="9">
        <v>0</v>
      </c>
      <c r="Y646" s="9">
        <v>9981.6200000000008</v>
      </c>
      <c r="Z646" s="9"/>
      <c r="AA646" s="9"/>
      <c r="AB646" s="9"/>
      <c r="AC646" s="9"/>
      <c r="AD646" s="9"/>
      <c r="AE646" s="9"/>
      <c r="AF646" s="9"/>
      <c r="AG646" s="9"/>
      <c r="AH646" s="7">
        <v>0</v>
      </c>
      <c r="AI646" s="7">
        <v>9981.6200000000008</v>
      </c>
    </row>
    <row r="647" spans="2:35" x14ac:dyDescent="0.3">
      <c r="B647" s="5" t="s">
        <v>3061</v>
      </c>
      <c r="C647" s="5" t="s">
        <v>13</v>
      </c>
      <c r="D647" s="12" t="s">
        <v>1213</v>
      </c>
      <c r="E647" s="6" t="s">
        <v>963</v>
      </c>
      <c r="F647" s="13" t="s">
        <v>964</v>
      </c>
      <c r="G647" s="6" t="s">
        <v>378</v>
      </c>
      <c r="H647" s="7" t="str">
        <f t="shared" si="10"/>
        <v>EPC-IPU-F229-01Operation &amp; Maintenance</v>
      </c>
      <c r="I647" s="8" t="s">
        <v>56</v>
      </c>
      <c r="J647" s="8" t="s">
        <v>76</v>
      </c>
      <c r="K647" s="8" t="s">
        <v>76</v>
      </c>
      <c r="L647" s="9"/>
      <c r="M647" s="9"/>
      <c r="N647" s="9"/>
      <c r="O647" s="9"/>
      <c r="P647" s="9"/>
      <c r="Q647" s="9"/>
      <c r="R647" s="9"/>
      <c r="S647" s="9"/>
      <c r="T647" s="9"/>
      <c r="U647" s="9"/>
      <c r="V647" s="9"/>
      <c r="W647" s="9"/>
      <c r="X647" s="9">
        <v>0</v>
      </c>
      <c r="Y647" s="9">
        <v>887.52</v>
      </c>
      <c r="Z647" s="9"/>
      <c r="AA647" s="9"/>
      <c r="AB647" s="9"/>
      <c r="AC647" s="9"/>
      <c r="AD647" s="9"/>
      <c r="AE647" s="9"/>
      <c r="AF647" s="9"/>
      <c r="AG647" s="9"/>
      <c r="AH647" s="7">
        <v>0</v>
      </c>
      <c r="AI647" s="7">
        <v>887.52</v>
      </c>
    </row>
    <row r="648" spans="2:35" x14ac:dyDescent="0.3">
      <c r="B648" s="5" t="s">
        <v>3061</v>
      </c>
      <c r="C648" s="5" t="s">
        <v>13</v>
      </c>
      <c r="D648" s="12" t="s">
        <v>1215</v>
      </c>
      <c r="E648" s="6" t="s">
        <v>963</v>
      </c>
      <c r="F648" s="13" t="s">
        <v>964</v>
      </c>
      <c r="G648" s="6" t="s">
        <v>378</v>
      </c>
      <c r="H648" s="7" t="str">
        <f t="shared" si="10"/>
        <v>EPC-IPU-F229-01Spot</v>
      </c>
      <c r="I648" s="8" t="s">
        <v>56</v>
      </c>
      <c r="J648" s="8" t="s">
        <v>76</v>
      </c>
      <c r="K648" s="8" t="s">
        <v>76</v>
      </c>
      <c r="L648" s="9"/>
      <c r="M648" s="9"/>
      <c r="N648" s="9"/>
      <c r="O648" s="9"/>
      <c r="P648" s="9"/>
      <c r="Q648" s="9"/>
      <c r="R648" s="9"/>
      <c r="S648" s="9"/>
      <c r="T648" s="9"/>
      <c r="U648" s="9"/>
      <c r="V648" s="9"/>
      <c r="W648" s="9"/>
      <c r="X648" s="9">
        <v>0</v>
      </c>
      <c r="Y648" s="9">
        <v>696.01</v>
      </c>
      <c r="Z648" s="9"/>
      <c r="AA648" s="9"/>
      <c r="AB648" s="9"/>
      <c r="AC648" s="9"/>
      <c r="AD648" s="9"/>
      <c r="AE648" s="9"/>
      <c r="AF648" s="9"/>
      <c r="AG648" s="9"/>
      <c r="AH648" s="7">
        <v>0</v>
      </c>
      <c r="AI648" s="7">
        <v>696.01</v>
      </c>
    </row>
    <row r="649" spans="2:35" x14ac:dyDescent="0.3">
      <c r="B649" s="5" t="s">
        <v>3061</v>
      </c>
      <c r="C649" s="5" t="s">
        <v>171</v>
      </c>
      <c r="D649" s="12" t="s">
        <v>1213</v>
      </c>
      <c r="E649" s="6" t="s">
        <v>503</v>
      </c>
      <c r="F649" s="13" t="s">
        <v>504</v>
      </c>
      <c r="G649" s="6" t="s">
        <v>505</v>
      </c>
      <c r="H649" s="7" t="str">
        <f t="shared" si="10"/>
        <v>PPP-IPU-C824-01Operation &amp; Maintenance</v>
      </c>
      <c r="I649" s="8" t="s">
        <v>56</v>
      </c>
      <c r="J649" s="8" t="s">
        <v>19</v>
      </c>
      <c r="K649" s="8" t="s">
        <v>20</v>
      </c>
      <c r="L649" s="9"/>
      <c r="M649" s="9"/>
      <c r="N649" s="9"/>
      <c r="O649" s="9"/>
      <c r="P649" s="9"/>
      <c r="Q649" s="9"/>
      <c r="R649" s="9"/>
      <c r="S649" s="9"/>
      <c r="T649" s="9"/>
      <c r="U649" s="9"/>
      <c r="V649" s="9"/>
      <c r="W649" s="9"/>
      <c r="X649" s="9">
        <v>5776.62</v>
      </c>
      <c r="Y649" s="9">
        <v>2022.17</v>
      </c>
      <c r="Z649" s="9"/>
      <c r="AA649" s="9"/>
      <c r="AB649" s="9"/>
      <c r="AC649" s="9"/>
      <c r="AD649" s="9"/>
      <c r="AE649" s="9"/>
      <c r="AF649" s="9"/>
      <c r="AG649" s="9"/>
      <c r="AH649" s="7">
        <v>5776.62</v>
      </c>
      <c r="AI649" s="7">
        <v>2022.17</v>
      </c>
    </row>
    <row r="650" spans="2:35" x14ac:dyDescent="0.3">
      <c r="B650" s="5" t="s">
        <v>3061</v>
      </c>
      <c r="C650" s="5" t="s">
        <v>13</v>
      </c>
      <c r="D650" s="12" t="s">
        <v>1213</v>
      </c>
      <c r="E650" s="6" t="s">
        <v>89</v>
      </c>
      <c r="F650" s="13" t="s">
        <v>90</v>
      </c>
      <c r="G650" s="6" t="s">
        <v>91</v>
      </c>
      <c r="H650" s="7" t="str">
        <f t="shared" si="10"/>
        <v>PPP-IPU-I805-01Operation &amp; Maintenance</v>
      </c>
      <c r="I650" s="8" t="s">
        <v>18</v>
      </c>
      <c r="J650" s="8" t="s">
        <v>19</v>
      </c>
      <c r="K650" s="8" t="s">
        <v>20</v>
      </c>
      <c r="L650" s="9"/>
      <c r="M650" s="9"/>
      <c r="N650" s="9"/>
      <c r="O650" s="9"/>
      <c r="P650" s="9"/>
      <c r="Q650" s="9"/>
      <c r="R650" s="9"/>
      <c r="S650" s="9"/>
      <c r="T650" s="9"/>
      <c r="U650" s="9"/>
      <c r="V650" s="9"/>
      <c r="W650" s="9"/>
      <c r="X650" s="9">
        <v>57522.46</v>
      </c>
      <c r="Y650" s="9">
        <v>26971.74</v>
      </c>
      <c r="Z650" s="9"/>
      <c r="AA650" s="9"/>
      <c r="AB650" s="9"/>
      <c r="AC650" s="9"/>
      <c r="AD650" s="9"/>
      <c r="AE650" s="9"/>
      <c r="AF650" s="9"/>
      <c r="AG650" s="9"/>
      <c r="AH650" s="7">
        <v>57522.46</v>
      </c>
      <c r="AI650" s="7">
        <v>26971.74</v>
      </c>
    </row>
    <row r="651" spans="2:35" x14ac:dyDescent="0.3">
      <c r="B651" s="5" t="s">
        <v>3061</v>
      </c>
      <c r="C651" s="5" t="s">
        <v>13</v>
      </c>
      <c r="D651" s="12" t="s">
        <v>1213</v>
      </c>
      <c r="E651" s="6" t="s">
        <v>634</v>
      </c>
      <c r="F651" s="13" t="s">
        <v>635</v>
      </c>
      <c r="G651" s="6" t="s">
        <v>636</v>
      </c>
      <c r="H651" s="7" t="str">
        <f t="shared" si="10"/>
        <v>CL3-IPU-F522-01Operation &amp; Maintenance</v>
      </c>
      <c r="I651" s="8" t="s">
        <v>24</v>
      </c>
      <c r="J651" s="8" t="s">
        <v>19</v>
      </c>
      <c r="K651" s="8" t="s">
        <v>98</v>
      </c>
      <c r="L651" s="9"/>
      <c r="M651" s="9"/>
      <c r="N651" s="9"/>
      <c r="O651" s="9"/>
      <c r="P651" s="9"/>
      <c r="Q651" s="9"/>
      <c r="R651" s="9"/>
      <c r="S651" s="9"/>
      <c r="T651" s="9"/>
      <c r="U651" s="9"/>
      <c r="V651" s="9"/>
      <c r="W651" s="9"/>
      <c r="X651" s="9">
        <v>0</v>
      </c>
      <c r="Y651" s="9">
        <v>728.6</v>
      </c>
      <c r="Z651" s="9"/>
      <c r="AA651" s="9"/>
      <c r="AB651" s="9"/>
      <c r="AC651" s="9"/>
      <c r="AD651" s="9"/>
      <c r="AE651" s="9"/>
      <c r="AF651" s="9"/>
      <c r="AG651" s="9"/>
      <c r="AH651" s="7">
        <v>0</v>
      </c>
      <c r="AI651" s="7">
        <v>728.6</v>
      </c>
    </row>
    <row r="652" spans="2:35" x14ac:dyDescent="0.3">
      <c r="B652" s="5" t="s">
        <v>3061</v>
      </c>
      <c r="C652" s="5" t="s">
        <v>171</v>
      </c>
      <c r="D652" s="12" t="s">
        <v>1213</v>
      </c>
      <c r="E652" s="6" t="s">
        <v>515</v>
      </c>
      <c r="F652" s="13" t="s">
        <v>516</v>
      </c>
      <c r="G652" s="6" t="s">
        <v>517</v>
      </c>
      <c r="H652" s="7" t="str">
        <f t="shared" si="10"/>
        <v>PPP-IPU-H580-01Operation &amp; Maintenance</v>
      </c>
      <c r="I652" s="8" t="s">
        <v>56</v>
      </c>
      <c r="J652" s="8" t="s">
        <v>19</v>
      </c>
      <c r="K652" s="8" t="s">
        <v>20</v>
      </c>
      <c r="L652" s="9"/>
      <c r="M652" s="9"/>
      <c r="N652" s="9"/>
      <c r="O652" s="9"/>
      <c r="P652" s="9"/>
      <c r="Q652" s="9"/>
      <c r="R652" s="9"/>
      <c r="S652" s="9"/>
      <c r="T652" s="9"/>
      <c r="U652" s="9"/>
      <c r="V652" s="9"/>
      <c r="W652" s="9"/>
      <c r="X652" s="9">
        <v>87332.479999999996</v>
      </c>
      <c r="Y652" s="9">
        <v>4998.38</v>
      </c>
      <c r="Z652" s="9"/>
      <c r="AA652" s="9"/>
      <c r="AB652" s="9"/>
      <c r="AC652" s="9"/>
      <c r="AD652" s="9"/>
      <c r="AE652" s="9"/>
      <c r="AF652" s="9"/>
      <c r="AG652" s="9"/>
      <c r="AH652" s="7">
        <v>87332.479999999996</v>
      </c>
      <c r="AI652" s="7">
        <v>4998.38</v>
      </c>
    </row>
    <row r="653" spans="2:35" x14ac:dyDescent="0.3">
      <c r="B653" s="5" t="s">
        <v>3061</v>
      </c>
      <c r="C653" s="5" t="s">
        <v>13</v>
      </c>
      <c r="D653" s="12" t="s">
        <v>1213</v>
      </c>
      <c r="E653" s="6" t="s">
        <v>227</v>
      </c>
      <c r="F653" s="13" t="s">
        <v>228</v>
      </c>
      <c r="G653" s="6" t="s">
        <v>229</v>
      </c>
      <c r="H653" s="7" t="str">
        <f t="shared" si="10"/>
        <v>PPP-IPU-D748-01Operation &amp; Maintenance</v>
      </c>
      <c r="I653" s="8" t="s">
        <v>56</v>
      </c>
      <c r="J653" s="8" t="s">
        <v>19</v>
      </c>
      <c r="K653" s="8" t="s">
        <v>20</v>
      </c>
      <c r="L653" s="9"/>
      <c r="M653" s="9"/>
      <c r="N653" s="9"/>
      <c r="O653" s="9"/>
      <c r="P653" s="9"/>
      <c r="Q653" s="9"/>
      <c r="R653" s="9"/>
      <c r="S653" s="9"/>
      <c r="T653" s="9"/>
      <c r="U653" s="9"/>
      <c r="V653" s="9"/>
      <c r="W653" s="9"/>
      <c r="X653" s="9">
        <v>24760.560000000001</v>
      </c>
      <c r="Y653" s="9">
        <v>529</v>
      </c>
      <c r="Z653" s="9"/>
      <c r="AA653" s="9"/>
      <c r="AB653" s="9"/>
      <c r="AC653" s="9"/>
      <c r="AD653" s="9"/>
      <c r="AE653" s="9"/>
      <c r="AF653" s="9"/>
      <c r="AG653" s="9"/>
      <c r="AH653" s="7">
        <v>24760.560000000001</v>
      </c>
      <c r="AI653" s="7">
        <v>529</v>
      </c>
    </row>
    <row r="654" spans="2:35" x14ac:dyDescent="0.3">
      <c r="B654" s="5" t="s">
        <v>3061</v>
      </c>
      <c r="C654" s="5" t="s">
        <v>13</v>
      </c>
      <c r="D654" s="12" t="s">
        <v>1213</v>
      </c>
      <c r="E654" s="6" t="s">
        <v>331</v>
      </c>
      <c r="F654" s="13" t="s">
        <v>332</v>
      </c>
      <c r="G654" s="6" t="s">
        <v>333</v>
      </c>
      <c r="H654" s="7" t="str">
        <f t="shared" si="10"/>
        <v>PPP-IPU-F241-01Operation &amp; Maintenance</v>
      </c>
      <c r="I654" s="8" t="s">
        <v>56</v>
      </c>
      <c r="J654" s="8" t="s">
        <v>19</v>
      </c>
      <c r="K654" s="8" t="s">
        <v>20</v>
      </c>
      <c r="L654" s="9"/>
      <c r="M654" s="9"/>
      <c r="N654" s="9"/>
      <c r="O654" s="9"/>
      <c r="P654" s="9"/>
      <c r="Q654" s="9"/>
      <c r="R654" s="9"/>
      <c r="S654" s="9"/>
      <c r="T654" s="9"/>
      <c r="U654" s="9"/>
      <c r="V654" s="9"/>
      <c r="W654" s="9"/>
      <c r="X654" s="9">
        <v>19000</v>
      </c>
      <c r="Y654" s="9">
        <v>98427.25</v>
      </c>
      <c r="Z654" s="9"/>
      <c r="AA654" s="9"/>
      <c r="AB654" s="9"/>
      <c r="AC654" s="9"/>
      <c r="AD654" s="9"/>
      <c r="AE654" s="9"/>
      <c r="AF654" s="9"/>
      <c r="AG654" s="9"/>
      <c r="AH654" s="7">
        <v>19000</v>
      </c>
      <c r="AI654" s="7">
        <v>98427.25</v>
      </c>
    </row>
    <row r="655" spans="2:35" x14ac:dyDescent="0.3">
      <c r="B655" s="5" t="s">
        <v>3061</v>
      </c>
      <c r="C655" s="5" t="s">
        <v>13</v>
      </c>
      <c r="D655" s="12" t="s">
        <v>1213</v>
      </c>
      <c r="E655" s="6" t="s">
        <v>313</v>
      </c>
      <c r="F655" s="13" t="s">
        <v>314</v>
      </c>
      <c r="G655" s="6" t="s">
        <v>315</v>
      </c>
      <c r="H655" s="7" t="str">
        <f t="shared" si="10"/>
        <v>CL3-IPU-G514-01Operation &amp; Maintenance</v>
      </c>
      <c r="I655" s="8" t="s">
        <v>24</v>
      </c>
      <c r="J655" s="8" t="s">
        <v>19</v>
      </c>
      <c r="K655" s="8" t="s">
        <v>98</v>
      </c>
      <c r="L655" s="9"/>
      <c r="M655" s="9"/>
      <c r="N655" s="9"/>
      <c r="O655" s="9"/>
      <c r="P655" s="9"/>
      <c r="Q655" s="9"/>
      <c r="R655" s="9"/>
      <c r="S655" s="9"/>
      <c r="T655" s="9"/>
      <c r="U655" s="9"/>
      <c r="V655" s="9"/>
      <c r="W655" s="9"/>
      <c r="X655" s="9">
        <v>0</v>
      </c>
      <c r="Y655" s="9">
        <v>1886.85</v>
      </c>
      <c r="Z655" s="9"/>
      <c r="AA655" s="9"/>
      <c r="AB655" s="9"/>
      <c r="AC655" s="9"/>
      <c r="AD655" s="9"/>
      <c r="AE655" s="9"/>
      <c r="AF655" s="9"/>
      <c r="AG655" s="9"/>
      <c r="AH655" s="7">
        <v>0</v>
      </c>
      <c r="AI655" s="7">
        <v>1886.85</v>
      </c>
    </row>
    <row r="656" spans="2:35" x14ac:dyDescent="0.3">
      <c r="B656" s="5" t="s">
        <v>3061</v>
      </c>
      <c r="C656" s="5" t="s">
        <v>171</v>
      </c>
      <c r="D656" s="12" t="s">
        <v>1213</v>
      </c>
      <c r="E656" s="6" t="s">
        <v>212</v>
      </c>
      <c r="F656" s="13" t="s">
        <v>213</v>
      </c>
      <c r="G656" s="6" t="s">
        <v>214</v>
      </c>
      <c r="H656" s="7" t="str">
        <f t="shared" si="10"/>
        <v>PPP-IPU-G587-01Operation &amp; Maintenance</v>
      </c>
      <c r="I656" s="8" t="s">
        <v>56</v>
      </c>
      <c r="J656" s="8" t="s">
        <v>19</v>
      </c>
      <c r="K656" s="8" t="s">
        <v>20</v>
      </c>
      <c r="L656" s="9"/>
      <c r="M656" s="9"/>
      <c r="N656" s="9"/>
      <c r="O656" s="9"/>
      <c r="P656" s="9"/>
      <c r="Q656" s="9"/>
      <c r="R656" s="9"/>
      <c r="S656" s="9"/>
      <c r="T656" s="9"/>
      <c r="U656" s="9"/>
      <c r="V656" s="9"/>
      <c r="W656" s="9"/>
      <c r="X656" s="9">
        <v>37887.99</v>
      </c>
      <c r="Y656" s="9">
        <v>6771.67</v>
      </c>
      <c r="Z656" s="9"/>
      <c r="AA656" s="9"/>
      <c r="AB656" s="9"/>
      <c r="AC656" s="9"/>
      <c r="AD656" s="9"/>
      <c r="AE656" s="9"/>
      <c r="AF656" s="9"/>
      <c r="AG656" s="9"/>
      <c r="AH656" s="7">
        <v>37887.99</v>
      </c>
      <c r="AI656" s="7">
        <v>6771.67</v>
      </c>
    </row>
    <row r="657" spans="2:35" x14ac:dyDescent="0.3">
      <c r="B657" s="5" t="s">
        <v>3061</v>
      </c>
      <c r="C657" s="5" t="s">
        <v>13</v>
      </c>
      <c r="D657" s="12" t="s">
        <v>1213</v>
      </c>
      <c r="E657" s="6" t="s">
        <v>1189</v>
      </c>
      <c r="F657" s="13" t="s">
        <v>1190</v>
      </c>
      <c r="G657" s="6" t="s">
        <v>211</v>
      </c>
      <c r="H657" s="7" t="str">
        <f t="shared" si="10"/>
        <v>EPC-IPU-I305-03Operation &amp; Maintenance</v>
      </c>
      <c r="I657" s="8" t="s">
        <v>18</v>
      </c>
      <c r="J657" s="8" t="s">
        <v>76</v>
      </c>
      <c r="K657" s="8" t="s">
        <v>76</v>
      </c>
      <c r="L657" s="9"/>
      <c r="M657" s="9"/>
      <c r="N657" s="9"/>
      <c r="O657" s="9"/>
      <c r="P657" s="9"/>
      <c r="Q657" s="9"/>
      <c r="R657" s="9"/>
      <c r="S657" s="9"/>
      <c r="T657" s="9"/>
      <c r="U657" s="9"/>
      <c r="V657" s="9"/>
      <c r="W657" s="9"/>
      <c r="X657" s="9">
        <v>29807.95</v>
      </c>
      <c r="Y657" s="9">
        <v>381.79</v>
      </c>
      <c r="Z657" s="9"/>
      <c r="AA657" s="9"/>
      <c r="AB657" s="9"/>
      <c r="AC657" s="9"/>
      <c r="AD657" s="9"/>
      <c r="AE657" s="9"/>
      <c r="AF657" s="9"/>
      <c r="AG657" s="9"/>
      <c r="AH657" s="7">
        <v>29807.95</v>
      </c>
      <c r="AI657" s="7">
        <v>381.79</v>
      </c>
    </row>
    <row r="658" spans="2:35" x14ac:dyDescent="0.3">
      <c r="B658" s="5" t="s">
        <v>3061</v>
      </c>
      <c r="C658" s="5" t="s">
        <v>13</v>
      </c>
      <c r="D658" s="12" t="s">
        <v>1213</v>
      </c>
      <c r="E658" s="6" t="s">
        <v>941</v>
      </c>
      <c r="F658" s="13" t="s">
        <v>942</v>
      </c>
      <c r="G658" s="6" t="s">
        <v>217</v>
      </c>
      <c r="H658" s="7" t="str">
        <f t="shared" si="10"/>
        <v>EPC-IPU-H930-02Operation &amp; Maintenance</v>
      </c>
      <c r="I658" s="8" t="s">
        <v>49</v>
      </c>
      <c r="J658" s="8" t="s">
        <v>76</v>
      </c>
      <c r="K658" s="8" t="s">
        <v>76</v>
      </c>
      <c r="L658" s="9"/>
      <c r="M658" s="9"/>
      <c r="N658" s="9"/>
      <c r="O658" s="9"/>
      <c r="P658" s="9"/>
      <c r="Q658" s="9"/>
      <c r="R658" s="9"/>
      <c r="S658" s="9"/>
      <c r="T658" s="9"/>
      <c r="U658" s="9"/>
      <c r="V658" s="9"/>
      <c r="W658" s="9"/>
      <c r="X658" s="9">
        <v>-561.41999999999996</v>
      </c>
      <c r="Y658" s="9">
        <v>0</v>
      </c>
      <c r="Z658" s="9"/>
      <c r="AA658" s="9"/>
      <c r="AB658" s="9"/>
      <c r="AC658" s="9"/>
      <c r="AD658" s="9"/>
      <c r="AE658" s="9"/>
      <c r="AF658" s="9"/>
      <c r="AG658" s="9"/>
      <c r="AH658" s="7">
        <v>-561.41999999999996</v>
      </c>
      <c r="AI658" s="7">
        <v>0</v>
      </c>
    </row>
    <row r="659" spans="2:35" x14ac:dyDescent="0.3">
      <c r="B659" s="5" t="s">
        <v>3061</v>
      </c>
      <c r="C659" s="5" t="s">
        <v>13</v>
      </c>
      <c r="D659" s="12" t="s">
        <v>1213</v>
      </c>
      <c r="E659" s="6" t="s">
        <v>15</v>
      </c>
      <c r="F659" s="13" t="s">
        <v>16</v>
      </c>
      <c r="G659" s="6" t="s">
        <v>17</v>
      </c>
      <c r="H659" s="7" t="str">
        <f t="shared" si="10"/>
        <v>PPP-IPU-D615-01Operation &amp; Maintenance</v>
      </c>
      <c r="I659" s="8" t="s">
        <v>18</v>
      </c>
      <c r="J659" s="8" t="s">
        <v>19</v>
      </c>
      <c r="K659" s="8" t="s">
        <v>20</v>
      </c>
      <c r="L659" s="9"/>
      <c r="M659" s="9"/>
      <c r="N659" s="9"/>
      <c r="O659" s="9"/>
      <c r="P659" s="9"/>
      <c r="Q659" s="9"/>
      <c r="R659" s="9"/>
      <c r="S659" s="9"/>
      <c r="T659" s="9"/>
      <c r="U659" s="9"/>
      <c r="V659" s="9"/>
      <c r="W659" s="9"/>
      <c r="X659" s="9">
        <v>37873.57</v>
      </c>
      <c r="Y659" s="9">
        <v>2856</v>
      </c>
      <c r="Z659" s="9"/>
      <c r="AA659" s="9"/>
      <c r="AB659" s="9"/>
      <c r="AC659" s="9"/>
      <c r="AD659" s="9"/>
      <c r="AE659" s="9"/>
      <c r="AF659" s="9"/>
      <c r="AG659" s="9"/>
      <c r="AH659" s="7">
        <v>37873.57</v>
      </c>
      <c r="AI659" s="7">
        <v>2856</v>
      </c>
    </row>
    <row r="660" spans="2:35" x14ac:dyDescent="0.3">
      <c r="B660" s="5" t="s">
        <v>3061</v>
      </c>
      <c r="C660" s="5" t="s">
        <v>13</v>
      </c>
      <c r="D660" s="12" t="s">
        <v>1213</v>
      </c>
      <c r="E660" s="6" t="s">
        <v>552</v>
      </c>
      <c r="F660" s="13" t="s">
        <v>553</v>
      </c>
      <c r="G660" s="6" t="s">
        <v>554</v>
      </c>
      <c r="H660" s="7" t="str">
        <f t="shared" si="10"/>
        <v>PPP-IPU-F916-01Operation &amp; Maintenance</v>
      </c>
      <c r="I660" s="8" t="s">
        <v>18</v>
      </c>
      <c r="J660" s="8" t="s">
        <v>19</v>
      </c>
      <c r="K660" s="8" t="s">
        <v>20</v>
      </c>
      <c r="L660" s="9"/>
      <c r="M660" s="9"/>
      <c r="N660" s="9"/>
      <c r="O660" s="9"/>
      <c r="P660" s="9"/>
      <c r="Q660" s="9"/>
      <c r="R660" s="9"/>
      <c r="S660" s="9"/>
      <c r="T660" s="9"/>
      <c r="U660" s="9"/>
      <c r="V660" s="9"/>
      <c r="W660" s="9"/>
      <c r="X660" s="9">
        <v>9608.33</v>
      </c>
      <c r="Y660" s="9">
        <v>4957</v>
      </c>
      <c r="Z660" s="9"/>
      <c r="AA660" s="9"/>
      <c r="AB660" s="9"/>
      <c r="AC660" s="9"/>
      <c r="AD660" s="9"/>
      <c r="AE660" s="9"/>
      <c r="AF660" s="9"/>
      <c r="AG660" s="9"/>
      <c r="AH660" s="7">
        <v>9608.33</v>
      </c>
      <c r="AI660" s="7">
        <v>4957</v>
      </c>
    </row>
    <row r="661" spans="2:35" x14ac:dyDescent="0.3">
      <c r="B661" s="5" t="s">
        <v>3061</v>
      </c>
      <c r="C661" s="5" t="s">
        <v>171</v>
      </c>
      <c r="D661" s="12" t="s">
        <v>1213</v>
      </c>
      <c r="E661" s="6" t="s">
        <v>184</v>
      </c>
      <c r="F661" s="13" t="s">
        <v>185</v>
      </c>
      <c r="G661" s="6" t="s">
        <v>186</v>
      </c>
      <c r="H661" s="7" t="str">
        <f t="shared" si="10"/>
        <v>PPP-IPU-G560-01Operation &amp; Maintenance</v>
      </c>
      <c r="I661" s="8" t="s">
        <v>56</v>
      </c>
      <c r="J661" s="8" t="s">
        <v>19</v>
      </c>
      <c r="K661" s="8" t="s">
        <v>20</v>
      </c>
      <c r="L661" s="9"/>
      <c r="M661" s="9"/>
      <c r="N661" s="9"/>
      <c r="O661" s="9"/>
      <c r="P661" s="9"/>
      <c r="Q661" s="9"/>
      <c r="R661" s="9"/>
      <c r="S661" s="9"/>
      <c r="T661" s="9"/>
      <c r="U661" s="9"/>
      <c r="V661" s="9"/>
      <c r="W661" s="9"/>
      <c r="X661" s="9">
        <v>4233.99</v>
      </c>
      <c r="Y661" s="9">
        <v>2326.5</v>
      </c>
      <c r="Z661" s="9"/>
      <c r="AA661" s="9"/>
      <c r="AB661" s="9"/>
      <c r="AC661" s="9"/>
      <c r="AD661" s="9"/>
      <c r="AE661" s="9"/>
      <c r="AF661" s="9"/>
      <c r="AG661" s="9"/>
      <c r="AH661" s="7">
        <v>4233.99</v>
      </c>
      <c r="AI661" s="7">
        <v>2326.5</v>
      </c>
    </row>
    <row r="662" spans="2:35" x14ac:dyDescent="0.3">
      <c r="B662" s="5" t="s">
        <v>3061</v>
      </c>
      <c r="C662" s="5" t="s">
        <v>13</v>
      </c>
      <c r="D662" s="12" t="s">
        <v>1213</v>
      </c>
      <c r="E662" s="6" t="s">
        <v>99</v>
      </c>
      <c r="F662" s="13" t="s">
        <v>100</v>
      </c>
      <c r="G662" s="6" t="s">
        <v>101</v>
      </c>
      <c r="H662" s="7" t="str">
        <f t="shared" si="10"/>
        <v>PPP-IPU-I394-01Operation &amp; Maintenance</v>
      </c>
      <c r="I662" s="8" t="s">
        <v>24</v>
      </c>
      <c r="J662" s="8" t="s">
        <v>19</v>
      </c>
      <c r="K662" s="8" t="s">
        <v>20</v>
      </c>
      <c r="L662" s="9"/>
      <c r="M662" s="9"/>
      <c r="N662" s="9"/>
      <c r="O662" s="9"/>
      <c r="P662" s="9"/>
      <c r="Q662" s="9"/>
      <c r="R662" s="9"/>
      <c r="S662" s="9"/>
      <c r="T662" s="9"/>
      <c r="U662" s="9"/>
      <c r="V662" s="9"/>
      <c r="W662" s="9"/>
      <c r="X662" s="9">
        <v>49687.5</v>
      </c>
      <c r="Y662" s="9">
        <v>8635.08</v>
      </c>
      <c r="Z662" s="9"/>
      <c r="AA662" s="9"/>
      <c r="AB662" s="9"/>
      <c r="AC662" s="9"/>
      <c r="AD662" s="9"/>
      <c r="AE662" s="9"/>
      <c r="AF662" s="9"/>
      <c r="AG662" s="9"/>
      <c r="AH662" s="7">
        <v>49687.5</v>
      </c>
      <c r="AI662" s="7">
        <v>8635.08</v>
      </c>
    </row>
    <row r="663" spans="2:35" x14ac:dyDescent="0.3">
      <c r="B663" s="5" t="s">
        <v>3061</v>
      </c>
      <c r="C663" s="5" t="s">
        <v>13</v>
      </c>
      <c r="D663" s="12" t="s">
        <v>1215</v>
      </c>
      <c r="E663" s="6" t="s">
        <v>826</v>
      </c>
      <c r="F663" s="13" t="s">
        <v>827</v>
      </c>
      <c r="G663" s="6" t="s">
        <v>828</v>
      </c>
      <c r="H663" s="7" t="str">
        <f t="shared" si="10"/>
        <v>EPC-IPU-E716-05Spot</v>
      </c>
      <c r="I663" s="8" t="s">
        <v>18</v>
      </c>
      <c r="J663" s="8" t="s">
        <v>259</v>
      </c>
      <c r="K663" s="8" t="s">
        <v>259</v>
      </c>
      <c r="L663" s="9"/>
      <c r="M663" s="9"/>
      <c r="N663" s="9"/>
      <c r="O663" s="9"/>
      <c r="P663" s="9"/>
      <c r="Q663" s="9"/>
      <c r="R663" s="9"/>
      <c r="S663" s="9"/>
      <c r="T663" s="9"/>
      <c r="U663" s="9"/>
      <c r="V663" s="9"/>
      <c r="W663" s="9"/>
      <c r="X663" s="9">
        <v>13367.17</v>
      </c>
      <c r="Y663" s="9">
        <v>7304.54</v>
      </c>
      <c r="Z663" s="9"/>
      <c r="AA663" s="9"/>
      <c r="AB663" s="9"/>
      <c r="AC663" s="9"/>
      <c r="AD663" s="9"/>
      <c r="AE663" s="9"/>
      <c r="AF663" s="9"/>
      <c r="AG663" s="9"/>
      <c r="AH663" s="7">
        <v>13367.17</v>
      </c>
      <c r="AI663" s="7">
        <v>7304.54</v>
      </c>
    </row>
    <row r="664" spans="2:35" x14ac:dyDescent="0.3">
      <c r="B664" s="5" t="s">
        <v>3061</v>
      </c>
      <c r="C664" s="5" t="s">
        <v>13</v>
      </c>
      <c r="D664" s="12" t="s">
        <v>1213</v>
      </c>
      <c r="E664" s="6" t="s">
        <v>287</v>
      </c>
      <c r="F664" s="13" t="s">
        <v>288</v>
      </c>
      <c r="G664" s="6" t="s">
        <v>289</v>
      </c>
      <c r="H664" s="7" t="str">
        <f t="shared" si="10"/>
        <v>ATI-IPU-A887-01Operation &amp; Maintenance</v>
      </c>
      <c r="I664" s="8" t="s">
        <v>18</v>
      </c>
      <c r="J664" s="8" t="s">
        <v>19</v>
      </c>
      <c r="K664" s="8" t="s">
        <v>20</v>
      </c>
      <c r="L664" s="9"/>
      <c r="M664" s="9"/>
      <c r="N664" s="9"/>
      <c r="O664" s="9"/>
      <c r="P664" s="9"/>
      <c r="Q664" s="9"/>
      <c r="R664" s="9"/>
      <c r="S664" s="9"/>
      <c r="T664" s="9"/>
      <c r="U664" s="9"/>
      <c r="V664" s="9"/>
      <c r="W664" s="9"/>
      <c r="X664" s="9">
        <v>5046.32</v>
      </c>
      <c r="Y664" s="9">
        <v>2260</v>
      </c>
      <c r="Z664" s="9"/>
      <c r="AA664" s="9"/>
      <c r="AB664" s="9"/>
      <c r="AC664" s="9"/>
      <c r="AD664" s="9"/>
      <c r="AE664" s="9"/>
      <c r="AF664" s="9"/>
      <c r="AG664" s="9"/>
      <c r="AH664" s="7">
        <v>5046.32</v>
      </c>
      <c r="AI664" s="7">
        <v>2260</v>
      </c>
    </row>
    <row r="665" spans="2:35" x14ac:dyDescent="0.3">
      <c r="B665" s="5" t="s">
        <v>3061</v>
      </c>
      <c r="C665" s="5" t="s">
        <v>13</v>
      </c>
      <c r="D665" s="12" t="s">
        <v>1213</v>
      </c>
      <c r="E665" s="6" t="s">
        <v>296</v>
      </c>
      <c r="F665" s="13" t="s">
        <v>297</v>
      </c>
      <c r="G665" s="6" t="s">
        <v>298</v>
      </c>
      <c r="H665" s="7" t="str">
        <f t="shared" si="10"/>
        <v>PPP-IPU-G426-01Operation &amp; Maintenance</v>
      </c>
      <c r="I665" s="8" t="s">
        <v>18</v>
      </c>
      <c r="J665" s="8" t="s">
        <v>19</v>
      </c>
      <c r="K665" s="8" t="s">
        <v>20</v>
      </c>
      <c r="L665" s="9"/>
      <c r="M665" s="9"/>
      <c r="N665" s="9"/>
      <c r="O665" s="9"/>
      <c r="P665" s="9"/>
      <c r="Q665" s="9"/>
      <c r="R665" s="9"/>
      <c r="S665" s="9"/>
      <c r="T665" s="9"/>
      <c r="U665" s="9"/>
      <c r="V665" s="9"/>
      <c r="W665" s="9"/>
      <c r="X665" s="9">
        <v>28998.78</v>
      </c>
      <c r="Y665" s="9">
        <v>9808.08</v>
      </c>
      <c r="Z665" s="9"/>
      <c r="AA665" s="9"/>
      <c r="AB665" s="9"/>
      <c r="AC665" s="9"/>
      <c r="AD665" s="9"/>
      <c r="AE665" s="9"/>
      <c r="AF665" s="9"/>
      <c r="AG665" s="9"/>
      <c r="AH665" s="7">
        <v>28998.78</v>
      </c>
      <c r="AI665" s="7">
        <v>9808.08</v>
      </c>
    </row>
    <row r="666" spans="2:35" x14ac:dyDescent="0.3">
      <c r="B666" s="5" t="s">
        <v>3061</v>
      </c>
      <c r="C666" s="5" t="s">
        <v>13</v>
      </c>
      <c r="D666" s="12" t="s">
        <v>1213</v>
      </c>
      <c r="E666" s="6" t="s">
        <v>218</v>
      </c>
      <c r="F666" s="13" t="s">
        <v>219</v>
      </c>
      <c r="G666" s="6" t="s">
        <v>220</v>
      </c>
      <c r="H666" s="7" t="str">
        <f t="shared" si="10"/>
        <v>PPP-IPU-I917-01Operation &amp; Maintenance</v>
      </c>
      <c r="I666" s="8" t="s">
        <v>18</v>
      </c>
      <c r="J666" s="8" t="s">
        <v>19</v>
      </c>
      <c r="K666" s="8" t="s">
        <v>20</v>
      </c>
      <c r="L666" s="9"/>
      <c r="M666" s="9"/>
      <c r="N666" s="9"/>
      <c r="O666" s="9"/>
      <c r="P666" s="9"/>
      <c r="Q666" s="9"/>
      <c r="R666" s="9"/>
      <c r="S666" s="9"/>
      <c r="T666" s="9"/>
      <c r="U666" s="9"/>
      <c r="V666" s="9"/>
      <c r="W666" s="9"/>
      <c r="X666" s="9">
        <v>11851.5</v>
      </c>
      <c r="Y666" s="9">
        <v>3226.59</v>
      </c>
      <c r="Z666" s="9"/>
      <c r="AA666" s="9"/>
      <c r="AB666" s="9"/>
      <c r="AC666" s="9"/>
      <c r="AD666" s="9"/>
      <c r="AE666" s="9"/>
      <c r="AF666" s="9"/>
      <c r="AG666" s="9"/>
      <c r="AH666" s="7">
        <v>11851.5</v>
      </c>
      <c r="AI666" s="7">
        <v>3226.59</v>
      </c>
    </row>
    <row r="667" spans="2:35" x14ac:dyDescent="0.3">
      <c r="B667" s="5" t="s">
        <v>3061</v>
      </c>
      <c r="C667" s="5" t="s">
        <v>886</v>
      </c>
      <c r="D667" s="12" t="s">
        <v>1213</v>
      </c>
      <c r="E667" s="6" t="s">
        <v>911</v>
      </c>
      <c r="F667" s="13" t="s">
        <v>912</v>
      </c>
      <c r="G667" s="6" t="s">
        <v>889</v>
      </c>
      <c r="H667" s="7" t="str">
        <f t="shared" si="10"/>
        <v>EPC-IPU-H090-01Operation &amp; Maintenance</v>
      </c>
      <c r="I667" s="8" t="s">
        <v>18</v>
      </c>
      <c r="J667" s="8" t="s">
        <v>76</v>
      </c>
      <c r="K667" s="8" t="s">
        <v>76</v>
      </c>
      <c r="L667" s="9"/>
      <c r="M667" s="9"/>
      <c r="N667" s="9"/>
      <c r="O667" s="9"/>
      <c r="P667" s="9"/>
      <c r="Q667" s="9"/>
      <c r="R667" s="9"/>
      <c r="S667" s="9"/>
      <c r="T667" s="9"/>
      <c r="U667" s="9"/>
      <c r="V667" s="9"/>
      <c r="W667" s="9"/>
      <c r="X667" s="9">
        <v>0</v>
      </c>
      <c r="Y667" s="9">
        <v>211.92</v>
      </c>
      <c r="Z667" s="9"/>
      <c r="AA667" s="9"/>
      <c r="AB667" s="9"/>
      <c r="AC667" s="9"/>
      <c r="AD667" s="9"/>
      <c r="AE667" s="9"/>
      <c r="AF667" s="9"/>
      <c r="AG667" s="9"/>
      <c r="AH667" s="7">
        <v>0</v>
      </c>
      <c r="AI667" s="7">
        <v>211.92</v>
      </c>
    </row>
    <row r="668" spans="2:35" x14ac:dyDescent="0.3">
      <c r="B668" s="5" t="s">
        <v>3061</v>
      </c>
      <c r="C668" s="5" t="s">
        <v>886</v>
      </c>
      <c r="D668" s="12" t="s">
        <v>1215</v>
      </c>
      <c r="E668" s="6" t="s">
        <v>911</v>
      </c>
      <c r="F668" s="13" t="s">
        <v>912</v>
      </c>
      <c r="G668" s="6" t="s">
        <v>889</v>
      </c>
      <c r="H668" s="7" t="str">
        <f t="shared" si="10"/>
        <v>EPC-IPU-H090-01Spot</v>
      </c>
      <c r="I668" s="8" t="s">
        <v>18</v>
      </c>
      <c r="J668" s="8" t="s">
        <v>76</v>
      </c>
      <c r="K668" s="8" t="s">
        <v>76</v>
      </c>
      <c r="L668" s="9"/>
      <c r="M668" s="9"/>
      <c r="N668" s="9"/>
      <c r="O668" s="9"/>
      <c r="P668" s="9"/>
      <c r="Q668" s="9"/>
      <c r="R668" s="9"/>
      <c r="S668" s="9"/>
      <c r="T668" s="9"/>
      <c r="U668" s="9"/>
      <c r="V668" s="9"/>
      <c r="W668" s="9"/>
      <c r="X668" s="9">
        <v>0</v>
      </c>
      <c r="Y668" s="9">
        <v>880.4</v>
      </c>
      <c r="Z668" s="9"/>
      <c r="AA668" s="9"/>
      <c r="AB668" s="9"/>
      <c r="AC668" s="9"/>
      <c r="AD668" s="9"/>
      <c r="AE668" s="9"/>
      <c r="AF668" s="9"/>
      <c r="AG668" s="9"/>
      <c r="AH668" s="7">
        <v>0</v>
      </c>
      <c r="AI668" s="7">
        <v>880.4</v>
      </c>
    </row>
    <row r="669" spans="2:35" x14ac:dyDescent="0.3">
      <c r="B669" s="5" t="s">
        <v>3061</v>
      </c>
      <c r="C669" s="5" t="s">
        <v>13</v>
      </c>
      <c r="D669" s="12" t="s">
        <v>1215</v>
      </c>
      <c r="E669" s="6" t="s">
        <v>1057</v>
      </c>
      <c r="F669" s="13" t="s">
        <v>1058</v>
      </c>
      <c r="G669" s="6" t="s">
        <v>1059</v>
      </c>
      <c r="H669" s="7" t="str">
        <f t="shared" si="10"/>
        <v>EPC-IPU-F205-01Spot</v>
      </c>
      <c r="I669" s="8" t="s">
        <v>49</v>
      </c>
      <c r="J669" s="8" t="s">
        <v>76</v>
      </c>
      <c r="K669" s="8" t="s">
        <v>76</v>
      </c>
      <c r="L669" s="9"/>
      <c r="M669" s="9"/>
      <c r="N669" s="9"/>
      <c r="O669" s="9"/>
      <c r="P669" s="9"/>
      <c r="Q669" s="9"/>
      <c r="R669" s="9"/>
      <c r="S669" s="9"/>
      <c r="T669" s="9"/>
      <c r="U669" s="9"/>
      <c r="V669" s="9"/>
      <c r="W669" s="9"/>
      <c r="X669" s="9">
        <v>0</v>
      </c>
      <c r="Y669" s="9">
        <v>690.61</v>
      </c>
      <c r="Z669" s="9"/>
      <c r="AA669" s="9"/>
      <c r="AB669" s="9"/>
      <c r="AC669" s="9"/>
      <c r="AD669" s="9"/>
      <c r="AE669" s="9"/>
      <c r="AF669" s="9"/>
      <c r="AG669" s="9"/>
      <c r="AH669" s="7">
        <v>0</v>
      </c>
      <c r="AI669" s="7">
        <v>690.61</v>
      </c>
    </row>
    <row r="670" spans="2:35" x14ac:dyDescent="0.3">
      <c r="B670" s="5" t="s">
        <v>3061</v>
      </c>
      <c r="C670" s="5" t="s">
        <v>13</v>
      </c>
      <c r="D670" s="12" t="s">
        <v>1213</v>
      </c>
      <c r="E670" s="6" t="s">
        <v>829</v>
      </c>
      <c r="F670" s="13" t="s">
        <v>830</v>
      </c>
      <c r="G670" s="6" t="s">
        <v>831</v>
      </c>
      <c r="H670" s="7" t="str">
        <f t="shared" si="10"/>
        <v>EPC-IPU-G712-01Operation &amp; Maintenance</v>
      </c>
      <c r="I670" s="8" t="s">
        <v>18</v>
      </c>
      <c r="J670" s="8" t="s">
        <v>259</v>
      </c>
      <c r="K670" s="8" t="s">
        <v>259</v>
      </c>
      <c r="L670" s="9"/>
      <c r="M670" s="9"/>
      <c r="N670" s="9"/>
      <c r="O670" s="9"/>
      <c r="P670" s="9"/>
      <c r="Q670" s="9"/>
      <c r="R670" s="9"/>
      <c r="S670" s="9"/>
      <c r="T670" s="9"/>
      <c r="U670" s="9"/>
      <c r="V670" s="9"/>
      <c r="W670" s="9"/>
      <c r="X670" s="9">
        <v>0</v>
      </c>
      <c r="Y670" s="9">
        <v>832.72</v>
      </c>
      <c r="Z670" s="9"/>
      <c r="AA670" s="9"/>
      <c r="AB670" s="9"/>
      <c r="AC670" s="9"/>
      <c r="AD670" s="9"/>
      <c r="AE670" s="9"/>
      <c r="AF670" s="9"/>
      <c r="AG670" s="9"/>
      <c r="AH670" s="7">
        <v>0</v>
      </c>
      <c r="AI670" s="7">
        <v>832.72</v>
      </c>
    </row>
    <row r="671" spans="2:35" x14ac:dyDescent="0.3">
      <c r="B671" s="5" t="s">
        <v>3061</v>
      </c>
      <c r="C671" s="5" t="s">
        <v>13</v>
      </c>
      <c r="D671" s="12" t="s">
        <v>1215</v>
      </c>
      <c r="E671" s="6" t="s">
        <v>829</v>
      </c>
      <c r="F671" s="13" t="s">
        <v>830</v>
      </c>
      <c r="G671" s="6" t="s">
        <v>831</v>
      </c>
      <c r="H671" s="7" t="str">
        <f t="shared" si="10"/>
        <v>EPC-IPU-G712-01Spot</v>
      </c>
      <c r="I671" s="8" t="s">
        <v>18</v>
      </c>
      <c r="J671" s="8" t="s">
        <v>259</v>
      </c>
      <c r="K671" s="8" t="s">
        <v>259</v>
      </c>
      <c r="L671" s="9"/>
      <c r="M671" s="9"/>
      <c r="N671" s="9"/>
      <c r="O671" s="9"/>
      <c r="P671" s="9"/>
      <c r="Q671" s="9"/>
      <c r="R671" s="9"/>
      <c r="S671" s="9"/>
      <c r="T671" s="9"/>
      <c r="U671" s="9"/>
      <c r="V671" s="9"/>
      <c r="W671" s="9"/>
      <c r="X671" s="9">
        <v>0</v>
      </c>
      <c r="Y671" s="9">
        <v>7825.89</v>
      </c>
      <c r="Z671" s="9"/>
      <c r="AA671" s="9"/>
      <c r="AB671" s="9"/>
      <c r="AC671" s="9"/>
      <c r="AD671" s="9"/>
      <c r="AE671" s="9"/>
      <c r="AF671" s="9"/>
      <c r="AG671" s="9"/>
      <c r="AH671" s="7">
        <v>0</v>
      </c>
      <c r="AI671" s="7">
        <v>7825.89</v>
      </c>
    </row>
    <row r="672" spans="2:35" x14ac:dyDescent="0.3">
      <c r="B672" s="5" t="s">
        <v>3061</v>
      </c>
      <c r="C672" s="5" t="s">
        <v>13</v>
      </c>
      <c r="D672" s="12" t="s">
        <v>1214</v>
      </c>
      <c r="E672" s="6" t="s">
        <v>700</v>
      </c>
      <c r="F672" s="13" t="s">
        <v>701</v>
      </c>
      <c r="G672" s="6" t="s">
        <v>702</v>
      </c>
      <c r="H672" s="7" t="str">
        <f t="shared" si="10"/>
        <v>SEC-CIM-A519-01Unknown</v>
      </c>
      <c r="I672" s="8" t="s">
        <v>18</v>
      </c>
      <c r="J672" s="8" t="s">
        <v>695</v>
      </c>
      <c r="K672" s="8" t="s">
        <v>695</v>
      </c>
      <c r="L672" s="9"/>
      <c r="M672" s="9"/>
      <c r="N672" s="9"/>
      <c r="O672" s="9"/>
      <c r="P672" s="9"/>
      <c r="Q672" s="9"/>
      <c r="R672" s="9"/>
      <c r="S672" s="9"/>
      <c r="T672" s="9"/>
      <c r="U672" s="9"/>
      <c r="V672" s="9"/>
      <c r="W672" s="9"/>
      <c r="X672" s="9">
        <v>-28560</v>
      </c>
      <c r="Y672" s="9">
        <v>66961.279999999999</v>
      </c>
      <c r="Z672" s="9"/>
      <c r="AA672" s="9"/>
      <c r="AB672" s="9"/>
      <c r="AC672" s="9"/>
      <c r="AD672" s="9"/>
      <c r="AE672" s="9"/>
      <c r="AF672" s="9"/>
      <c r="AG672" s="9"/>
      <c r="AH672" s="7">
        <v>-28560</v>
      </c>
      <c r="AI672" s="7">
        <v>66961.279999999999</v>
      </c>
    </row>
    <row r="673" spans="2:35" x14ac:dyDescent="0.3">
      <c r="B673" s="5" t="s">
        <v>3061</v>
      </c>
      <c r="C673" s="5" t="s">
        <v>13</v>
      </c>
      <c r="D673" s="12" t="s">
        <v>1214</v>
      </c>
      <c r="E673" s="6" t="s">
        <v>983</v>
      </c>
      <c r="F673" s="13" t="s">
        <v>983</v>
      </c>
      <c r="G673" s="6" t="s">
        <v>688</v>
      </c>
      <c r="H673" s="7" t="str">
        <f t="shared" si="10"/>
        <v>FERIEUnknown</v>
      </c>
      <c r="I673" s="8" t="s">
        <v>689</v>
      </c>
      <c r="J673" s="8" t="s">
        <v>690</v>
      </c>
      <c r="K673" s="8" t="s">
        <v>690</v>
      </c>
      <c r="L673" s="9"/>
      <c r="M673" s="9"/>
      <c r="N673" s="9"/>
      <c r="O673" s="9"/>
      <c r="P673" s="9"/>
      <c r="Q673" s="9"/>
      <c r="R673" s="9"/>
      <c r="S673" s="9"/>
      <c r="T673" s="9"/>
      <c r="U673" s="9"/>
      <c r="V673" s="9"/>
      <c r="W673" s="9"/>
      <c r="X673" s="9">
        <v>0</v>
      </c>
      <c r="Y673" s="9">
        <v>250558.27</v>
      </c>
      <c r="Z673" s="9"/>
      <c r="AA673" s="9"/>
      <c r="AB673" s="9"/>
      <c r="AC673" s="9"/>
      <c r="AD673" s="9"/>
      <c r="AE673" s="9"/>
      <c r="AF673" s="9"/>
      <c r="AG673" s="9"/>
      <c r="AH673" s="7">
        <v>0</v>
      </c>
      <c r="AI673" s="7">
        <v>250558.27</v>
      </c>
    </row>
    <row r="674" spans="2:35" x14ac:dyDescent="0.3">
      <c r="B674" s="5" t="s">
        <v>3061</v>
      </c>
      <c r="C674" s="5" t="s">
        <v>13</v>
      </c>
      <c r="D674" s="12" t="s">
        <v>1213</v>
      </c>
      <c r="E674" s="6" t="s">
        <v>43</v>
      </c>
      <c r="F674" s="13" t="s">
        <v>44</v>
      </c>
      <c r="G674" s="6" t="s">
        <v>45</v>
      </c>
      <c r="H674" s="7" t="str">
        <f t="shared" si="10"/>
        <v>PPP-IPU-E716-01Operation &amp; Maintenance</v>
      </c>
      <c r="I674" s="8" t="s">
        <v>18</v>
      </c>
      <c r="J674" s="8" t="s">
        <v>19</v>
      </c>
      <c r="K674" s="8" t="s">
        <v>20</v>
      </c>
      <c r="L674" s="9"/>
      <c r="M674" s="9"/>
      <c r="N674" s="9"/>
      <c r="O674" s="9"/>
      <c r="P674" s="9"/>
      <c r="Q674" s="9"/>
      <c r="R674" s="9"/>
      <c r="S674" s="9"/>
      <c r="T674" s="9"/>
      <c r="U674" s="9"/>
      <c r="V674" s="9"/>
      <c r="W674" s="9"/>
      <c r="X674" s="9">
        <v>58125.43</v>
      </c>
      <c r="Y674" s="9">
        <v>16422.169999999998</v>
      </c>
      <c r="Z674" s="9"/>
      <c r="AA674" s="9"/>
      <c r="AB674" s="9"/>
      <c r="AC674" s="9"/>
      <c r="AD674" s="9"/>
      <c r="AE674" s="9"/>
      <c r="AF674" s="9"/>
      <c r="AG674" s="9"/>
      <c r="AH674" s="7">
        <v>58125.43</v>
      </c>
      <c r="AI674" s="7">
        <v>16422.169999999998</v>
      </c>
    </row>
    <row r="675" spans="2:35" x14ac:dyDescent="0.3">
      <c r="B675" s="5" t="s">
        <v>3061</v>
      </c>
      <c r="C675" s="5" t="s">
        <v>13</v>
      </c>
      <c r="D675" s="12" t="s">
        <v>1214</v>
      </c>
      <c r="E675" s="6" t="s">
        <v>722</v>
      </c>
      <c r="F675" s="13" t="s">
        <v>722</v>
      </c>
      <c r="G675" s="6" t="s">
        <v>688</v>
      </c>
      <c r="H675" s="7" t="str">
        <f t="shared" si="10"/>
        <v>L104 PERMESSIUnknown</v>
      </c>
      <c r="I675" s="8" t="s">
        <v>689</v>
      </c>
      <c r="J675" s="8" t="s">
        <v>690</v>
      </c>
      <c r="K675" s="8" t="s">
        <v>690</v>
      </c>
      <c r="L675" s="9"/>
      <c r="M675" s="9"/>
      <c r="N675" s="9"/>
      <c r="O675" s="9"/>
      <c r="P675" s="9"/>
      <c r="Q675" s="9"/>
      <c r="R675" s="9"/>
      <c r="S675" s="9"/>
      <c r="T675" s="9"/>
      <c r="U675" s="9"/>
      <c r="V675" s="9"/>
      <c r="W675" s="9"/>
      <c r="X675" s="9">
        <v>0</v>
      </c>
      <c r="Y675" s="9">
        <v>5374.95</v>
      </c>
      <c r="Z675" s="9"/>
      <c r="AA675" s="9"/>
      <c r="AB675" s="9"/>
      <c r="AC675" s="9"/>
      <c r="AD675" s="9"/>
      <c r="AE675" s="9"/>
      <c r="AF675" s="9"/>
      <c r="AG675" s="9"/>
      <c r="AH675" s="7">
        <v>0</v>
      </c>
      <c r="AI675" s="7">
        <v>5374.95</v>
      </c>
    </row>
    <row r="676" spans="2:35" x14ac:dyDescent="0.3">
      <c r="B676" s="5" t="s">
        <v>3061</v>
      </c>
      <c r="C676" s="5" t="s">
        <v>13</v>
      </c>
      <c r="D676" s="12" t="s">
        <v>1214</v>
      </c>
      <c r="E676" s="6" t="s">
        <v>692</v>
      </c>
      <c r="F676" s="13" t="s">
        <v>693</v>
      </c>
      <c r="G676" s="6" t="s">
        <v>694</v>
      </c>
      <c r="H676" s="7" t="str">
        <f t="shared" si="10"/>
        <v>SEC-CIM-D593-01Unknown</v>
      </c>
      <c r="I676" s="8" t="s">
        <v>18</v>
      </c>
      <c r="J676" s="8" t="s">
        <v>695</v>
      </c>
      <c r="K676" s="8" t="s">
        <v>695</v>
      </c>
      <c r="L676" s="9"/>
      <c r="M676" s="9"/>
      <c r="N676" s="9"/>
      <c r="O676" s="9"/>
      <c r="P676" s="9"/>
      <c r="Q676" s="9"/>
      <c r="R676" s="9"/>
      <c r="S676" s="9"/>
      <c r="T676" s="9"/>
      <c r="U676" s="9"/>
      <c r="V676" s="9"/>
      <c r="W676" s="9"/>
      <c r="X676" s="9">
        <v>9411.9500000000007</v>
      </c>
      <c r="Y676" s="9">
        <v>13054.01</v>
      </c>
      <c r="Z676" s="9"/>
      <c r="AA676" s="9"/>
      <c r="AB676" s="9"/>
      <c r="AC676" s="9"/>
      <c r="AD676" s="9"/>
      <c r="AE676" s="9"/>
      <c r="AF676" s="9"/>
      <c r="AG676" s="9"/>
      <c r="AH676" s="7">
        <v>9411.9500000000007</v>
      </c>
      <c r="AI676" s="7">
        <v>13054.01</v>
      </c>
    </row>
    <row r="677" spans="2:35" x14ac:dyDescent="0.3">
      <c r="B677" s="5" t="s">
        <v>3061</v>
      </c>
      <c r="C677" s="5" t="s">
        <v>13</v>
      </c>
      <c r="D677" s="12" t="s">
        <v>1213</v>
      </c>
      <c r="E677" s="6" t="s">
        <v>457</v>
      </c>
      <c r="F677" s="13" t="s">
        <v>458</v>
      </c>
      <c r="G677" s="6" t="s">
        <v>459</v>
      </c>
      <c r="H677" s="7" t="str">
        <f t="shared" si="10"/>
        <v>ATI-IPU-G616-01Operation &amp; Maintenance</v>
      </c>
      <c r="I677" s="8" t="s">
        <v>18</v>
      </c>
      <c r="J677" s="8" t="s">
        <v>19</v>
      </c>
      <c r="K677" s="8" t="s">
        <v>20</v>
      </c>
      <c r="L677" s="9"/>
      <c r="M677" s="9"/>
      <c r="N677" s="9"/>
      <c r="O677" s="9"/>
      <c r="P677" s="9"/>
      <c r="Q677" s="9"/>
      <c r="R677" s="9"/>
      <c r="S677" s="9"/>
      <c r="T677" s="9"/>
      <c r="U677" s="9"/>
      <c r="V677" s="9"/>
      <c r="W677" s="9"/>
      <c r="X677" s="9">
        <v>6454.58</v>
      </c>
      <c r="Y677" s="9">
        <v>1176.98</v>
      </c>
      <c r="Z677" s="9"/>
      <c r="AA677" s="9"/>
      <c r="AB677" s="9"/>
      <c r="AC677" s="9"/>
      <c r="AD677" s="9"/>
      <c r="AE677" s="9"/>
      <c r="AF677" s="9"/>
      <c r="AG677" s="9"/>
      <c r="AH677" s="7">
        <v>6454.58</v>
      </c>
      <c r="AI677" s="7">
        <v>1176.98</v>
      </c>
    </row>
    <row r="678" spans="2:35" x14ac:dyDescent="0.3">
      <c r="B678" s="5" t="s">
        <v>3061</v>
      </c>
      <c r="C678" s="5" t="s">
        <v>13</v>
      </c>
      <c r="D678" s="12" t="s">
        <v>1213</v>
      </c>
      <c r="E678" s="6" t="s">
        <v>126</v>
      </c>
      <c r="F678" s="13" t="s">
        <v>127</v>
      </c>
      <c r="G678" s="6" t="s">
        <v>128</v>
      </c>
      <c r="H678" s="7" t="str">
        <f t="shared" si="10"/>
        <v>CL3-IPU-B671-01Operation &amp; Maintenance</v>
      </c>
      <c r="I678" s="8" t="s">
        <v>49</v>
      </c>
      <c r="J678" s="8" t="s">
        <v>19</v>
      </c>
      <c r="K678" s="8" t="s">
        <v>98</v>
      </c>
      <c r="L678" s="9"/>
      <c r="M678" s="9"/>
      <c r="N678" s="9"/>
      <c r="O678" s="9"/>
      <c r="P678" s="9"/>
      <c r="Q678" s="9"/>
      <c r="R678" s="9"/>
      <c r="S678" s="9"/>
      <c r="T678" s="9"/>
      <c r="U678" s="9"/>
      <c r="V678" s="9"/>
      <c r="W678" s="9"/>
      <c r="X678" s="9">
        <v>0</v>
      </c>
      <c r="Y678" s="9">
        <v>3587.36</v>
      </c>
      <c r="Z678" s="9"/>
      <c r="AA678" s="9"/>
      <c r="AB678" s="9"/>
      <c r="AC678" s="9"/>
      <c r="AD678" s="9"/>
      <c r="AE678" s="9"/>
      <c r="AF678" s="9"/>
      <c r="AG678" s="9"/>
      <c r="AH678" s="7">
        <v>0</v>
      </c>
      <c r="AI678" s="7">
        <v>3587.36</v>
      </c>
    </row>
    <row r="679" spans="2:35" x14ac:dyDescent="0.3">
      <c r="B679" s="5" t="s">
        <v>3061</v>
      </c>
      <c r="C679" s="5" t="s">
        <v>13</v>
      </c>
      <c r="D679" s="12" t="s">
        <v>1213</v>
      </c>
      <c r="E679" s="6" t="s">
        <v>947</v>
      </c>
      <c r="F679" s="13" t="s">
        <v>948</v>
      </c>
      <c r="G679" s="6" t="s">
        <v>149</v>
      </c>
      <c r="H679" s="7" t="str">
        <f t="shared" si="10"/>
        <v>EPC-IPU-A743-07Operation &amp; Maintenance</v>
      </c>
      <c r="I679" s="8" t="s">
        <v>18</v>
      </c>
      <c r="J679" s="8" t="s">
        <v>76</v>
      </c>
      <c r="K679" s="8" t="s">
        <v>76</v>
      </c>
      <c r="L679" s="9"/>
      <c r="M679" s="9"/>
      <c r="N679" s="9"/>
      <c r="O679" s="9"/>
      <c r="P679" s="9"/>
      <c r="Q679" s="9"/>
      <c r="R679" s="9"/>
      <c r="S679" s="9"/>
      <c r="T679" s="9"/>
      <c r="U679" s="9"/>
      <c r="V679" s="9"/>
      <c r="W679" s="9"/>
      <c r="X679" s="9">
        <v>0</v>
      </c>
      <c r="Y679" s="9">
        <v>139.38</v>
      </c>
      <c r="Z679" s="9"/>
      <c r="AA679" s="9"/>
      <c r="AB679" s="9"/>
      <c r="AC679" s="9"/>
      <c r="AD679" s="9"/>
      <c r="AE679" s="9"/>
      <c r="AF679" s="9"/>
      <c r="AG679" s="9"/>
      <c r="AH679" s="7">
        <v>0</v>
      </c>
      <c r="AI679" s="7">
        <v>139.38</v>
      </c>
    </row>
    <row r="680" spans="2:35" x14ac:dyDescent="0.3">
      <c r="B680" s="5" t="s">
        <v>3061</v>
      </c>
      <c r="C680" s="5" t="s">
        <v>13</v>
      </c>
      <c r="D680" s="12" t="s">
        <v>1213</v>
      </c>
      <c r="E680" s="6" t="s">
        <v>445</v>
      </c>
      <c r="F680" s="13" t="s">
        <v>446</v>
      </c>
      <c r="G680" s="6" t="s">
        <v>447</v>
      </c>
      <c r="H680" s="7" t="str">
        <f t="shared" si="10"/>
        <v>PPP-IPU-G070-01Operation &amp; Maintenance</v>
      </c>
      <c r="I680" s="8" t="s">
        <v>24</v>
      </c>
      <c r="J680" s="8" t="s">
        <v>19</v>
      </c>
      <c r="K680" s="8" t="s">
        <v>20</v>
      </c>
      <c r="L680" s="9"/>
      <c r="M680" s="9"/>
      <c r="N680" s="9"/>
      <c r="O680" s="9"/>
      <c r="P680" s="9"/>
      <c r="Q680" s="9"/>
      <c r="R680" s="9"/>
      <c r="S680" s="9"/>
      <c r="T680" s="9"/>
      <c r="U680" s="9"/>
      <c r="V680" s="9"/>
      <c r="W680" s="9"/>
      <c r="X680" s="9">
        <v>21972.45</v>
      </c>
      <c r="Y680" s="9">
        <v>3871.86</v>
      </c>
      <c r="Z680" s="9"/>
      <c r="AA680" s="9"/>
      <c r="AB680" s="9"/>
      <c r="AC680" s="9"/>
      <c r="AD680" s="9"/>
      <c r="AE680" s="9"/>
      <c r="AF680" s="9"/>
      <c r="AG680" s="9"/>
      <c r="AH680" s="7">
        <v>21972.45</v>
      </c>
      <c r="AI680" s="7">
        <v>3871.86</v>
      </c>
    </row>
    <row r="681" spans="2:35" x14ac:dyDescent="0.3">
      <c r="B681" s="5" t="s">
        <v>3061</v>
      </c>
      <c r="C681" s="5" t="s">
        <v>13</v>
      </c>
      <c r="D681" s="12" t="s">
        <v>1214</v>
      </c>
      <c r="E681" s="6" t="s">
        <v>984</v>
      </c>
      <c r="F681" s="13" t="s">
        <v>984</v>
      </c>
      <c r="G681" s="6" t="s">
        <v>688</v>
      </c>
      <c r="H681" s="7" t="str">
        <f t="shared" si="10"/>
        <v>MATERNITA'Unknown</v>
      </c>
      <c r="I681" s="8" t="s">
        <v>689</v>
      </c>
      <c r="J681" s="8" t="s">
        <v>690</v>
      </c>
      <c r="K681" s="8" t="s">
        <v>690</v>
      </c>
      <c r="L681" s="9"/>
      <c r="M681" s="9"/>
      <c r="N681" s="9"/>
      <c r="O681" s="9"/>
      <c r="P681" s="9"/>
      <c r="Q681" s="9"/>
      <c r="R681" s="9"/>
      <c r="S681" s="9"/>
      <c r="T681" s="9"/>
      <c r="U681" s="9"/>
      <c r="V681" s="9"/>
      <c r="W681" s="9"/>
      <c r="X681" s="9">
        <v>0</v>
      </c>
      <c r="Y681" s="9">
        <v>7424.72</v>
      </c>
      <c r="Z681" s="9"/>
      <c r="AA681" s="9"/>
      <c r="AB681" s="9"/>
      <c r="AC681" s="9"/>
      <c r="AD681" s="9"/>
      <c r="AE681" s="9"/>
      <c r="AF681" s="9"/>
      <c r="AG681" s="9"/>
      <c r="AH681" s="7">
        <v>0</v>
      </c>
      <c r="AI681" s="7">
        <v>7424.72</v>
      </c>
    </row>
    <row r="682" spans="2:35" x14ac:dyDescent="0.3">
      <c r="B682" s="5" t="s">
        <v>3061</v>
      </c>
      <c r="C682" s="5" t="s">
        <v>13</v>
      </c>
      <c r="D682" s="12" t="s">
        <v>1215</v>
      </c>
      <c r="E682" s="6" t="s">
        <v>859</v>
      </c>
      <c r="F682" s="13" t="s">
        <v>860</v>
      </c>
      <c r="G682" s="6" t="s">
        <v>861</v>
      </c>
      <c r="H682" s="7" t="str">
        <f t="shared" si="10"/>
        <v>PPP-IPU-G230-02Spot</v>
      </c>
      <c r="I682" s="8" t="s">
        <v>18</v>
      </c>
      <c r="J682" s="8" t="s">
        <v>76</v>
      </c>
      <c r="K682" s="8" t="s">
        <v>76</v>
      </c>
      <c r="L682" s="9"/>
      <c r="M682" s="9"/>
      <c r="N682" s="9"/>
      <c r="O682" s="9"/>
      <c r="P682" s="9"/>
      <c r="Q682" s="9"/>
      <c r="R682" s="9"/>
      <c r="S682" s="9"/>
      <c r="T682" s="9"/>
      <c r="U682" s="9"/>
      <c r="V682" s="9"/>
      <c r="W682" s="9"/>
      <c r="X682" s="9">
        <v>0</v>
      </c>
      <c r="Y682" s="9">
        <v>31012.77</v>
      </c>
      <c r="Z682" s="9"/>
      <c r="AA682" s="9"/>
      <c r="AB682" s="9"/>
      <c r="AC682" s="9"/>
      <c r="AD682" s="9"/>
      <c r="AE682" s="9"/>
      <c r="AF682" s="9"/>
      <c r="AG682" s="9"/>
      <c r="AH682" s="7">
        <v>0</v>
      </c>
      <c r="AI682" s="7">
        <v>31012.77</v>
      </c>
    </row>
    <row r="683" spans="2:35" x14ac:dyDescent="0.3">
      <c r="B683" s="5" t="s">
        <v>3061</v>
      </c>
      <c r="C683" s="5" t="s">
        <v>13</v>
      </c>
      <c r="D683" s="12" t="s">
        <v>1213</v>
      </c>
      <c r="E683" s="6" t="s">
        <v>859</v>
      </c>
      <c r="F683" s="13" t="s">
        <v>860</v>
      </c>
      <c r="G683" s="6" t="s">
        <v>861</v>
      </c>
      <c r="H683" s="7" t="str">
        <f t="shared" si="10"/>
        <v>PPP-IPU-G230-02Operation &amp; Maintenance</v>
      </c>
      <c r="I683" s="8" t="s">
        <v>18</v>
      </c>
      <c r="J683" s="8" t="s">
        <v>76</v>
      </c>
      <c r="K683" s="8" t="s">
        <v>76</v>
      </c>
      <c r="L683" s="9"/>
      <c r="M683" s="9"/>
      <c r="N683" s="9"/>
      <c r="O683" s="9"/>
      <c r="P683" s="9"/>
      <c r="Q683" s="9"/>
      <c r="R683" s="9"/>
      <c r="S683" s="9"/>
      <c r="T683" s="9"/>
      <c r="U683" s="9"/>
      <c r="V683" s="9"/>
      <c r="W683" s="9"/>
      <c r="X683" s="9">
        <v>0</v>
      </c>
      <c r="Y683" s="9">
        <v>534.98</v>
      </c>
      <c r="Z683" s="9"/>
      <c r="AA683" s="9"/>
      <c r="AB683" s="9"/>
      <c r="AC683" s="9"/>
      <c r="AD683" s="9"/>
      <c r="AE683" s="9"/>
      <c r="AF683" s="9"/>
      <c r="AG683" s="9"/>
      <c r="AH683" s="7">
        <v>0</v>
      </c>
      <c r="AI683" s="7">
        <v>534.98</v>
      </c>
    </row>
    <row r="684" spans="2:35" x14ac:dyDescent="0.3">
      <c r="B684" s="5" t="s">
        <v>3061</v>
      </c>
      <c r="C684" s="5" t="s">
        <v>13</v>
      </c>
      <c r="D684" s="12" t="s">
        <v>1213</v>
      </c>
      <c r="E684" s="6" t="s">
        <v>518</v>
      </c>
      <c r="F684" s="13" t="s">
        <v>519</v>
      </c>
      <c r="G684" s="6" t="s">
        <v>520</v>
      </c>
      <c r="H684" s="7" t="str">
        <f t="shared" si="10"/>
        <v>PPP-IPU-G648-01Operation &amp; Maintenance</v>
      </c>
      <c r="I684" s="8" t="s">
        <v>24</v>
      </c>
      <c r="J684" s="8" t="s">
        <v>19</v>
      </c>
      <c r="K684" s="8" t="s">
        <v>20</v>
      </c>
      <c r="L684" s="9"/>
      <c r="M684" s="9"/>
      <c r="N684" s="9"/>
      <c r="O684" s="9"/>
      <c r="P684" s="9"/>
      <c r="Q684" s="9"/>
      <c r="R684" s="9"/>
      <c r="S684" s="9"/>
      <c r="T684" s="9"/>
      <c r="U684" s="9"/>
      <c r="V684" s="9"/>
      <c r="W684" s="9"/>
      <c r="X684" s="9">
        <v>8103.62</v>
      </c>
      <c r="Y684" s="9">
        <v>5867.24</v>
      </c>
      <c r="Z684" s="9"/>
      <c r="AA684" s="9"/>
      <c r="AB684" s="9"/>
      <c r="AC684" s="9"/>
      <c r="AD684" s="9"/>
      <c r="AE684" s="9"/>
      <c r="AF684" s="9"/>
      <c r="AG684" s="9"/>
      <c r="AH684" s="7">
        <v>8103.62</v>
      </c>
      <c r="AI684" s="7">
        <v>5867.24</v>
      </c>
    </row>
    <row r="685" spans="2:35" x14ac:dyDescent="0.3">
      <c r="B685" s="5" t="s">
        <v>3061</v>
      </c>
      <c r="C685" s="5" t="s">
        <v>13</v>
      </c>
      <c r="D685" s="12" t="s">
        <v>1213</v>
      </c>
      <c r="E685" s="6" t="s">
        <v>141</v>
      </c>
      <c r="F685" s="13" t="s">
        <v>142</v>
      </c>
      <c r="G685" s="6" t="s">
        <v>143</v>
      </c>
      <c r="H685" s="7" t="str">
        <f t="shared" si="10"/>
        <v>PPP-IPU-I457-01Operation &amp; Maintenance</v>
      </c>
      <c r="I685" s="8" t="s">
        <v>18</v>
      </c>
      <c r="J685" s="8" t="s">
        <v>19</v>
      </c>
      <c r="K685" s="8" t="s">
        <v>20</v>
      </c>
      <c r="L685" s="9"/>
      <c r="M685" s="9"/>
      <c r="N685" s="9"/>
      <c r="O685" s="9"/>
      <c r="P685" s="9"/>
      <c r="Q685" s="9"/>
      <c r="R685" s="9"/>
      <c r="S685" s="9"/>
      <c r="T685" s="9"/>
      <c r="U685" s="9"/>
      <c r="V685" s="9"/>
      <c r="W685" s="9"/>
      <c r="X685" s="9">
        <v>7693.31</v>
      </c>
      <c r="Y685" s="9">
        <v>1923.85</v>
      </c>
      <c r="Z685" s="9"/>
      <c r="AA685" s="9"/>
      <c r="AB685" s="9"/>
      <c r="AC685" s="9"/>
      <c r="AD685" s="9"/>
      <c r="AE685" s="9"/>
      <c r="AF685" s="9"/>
      <c r="AG685" s="9"/>
      <c r="AH685" s="7">
        <v>7693.31</v>
      </c>
      <c r="AI685" s="7">
        <v>1923.85</v>
      </c>
    </row>
    <row r="686" spans="2:35" x14ac:dyDescent="0.3">
      <c r="B686" s="5" t="s">
        <v>3061</v>
      </c>
      <c r="C686" s="5" t="s">
        <v>13</v>
      </c>
      <c r="D686" s="12" t="s">
        <v>1213</v>
      </c>
      <c r="E686" s="6" t="s">
        <v>404</v>
      </c>
      <c r="F686" s="13" t="s">
        <v>405</v>
      </c>
      <c r="G686" s="6" t="s">
        <v>406</v>
      </c>
      <c r="H686" s="7" t="str">
        <f t="shared" si="10"/>
        <v>ATI-IPU-F481-01Operation &amp; Maintenance</v>
      </c>
      <c r="I686" s="8" t="s">
        <v>18</v>
      </c>
      <c r="J686" s="8" t="s">
        <v>19</v>
      </c>
      <c r="K686" s="8" t="s">
        <v>20</v>
      </c>
      <c r="L686" s="9"/>
      <c r="M686" s="9"/>
      <c r="N686" s="9"/>
      <c r="O686" s="9"/>
      <c r="P686" s="9"/>
      <c r="Q686" s="9"/>
      <c r="R686" s="9"/>
      <c r="S686" s="9"/>
      <c r="T686" s="9"/>
      <c r="U686" s="9"/>
      <c r="V686" s="9"/>
      <c r="W686" s="9"/>
      <c r="X686" s="9">
        <v>6381.14</v>
      </c>
      <c r="Y686" s="9">
        <v>4939.28</v>
      </c>
      <c r="Z686" s="9"/>
      <c r="AA686" s="9"/>
      <c r="AB686" s="9"/>
      <c r="AC686" s="9"/>
      <c r="AD686" s="9"/>
      <c r="AE686" s="9"/>
      <c r="AF686" s="9"/>
      <c r="AG686" s="9"/>
      <c r="AH686" s="7">
        <v>6381.14</v>
      </c>
      <c r="AI686" s="7">
        <v>4939.28</v>
      </c>
    </row>
    <row r="687" spans="2:35" x14ac:dyDescent="0.3">
      <c r="B687" s="5" t="s">
        <v>3061</v>
      </c>
      <c r="C687" s="5" t="s">
        <v>13</v>
      </c>
      <c r="D687" s="12" t="s">
        <v>1213</v>
      </c>
      <c r="E687" s="6" t="s">
        <v>430</v>
      </c>
      <c r="F687" s="13" t="s">
        <v>431</v>
      </c>
      <c r="G687" s="6" t="s">
        <v>432</v>
      </c>
      <c r="H687" s="7" t="str">
        <f t="shared" si="10"/>
        <v>SEC-IPU-B885-01Operation &amp; Maintenance</v>
      </c>
      <c r="I687" s="8" t="s">
        <v>49</v>
      </c>
      <c r="J687" s="8" t="s">
        <v>19</v>
      </c>
      <c r="K687" s="8" t="s">
        <v>20</v>
      </c>
      <c r="L687" s="9"/>
      <c r="M687" s="9"/>
      <c r="N687" s="9"/>
      <c r="O687" s="9"/>
      <c r="P687" s="9"/>
      <c r="Q687" s="9"/>
      <c r="R687" s="9"/>
      <c r="S687" s="9"/>
      <c r="T687" s="9"/>
      <c r="U687" s="9"/>
      <c r="V687" s="9"/>
      <c r="W687" s="9"/>
      <c r="X687" s="9">
        <v>580</v>
      </c>
      <c r="Y687" s="9">
        <v>0</v>
      </c>
      <c r="Z687" s="9"/>
      <c r="AA687" s="9"/>
      <c r="AB687" s="9"/>
      <c r="AC687" s="9"/>
      <c r="AD687" s="9"/>
      <c r="AE687" s="9"/>
      <c r="AF687" s="9"/>
      <c r="AG687" s="9"/>
      <c r="AH687" s="7">
        <v>580</v>
      </c>
      <c r="AI687" s="7">
        <v>0</v>
      </c>
    </row>
    <row r="688" spans="2:35" x14ac:dyDescent="0.3">
      <c r="B688" s="5" t="s">
        <v>3061</v>
      </c>
      <c r="C688" s="5" t="s">
        <v>13</v>
      </c>
      <c r="D688" s="12" t="s">
        <v>1213</v>
      </c>
      <c r="E688" s="6" t="s">
        <v>328</v>
      </c>
      <c r="F688" s="13" t="s">
        <v>329</v>
      </c>
      <c r="G688" s="6" t="s">
        <v>330</v>
      </c>
      <c r="H688" s="7" t="str">
        <f t="shared" si="10"/>
        <v>CL3-IPU-D458-01Operation &amp; Maintenance</v>
      </c>
      <c r="I688" s="8" t="s">
        <v>24</v>
      </c>
      <c r="J688" s="8" t="s">
        <v>19</v>
      </c>
      <c r="K688" s="8" t="s">
        <v>98</v>
      </c>
      <c r="L688" s="9"/>
      <c r="M688" s="9"/>
      <c r="N688" s="9"/>
      <c r="O688" s="9"/>
      <c r="P688" s="9"/>
      <c r="Q688" s="9"/>
      <c r="R688" s="9"/>
      <c r="S688" s="9"/>
      <c r="T688" s="9"/>
      <c r="U688" s="9"/>
      <c r="V688" s="9"/>
      <c r="W688" s="9"/>
      <c r="X688" s="9">
        <v>0</v>
      </c>
      <c r="Y688" s="9">
        <v>45389.49</v>
      </c>
      <c r="Z688" s="9"/>
      <c r="AA688" s="9"/>
      <c r="AB688" s="9"/>
      <c r="AC688" s="9"/>
      <c r="AD688" s="9"/>
      <c r="AE688" s="9"/>
      <c r="AF688" s="9"/>
      <c r="AG688" s="9"/>
      <c r="AH688" s="7">
        <v>0</v>
      </c>
      <c r="AI688" s="7">
        <v>45389.49</v>
      </c>
    </row>
    <row r="689" spans="2:35" x14ac:dyDescent="0.3">
      <c r="B689" s="5" t="s">
        <v>3061</v>
      </c>
      <c r="C689" s="5" t="s">
        <v>13</v>
      </c>
      <c r="D689" s="12" t="s">
        <v>1213</v>
      </c>
      <c r="E689" s="6" t="s">
        <v>250</v>
      </c>
      <c r="F689" s="13" t="s">
        <v>251</v>
      </c>
      <c r="G689" s="6" t="s">
        <v>252</v>
      </c>
      <c r="H689" s="7" t="str">
        <f t="shared" si="10"/>
        <v>CL3-IPU-D542-01Operation &amp; Maintenance</v>
      </c>
      <c r="I689" s="8" t="s">
        <v>24</v>
      </c>
      <c r="J689" s="8" t="s">
        <v>19</v>
      </c>
      <c r="K689" s="8" t="s">
        <v>98</v>
      </c>
      <c r="L689" s="9"/>
      <c r="M689" s="9"/>
      <c r="N689" s="9"/>
      <c r="O689" s="9"/>
      <c r="P689" s="9"/>
      <c r="Q689" s="9"/>
      <c r="R689" s="9"/>
      <c r="S689" s="9"/>
      <c r="T689" s="9"/>
      <c r="U689" s="9"/>
      <c r="V689" s="9"/>
      <c r="W689" s="9"/>
      <c r="X689" s="9">
        <v>0</v>
      </c>
      <c r="Y689" s="9">
        <v>30662.93</v>
      </c>
      <c r="Z689" s="9"/>
      <c r="AA689" s="9"/>
      <c r="AB689" s="9"/>
      <c r="AC689" s="9"/>
      <c r="AD689" s="9"/>
      <c r="AE689" s="9"/>
      <c r="AF689" s="9"/>
      <c r="AG689" s="9"/>
      <c r="AH689" s="7">
        <v>0</v>
      </c>
      <c r="AI689" s="7">
        <v>30662.93</v>
      </c>
    </row>
    <row r="690" spans="2:35" x14ac:dyDescent="0.3">
      <c r="B690" s="5" t="s">
        <v>3061</v>
      </c>
      <c r="C690" s="5" t="s">
        <v>13</v>
      </c>
      <c r="D690" s="12" t="s">
        <v>1215</v>
      </c>
      <c r="E690" s="6" t="s">
        <v>965</v>
      </c>
      <c r="F690" s="13" t="s">
        <v>966</v>
      </c>
      <c r="G690" s="6" t="s">
        <v>229</v>
      </c>
      <c r="H690" s="7" t="str">
        <f t="shared" si="10"/>
        <v>EPC-IPU-D748-02Spot</v>
      </c>
      <c r="I690" s="8" t="s">
        <v>56</v>
      </c>
      <c r="J690" s="8" t="s">
        <v>76</v>
      </c>
      <c r="K690" s="8" t="s">
        <v>76</v>
      </c>
      <c r="L690" s="9"/>
      <c r="M690" s="9"/>
      <c r="N690" s="9"/>
      <c r="O690" s="9"/>
      <c r="P690" s="9"/>
      <c r="Q690" s="9"/>
      <c r="R690" s="9"/>
      <c r="S690" s="9"/>
      <c r="T690" s="9"/>
      <c r="U690" s="9"/>
      <c r="V690" s="9"/>
      <c r="W690" s="9"/>
      <c r="X690" s="9">
        <v>0</v>
      </c>
      <c r="Y690" s="9">
        <v>1372.18</v>
      </c>
      <c r="Z690" s="9"/>
      <c r="AA690" s="9"/>
      <c r="AB690" s="9"/>
      <c r="AC690" s="9"/>
      <c r="AD690" s="9"/>
      <c r="AE690" s="9"/>
      <c r="AF690" s="9"/>
      <c r="AG690" s="9"/>
      <c r="AH690" s="7">
        <v>0</v>
      </c>
      <c r="AI690" s="7">
        <v>1372.18</v>
      </c>
    </row>
    <row r="691" spans="2:35" x14ac:dyDescent="0.3">
      <c r="B691" s="5" t="s">
        <v>3061</v>
      </c>
      <c r="C691" s="5" t="s">
        <v>13</v>
      </c>
      <c r="D691" s="12" t="s">
        <v>1213</v>
      </c>
      <c r="E691" s="6" t="s">
        <v>334</v>
      </c>
      <c r="F691" s="13" t="s">
        <v>335</v>
      </c>
      <c r="G691" s="6" t="s">
        <v>336</v>
      </c>
      <c r="H691" s="7" t="str">
        <f t="shared" si="10"/>
        <v>PPP-IPU-H147-01Operation &amp; Maintenance</v>
      </c>
      <c r="I691" s="8" t="s">
        <v>18</v>
      </c>
      <c r="J691" s="8" t="s">
        <v>19</v>
      </c>
      <c r="K691" s="8" t="s">
        <v>20</v>
      </c>
      <c r="L691" s="9"/>
      <c r="M691" s="9"/>
      <c r="N691" s="9"/>
      <c r="O691" s="9"/>
      <c r="P691" s="9"/>
      <c r="Q691" s="9"/>
      <c r="R691" s="9"/>
      <c r="S691" s="9"/>
      <c r="T691" s="9"/>
      <c r="U691" s="9"/>
      <c r="V691" s="9"/>
      <c r="W691" s="9"/>
      <c r="X691" s="9">
        <v>40959.24</v>
      </c>
      <c r="Y691" s="9">
        <v>2270.16</v>
      </c>
      <c r="Z691" s="9"/>
      <c r="AA691" s="9"/>
      <c r="AB691" s="9"/>
      <c r="AC691" s="9"/>
      <c r="AD691" s="9"/>
      <c r="AE691" s="9"/>
      <c r="AF691" s="9"/>
      <c r="AG691" s="9"/>
      <c r="AH691" s="7">
        <v>40959.24</v>
      </c>
      <c r="AI691" s="7">
        <v>2270.16</v>
      </c>
    </row>
    <row r="692" spans="2:35" x14ac:dyDescent="0.3">
      <c r="B692" s="5" t="s">
        <v>3061</v>
      </c>
      <c r="C692" s="5" t="s">
        <v>13</v>
      </c>
      <c r="D692" s="12" t="s">
        <v>1215</v>
      </c>
      <c r="E692" s="6" t="s">
        <v>838</v>
      </c>
      <c r="F692" s="13" t="s">
        <v>839</v>
      </c>
      <c r="G692" s="6" t="s">
        <v>840</v>
      </c>
      <c r="H692" s="7" t="str">
        <f t="shared" si="10"/>
        <v>EPC-IPU-A697-02Spot</v>
      </c>
      <c r="I692" s="8" t="s">
        <v>49</v>
      </c>
      <c r="J692" s="8" t="s">
        <v>76</v>
      </c>
      <c r="K692" s="8" t="s">
        <v>76</v>
      </c>
      <c r="L692" s="9"/>
      <c r="M692" s="9"/>
      <c r="N692" s="9"/>
      <c r="O692" s="9"/>
      <c r="P692" s="9"/>
      <c r="Q692" s="9"/>
      <c r="R692" s="9"/>
      <c r="S692" s="9"/>
      <c r="T692" s="9"/>
      <c r="U692" s="9"/>
      <c r="V692" s="9"/>
      <c r="W692" s="9"/>
      <c r="X692" s="9">
        <v>0</v>
      </c>
      <c r="Y692" s="9">
        <v>1778.12</v>
      </c>
      <c r="Z692" s="9"/>
      <c r="AA692" s="9"/>
      <c r="AB692" s="9"/>
      <c r="AC692" s="9"/>
      <c r="AD692" s="9"/>
      <c r="AE692" s="9"/>
      <c r="AF692" s="9"/>
      <c r="AG692" s="9"/>
      <c r="AH692" s="7">
        <v>0</v>
      </c>
      <c r="AI692" s="7">
        <v>1778.12</v>
      </c>
    </row>
    <row r="693" spans="2:35" x14ac:dyDescent="0.3">
      <c r="B693" s="5" t="s">
        <v>3061</v>
      </c>
      <c r="C693" s="5" t="s">
        <v>13</v>
      </c>
      <c r="D693" s="12" t="s">
        <v>1213</v>
      </c>
      <c r="E693" s="6" t="s">
        <v>838</v>
      </c>
      <c r="F693" s="13" t="s">
        <v>839</v>
      </c>
      <c r="G693" s="6" t="s">
        <v>840</v>
      </c>
      <c r="H693" s="7" t="str">
        <f t="shared" si="10"/>
        <v>EPC-IPU-A697-02Operation &amp; Maintenance</v>
      </c>
      <c r="I693" s="8" t="s">
        <v>49</v>
      </c>
      <c r="J693" s="8" t="s">
        <v>76</v>
      </c>
      <c r="K693" s="8" t="s">
        <v>76</v>
      </c>
      <c r="L693" s="9"/>
      <c r="M693" s="9"/>
      <c r="N693" s="9"/>
      <c r="O693" s="9"/>
      <c r="P693" s="9"/>
      <c r="Q693" s="9"/>
      <c r="R693" s="9"/>
      <c r="S693" s="9"/>
      <c r="T693" s="9"/>
      <c r="U693" s="9"/>
      <c r="V693" s="9"/>
      <c r="W693" s="9"/>
      <c r="X693" s="9">
        <v>0</v>
      </c>
      <c r="Y693" s="9">
        <v>361.2</v>
      </c>
      <c r="Z693" s="9"/>
      <c r="AA693" s="9"/>
      <c r="AB693" s="9"/>
      <c r="AC693" s="9"/>
      <c r="AD693" s="9"/>
      <c r="AE693" s="9"/>
      <c r="AF693" s="9"/>
      <c r="AG693" s="9"/>
      <c r="AH693" s="7">
        <v>0</v>
      </c>
      <c r="AI693" s="7">
        <v>361.2</v>
      </c>
    </row>
    <row r="694" spans="2:35" x14ac:dyDescent="0.3">
      <c r="B694" s="5" t="s">
        <v>3061</v>
      </c>
      <c r="C694" s="5" t="s">
        <v>13</v>
      </c>
      <c r="D694" s="12" t="s">
        <v>1215</v>
      </c>
      <c r="E694" s="6" t="s">
        <v>854</v>
      </c>
      <c r="F694" s="13" t="s">
        <v>855</v>
      </c>
      <c r="G694" s="6" t="s">
        <v>856</v>
      </c>
      <c r="H694" s="7" t="str">
        <f t="shared" si="10"/>
        <v>EPC-IPU-E906-01Spot</v>
      </c>
      <c r="I694" s="8" t="s">
        <v>18</v>
      </c>
      <c r="J694" s="8" t="s">
        <v>259</v>
      </c>
      <c r="K694" s="8" t="s">
        <v>259</v>
      </c>
      <c r="L694" s="9"/>
      <c r="M694" s="9"/>
      <c r="N694" s="9"/>
      <c r="O694" s="9"/>
      <c r="P694" s="9"/>
      <c r="Q694" s="9"/>
      <c r="R694" s="9"/>
      <c r="S694" s="9"/>
      <c r="T694" s="9"/>
      <c r="U694" s="9"/>
      <c r="V694" s="9"/>
      <c r="W694" s="9"/>
      <c r="X694" s="9">
        <v>1659.33</v>
      </c>
      <c r="Y694" s="9">
        <v>0</v>
      </c>
      <c r="Z694" s="9"/>
      <c r="AA694" s="9"/>
      <c r="AB694" s="9"/>
      <c r="AC694" s="9"/>
      <c r="AD694" s="9"/>
      <c r="AE694" s="9"/>
      <c r="AF694" s="9"/>
      <c r="AG694" s="9"/>
      <c r="AH694" s="7">
        <v>1659.33</v>
      </c>
      <c r="AI694" s="7">
        <v>0</v>
      </c>
    </row>
    <row r="695" spans="2:35" x14ac:dyDescent="0.3">
      <c r="B695" s="5" t="s">
        <v>3061</v>
      </c>
      <c r="C695" s="5" t="s">
        <v>13</v>
      </c>
      <c r="D695" s="12" t="s">
        <v>1213</v>
      </c>
      <c r="E695" s="6" t="s">
        <v>355</v>
      </c>
      <c r="F695" s="13" t="s">
        <v>356</v>
      </c>
      <c r="G695" s="6" t="s">
        <v>357</v>
      </c>
      <c r="H695" s="7" t="str">
        <f t="shared" si="10"/>
        <v>ATI-IPU-D812-01Operation &amp; Maintenance</v>
      </c>
      <c r="I695" s="8" t="s">
        <v>49</v>
      </c>
      <c r="J695" s="8" t="s">
        <v>19</v>
      </c>
      <c r="K695" s="8" t="s">
        <v>20</v>
      </c>
      <c r="L695" s="9"/>
      <c r="M695" s="9"/>
      <c r="N695" s="9"/>
      <c r="O695" s="9"/>
      <c r="P695" s="9"/>
      <c r="Q695" s="9"/>
      <c r="R695" s="9"/>
      <c r="S695" s="9"/>
      <c r="T695" s="9"/>
      <c r="U695" s="9"/>
      <c r="V695" s="9"/>
      <c r="W695" s="9"/>
      <c r="X695" s="9">
        <v>11120.69</v>
      </c>
      <c r="Y695" s="9">
        <v>7564.75</v>
      </c>
      <c r="Z695" s="9"/>
      <c r="AA695" s="9"/>
      <c r="AB695" s="9"/>
      <c r="AC695" s="9"/>
      <c r="AD695" s="9"/>
      <c r="AE695" s="9"/>
      <c r="AF695" s="9"/>
      <c r="AG695" s="9"/>
      <c r="AH695" s="7">
        <v>11120.69</v>
      </c>
      <c r="AI695" s="7">
        <v>7564.75</v>
      </c>
    </row>
    <row r="696" spans="2:35" x14ac:dyDescent="0.3">
      <c r="B696" s="5" t="s">
        <v>3061</v>
      </c>
      <c r="C696" s="5" t="s">
        <v>13</v>
      </c>
      <c r="D696" s="12" t="s">
        <v>1213</v>
      </c>
      <c r="E696" s="6" t="s">
        <v>555</v>
      </c>
      <c r="F696" s="13" t="s">
        <v>556</v>
      </c>
      <c r="G696" s="6" t="s">
        <v>557</v>
      </c>
      <c r="H696" s="7" t="str">
        <f t="shared" si="10"/>
        <v>PPP-IPU-D361-01Operation &amp; Maintenance</v>
      </c>
      <c r="I696" s="8" t="s">
        <v>18</v>
      </c>
      <c r="J696" s="8" t="s">
        <v>19</v>
      </c>
      <c r="K696" s="8" t="s">
        <v>20</v>
      </c>
      <c r="L696" s="9"/>
      <c r="M696" s="9"/>
      <c r="N696" s="9"/>
      <c r="O696" s="9"/>
      <c r="P696" s="9"/>
      <c r="Q696" s="9"/>
      <c r="R696" s="9"/>
      <c r="S696" s="9"/>
      <c r="T696" s="9"/>
      <c r="U696" s="9"/>
      <c r="V696" s="9"/>
      <c r="W696" s="9"/>
      <c r="X696" s="9">
        <v>10419.41</v>
      </c>
      <c r="Y696" s="9">
        <v>2664.75</v>
      </c>
      <c r="Z696" s="9"/>
      <c r="AA696" s="9"/>
      <c r="AB696" s="9"/>
      <c r="AC696" s="9"/>
      <c r="AD696" s="9"/>
      <c r="AE696" s="9"/>
      <c r="AF696" s="9"/>
      <c r="AG696" s="9"/>
      <c r="AH696" s="7">
        <v>10419.41</v>
      </c>
      <c r="AI696" s="7">
        <v>2664.75</v>
      </c>
    </row>
    <row r="697" spans="2:35" x14ac:dyDescent="0.3">
      <c r="B697" s="5" t="s">
        <v>3061</v>
      </c>
      <c r="C697" s="5" t="s">
        <v>13</v>
      </c>
      <c r="D697" s="12" t="s">
        <v>1213</v>
      </c>
      <c r="E697" s="6" t="s">
        <v>421</v>
      </c>
      <c r="F697" s="13" t="s">
        <v>422</v>
      </c>
      <c r="G697" s="6" t="s">
        <v>423</v>
      </c>
      <c r="H697" s="7" t="str">
        <f t="shared" si="10"/>
        <v>PPP-IPU-A674-01Operation &amp; Maintenance</v>
      </c>
      <c r="I697" s="8" t="s">
        <v>18</v>
      </c>
      <c r="J697" s="8" t="s">
        <v>19</v>
      </c>
      <c r="K697" s="8" t="s">
        <v>20</v>
      </c>
      <c r="L697" s="9"/>
      <c r="M697" s="9"/>
      <c r="N697" s="9"/>
      <c r="O697" s="9"/>
      <c r="P697" s="9"/>
      <c r="Q697" s="9"/>
      <c r="R697" s="9"/>
      <c r="S697" s="9"/>
      <c r="T697" s="9"/>
      <c r="U697" s="9"/>
      <c r="V697" s="9"/>
      <c r="W697" s="9"/>
      <c r="X697" s="9">
        <v>38298.58</v>
      </c>
      <c r="Y697" s="9">
        <v>13625.93</v>
      </c>
      <c r="Z697" s="9"/>
      <c r="AA697" s="9"/>
      <c r="AB697" s="9"/>
      <c r="AC697" s="9"/>
      <c r="AD697" s="9"/>
      <c r="AE697" s="9"/>
      <c r="AF697" s="9"/>
      <c r="AG697" s="9"/>
      <c r="AH697" s="7">
        <v>38298.58</v>
      </c>
      <c r="AI697" s="7">
        <v>13625.93</v>
      </c>
    </row>
    <row r="698" spans="2:35" x14ac:dyDescent="0.3">
      <c r="B698" s="5" t="s">
        <v>3061</v>
      </c>
      <c r="C698" s="5" t="s">
        <v>13</v>
      </c>
      <c r="D698" s="12" t="s">
        <v>1213</v>
      </c>
      <c r="E698" s="6" t="s">
        <v>364</v>
      </c>
      <c r="F698" s="13" t="s">
        <v>365</v>
      </c>
      <c r="G698" s="6" t="s">
        <v>366</v>
      </c>
      <c r="H698" s="7" t="str">
        <f t="shared" si="10"/>
        <v>PPP-IPU-L285-01Operation &amp; Maintenance</v>
      </c>
      <c r="I698" s="8" t="s">
        <v>49</v>
      </c>
      <c r="J698" s="8" t="s">
        <v>19</v>
      </c>
      <c r="K698" s="8" t="s">
        <v>20</v>
      </c>
      <c r="L698" s="9"/>
      <c r="M698" s="9"/>
      <c r="N698" s="9"/>
      <c r="O698" s="9"/>
      <c r="P698" s="9"/>
      <c r="Q698" s="9"/>
      <c r="R698" s="9"/>
      <c r="S698" s="9"/>
      <c r="T698" s="9"/>
      <c r="U698" s="9"/>
      <c r="V698" s="9"/>
      <c r="W698" s="9"/>
      <c r="X698" s="9">
        <v>5701.58</v>
      </c>
      <c r="Y698" s="9">
        <v>38865.46</v>
      </c>
      <c r="Z698" s="9"/>
      <c r="AA698" s="9"/>
      <c r="AB698" s="9"/>
      <c r="AC698" s="9"/>
      <c r="AD698" s="9"/>
      <c r="AE698" s="9"/>
      <c r="AF698" s="9"/>
      <c r="AG698" s="9"/>
      <c r="AH698" s="7">
        <v>5701.58</v>
      </c>
      <c r="AI698" s="7">
        <v>38865.46</v>
      </c>
    </row>
    <row r="699" spans="2:35" x14ac:dyDescent="0.3">
      <c r="B699" s="5" t="s">
        <v>3061</v>
      </c>
      <c r="C699" s="5" t="s">
        <v>13</v>
      </c>
      <c r="D699" s="12" t="s">
        <v>1213</v>
      </c>
      <c r="E699" s="6" t="s">
        <v>392</v>
      </c>
      <c r="F699" s="13" t="s">
        <v>393</v>
      </c>
      <c r="G699" s="6" t="s">
        <v>394</v>
      </c>
      <c r="H699" s="7" t="str">
        <f t="shared" si="10"/>
        <v>PPP-IPU-B826-01Operation &amp; Maintenance</v>
      </c>
      <c r="I699" s="8" t="s">
        <v>24</v>
      </c>
      <c r="J699" s="8" t="s">
        <v>19</v>
      </c>
      <c r="K699" s="8" t="s">
        <v>20</v>
      </c>
      <c r="L699" s="9"/>
      <c r="M699" s="9"/>
      <c r="N699" s="9"/>
      <c r="O699" s="9"/>
      <c r="P699" s="9"/>
      <c r="Q699" s="9"/>
      <c r="R699" s="9"/>
      <c r="S699" s="9"/>
      <c r="T699" s="9"/>
      <c r="U699" s="9"/>
      <c r="V699" s="9"/>
      <c r="W699" s="9"/>
      <c r="X699" s="9">
        <v>8235.27</v>
      </c>
      <c r="Y699" s="9">
        <v>1234.94</v>
      </c>
      <c r="Z699" s="9"/>
      <c r="AA699" s="9"/>
      <c r="AB699" s="9"/>
      <c r="AC699" s="9"/>
      <c r="AD699" s="9"/>
      <c r="AE699" s="9"/>
      <c r="AF699" s="9"/>
      <c r="AG699" s="9"/>
      <c r="AH699" s="7">
        <v>8235.27</v>
      </c>
      <c r="AI699" s="7">
        <v>1234.94</v>
      </c>
    </row>
    <row r="700" spans="2:35" x14ac:dyDescent="0.3">
      <c r="B700" s="5" t="s">
        <v>3061</v>
      </c>
      <c r="C700" s="5" t="s">
        <v>13</v>
      </c>
      <c r="D700" s="12" t="s">
        <v>1213</v>
      </c>
      <c r="E700" s="6" t="s">
        <v>875</v>
      </c>
      <c r="F700" s="13" t="s">
        <v>876</v>
      </c>
      <c r="G700" s="6" t="s">
        <v>877</v>
      </c>
      <c r="H700" s="7" t="str">
        <f t="shared" si="10"/>
        <v>PPP-IPU-D171-01Operation &amp; Maintenance</v>
      </c>
      <c r="I700" s="8" t="s">
        <v>18</v>
      </c>
      <c r="J700" s="8" t="s">
        <v>19</v>
      </c>
      <c r="K700" s="8" t="s">
        <v>20</v>
      </c>
      <c r="L700" s="9"/>
      <c r="M700" s="9"/>
      <c r="N700" s="9"/>
      <c r="O700" s="9"/>
      <c r="P700" s="9"/>
      <c r="Q700" s="9"/>
      <c r="R700" s="9"/>
      <c r="S700" s="9"/>
      <c r="T700" s="9"/>
      <c r="U700" s="9"/>
      <c r="V700" s="9"/>
      <c r="W700" s="9"/>
      <c r="X700" s="9">
        <v>189299.47</v>
      </c>
      <c r="Y700" s="9">
        <v>14933.84</v>
      </c>
      <c r="Z700" s="9"/>
      <c r="AA700" s="9"/>
      <c r="AB700" s="9"/>
      <c r="AC700" s="9"/>
      <c r="AD700" s="9"/>
      <c r="AE700" s="9"/>
      <c r="AF700" s="9"/>
      <c r="AG700" s="9"/>
      <c r="AH700" s="7">
        <v>189299.47</v>
      </c>
      <c r="AI700" s="7">
        <v>14933.84</v>
      </c>
    </row>
    <row r="701" spans="2:35" x14ac:dyDescent="0.3">
      <c r="B701" s="5" t="s">
        <v>3061</v>
      </c>
      <c r="C701" s="5" t="s">
        <v>13</v>
      </c>
      <c r="D701" s="12" t="s">
        <v>1213</v>
      </c>
      <c r="E701" s="6" t="s">
        <v>433</v>
      </c>
      <c r="F701" s="13" t="s">
        <v>434</v>
      </c>
      <c r="G701" s="6" t="s">
        <v>435</v>
      </c>
      <c r="H701" s="7" t="str">
        <f t="shared" si="10"/>
        <v>PPP-IPU-L484-01Operation &amp; Maintenance</v>
      </c>
      <c r="I701" s="8" t="s">
        <v>18</v>
      </c>
      <c r="J701" s="8" t="s">
        <v>19</v>
      </c>
      <c r="K701" s="8" t="s">
        <v>20</v>
      </c>
      <c r="L701" s="9"/>
      <c r="M701" s="9"/>
      <c r="N701" s="9"/>
      <c r="O701" s="9"/>
      <c r="P701" s="9"/>
      <c r="Q701" s="9"/>
      <c r="R701" s="9"/>
      <c r="S701" s="9"/>
      <c r="T701" s="9"/>
      <c r="U701" s="9"/>
      <c r="V701" s="9"/>
      <c r="W701" s="9"/>
      <c r="X701" s="9">
        <v>269712.58</v>
      </c>
      <c r="Y701" s="9">
        <v>18843.97</v>
      </c>
      <c r="Z701" s="9"/>
      <c r="AA701" s="9"/>
      <c r="AB701" s="9"/>
      <c r="AC701" s="9"/>
      <c r="AD701" s="9"/>
      <c r="AE701" s="9"/>
      <c r="AF701" s="9"/>
      <c r="AG701" s="9"/>
      <c r="AH701" s="7">
        <v>269712.58</v>
      </c>
      <c r="AI701" s="7">
        <v>18843.97</v>
      </c>
    </row>
    <row r="702" spans="2:35" x14ac:dyDescent="0.3">
      <c r="B702" s="5" t="s">
        <v>3061</v>
      </c>
      <c r="C702" s="5" t="s">
        <v>13</v>
      </c>
      <c r="D702" s="12" t="s">
        <v>1213</v>
      </c>
      <c r="E702" s="6" t="s">
        <v>50</v>
      </c>
      <c r="F702" s="13" t="s">
        <v>51</v>
      </c>
      <c r="G702" s="6" t="s">
        <v>52</v>
      </c>
      <c r="H702" s="7" t="str">
        <f t="shared" si="10"/>
        <v>PPP-IPU-G751-01Operation &amp; Maintenance</v>
      </c>
      <c r="I702" s="8" t="s">
        <v>18</v>
      </c>
      <c r="J702" s="8" t="s">
        <v>19</v>
      </c>
      <c r="K702" s="8" t="s">
        <v>20</v>
      </c>
      <c r="L702" s="9"/>
      <c r="M702" s="9"/>
      <c r="N702" s="9"/>
      <c r="O702" s="9"/>
      <c r="P702" s="9"/>
      <c r="Q702" s="9"/>
      <c r="R702" s="9"/>
      <c r="S702" s="9"/>
      <c r="T702" s="9"/>
      <c r="U702" s="9"/>
      <c r="V702" s="9"/>
      <c r="W702" s="9"/>
      <c r="X702" s="9">
        <v>44151.25</v>
      </c>
      <c r="Y702" s="9">
        <v>3893.1</v>
      </c>
      <c r="Z702" s="9"/>
      <c r="AA702" s="9"/>
      <c r="AB702" s="9"/>
      <c r="AC702" s="9"/>
      <c r="AD702" s="9"/>
      <c r="AE702" s="9"/>
      <c r="AF702" s="9"/>
      <c r="AG702" s="9"/>
      <c r="AH702" s="7">
        <v>44151.25</v>
      </c>
      <c r="AI702" s="7">
        <v>3893.1</v>
      </c>
    </row>
    <row r="703" spans="2:35" x14ac:dyDescent="0.3">
      <c r="B703" s="5" t="s">
        <v>3061</v>
      </c>
      <c r="C703" s="5" t="s">
        <v>13</v>
      </c>
      <c r="D703" s="12" t="s">
        <v>1213</v>
      </c>
      <c r="E703" s="6" t="s">
        <v>533</v>
      </c>
      <c r="F703" s="13" t="s">
        <v>534</v>
      </c>
      <c r="G703" s="6" t="s">
        <v>535</v>
      </c>
      <c r="H703" s="7" t="str">
        <f t="shared" si="10"/>
        <v>PPP-IPU-G590-01Operation &amp; Maintenance</v>
      </c>
      <c r="I703" s="8" t="s">
        <v>18</v>
      </c>
      <c r="J703" s="8" t="s">
        <v>19</v>
      </c>
      <c r="K703" s="8" t="s">
        <v>20</v>
      </c>
      <c r="L703" s="9"/>
      <c r="M703" s="9"/>
      <c r="N703" s="9"/>
      <c r="O703" s="9"/>
      <c r="P703" s="9"/>
      <c r="Q703" s="9"/>
      <c r="R703" s="9"/>
      <c r="S703" s="9"/>
      <c r="T703" s="9"/>
      <c r="U703" s="9"/>
      <c r="V703" s="9"/>
      <c r="W703" s="9"/>
      <c r="X703" s="9">
        <v>10244.32</v>
      </c>
      <c r="Y703" s="9">
        <v>5358.58</v>
      </c>
      <c r="Z703" s="9"/>
      <c r="AA703" s="9"/>
      <c r="AB703" s="9"/>
      <c r="AC703" s="9"/>
      <c r="AD703" s="9"/>
      <c r="AE703" s="9"/>
      <c r="AF703" s="9"/>
      <c r="AG703" s="9"/>
      <c r="AH703" s="7">
        <v>10244.32</v>
      </c>
      <c r="AI703" s="7">
        <v>5358.58</v>
      </c>
    </row>
    <row r="704" spans="2:35" x14ac:dyDescent="0.3">
      <c r="B704" s="5" t="s">
        <v>3061</v>
      </c>
      <c r="C704" s="5" t="s">
        <v>13</v>
      </c>
      <c r="D704" s="12" t="s">
        <v>1215</v>
      </c>
      <c r="E704" s="6" t="s">
        <v>851</v>
      </c>
      <c r="F704" s="13" t="s">
        <v>852</v>
      </c>
      <c r="G704" s="6" t="s">
        <v>853</v>
      </c>
      <c r="H704" s="7" t="str">
        <f t="shared" si="10"/>
        <v>EPC-IPU-E246-03Spot</v>
      </c>
      <c r="I704" s="8" t="s">
        <v>18</v>
      </c>
      <c r="J704" s="8" t="s">
        <v>76</v>
      </c>
      <c r="K704" s="8" t="s">
        <v>76</v>
      </c>
      <c r="L704" s="9"/>
      <c r="M704" s="9"/>
      <c r="N704" s="9"/>
      <c r="O704" s="9"/>
      <c r="P704" s="9"/>
      <c r="Q704" s="9"/>
      <c r="R704" s="9"/>
      <c r="S704" s="9"/>
      <c r="T704" s="9"/>
      <c r="U704" s="9"/>
      <c r="V704" s="9"/>
      <c r="W704" s="9"/>
      <c r="X704" s="9">
        <v>0</v>
      </c>
      <c r="Y704" s="9">
        <v>652.57000000000005</v>
      </c>
      <c r="Z704" s="9"/>
      <c r="AA704" s="9"/>
      <c r="AB704" s="9"/>
      <c r="AC704" s="9"/>
      <c r="AD704" s="9"/>
      <c r="AE704" s="9"/>
      <c r="AF704" s="9"/>
      <c r="AG704" s="9"/>
      <c r="AH704" s="7">
        <v>0</v>
      </c>
      <c r="AI704" s="7">
        <v>652.57000000000005</v>
      </c>
    </row>
    <row r="705" spans="2:35" x14ac:dyDescent="0.3">
      <c r="B705" s="5" t="s">
        <v>3061</v>
      </c>
      <c r="C705" s="5" t="s">
        <v>13</v>
      </c>
      <c r="D705" s="12" t="s">
        <v>1213</v>
      </c>
      <c r="E705" s="6" t="s">
        <v>260</v>
      </c>
      <c r="F705" s="13" t="s">
        <v>261</v>
      </c>
      <c r="G705" s="6" t="s">
        <v>262</v>
      </c>
      <c r="H705" s="7" t="str">
        <f t="shared" si="10"/>
        <v>PPP-IPU-G867-01Operation &amp; Maintenance</v>
      </c>
      <c r="I705" s="8" t="s">
        <v>49</v>
      </c>
      <c r="J705" s="8" t="s">
        <v>19</v>
      </c>
      <c r="K705" s="8" t="s">
        <v>20</v>
      </c>
      <c r="L705" s="9"/>
      <c r="M705" s="9"/>
      <c r="N705" s="9"/>
      <c r="O705" s="9"/>
      <c r="P705" s="9"/>
      <c r="Q705" s="9"/>
      <c r="R705" s="9"/>
      <c r="S705" s="9"/>
      <c r="T705" s="9"/>
      <c r="U705" s="9"/>
      <c r="V705" s="9"/>
      <c r="W705" s="9"/>
      <c r="X705" s="9">
        <v>67896.320000000007</v>
      </c>
      <c r="Y705" s="9">
        <v>8251.92</v>
      </c>
      <c r="Z705" s="9"/>
      <c r="AA705" s="9"/>
      <c r="AB705" s="9"/>
      <c r="AC705" s="9"/>
      <c r="AD705" s="9"/>
      <c r="AE705" s="9"/>
      <c r="AF705" s="9"/>
      <c r="AG705" s="9"/>
      <c r="AH705" s="7">
        <v>67896.320000000007</v>
      </c>
      <c r="AI705" s="7">
        <v>8251.92</v>
      </c>
    </row>
    <row r="706" spans="2:35" x14ac:dyDescent="0.3">
      <c r="B706" s="5" t="s">
        <v>3061</v>
      </c>
      <c r="C706" s="5" t="s">
        <v>13</v>
      </c>
      <c r="D706" s="12" t="s">
        <v>1213</v>
      </c>
      <c r="E706" s="6" t="s">
        <v>476</v>
      </c>
      <c r="F706" s="13" t="s">
        <v>477</v>
      </c>
      <c r="G706" s="6" t="s">
        <v>478</v>
      </c>
      <c r="H706" s="7" t="str">
        <f t="shared" si="10"/>
        <v>PPP-IPU-F582-01Operation &amp; Maintenance</v>
      </c>
      <c r="I706" s="8" t="s">
        <v>24</v>
      </c>
      <c r="J706" s="8" t="s">
        <v>19</v>
      </c>
      <c r="K706" s="8" t="s">
        <v>20</v>
      </c>
      <c r="L706" s="9"/>
      <c r="M706" s="9"/>
      <c r="N706" s="9"/>
      <c r="O706" s="9"/>
      <c r="P706" s="9"/>
      <c r="Q706" s="9"/>
      <c r="R706" s="9"/>
      <c r="S706" s="9"/>
      <c r="T706" s="9"/>
      <c r="U706" s="9"/>
      <c r="V706" s="9"/>
      <c r="W706" s="9"/>
      <c r="X706" s="9">
        <v>7533.22</v>
      </c>
      <c r="Y706" s="9">
        <v>70</v>
      </c>
      <c r="Z706" s="9"/>
      <c r="AA706" s="9"/>
      <c r="AB706" s="9"/>
      <c r="AC706" s="9"/>
      <c r="AD706" s="9"/>
      <c r="AE706" s="9"/>
      <c r="AF706" s="9"/>
      <c r="AG706" s="9"/>
      <c r="AH706" s="7">
        <v>7533.22</v>
      </c>
      <c r="AI706" s="7">
        <v>70</v>
      </c>
    </row>
    <row r="707" spans="2:35" x14ac:dyDescent="0.3">
      <c r="B707" s="5" t="s">
        <v>3061</v>
      </c>
      <c r="C707" s="5" t="s">
        <v>13</v>
      </c>
      <c r="D707" s="12" t="s">
        <v>1213</v>
      </c>
      <c r="E707" s="6" t="s">
        <v>77</v>
      </c>
      <c r="F707" s="13" t="s">
        <v>78</v>
      </c>
      <c r="G707" s="6" t="s">
        <v>79</v>
      </c>
      <c r="H707" s="7" t="str">
        <f t="shared" ref="H707:H770" si="11">+F707&amp;D707</f>
        <v>PPP-IPU-G589-01Operation &amp; Maintenance</v>
      </c>
      <c r="I707" s="8" t="s">
        <v>24</v>
      </c>
      <c r="J707" s="8" t="s">
        <v>19</v>
      </c>
      <c r="K707" s="8" t="s">
        <v>20</v>
      </c>
      <c r="L707" s="9"/>
      <c r="M707" s="9"/>
      <c r="N707" s="9"/>
      <c r="O707" s="9"/>
      <c r="P707" s="9"/>
      <c r="Q707" s="9"/>
      <c r="R707" s="9"/>
      <c r="S707" s="9"/>
      <c r="T707" s="9"/>
      <c r="U707" s="9"/>
      <c r="V707" s="9"/>
      <c r="W707" s="9"/>
      <c r="X707" s="9">
        <v>6739.4</v>
      </c>
      <c r="Y707" s="9">
        <v>1446.54</v>
      </c>
      <c r="Z707" s="9"/>
      <c r="AA707" s="9"/>
      <c r="AB707" s="9"/>
      <c r="AC707" s="9"/>
      <c r="AD707" s="9"/>
      <c r="AE707" s="9"/>
      <c r="AF707" s="9"/>
      <c r="AG707" s="9"/>
      <c r="AH707" s="7">
        <v>6739.4</v>
      </c>
      <c r="AI707" s="7">
        <v>1446.54</v>
      </c>
    </row>
    <row r="708" spans="2:35" x14ac:dyDescent="0.3">
      <c r="B708" s="5" t="s">
        <v>3061</v>
      </c>
      <c r="C708" s="5" t="s">
        <v>13</v>
      </c>
      <c r="D708" s="12" t="s">
        <v>1213</v>
      </c>
      <c r="E708" s="6" t="s">
        <v>436</v>
      </c>
      <c r="F708" s="13" t="s">
        <v>437</v>
      </c>
      <c r="G708" s="6" t="s">
        <v>438</v>
      </c>
      <c r="H708" s="7" t="str">
        <f t="shared" si="11"/>
        <v>PPP-IPU-B115-01Operation &amp; Maintenance</v>
      </c>
      <c r="I708" s="8" t="s">
        <v>18</v>
      </c>
      <c r="J708" s="8" t="s">
        <v>19</v>
      </c>
      <c r="K708" s="8" t="s">
        <v>20</v>
      </c>
      <c r="L708" s="9"/>
      <c r="M708" s="9"/>
      <c r="N708" s="9"/>
      <c r="O708" s="9"/>
      <c r="P708" s="9"/>
      <c r="Q708" s="9"/>
      <c r="R708" s="9"/>
      <c r="S708" s="9"/>
      <c r="T708" s="9"/>
      <c r="U708" s="9"/>
      <c r="V708" s="9"/>
      <c r="W708" s="9"/>
      <c r="X708" s="9">
        <v>14924.62</v>
      </c>
      <c r="Y708" s="9">
        <v>8617.89</v>
      </c>
      <c r="Z708" s="9"/>
      <c r="AA708" s="9"/>
      <c r="AB708" s="9"/>
      <c r="AC708" s="9"/>
      <c r="AD708" s="9"/>
      <c r="AE708" s="9"/>
      <c r="AF708" s="9"/>
      <c r="AG708" s="9"/>
      <c r="AH708" s="7">
        <v>14924.62</v>
      </c>
      <c r="AI708" s="7">
        <v>8617.89</v>
      </c>
    </row>
    <row r="709" spans="2:35" x14ac:dyDescent="0.3">
      <c r="B709" s="5" t="s">
        <v>3061</v>
      </c>
      <c r="C709" s="5" t="s">
        <v>13</v>
      </c>
      <c r="D709" s="12" t="s">
        <v>1213</v>
      </c>
      <c r="E709" s="6" t="s">
        <v>395</v>
      </c>
      <c r="F709" s="13" t="s">
        <v>396</v>
      </c>
      <c r="G709" s="6" t="s">
        <v>397</v>
      </c>
      <c r="H709" s="7" t="str">
        <f t="shared" si="11"/>
        <v>ATI-IPU-I307-01Operation &amp; Maintenance</v>
      </c>
      <c r="I709" s="8" t="s">
        <v>18</v>
      </c>
      <c r="J709" s="8" t="s">
        <v>19</v>
      </c>
      <c r="K709" s="8" t="s">
        <v>20</v>
      </c>
      <c r="L709" s="9"/>
      <c r="M709" s="9"/>
      <c r="N709" s="9"/>
      <c r="O709" s="9"/>
      <c r="P709" s="9"/>
      <c r="Q709" s="9"/>
      <c r="R709" s="9"/>
      <c r="S709" s="9"/>
      <c r="T709" s="9"/>
      <c r="U709" s="9"/>
      <c r="V709" s="9"/>
      <c r="W709" s="9"/>
      <c r="X709" s="9">
        <v>1713.21</v>
      </c>
      <c r="Y709" s="9">
        <v>1002.56</v>
      </c>
      <c r="Z709" s="9"/>
      <c r="AA709" s="9"/>
      <c r="AB709" s="9"/>
      <c r="AC709" s="9"/>
      <c r="AD709" s="9"/>
      <c r="AE709" s="9"/>
      <c r="AF709" s="9"/>
      <c r="AG709" s="9"/>
      <c r="AH709" s="7">
        <v>1713.21</v>
      </c>
      <c r="AI709" s="7">
        <v>1002.56</v>
      </c>
    </row>
    <row r="710" spans="2:35" x14ac:dyDescent="0.3">
      <c r="B710" s="5" t="s">
        <v>3061</v>
      </c>
      <c r="C710" s="5" t="s">
        <v>13</v>
      </c>
      <c r="D710" s="12" t="s">
        <v>1213</v>
      </c>
      <c r="E710" s="6" t="s">
        <v>256</v>
      </c>
      <c r="F710" s="13" t="s">
        <v>257</v>
      </c>
      <c r="G710" s="6" t="s">
        <v>258</v>
      </c>
      <c r="H710" s="7" t="str">
        <f t="shared" si="11"/>
        <v>PPP-IPU-H501-02Operation &amp; Maintenance</v>
      </c>
      <c r="I710" s="8" t="s">
        <v>24</v>
      </c>
      <c r="J710" s="8" t="s">
        <v>259</v>
      </c>
      <c r="K710" s="8" t="s">
        <v>259</v>
      </c>
      <c r="L710" s="9"/>
      <c r="M710" s="9"/>
      <c r="N710" s="9"/>
      <c r="O710" s="9"/>
      <c r="P710" s="9"/>
      <c r="Q710" s="9"/>
      <c r="R710" s="9"/>
      <c r="S710" s="9"/>
      <c r="T710" s="9"/>
      <c r="U710" s="9"/>
      <c r="V710" s="9"/>
      <c r="W710" s="9"/>
      <c r="X710" s="9">
        <v>0</v>
      </c>
      <c r="Y710" s="9">
        <v>18332.27</v>
      </c>
      <c r="Z710" s="9"/>
      <c r="AA710" s="9"/>
      <c r="AB710" s="9"/>
      <c r="AC710" s="9"/>
      <c r="AD710" s="9"/>
      <c r="AE710" s="9"/>
      <c r="AF710" s="9"/>
      <c r="AG710" s="9"/>
      <c r="AH710" s="7">
        <v>0</v>
      </c>
      <c r="AI710" s="7">
        <v>18332.27</v>
      </c>
    </row>
    <row r="711" spans="2:35" x14ac:dyDescent="0.3">
      <c r="B711" s="5" t="s">
        <v>3061</v>
      </c>
      <c r="C711" s="5" t="s">
        <v>865</v>
      </c>
      <c r="D711" s="12" t="s">
        <v>1213</v>
      </c>
      <c r="E711" s="6" t="s">
        <v>923</v>
      </c>
      <c r="F711" s="13" t="s">
        <v>924</v>
      </c>
      <c r="G711" s="6" t="s">
        <v>925</v>
      </c>
      <c r="H711" s="7" t="str">
        <f t="shared" si="11"/>
        <v>PPP-IPU-D740-01Operation &amp; Maintenance</v>
      </c>
      <c r="I711" s="8" t="s">
        <v>56</v>
      </c>
      <c r="J711" s="8" t="s">
        <v>19</v>
      </c>
      <c r="K711" s="8" t="s">
        <v>20</v>
      </c>
      <c r="L711" s="9"/>
      <c r="M711" s="9"/>
      <c r="N711" s="9"/>
      <c r="O711" s="9"/>
      <c r="P711" s="9"/>
      <c r="Q711" s="9"/>
      <c r="R711" s="9"/>
      <c r="S711" s="9"/>
      <c r="T711" s="9"/>
      <c r="U711" s="9"/>
      <c r="V711" s="9"/>
      <c r="W711" s="9"/>
      <c r="X711" s="9">
        <v>0</v>
      </c>
      <c r="Y711" s="9">
        <v>10986.08</v>
      </c>
      <c r="Z711" s="9"/>
      <c r="AA711" s="9"/>
      <c r="AB711" s="9"/>
      <c r="AC711" s="9"/>
      <c r="AD711" s="9"/>
      <c r="AE711" s="9"/>
      <c r="AF711" s="9"/>
      <c r="AG711" s="9"/>
      <c r="AH711" s="7">
        <v>0</v>
      </c>
      <c r="AI711" s="7">
        <v>10986.08</v>
      </c>
    </row>
    <row r="712" spans="2:35" x14ac:dyDescent="0.3">
      <c r="B712" s="5" t="s">
        <v>3061</v>
      </c>
      <c r="C712" s="5" t="s">
        <v>865</v>
      </c>
      <c r="D712" s="12" t="s">
        <v>1213</v>
      </c>
      <c r="E712" s="6" t="s">
        <v>920</v>
      </c>
      <c r="F712" s="13" t="s">
        <v>921</v>
      </c>
      <c r="G712" s="6" t="s">
        <v>922</v>
      </c>
      <c r="H712" s="7" t="str">
        <f t="shared" si="11"/>
        <v>PPP-IPU-H823-01Operation &amp; Maintenance</v>
      </c>
      <c r="I712" s="8" t="s">
        <v>56</v>
      </c>
      <c r="J712" s="8" t="s">
        <v>19</v>
      </c>
      <c r="K712" s="8" t="s">
        <v>20</v>
      </c>
      <c r="L712" s="9"/>
      <c r="M712" s="9"/>
      <c r="N712" s="9"/>
      <c r="O712" s="9"/>
      <c r="P712" s="9"/>
      <c r="Q712" s="9"/>
      <c r="R712" s="9"/>
      <c r="S712" s="9"/>
      <c r="T712" s="9"/>
      <c r="U712" s="9"/>
      <c r="V712" s="9"/>
      <c r="W712" s="9"/>
      <c r="X712" s="9">
        <v>0</v>
      </c>
      <c r="Y712" s="9">
        <v>8258</v>
      </c>
      <c r="Z712" s="9"/>
      <c r="AA712" s="9"/>
      <c r="AB712" s="9"/>
      <c r="AC712" s="9"/>
      <c r="AD712" s="9"/>
      <c r="AE712" s="9"/>
      <c r="AF712" s="9"/>
      <c r="AG712" s="9"/>
      <c r="AH712" s="7">
        <v>0</v>
      </c>
      <c r="AI712" s="7">
        <v>8258</v>
      </c>
    </row>
    <row r="713" spans="2:35" x14ac:dyDescent="0.3">
      <c r="B713" s="5" t="s">
        <v>3061</v>
      </c>
      <c r="C713" s="5" t="s">
        <v>13</v>
      </c>
      <c r="D713" s="12" t="s">
        <v>1213</v>
      </c>
      <c r="E713" s="6" t="s">
        <v>373</v>
      </c>
      <c r="F713" s="13" t="s">
        <v>374</v>
      </c>
      <c r="G713" s="6" t="s">
        <v>375</v>
      </c>
      <c r="H713" s="7" t="str">
        <f t="shared" si="11"/>
        <v>CL3-IPU-B754-01Operation &amp; Maintenance</v>
      </c>
      <c r="I713" s="8" t="s">
        <v>49</v>
      </c>
      <c r="J713" s="8" t="s">
        <v>19</v>
      </c>
      <c r="K713" s="8" t="s">
        <v>98</v>
      </c>
      <c r="L713" s="9"/>
      <c r="M713" s="9"/>
      <c r="N713" s="9"/>
      <c r="O713" s="9"/>
      <c r="P713" s="9"/>
      <c r="Q713" s="9"/>
      <c r="R713" s="9"/>
      <c r="S713" s="9"/>
      <c r="T713" s="9"/>
      <c r="U713" s="9"/>
      <c r="V713" s="9"/>
      <c r="W713" s="9"/>
      <c r="X713" s="9">
        <v>0</v>
      </c>
      <c r="Y713" s="9">
        <v>4953.5</v>
      </c>
      <c r="Z713" s="9"/>
      <c r="AA713" s="9"/>
      <c r="AB713" s="9"/>
      <c r="AC713" s="9"/>
      <c r="AD713" s="9"/>
      <c r="AE713" s="9"/>
      <c r="AF713" s="9"/>
      <c r="AG713" s="9"/>
      <c r="AH713" s="7">
        <v>0</v>
      </c>
      <c r="AI713" s="7">
        <v>4953.5</v>
      </c>
    </row>
    <row r="714" spans="2:35" x14ac:dyDescent="0.3">
      <c r="B714" s="5" t="s">
        <v>3061</v>
      </c>
      <c r="C714" s="5" t="s">
        <v>13</v>
      </c>
      <c r="D714" s="12" t="s">
        <v>1213</v>
      </c>
      <c r="E714" s="6" t="s">
        <v>159</v>
      </c>
      <c r="F714" s="13" t="s">
        <v>160</v>
      </c>
      <c r="G714" s="6" t="s">
        <v>161</v>
      </c>
      <c r="H714" s="7" t="str">
        <f t="shared" si="11"/>
        <v>CL3-IPU-A162-01Operation &amp; Maintenance</v>
      </c>
      <c r="I714" s="8" t="s">
        <v>24</v>
      </c>
      <c r="J714" s="8" t="s">
        <v>19</v>
      </c>
      <c r="K714" s="8" t="s">
        <v>98</v>
      </c>
      <c r="L714" s="9"/>
      <c r="M714" s="9"/>
      <c r="N714" s="9"/>
      <c r="O714" s="9"/>
      <c r="P714" s="9"/>
      <c r="Q714" s="9"/>
      <c r="R714" s="9"/>
      <c r="S714" s="9"/>
      <c r="T714" s="9"/>
      <c r="U714" s="9"/>
      <c r="V714" s="9"/>
      <c r="W714" s="9"/>
      <c r="X714" s="9">
        <v>0</v>
      </c>
      <c r="Y714" s="9">
        <v>5365.05</v>
      </c>
      <c r="Z714" s="9"/>
      <c r="AA714" s="9"/>
      <c r="AB714" s="9"/>
      <c r="AC714" s="9"/>
      <c r="AD714" s="9"/>
      <c r="AE714" s="9"/>
      <c r="AF714" s="9"/>
      <c r="AG714" s="9"/>
      <c r="AH714" s="7">
        <v>0</v>
      </c>
      <c r="AI714" s="7">
        <v>5365.05</v>
      </c>
    </row>
    <row r="715" spans="2:35" x14ac:dyDescent="0.3">
      <c r="B715" s="5" t="s">
        <v>3061</v>
      </c>
      <c r="C715" s="5" t="s">
        <v>13</v>
      </c>
      <c r="D715" s="12" t="s">
        <v>1213</v>
      </c>
      <c r="E715" s="6" t="s">
        <v>1176</v>
      </c>
      <c r="F715" s="13" t="s">
        <v>1177</v>
      </c>
      <c r="G715" s="6" t="s">
        <v>125</v>
      </c>
      <c r="H715" s="7" t="str">
        <f t="shared" si="11"/>
        <v>EPC-IPU-D869-05Operation &amp; Maintenance</v>
      </c>
      <c r="I715" s="8" t="s">
        <v>49</v>
      </c>
      <c r="J715" s="8" t="s">
        <v>76</v>
      </c>
      <c r="K715" s="8" t="s">
        <v>76</v>
      </c>
      <c r="L715" s="9"/>
      <c r="M715" s="9"/>
      <c r="N715" s="9"/>
      <c r="O715" s="9"/>
      <c r="P715" s="9"/>
      <c r="Q715" s="9"/>
      <c r="R715" s="9"/>
      <c r="S715" s="9"/>
      <c r="T715" s="9"/>
      <c r="U715" s="9"/>
      <c r="V715" s="9"/>
      <c r="W715" s="9"/>
      <c r="X715" s="9">
        <v>1429.84</v>
      </c>
      <c r="Y715" s="9">
        <v>0</v>
      </c>
      <c r="Z715" s="9"/>
      <c r="AA715" s="9"/>
      <c r="AB715" s="9"/>
      <c r="AC715" s="9"/>
      <c r="AD715" s="9"/>
      <c r="AE715" s="9"/>
      <c r="AF715" s="9"/>
      <c r="AG715" s="9"/>
      <c r="AH715" s="7">
        <v>1429.84</v>
      </c>
      <c r="AI715" s="7">
        <v>0</v>
      </c>
    </row>
    <row r="716" spans="2:35" x14ac:dyDescent="0.3">
      <c r="B716" s="5" t="s">
        <v>3061</v>
      </c>
      <c r="C716" s="5" t="s">
        <v>13</v>
      </c>
      <c r="D716" s="12" t="s">
        <v>1213</v>
      </c>
      <c r="E716" s="6" t="s">
        <v>31</v>
      </c>
      <c r="F716" s="13" t="s">
        <v>32</v>
      </c>
      <c r="G716" s="6" t="s">
        <v>33</v>
      </c>
      <c r="H716" s="7" t="str">
        <f t="shared" si="11"/>
        <v>PPP-IPU-B180-01Operation &amp; Maintenance</v>
      </c>
      <c r="I716" s="8" t="s">
        <v>18</v>
      </c>
      <c r="J716" s="8" t="s">
        <v>19</v>
      </c>
      <c r="K716" s="8" t="s">
        <v>20</v>
      </c>
      <c r="L716" s="9"/>
      <c r="M716" s="9"/>
      <c r="N716" s="9"/>
      <c r="O716" s="9"/>
      <c r="P716" s="9"/>
      <c r="Q716" s="9"/>
      <c r="R716" s="9"/>
      <c r="S716" s="9"/>
      <c r="T716" s="9"/>
      <c r="U716" s="9"/>
      <c r="V716" s="9"/>
      <c r="W716" s="9"/>
      <c r="X716" s="9">
        <v>6193.33</v>
      </c>
      <c r="Y716" s="9">
        <v>4254.3999999999996</v>
      </c>
      <c r="Z716" s="9"/>
      <c r="AA716" s="9"/>
      <c r="AB716" s="9"/>
      <c r="AC716" s="9"/>
      <c r="AD716" s="9"/>
      <c r="AE716" s="9"/>
      <c r="AF716" s="9"/>
      <c r="AG716" s="9"/>
      <c r="AH716" s="7">
        <v>6193.33</v>
      </c>
      <c r="AI716" s="7">
        <v>4254.3999999999996</v>
      </c>
    </row>
    <row r="717" spans="2:35" x14ac:dyDescent="0.3">
      <c r="B717" s="5" t="s">
        <v>3061</v>
      </c>
      <c r="C717" s="5" t="s">
        <v>13</v>
      </c>
      <c r="D717" s="12" t="s">
        <v>1214</v>
      </c>
      <c r="E717" s="6" t="s">
        <v>740</v>
      </c>
      <c r="F717" s="13" t="s">
        <v>741</v>
      </c>
      <c r="G717" s="6" t="s">
        <v>702</v>
      </c>
      <c r="H717" s="7" t="str">
        <f t="shared" si="11"/>
        <v>SEC-PHV-A519-01Unknown</v>
      </c>
      <c r="I717" s="8" t="s">
        <v>18</v>
      </c>
      <c r="J717" s="8" t="s">
        <v>454</v>
      </c>
      <c r="K717" s="8" t="s">
        <v>454</v>
      </c>
      <c r="L717" s="9"/>
      <c r="M717" s="9"/>
      <c r="N717" s="9"/>
      <c r="O717" s="9"/>
      <c r="P717" s="9"/>
      <c r="Q717" s="9"/>
      <c r="R717" s="9"/>
      <c r="S717" s="9"/>
      <c r="T717" s="9"/>
      <c r="U717" s="9"/>
      <c r="V717" s="9"/>
      <c r="W717" s="9"/>
      <c r="X717" s="9">
        <v>97.82</v>
      </c>
      <c r="Y717" s="9">
        <v>1426.05</v>
      </c>
      <c r="Z717" s="9"/>
      <c r="AA717" s="9"/>
      <c r="AB717" s="9"/>
      <c r="AC717" s="9"/>
      <c r="AD717" s="9"/>
      <c r="AE717" s="9"/>
      <c r="AF717" s="9"/>
      <c r="AG717" s="9"/>
      <c r="AH717" s="7">
        <v>97.82</v>
      </c>
      <c r="AI717" s="7">
        <v>1426.05</v>
      </c>
    </row>
    <row r="718" spans="2:35" x14ac:dyDescent="0.3">
      <c r="B718" s="5" t="s">
        <v>3061</v>
      </c>
      <c r="C718" s="5" t="s">
        <v>13</v>
      </c>
      <c r="D718" s="12" t="s">
        <v>1213</v>
      </c>
      <c r="E718" s="6" t="s">
        <v>740</v>
      </c>
      <c r="F718" s="13" t="s">
        <v>741</v>
      </c>
      <c r="G718" s="6" t="s">
        <v>702</v>
      </c>
      <c r="H718" s="7" t="str">
        <f t="shared" si="11"/>
        <v>SEC-PHV-A519-01Operation &amp; Maintenance</v>
      </c>
      <c r="I718" s="8" t="s">
        <v>18</v>
      </c>
      <c r="J718" s="8" t="s">
        <v>454</v>
      </c>
      <c r="K718" s="8" t="s">
        <v>454</v>
      </c>
      <c r="L718" s="9"/>
      <c r="M718" s="9"/>
      <c r="N718" s="9"/>
      <c r="O718" s="9"/>
      <c r="P718" s="9"/>
      <c r="Q718" s="9"/>
      <c r="R718" s="9"/>
      <c r="S718" s="9"/>
      <c r="T718" s="9"/>
      <c r="U718" s="9"/>
      <c r="V718" s="9"/>
      <c r="W718" s="9"/>
      <c r="X718" s="9">
        <v>0</v>
      </c>
      <c r="Y718" s="9">
        <v>19.690000000000001</v>
      </c>
      <c r="Z718" s="9"/>
      <c r="AA718" s="9"/>
      <c r="AB718" s="9"/>
      <c r="AC718" s="9"/>
      <c r="AD718" s="9"/>
      <c r="AE718" s="9"/>
      <c r="AF718" s="9"/>
      <c r="AG718" s="9"/>
      <c r="AH718" s="7">
        <v>0</v>
      </c>
      <c r="AI718" s="7">
        <v>19.690000000000001</v>
      </c>
    </row>
    <row r="719" spans="2:35" x14ac:dyDescent="0.3">
      <c r="B719" s="5" t="s">
        <v>3061</v>
      </c>
      <c r="C719" s="5" t="s">
        <v>13</v>
      </c>
      <c r="D719" s="12" t="s">
        <v>1215</v>
      </c>
      <c r="E719" s="6" t="s">
        <v>1023</v>
      </c>
      <c r="F719" s="13" t="s">
        <v>1024</v>
      </c>
      <c r="G719" s="6" t="s">
        <v>792</v>
      </c>
      <c r="H719" s="7" t="str">
        <f t="shared" si="11"/>
        <v>EPC-IPU-G762-01Spot</v>
      </c>
      <c r="I719" s="8" t="s">
        <v>18</v>
      </c>
      <c r="J719" s="8" t="s">
        <v>76</v>
      </c>
      <c r="K719" s="8" t="s">
        <v>76</v>
      </c>
      <c r="L719" s="9"/>
      <c r="M719" s="9"/>
      <c r="N719" s="9"/>
      <c r="O719" s="9"/>
      <c r="P719" s="9"/>
      <c r="Q719" s="9"/>
      <c r="R719" s="9"/>
      <c r="S719" s="9"/>
      <c r="T719" s="9"/>
      <c r="U719" s="9"/>
      <c r="V719" s="9"/>
      <c r="W719" s="9"/>
      <c r="X719" s="9">
        <v>3933.13</v>
      </c>
      <c r="Y719" s="9">
        <v>0</v>
      </c>
      <c r="Z719" s="9"/>
      <c r="AA719" s="9"/>
      <c r="AB719" s="9"/>
      <c r="AC719" s="9"/>
      <c r="AD719" s="9"/>
      <c r="AE719" s="9"/>
      <c r="AF719" s="9"/>
      <c r="AG719" s="9"/>
      <c r="AH719" s="7">
        <v>3933.13</v>
      </c>
      <c r="AI719" s="7">
        <v>0</v>
      </c>
    </row>
    <row r="720" spans="2:35" x14ac:dyDescent="0.3">
      <c r="B720" s="5" t="s">
        <v>3061</v>
      </c>
      <c r="C720" s="5" t="s">
        <v>13</v>
      </c>
      <c r="D720" s="12" t="s">
        <v>1213</v>
      </c>
      <c r="E720" s="6" t="s">
        <v>1126</v>
      </c>
      <c r="F720" s="13" t="s">
        <v>1127</v>
      </c>
      <c r="G720" s="6" t="s">
        <v>360</v>
      </c>
      <c r="H720" s="7" t="str">
        <f t="shared" si="11"/>
        <v>EPC-IPU-C888-02Operation &amp; Maintenance</v>
      </c>
      <c r="I720" s="8" t="s">
        <v>18</v>
      </c>
      <c r="J720" s="8" t="s">
        <v>76</v>
      </c>
      <c r="K720" s="8" t="s">
        <v>76</v>
      </c>
      <c r="L720" s="9"/>
      <c r="M720" s="9"/>
      <c r="N720" s="9"/>
      <c r="O720" s="9"/>
      <c r="P720" s="9"/>
      <c r="Q720" s="9"/>
      <c r="R720" s="9"/>
      <c r="S720" s="9"/>
      <c r="T720" s="9"/>
      <c r="U720" s="9"/>
      <c r="V720" s="9"/>
      <c r="W720" s="9"/>
      <c r="X720" s="9">
        <v>0</v>
      </c>
      <c r="Y720" s="9">
        <v>703.83</v>
      </c>
      <c r="Z720" s="9"/>
      <c r="AA720" s="9"/>
      <c r="AB720" s="9"/>
      <c r="AC720" s="9"/>
      <c r="AD720" s="9"/>
      <c r="AE720" s="9"/>
      <c r="AF720" s="9"/>
      <c r="AG720" s="9"/>
      <c r="AH720" s="7">
        <v>0</v>
      </c>
      <c r="AI720" s="7">
        <v>703.83</v>
      </c>
    </row>
    <row r="721" spans="2:35" x14ac:dyDescent="0.3">
      <c r="B721" s="5" t="s">
        <v>3061</v>
      </c>
      <c r="C721" s="5" t="s">
        <v>13</v>
      </c>
      <c r="D721" s="12" t="s">
        <v>1215</v>
      </c>
      <c r="E721" s="6" t="s">
        <v>987</v>
      </c>
      <c r="F721" s="13" t="s">
        <v>988</v>
      </c>
      <c r="G721" s="6" t="s">
        <v>566</v>
      </c>
      <c r="H721" s="7" t="str">
        <f t="shared" si="11"/>
        <v>EPC-IPU-L191-07Spot</v>
      </c>
      <c r="I721" s="8" t="s">
        <v>24</v>
      </c>
      <c r="J721" s="8" t="s">
        <v>76</v>
      </c>
      <c r="K721" s="8" t="s">
        <v>76</v>
      </c>
      <c r="L721" s="9"/>
      <c r="M721" s="9"/>
      <c r="N721" s="9"/>
      <c r="O721" s="9"/>
      <c r="P721" s="9"/>
      <c r="Q721" s="9"/>
      <c r="R721" s="9"/>
      <c r="S721" s="9"/>
      <c r="T721" s="9"/>
      <c r="U721" s="9"/>
      <c r="V721" s="9"/>
      <c r="W721" s="9"/>
      <c r="X721" s="9">
        <v>2785</v>
      </c>
      <c r="Y721" s="9">
        <v>0</v>
      </c>
      <c r="Z721" s="9"/>
      <c r="AA721" s="9"/>
      <c r="AB721" s="9"/>
      <c r="AC721" s="9"/>
      <c r="AD721" s="9"/>
      <c r="AE721" s="9"/>
      <c r="AF721" s="9"/>
      <c r="AG721" s="9"/>
      <c r="AH721" s="7">
        <v>2785</v>
      </c>
      <c r="AI721" s="7">
        <v>0</v>
      </c>
    </row>
    <row r="722" spans="2:35" x14ac:dyDescent="0.3">
      <c r="B722" s="5" t="s">
        <v>3061</v>
      </c>
      <c r="C722" s="5" t="s">
        <v>13</v>
      </c>
      <c r="D722" s="12" t="s">
        <v>1214</v>
      </c>
      <c r="E722" s="6" t="s">
        <v>731</v>
      </c>
      <c r="F722" s="13" t="s">
        <v>732</v>
      </c>
      <c r="G722" s="6" t="s">
        <v>733</v>
      </c>
      <c r="H722" s="7" t="str">
        <f t="shared" si="11"/>
        <v>PPP-IPU-C485-01Unknown</v>
      </c>
      <c r="I722" s="8" t="s">
        <v>18</v>
      </c>
      <c r="J722" s="8" t="s">
        <v>19</v>
      </c>
      <c r="K722" s="8" t="s">
        <v>20</v>
      </c>
      <c r="L722" s="9"/>
      <c r="M722" s="9"/>
      <c r="N722" s="9"/>
      <c r="O722" s="9"/>
      <c r="P722" s="9"/>
      <c r="Q722" s="9"/>
      <c r="R722" s="9"/>
      <c r="S722" s="9"/>
      <c r="T722" s="9"/>
      <c r="U722" s="9"/>
      <c r="V722" s="9"/>
      <c r="W722" s="9"/>
      <c r="X722" s="9">
        <v>0</v>
      </c>
      <c r="Y722" s="9">
        <v>13.42</v>
      </c>
      <c r="Z722" s="9"/>
      <c r="AA722" s="9"/>
      <c r="AB722" s="9"/>
      <c r="AC722" s="9"/>
      <c r="AD722" s="9"/>
      <c r="AE722" s="9"/>
      <c r="AF722" s="9"/>
      <c r="AG722" s="9"/>
      <c r="AH722" s="7">
        <v>0</v>
      </c>
      <c r="AI722" s="7">
        <v>13.42</v>
      </c>
    </row>
    <row r="723" spans="2:35" x14ac:dyDescent="0.3">
      <c r="B723" s="5" t="s">
        <v>3061</v>
      </c>
      <c r="C723" s="5" t="s">
        <v>13</v>
      </c>
      <c r="D723" s="12" t="s">
        <v>1213</v>
      </c>
      <c r="E723" s="6" t="s">
        <v>731</v>
      </c>
      <c r="F723" s="13" t="s">
        <v>732</v>
      </c>
      <c r="G723" s="6" t="s">
        <v>733</v>
      </c>
      <c r="H723" s="7" t="str">
        <f t="shared" si="11"/>
        <v>PPP-IPU-C485-01Operation &amp; Maintenance</v>
      </c>
      <c r="I723" s="8" t="s">
        <v>18</v>
      </c>
      <c r="J723" s="8" t="s">
        <v>19</v>
      </c>
      <c r="K723" s="8" t="s">
        <v>20</v>
      </c>
      <c r="L723" s="9"/>
      <c r="M723" s="9"/>
      <c r="N723" s="9"/>
      <c r="O723" s="9"/>
      <c r="P723" s="9"/>
      <c r="Q723" s="9"/>
      <c r="R723" s="9"/>
      <c r="S723" s="9"/>
      <c r="T723" s="9"/>
      <c r="U723" s="9"/>
      <c r="V723" s="9"/>
      <c r="W723" s="9"/>
      <c r="X723" s="9">
        <v>17092.62</v>
      </c>
      <c r="Y723" s="9">
        <v>4411.62</v>
      </c>
      <c r="Z723" s="9"/>
      <c r="AA723" s="9"/>
      <c r="AB723" s="9"/>
      <c r="AC723" s="9"/>
      <c r="AD723" s="9"/>
      <c r="AE723" s="9"/>
      <c r="AF723" s="9"/>
      <c r="AG723" s="9"/>
      <c r="AH723" s="7">
        <v>17092.62</v>
      </c>
      <c r="AI723" s="7">
        <v>4411.62</v>
      </c>
    </row>
    <row r="724" spans="2:35" x14ac:dyDescent="0.3">
      <c r="B724" s="5" t="s">
        <v>3061</v>
      </c>
      <c r="C724" s="5" t="s">
        <v>13</v>
      </c>
      <c r="D724" s="12" t="s">
        <v>1213</v>
      </c>
      <c r="E724" s="6" t="s">
        <v>278</v>
      </c>
      <c r="F724" s="13" t="s">
        <v>279</v>
      </c>
      <c r="G724" s="6" t="s">
        <v>280</v>
      </c>
      <c r="H724" s="7" t="str">
        <f t="shared" si="11"/>
        <v>PPP-IPU-M060-01Operation &amp; Maintenance</v>
      </c>
      <c r="I724" s="8" t="s">
        <v>49</v>
      </c>
      <c r="J724" s="8" t="s">
        <v>19</v>
      </c>
      <c r="K724" s="8" t="s">
        <v>20</v>
      </c>
      <c r="L724" s="9"/>
      <c r="M724" s="9"/>
      <c r="N724" s="9"/>
      <c r="O724" s="9"/>
      <c r="P724" s="9"/>
      <c r="Q724" s="9"/>
      <c r="R724" s="9"/>
      <c r="S724" s="9"/>
      <c r="T724" s="9"/>
      <c r="U724" s="9"/>
      <c r="V724" s="9"/>
      <c r="W724" s="9"/>
      <c r="X724" s="9">
        <v>8117.96</v>
      </c>
      <c r="Y724" s="9">
        <v>6490.15</v>
      </c>
      <c r="Z724" s="9"/>
      <c r="AA724" s="9"/>
      <c r="AB724" s="9"/>
      <c r="AC724" s="9"/>
      <c r="AD724" s="9"/>
      <c r="AE724" s="9"/>
      <c r="AF724" s="9"/>
      <c r="AG724" s="9"/>
      <c r="AH724" s="7">
        <v>8117.96</v>
      </c>
      <c r="AI724" s="7">
        <v>6490.15</v>
      </c>
    </row>
    <row r="725" spans="2:35" x14ac:dyDescent="0.3">
      <c r="B725" s="5" t="s">
        <v>3061</v>
      </c>
      <c r="C725" s="5" t="s">
        <v>13</v>
      </c>
      <c r="D725" s="12" t="s">
        <v>1213</v>
      </c>
      <c r="E725" s="6" t="s">
        <v>491</v>
      </c>
      <c r="F725" s="13" t="s">
        <v>492</v>
      </c>
      <c r="G725" s="6" t="s">
        <v>493</v>
      </c>
      <c r="H725" s="7" t="str">
        <f t="shared" si="11"/>
        <v>PPP-IPU-D593-01Operation &amp; Maintenance</v>
      </c>
      <c r="I725" s="8" t="s">
        <v>18</v>
      </c>
      <c r="J725" s="8" t="s">
        <v>19</v>
      </c>
      <c r="K725" s="8" t="s">
        <v>20</v>
      </c>
      <c r="L725" s="9"/>
      <c r="M725" s="9"/>
      <c r="N725" s="9"/>
      <c r="O725" s="9"/>
      <c r="P725" s="9"/>
      <c r="Q725" s="9"/>
      <c r="R725" s="9"/>
      <c r="S725" s="9"/>
      <c r="T725" s="9"/>
      <c r="U725" s="9"/>
      <c r="V725" s="9"/>
      <c r="W725" s="9"/>
      <c r="X725" s="9">
        <v>29371.58</v>
      </c>
      <c r="Y725" s="9">
        <v>6709.94</v>
      </c>
      <c r="Z725" s="9"/>
      <c r="AA725" s="9"/>
      <c r="AB725" s="9"/>
      <c r="AC725" s="9"/>
      <c r="AD725" s="9"/>
      <c r="AE725" s="9"/>
      <c r="AF725" s="9"/>
      <c r="AG725" s="9"/>
      <c r="AH725" s="7">
        <v>29371.58</v>
      </c>
      <c r="AI725" s="7">
        <v>6709.94</v>
      </c>
    </row>
    <row r="726" spans="2:35" x14ac:dyDescent="0.3">
      <c r="B726" s="5" t="s">
        <v>3061</v>
      </c>
      <c r="C726" s="5" t="s">
        <v>13</v>
      </c>
      <c r="D726" s="12" t="s">
        <v>1215</v>
      </c>
      <c r="E726" s="6" t="s">
        <v>967</v>
      </c>
      <c r="F726" s="13" t="s">
        <v>968</v>
      </c>
      <c r="G726" s="6" t="s">
        <v>543</v>
      </c>
      <c r="H726" s="7" t="str">
        <f t="shared" si="11"/>
        <v>EPC-IPU-F573-07Spot</v>
      </c>
      <c r="I726" s="8" t="s">
        <v>18</v>
      </c>
      <c r="J726" s="8" t="s">
        <v>76</v>
      </c>
      <c r="K726" s="8" t="s">
        <v>76</v>
      </c>
      <c r="L726" s="9"/>
      <c r="M726" s="9"/>
      <c r="N726" s="9"/>
      <c r="O726" s="9"/>
      <c r="P726" s="9"/>
      <c r="Q726" s="9"/>
      <c r="R726" s="9"/>
      <c r="S726" s="9"/>
      <c r="T726" s="9"/>
      <c r="U726" s="9"/>
      <c r="V726" s="9"/>
      <c r="W726" s="9"/>
      <c r="X726" s="9">
        <v>0</v>
      </c>
      <c r="Y726" s="9">
        <v>464.03</v>
      </c>
      <c r="Z726" s="9"/>
      <c r="AA726" s="9"/>
      <c r="AB726" s="9"/>
      <c r="AC726" s="9"/>
      <c r="AD726" s="9"/>
      <c r="AE726" s="9"/>
      <c r="AF726" s="9"/>
      <c r="AG726" s="9"/>
      <c r="AH726" s="7">
        <v>0</v>
      </c>
      <c r="AI726" s="7">
        <v>464.03</v>
      </c>
    </row>
    <row r="727" spans="2:35" x14ac:dyDescent="0.3">
      <c r="B727" s="5" t="s">
        <v>3061</v>
      </c>
      <c r="C727" s="5" t="s">
        <v>13</v>
      </c>
      <c r="D727" s="12" t="s">
        <v>1214</v>
      </c>
      <c r="E727" s="6" t="s">
        <v>985</v>
      </c>
      <c r="F727" s="13" t="s">
        <v>986</v>
      </c>
      <c r="G727" s="6" t="s">
        <v>694</v>
      </c>
      <c r="H727" s="7" t="str">
        <f t="shared" si="11"/>
        <v>SEC-PHV-D593-04Unknown</v>
      </c>
      <c r="I727" s="8" t="s">
        <v>18</v>
      </c>
      <c r="J727" s="8" t="s">
        <v>454</v>
      </c>
      <c r="K727" s="8" t="s">
        <v>454</v>
      </c>
      <c r="L727" s="9"/>
      <c r="M727" s="9"/>
      <c r="N727" s="9"/>
      <c r="O727" s="9"/>
      <c r="P727" s="9"/>
      <c r="Q727" s="9"/>
      <c r="R727" s="9"/>
      <c r="S727" s="9"/>
      <c r="T727" s="9"/>
      <c r="U727" s="9"/>
      <c r="V727" s="9"/>
      <c r="W727" s="9"/>
      <c r="X727" s="9">
        <v>32.82</v>
      </c>
      <c r="Y727" s="9">
        <v>60.16</v>
      </c>
      <c r="Z727" s="9"/>
      <c r="AA727" s="9"/>
      <c r="AB727" s="9"/>
      <c r="AC727" s="9"/>
      <c r="AD727" s="9"/>
      <c r="AE727" s="9"/>
      <c r="AF727" s="9"/>
      <c r="AG727" s="9"/>
      <c r="AH727" s="7">
        <v>32.82</v>
      </c>
      <c r="AI727" s="7">
        <v>60.16</v>
      </c>
    </row>
    <row r="728" spans="2:35" x14ac:dyDescent="0.3">
      <c r="B728" s="5" t="s">
        <v>3061</v>
      </c>
      <c r="C728" s="5" t="s">
        <v>865</v>
      </c>
      <c r="D728" s="12" t="s">
        <v>1213</v>
      </c>
      <c r="E728" s="6" t="s">
        <v>1078</v>
      </c>
      <c r="F728" s="13" t="s">
        <v>1079</v>
      </c>
      <c r="G728" s="6" t="s">
        <v>1080</v>
      </c>
      <c r="H728" s="7" t="str">
        <f t="shared" si="11"/>
        <v>PPP-IPU-F826-01Operation &amp; Maintenance</v>
      </c>
      <c r="I728" s="8" t="s">
        <v>56</v>
      </c>
      <c r="J728" s="8" t="s">
        <v>19</v>
      </c>
      <c r="K728" s="8" t="s">
        <v>20</v>
      </c>
      <c r="L728" s="9"/>
      <c r="M728" s="9"/>
      <c r="N728" s="9"/>
      <c r="O728" s="9"/>
      <c r="P728" s="9"/>
      <c r="Q728" s="9"/>
      <c r="R728" s="9"/>
      <c r="S728" s="9"/>
      <c r="T728" s="9"/>
      <c r="U728" s="9"/>
      <c r="V728" s="9"/>
      <c r="W728" s="9"/>
      <c r="X728" s="9">
        <v>0</v>
      </c>
      <c r="Y728" s="9">
        <v>5765.2</v>
      </c>
      <c r="Z728" s="9"/>
      <c r="AA728" s="9"/>
      <c r="AB728" s="9"/>
      <c r="AC728" s="9"/>
      <c r="AD728" s="9"/>
      <c r="AE728" s="9"/>
      <c r="AF728" s="9"/>
      <c r="AG728" s="9"/>
      <c r="AH728" s="7">
        <v>0</v>
      </c>
      <c r="AI728" s="7">
        <v>5765.2</v>
      </c>
    </row>
    <row r="729" spans="2:35" x14ac:dyDescent="0.3">
      <c r="B729" s="5" t="s">
        <v>3061</v>
      </c>
      <c r="C729" s="5" t="s">
        <v>13</v>
      </c>
      <c r="D729" s="12" t="s">
        <v>1215</v>
      </c>
      <c r="E729" s="6" t="s">
        <v>1164</v>
      </c>
      <c r="F729" s="13" t="s">
        <v>1165</v>
      </c>
      <c r="G729" s="6" t="s">
        <v>45</v>
      </c>
      <c r="H729" s="7" t="str">
        <f t="shared" si="11"/>
        <v>EPC-IPU-E716-03Spot</v>
      </c>
      <c r="I729" s="8" t="s">
        <v>18</v>
      </c>
      <c r="J729" s="8" t="s">
        <v>76</v>
      </c>
      <c r="K729" s="8" t="s">
        <v>76</v>
      </c>
      <c r="L729" s="9"/>
      <c r="M729" s="9"/>
      <c r="N729" s="9"/>
      <c r="O729" s="9"/>
      <c r="P729" s="9"/>
      <c r="Q729" s="9"/>
      <c r="R729" s="9"/>
      <c r="S729" s="9"/>
      <c r="T729" s="9"/>
      <c r="U729" s="9"/>
      <c r="V729" s="9"/>
      <c r="W729" s="9"/>
      <c r="X729" s="9">
        <v>45600</v>
      </c>
      <c r="Y729" s="9">
        <v>0</v>
      </c>
      <c r="Z729" s="9"/>
      <c r="AA729" s="9"/>
      <c r="AB729" s="9"/>
      <c r="AC729" s="9"/>
      <c r="AD729" s="9"/>
      <c r="AE729" s="9"/>
      <c r="AF729" s="9"/>
      <c r="AG729" s="9"/>
      <c r="AH729" s="7">
        <v>45600</v>
      </c>
      <c r="AI729" s="7">
        <v>0</v>
      </c>
    </row>
    <row r="730" spans="2:35" x14ac:dyDescent="0.3">
      <c r="B730" s="5" t="s">
        <v>3061</v>
      </c>
      <c r="C730" s="5" t="s">
        <v>13</v>
      </c>
      <c r="D730" s="12" t="s">
        <v>1213</v>
      </c>
      <c r="E730" s="6" t="s">
        <v>1164</v>
      </c>
      <c r="F730" s="13" t="s">
        <v>1165</v>
      </c>
      <c r="G730" s="6" t="s">
        <v>45</v>
      </c>
      <c r="H730" s="7" t="str">
        <f t="shared" si="11"/>
        <v>EPC-IPU-E716-03Operation &amp; Maintenance</v>
      </c>
      <c r="I730" s="8" t="s">
        <v>18</v>
      </c>
      <c r="J730" s="8" t="s">
        <v>76</v>
      </c>
      <c r="K730" s="8" t="s">
        <v>76</v>
      </c>
      <c r="L730" s="9"/>
      <c r="M730" s="9"/>
      <c r="N730" s="9"/>
      <c r="O730" s="9"/>
      <c r="P730" s="9"/>
      <c r="Q730" s="9"/>
      <c r="R730" s="9"/>
      <c r="S730" s="9"/>
      <c r="T730" s="9"/>
      <c r="U730" s="9"/>
      <c r="V730" s="9"/>
      <c r="W730" s="9"/>
      <c r="X730" s="9">
        <v>0</v>
      </c>
      <c r="Y730" s="9">
        <v>36157.339999999997</v>
      </c>
      <c r="Z730" s="9"/>
      <c r="AA730" s="9"/>
      <c r="AB730" s="9"/>
      <c r="AC730" s="9"/>
      <c r="AD730" s="9"/>
      <c r="AE730" s="9"/>
      <c r="AF730" s="9"/>
      <c r="AG730" s="9"/>
      <c r="AH730" s="7">
        <v>0</v>
      </c>
      <c r="AI730" s="7">
        <v>36157.339999999997</v>
      </c>
    </row>
    <row r="731" spans="2:35" x14ac:dyDescent="0.3">
      <c r="B731" s="5" t="s">
        <v>3061</v>
      </c>
      <c r="C731" s="5" t="s">
        <v>13</v>
      </c>
      <c r="D731" s="12" t="s">
        <v>1215</v>
      </c>
      <c r="E731" s="6" t="s">
        <v>1101</v>
      </c>
      <c r="F731" s="13" t="s">
        <v>1102</v>
      </c>
      <c r="G731" s="6" t="s">
        <v>1103</v>
      </c>
      <c r="H731" s="7" t="str">
        <f t="shared" si="11"/>
        <v>EPC-IPU-E976-08Spot</v>
      </c>
      <c r="I731" s="8" t="s">
        <v>18</v>
      </c>
      <c r="J731" s="8" t="s">
        <v>259</v>
      </c>
      <c r="K731" s="8" t="s">
        <v>259</v>
      </c>
      <c r="L731" s="9"/>
      <c r="M731" s="9"/>
      <c r="N731" s="9"/>
      <c r="O731" s="9"/>
      <c r="P731" s="9"/>
      <c r="Q731" s="9"/>
      <c r="R731" s="9"/>
      <c r="S731" s="9"/>
      <c r="T731" s="9"/>
      <c r="U731" s="9"/>
      <c r="V731" s="9"/>
      <c r="W731" s="9"/>
      <c r="X731" s="9">
        <v>464.09</v>
      </c>
      <c r="Y731" s="9">
        <v>0</v>
      </c>
      <c r="Z731" s="9"/>
      <c r="AA731" s="9"/>
      <c r="AB731" s="9"/>
      <c r="AC731" s="9"/>
      <c r="AD731" s="9"/>
      <c r="AE731" s="9"/>
      <c r="AF731" s="9"/>
      <c r="AG731" s="9"/>
      <c r="AH731" s="7">
        <v>464.09</v>
      </c>
      <c r="AI731" s="7">
        <v>0</v>
      </c>
    </row>
    <row r="732" spans="2:35" x14ac:dyDescent="0.3">
      <c r="B732" s="5" t="s">
        <v>3061</v>
      </c>
      <c r="C732" s="5" t="s">
        <v>13</v>
      </c>
      <c r="D732" s="12" t="s">
        <v>1214</v>
      </c>
      <c r="E732" s="6" t="s">
        <v>1205</v>
      </c>
      <c r="F732" s="13" t="s">
        <v>1206</v>
      </c>
      <c r="G732" s="6" t="s">
        <v>694</v>
      </c>
      <c r="H732" s="7" t="str">
        <f t="shared" si="11"/>
        <v>SEC-PHV-D593-08Unknown</v>
      </c>
      <c r="I732" s="8" t="s">
        <v>18</v>
      </c>
      <c r="J732" s="8" t="s">
        <v>454</v>
      </c>
      <c r="K732" s="8" t="s">
        <v>454</v>
      </c>
      <c r="L732" s="9"/>
      <c r="M732" s="9"/>
      <c r="N732" s="9"/>
      <c r="O732" s="9"/>
      <c r="P732" s="9"/>
      <c r="Q732" s="9"/>
      <c r="R732" s="9"/>
      <c r="S732" s="9"/>
      <c r="T732" s="9"/>
      <c r="U732" s="9"/>
      <c r="V732" s="9"/>
      <c r="W732" s="9"/>
      <c r="X732" s="9">
        <v>295.42</v>
      </c>
      <c r="Y732" s="9">
        <v>581.84</v>
      </c>
      <c r="Z732" s="9"/>
      <c r="AA732" s="9"/>
      <c r="AB732" s="9"/>
      <c r="AC732" s="9"/>
      <c r="AD732" s="9"/>
      <c r="AE732" s="9"/>
      <c r="AF732" s="9"/>
      <c r="AG732" s="9"/>
      <c r="AH732" s="7">
        <v>295.42</v>
      </c>
      <c r="AI732" s="7">
        <v>581.84</v>
      </c>
    </row>
    <row r="733" spans="2:35" x14ac:dyDescent="0.3">
      <c r="B733" s="5" t="s">
        <v>3061</v>
      </c>
      <c r="C733" s="5" t="s">
        <v>13</v>
      </c>
      <c r="D733" s="12" t="s">
        <v>1213</v>
      </c>
      <c r="E733" s="6" t="s">
        <v>1174</v>
      </c>
      <c r="F733" s="13" t="s">
        <v>1175</v>
      </c>
      <c r="G733" s="6" t="s">
        <v>192</v>
      </c>
      <c r="H733" s="7" t="str">
        <f t="shared" si="11"/>
        <v>EPC-IPU-A942-03Operation &amp; Maintenance</v>
      </c>
      <c r="I733" s="8" t="s">
        <v>18</v>
      </c>
      <c r="J733" s="8" t="s">
        <v>76</v>
      </c>
      <c r="K733" s="8" t="s">
        <v>76</v>
      </c>
      <c r="L733" s="9"/>
      <c r="M733" s="9"/>
      <c r="N733" s="9"/>
      <c r="O733" s="9"/>
      <c r="P733" s="9"/>
      <c r="Q733" s="9"/>
      <c r="R733" s="9"/>
      <c r="S733" s="9"/>
      <c r="T733" s="9"/>
      <c r="U733" s="9"/>
      <c r="V733" s="9"/>
      <c r="W733" s="9"/>
      <c r="X733" s="9">
        <v>0</v>
      </c>
      <c r="Y733" s="9">
        <v>1523.47</v>
      </c>
      <c r="Z733" s="9"/>
      <c r="AA733" s="9"/>
      <c r="AB733" s="9"/>
      <c r="AC733" s="9"/>
      <c r="AD733" s="9"/>
      <c r="AE733" s="9"/>
      <c r="AF733" s="9"/>
      <c r="AG733" s="9"/>
      <c r="AH733" s="7">
        <v>0</v>
      </c>
      <c r="AI733" s="7">
        <v>1523.47</v>
      </c>
    </row>
    <row r="734" spans="2:35" x14ac:dyDescent="0.3">
      <c r="B734" s="5" t="s">
        <v>3061</v>
      </c>
      <c r="C734" s="5" t="s">
        <v>865</v>
      </c>
      <c r="D734" s="12" t="s">
        <v>1213</v>
      </c>
      <c r="E734" s="6" t="s">
        <v>907</v>
      </c>
      <c r="F734" s="13" t="s">
        <v>908</v>
      </c>
      <c r="G734" s="6" t="s">
        <v>909</v>
      </c>
      <c r="H734" s="7" t="str">
        <f t="shared" si="11"/>
        <v>PPP-IPU-F130-01Operation &amp; Maintenance</v>
      </c>
      <c r="I734" s="8" t="s">
        <v>56</v>
      </c>
      <c r="J734" s="8" t="s">
        <v>19</v>
      </c>
      <c r="K734" s="8" t="s">
        <v>20</v>
      </c>
      <c r="L734" s="9"/>
      <c r="M734" s="9"/>
      <c r="N734" s="9"/>
      <c r="O734" s="9"/>
      <c r="P734" s="9"/>
      <c r="Q734" s="9"/>
      <c r="R734" s="9"/>
      <c r="S734" s="9"/>
      <c r="T734" s="9"/>
      <c r="U734" s="9"/>
      <c r="V734" s="9"/>
      <c r="W734" s="9"/>
      <c r="X734" s="9">
        <v>0</v>
      </c>
      <c r="Y734" s="9">
        <v>1866</v>
      </c>
      <c r="Z734" s="9"/>
      <c r="AA734" s="9"/>
      <c r="AB734" s="9"/>
      <c r="AC734" s="9"/>
      <c r="AD734" s="9"/>
      <c r="AE734" s="9"/>
      <c r="AF734" s="9"/>
      <c r="AG734" s="9"/>
      <c r="AH734" s="7">
        <v>0</v>
      </c>
      <c r="AI734" s="7">
        <v>1866</v>
      </c>
    </row>
    <row r="735" spans="2:35" x14ac:dyDescent="0.3">
      <c r="B735" s="5" t="s">
        <v>3061</v>
      </c>
      <c r="C735" s="5" t="s">
        <v>13</v>
      </c>
      <c r="D735" s="12" t="s">
        <v>1215</v>
      </c>
      <c r="E735" s="6" t="s">
        <v>1161</v>
      </c>
      <c r="F735" s="13" t="s">
        <v>1162</v>
      </c>
      <c r="G735" s="6" t="s">
        <v>1163</v>
      </c>
      <c r="H735" s="7" t="str">
        <f t="shared" si="11"/>
        <v>EPC-IPU-G023-04Spot</v>
      </c>
      <c r="I735" s="8" t="s">
        <v>18</v>
      </c>
      <c r="J735" s="8" t="s">
        <v>76</v>
      </c>
      <c r="K735" s="8" t="s">
        <v>76</v>
      </c>
      <c r="L735" s="9"/>
      <c r="M735" s="9"/>
      <c r="N735" s="9"/>
      <c r="O735" s="9"/>
      <c r="P735" s="9"/>
      <c r="Q735" s="9"/>
      <c r="R735" s="9"/>
      <c r="S735" s="9"/>
      <c r="T735" s="9"/>
      <c r="U735" s="9"/>
      <c r="V735" s="9"/>
      <c r="W735" s="9"/>
      <c r="X735" s="9">
        <v>766.4</v>
      </c>
      <c r="Y735" s="9">
        <v>0</v>
      </c>
      <c r="Z735" s="9"/>
      <c r="AA735" s="9"/>
      <c r="AB735" s="9"/>
      <c r="AC735" s="9"/>
      <c r="AD735" s="9"/>
      <c r="AE735" s="9"/>
      <c r="AF735" s="9"/>
      <c r="AG735" s="9"/>
      <c r="AH735" s="7">
        <v>766.4</v>
      </c>
      <c r="AI735" s="7">
        <v>0</v>
      </c>
    </row>
    <row r="736" spans="2:35" x14ac:dyDescent="0.3">
      <c r="B736" s="5" t="s">
        <v>3061</v>
      </c>
      <c r="C736" s="5" t="s">
        <v>13</v>
      </c>
      <c r="D736" s="12" t="s">
        <v>1213</v>
      </c>
      <c r="E736" s="6" t="s">
        <v>469</v>
      </c>
      <c r="F736" s="13" t="s">
        <v>470</v>
      </c>
      <c r="G736" s="6" t="s">
        <v>471</v>
      </c>
      <c r="H736" s="7" t="str">
        <f t="shared" si="11"/>
        <v>CL3-IPU-A371-01Operation &amp; Maintenance</v>
      </c>
      <c r="I736" s="8" t="s">
        <v>49</v>
      </c>
      <c r="J736" s="8" t="s">
        <v>19</v>
      </c>
      <c r="K736" s="8" t="s">
        <v>98</v>
      </c>
      <c r="L736" s="9"/>
      <c r="M736" s="9"/>
      <c r="N736" s="9"/>
      <c r="O736" s="9"/>
      <c r="P736" s="9"/>
      <c r="Q736" s="9"/>
      <c r="R736" s="9"/>
      <c r="S736" s="9"/>
      <c r="T736" s="9"/>
      <c r="U736" s="9"/>
      <c r="V736" s="9"/>
      <c r="W736" s="9"/>
      <c r="X736" s="9">
        <v>0</v>
      </c>
      <c r="Y736" s="9">
        <v>2394.42</v>
      </c>
      <c r="Z736" s="9"/>
      <c r="AA736" s="9"/>
      <c r="AB736" s="9"/>
      <c r="AC736" s="9"/>
      <c r="AD736" s="9"/>
      <c r="AE736" s="9"/>
      <c r="AF736" s="9"/>
      <c r="AG736" s="9"/>
      <c r="AH736" s="7">
        <v>0</v>
      </c>
      <c r="AI736" s="7">
        <v>2394.42</v>
      </c>
    </row>
    <row r="737" spans="2:35" x14ac:dyDescent="0.3">
      <c r="B737" s="5" t="s">
        <v>3061</v>
      </c>
      <c r="C737" s="5" t="s">
        <v>13</v>
      </c>
      <c r="D737" s="12" t="s">
        <v>1213</v>
      </c>
      <c r="E737" s="6" t="s">
        <v>209</v>
      </c>
      <c r="F737" s="13" t="s">
        <v>210</v>
      </c>
      <c r="G737" s="6" t="s">
        <v>211</v>
      </c>
      <c r="H737" s="7" t="str">
        <f t="shared" si="11"/>
        <v>PPP-IPU-I305-01Operation &amp; Maintenance</v>
      </c>
      <c r="I737" s="8" t="s">
        <v>18</v>
      </c>
      <c r="J737" s="8" t="s">
        <v>19</v>
      </c>
      <c r="K737" s="8" t="s">
        <v>20</v>
      </c>
      <c r="L737" s="9"/>
      <c r="M737" s="9"/>
      <c r="N737" s="9"/>
      <c r="O737" s="9"/>
      <c r="P737" s="9"/>
      <c r="Q737" s="9"/>
      <c r="R737" s="9"/>
      <c r="S737" s="9"/>
      <c r="T737" s="9"/>
      <c r="U737" s="9"/>
      <c r="V737" s="9"/>
      <c r="W737" s="9"/>
      <c r="X737" s="9">
        <v>13991.67</v>
      </c>
      <c r="Y737" s="9">
        <v>8761.83</v>
      </c>
      <c r="Z737" s="9"/>
      <c r="AA737" s="9"/>
      <c r="AB737" s="9"/>
      <c r="AC737" s="9"/>
      <c r="AD737" s="9"/>
      <c r="AE737" s="9"/>
      <c r="AF737" s="9"/>
      <c r="AG737" s="9"/>
      <c r="AH737" s="7">
        <v>13991.67</v>
      </c>
      <c r="AI737" s="7">
        <v>8761.83</v>
      </c>
    </row>
    <row r="738" spans="2:35" x14ac:dyDescent="0.3">
      <c r="B738" s="5" t="s">
        <v>3061</v>
      </c>
      <c r="C738" s="5" t="s">
        <v>13</v>
      </c>
      <c r="D738" s="12" t="s">
        <v>1213</v>
      </c>
      <c r="E738" s="6" t="s">
        <v>737</v>
      </c>
      <c r="F738" s="13" t="s">
        <v>738</v>
      </c>
      <c r="G738" s="6" t="s">
        <v>354</v>
      </c>
      <c r="H738" s="7" t="str">
        <f t="shared" si="11"/>
        <v>PPP-IPU-I608-01Operation &amp; Maintenance</v>
      </c>
      <c r="I738" s="8" t="s">
        <v>24</v>
      </c>
      <c r="J738" s="8" t="s">
        <v>19</v>
      </c>
      <c r="K738" s="8" t="s">
        <v>20</v>
      </c>
      <c r="L738" s="9"/>
      <c r="M738" s="9"/>
      <c r="N738" s="9"/>
      <c r="O738" s="9"/>
      <c r="P738" s="9"/>
      <c r="Q738" s="9"/>
      <c r="R738" s="9"/>
      <c r="S738" s="9"/>
      <c r="T738" s="9"/>
      <c r="U738" s="9"/>
      <c r="V738" s="9"/>
      <c r="W738" s="9"/>
      <c r="X738" s="9">
        <v>0</v>
      </c>
      <c r="Y738" s="9">
        <v>21491.4</v>
      </c>
      <c r="Z738" s="9"/>
      <c r="AA738" s="9"/>
      <c r="AB738" s="9"/>
      <c r="AC738" s="9"/>
      <c r="AD738" s="9"/>
      <c r="AE738" s="9"/>
      <c r="AF738" s="9"/>
      <c r="AG738" s="9"/>
      <c r="AH738" s="7">
        <v>0</v>
      </c>
      <c r="AI738" s="7">
        <v>21491.4</v>
      </c>
    </row>
    <row r="739" spans="2:35" x14ac:dyDescent="0.3">
      <c r="B739" s="5" t="s">
        <v>3061</v>
      </c>
      <c r="C739" s="5" t="s">
        <v>13</v>
      </c>
      <c r="D739" s="12" t="s">
        <v>1213</v>
      </c>
      <c r="E739" s="6" t="s">
        <v>802</v>
      </c>
      <c r="F739" s="13" t="s">
        <v>803</v>
      </c>
      <c r="G739" s="6" t="s">
        <v>804</v>
      </c>
      <c r="H739" s="7" t="str">
        <f t="shared" si="11"/>
        <v>EPC-PHV-L736-03Operation &amp; Maintenance</v>
      </c>
      <c r="I739" s="8" t="s">
        <v>56</v>
      </c>
      <c r="J739" s="8" t="s">
        <v>259</v>
      </c>
      <c r="K739" s="8" t="s">
        <v>259</v>
      </c>
      <c r="L739" s="9"/>
      <c r="M739" s="9"/>
      <c r="N739" s="9"/>
      <c r="O739" s="9"/>
      <c r="P739" s="9"/>
      <c r="Q739" s="9"/>
      <c r="R739" s="9"/>
      <c r="S739" s="9"/>
      <c r="T739" s="9"/>
      <c r="U739" s="9"/>
      <c r="V739" s="9"/>
      <c r="W739" s="9"/>
      <c r="X739" s="9">
        <v>0</v>
      </c>
      <c r="Y739" s="9">
        <v>3200</v>
      </c>
      <c r="Z739" s="9"/>
      <c r="AA739" s="9"/>
      <c r="AB739" s="9"/>
      <c r="AC739" s="9"/>
      <c r="AD739" s="9"/>
      <c r="AE739" s="9"/>
      <c r="AF739" s="9"/>
      <c r="AG739" s="9"/>
      <c r="AH739" s="7">
        <v>0</v>
      </c>
      <c r="AI739" s="7">
        <v>3200</v>
      </c>
    </row>
    <row r="740" spans="2:35" x14ac:dyDescent="0.3">
      <c r="B740" s="5" t="s">
        <v>3061</v>
      </c>
      <c r="C740" s="5" t="s">
        <v>13</v>
      </c>
      <c r="D740" s="12" t="s">
        <v>1215</v>
      </c>
      <c r="E740" s="6" t="s">
        <v>802</v>
      </c>
      <c r="F740" s="13" t="s">
        <v>803</v>
      </c>
      <c r="G740" s="6" t="s">
        <v>804</v>
      </c>
      <c r="H740" s="7" t="str">
        <f t="shared" si="11"/>
        <v>EPC-PHV-L736-03Spot</v>
      </c>
      <c r="I740" s="8" t="s">
        <v>56</v>
      </c>
      <c r="J740" s="8" t="s">
        <v>259</v>
      </c>
      <c r="K740" s="8" t="s">
        <v>259</v>
      </c>
      <c r="L740" s="9"/>
      <c r="M740" s="9"/>
      <c r="N740" s="9"/>
      <c r="O740" s="9"/>
      <c r="P740" s="9"/>
      <c r="Q740" s="9"/>
      <c r="R740" s="9"/>
      <c r="S740" s="9"/>
      <c r="T740" s="9"/>
      <c r="U740" s="9"/>
      <c r="V740" s="9"/>
      <c r="W740" s="9"/>
      <c r="X740" s="9">
        <v>0</v>
      </c>
      <c r="Y740" s="9">
        <v>8178.76</v>
      </c>
      <c r="Z740" s="9"/>
      <c r="AA740" s="9"/>
      <c r="AB740" s="9"/>
      <c r="AC740" s="9"/>
      <c r="AD740" s="9"/>
      <c r="AE740" s="9"/>
      <c r="AF740" s="9"/>
      <c r="AG740" s="9"/>
      <c r="AH740" s="7">
        <v>0</v>
      </c>
      <c r="AI740" s="7">
        <v>8178.76</v>
      </c>
    </row>
    <row r="741" spans="2:35" x14ac:dyDescent="0.3">
      <c r="B741" s="5" t="s">
        <v>3061</v>
      </c>
      <c r="C741" s="5" t="s">
        <v>13</v>
      </c>
      <c r="D741" s="12" t="s">
        <v>1213</v>
      </c>
      <c r="E741" s="6" t="s">
        <v>361</v>
      </c>
      <c r="F741" s="13" t="s">
        <v>362</v>
      </c>
      <c r="G741" s="6" t="s">
        <v>363</v>
      </c>
      <c r="H741" s="7" t="str">
        <f t="shared" si="11"/>
        <v>PPP-IPU-C231-01Operation &amp; Maintenance</v>
      </c>
      <c r="I741" s="8" t="s">
        <v>18</v>
      </c>
      <c r="J741" s="8" t="s">
        <v>19</v>
      </c>
      <c r="K741" s="8" t="s">
        <v>20</v>
      </c>
      <c r="L741" s="9"/>
      <c r="M741" s="9"/>
      <c r="N741" s="9"/>
      <c r="O741" s="9"/>
      <c r="P741" s="9"/>
      <c r="Q741" s="9"/>
      <c r="R741" s="9"/>
      <c r="S741" s="9"/>
      <c r="T741" s="9"/>
      <c r="U741" s="9"/>
      <c r="V741" s="9"/>
      <c r="W741" s="9"/>
      <c r="X741" s="9">
        <v>9351.8799999999992</v>
      </c>
      <c r="Y741" s="9">
        <v>3396.43</v>
      </c>
      <c r="Z741" s="9"/>
      <c r="AA741" s="9"/>
      <c r="AB741" s="9"/>
      <c r="AC741" s="9"/>
      <c r="AD741" s="9"/>
      <c r="AE741" s="9"/>
      <c r="AF741" s="9"/>
      <c r="AG741" s="9"/>
      <c r="AH741" s="7">
        <v>9351.8799999999992</v>
      </c>
      <c r="AI741" s="7">
        <v>3396.43</v>
      </c>
    </row>
    <row r="742" spans="2:35" x14ac:dyDescent="0.3">
      <c r="B742" s="5" t="s">
        <v>3061</v>
      </c>
      <c r="C742" s="5" t="s">
        <v>13</v>
      </c>
      <c r="D742" s="12" t="s">
        <v>1213</v>
      </c>
      <c r="E742" s="6" t="s">
        <v>1001</v>
      </c>
      <c r="F742" s="13" t="s">
        <v>1002</v>
      </c>
      <c r="G742" s="6" t="s">
        <v>579</v>
      </c>
      <c r="H742" s="7" t="str">
        <f t="shared" si="11"/>
        <v>PPP-EEE-L736-02Operation &amp; Maintenance</v>
      </c>
      <c r="I742" s="8" t="s">
        <v>56</v>
      </c>
      <c r="J742" s="8" t="s">
        <v>202</v>
      </c>
      <c r="K742" s="8" t="s">
        <v>202</v>
      </c>
      <c r="L742" s="9"/>
      <c r="M742" s="9"/>
      <c r="N742" s="9"/>
      <c r="O742" s="9"/>
      <c r="P742" s="9"/>
      <c r="Q742" s="9"/>
      <c r="R742" s="9"/>
      <c r="S742" s="9"/>
      <c r="T742" s="9"/>
      <c r="U742" s="9"/>
      <c r="V742" s="9"/>
      <c r="W742" s="9"/>
      <c r="X742" s="9">
        <v>0</v>
      </c>
      <c r="Y742" s="9">
        <v>0</v>
      </c>
      <c r="Z742" s="9"/>
      <c r="AA742" s="9"/>
      <c r="AB742" s="9"/>
      <c r="AC742" s="9"/>
      <c r="AD742" s="9"/>
      <c r="AE742" s="9"/>
      <c r="AF742" s="9"/>
      <c r="AG742" s="9"/>
      <c r="AH742" s="7">
        <v>0</v>
      </c>
      <c r="AI742" s="7">
        <v>0</v>
      </c>
    </row>
    <row r="743" spans="2:35" x14ac:dyDescent="0.3">
      <c r="B743" s="5" t="s">
        <v>3061</v>
      </c>
      <c r="C743" s="5" t="s">
        <v>13</v>
      </c>
      <c r="D743" s="12" t="s">
        <v>1213</v>
      </c>
      <c r="E743" s="6" t="s">
        <v>187</v>
      </c>
      <c r="F743" s="13" t="s">
        <v>188</v>
      </c>
      <c r="G743" s="6" t="s">
        <v>189</v>
      </c>
      <c r="H743" s="7" t="str">
        <f t="shared" si="11"/>
        <v>PPP-IPU-L356-01Operation &amp; Maintenance</v>
      </c>
      <c r="I743" s="8" t="s">
        <v>49</v>
      </c>
      <c r="J743" s="8" t="s">
        <v>19</v>
      </c>
      <c r="K743" s="8" t="s">
        <v>20</v>
      </c>
      <c r="L743" s="9"/>
      <c r="M743" s="9"/>
      <c r="N743" s="9"/>
      <c r="O743" s="9"/>
      <c r="P743" s="9"/>
      <c r="Q743" s="9"/>
      <c r="R743" s="9"/>
      <c r="S743" s="9"/>
      <c r="T743" s="9"/>
      <c r="U743" s="9"/>
      <c r="V743" s="9"/>
      <c r="W743" s="9"/>
      <c r="X743" s="9">
        <v>284916.78000000003</v>
      </c>
      <c r="Y743" s="9">
        <v>3269.74</v>
      </c>
      <c r="Z743" s="9"/>
      <c r="AA743" s="9"/>
      <c r="AB743" s="9"/>
      <c r="AC743" s="9"/>
      <c r="AD743" s="9"/>
      <c r="AE743" s="9"/>
      <c r="AF743" s="9"/>
      <c r="AG743" s="9"/>
      <c r="AH743" s="7">
        <v>284916.78000000003</v>
      </c>
      <c r="AI743" s="7">
        <v>3269.74</v>
      </c>
    </row>
    <row r="744" spans="2:35" x14ac:dyDescent="0.3">
      <c r="B744" s="5" t="s">
        <v>3061</v>
      </c>
      <c r="C744" s="5" t="s">
        <v>13</v>
      </c>
      <c r="D744" s="12" t="s">
        <v>1213</v>
      </c>
      <c r="E744" s="6" t="s">
        <v>284</v>
      </c>
      <c r="F744" s="13" t="s">
        <v>285</v>
      </c>
      <c r="G744" s="6" t="s">
        <v>286</v>
      </c>
      <c r="H744" s="7" t="str">
        <f t="shared" si="11"/>
        <v>CL3-IPU-I696-01Operation &amp; Maintenance</v>
      </c>
      <c r="I744" s="8" t="s">
        <v>49</v>
      </c>
      <c r="J744" s="8" t="s">
        <v>19</v>
      </c>
      <c r="K744" s="8" t="s">
        <v>98</v>
      </c>
      <c r="L744" s="9"/>
      <c r="M744" s="9"/>
      <c r="N744" s="9"/>
      <c r="O744" s="9"/>
      <c r="P744" s="9"/>
      <c r="Q744" s="9"/>
      <c r="R744" s="9"/>
      <c r="S744" s="9"/>
      <c r="T744" s="9"/>
      <c r="U744" s="9"/>
      <c r="V744" s="9"/>
      <c r="W744" s="9"/>
      <c r="X744" s="9">
        <v>0</v>
      </c>
      <c r="Y744" s="9">
        <v>5126.8100000000004</v>
      </c>
      <c r="Z744" s="9"/>
      <c r="AA744" s="9"/>
      <c r="AB744" s="9"/>
      <c r="AC744" s="9"/>
      <c r="AD744" s="9"/>
      <c r="AE744" s="9"/>
      <c r="AF744" s="9"/>
      <c r="AG744" s="9"/>
      <c r="AH744" s="7">
        <v>0</v>
      </c>
      <c r="AI744" s="7">
        <v>5126.8100000000004</v>
      </c>
    </row>
    <row r="745" spans="2:35" x14ac:dyDescent="0.3">
      <c r="B745" s="5" t="s">
        <v>3061</v>
      </c>
      <c r="C745" s="5" t="s">
        <v>13</v>
      </c>
      <c r="D745" s="12" t="s">
        <v>1214</v>
      </c>
      <c r="E745" s="6" t="s">
        <v>703</v>
      </c>
      <c r="F745" s="13" t="s">
        <v>704</v>
      </c>
      <c r="G745" s="6" t="s">
        <v>295</v>
      </c>
      <c r="H745" s="7" t="str">
        <f t="shared" si="11"/>
        <v>SEC-CIM-E033-01Unknown</v>
      </c>
      <c r="I745" s="8" t="s">
        <v>18</v>
      </c>
      <c r="J745" s="8" t="s">
        <v>695</v>
      </c>
      <c r="K745" s="8" t="s">
        <v>695</v>
      </c>
      <c r="L745" s="9"/>
      <c r="M745" s="9"/>
      <c r="N745" s="9"/>
      <c r="O745" s="9"/>
      <c r="P745" s="9"/>
      <c r="Q745" s="9"/>
      <c r="R745" s="9"/>
      <c r="S745" s="9"/>
      <c r="T745" s="9"/>
      <c r="U745" s="9"/>
      <c r="V745" s="9"/>
      <c r="W745" s="9"/>
      <c r="X745" s="9">
        <v>0</v>
      </c>
      <c r="Y745" s="9">
        <v>126.51</v>
      </c>
      <c r="Z745" s="9"/>
      <c r="AA745" s="9"/>
      <c r="AB745" s="9"/>
      <c r="AC745" s="9"/>
      <c r="AD745" s="9"/>
      <c r="AE745" s="9"/>
      <c r="AF745" s="9"/>
      <c r="AG745" s="9"/>
      <c r="AH745" s="7">
        <v>0</v>
      </c>
      <c r="AI745" s="7">
        <v>126.51</v>
      </c>
    </row>
    <row r="746" spans="2:35" x14ac:dyDescent="0.3">
      <c r="B746" s="5" t="s">
        <v>3061</v>
      </c>
      <c r="C746" s="5" t="s">
        <v>13</v>
      </c>
      <c r="D746" s="12" t="s">
        <v>1215</v>
      </c>
      <c r="E746" s="6" t="s">
        <v>820</v>
      </c>
      <c r="F746" s="13" t="s">
        <v>844</v>
      </c>
      <c r="G746" s="6" t="s">
        <v>822</v>
      </c>
      <c r="H746" s="7" t="str">
        <f t="shared" si="11"/>
        <v>EPC-IPU-F704-04Spot</v>
      </c>
      <c r="I746" s="8" t="s">
        <v>49</v>
      </c>
      <c r="J746" s="8" t="s">
        <v>259</v>
      </c>
      <c r="K746" s="8" t="s">
        <v>259</v>
      </c>
      <c r="L746" s="9"/>
      <c r="M746" s="9"/>
      <c r="N746" s="9"/>
      <c r="O746" s="9"/>
      <c r="P746" s="9"/>
      <c r="Q746" s="9"/>
      <c r="R746" s="9"/>
      <c r="S746" s="9"/>
      <c r="T746" s="9"/>
      <c r="U746" s="9"/>
      <c r="V746" s="9"/>
      <c r="W746" s="9"/>
      <c r="X746" s="9">
        <v>0</v>
      </c>
      <c r="Y746" s="9">
        <v>446.08</v>
      </c>
      <c r="Z746" s="9"/>
      <c r="AA746" s="9"/>
      <c r="AB746" s="9"/>
      <c r="AC746" s="9"/>
      <c r="AD746" s="9"/>
      <c r="AE746" s="9"/>
      <c r="AF746" s="9"/>
      <c r="AG746" s="9"/>
      <c r="AH746" s="7">
        <v>0</v>
      </c>
      <c r="AI746" s="7">
        <v>446.08</v>
      </c>
    </row>
    <row r="747" spans="2:35" x14ac:dyDescent="0.3">
      <c r="B747" s="5" t="s">
        <v>3061</v>
      </c>
      <c r="C747" s="5" t="s">
        <v>13</v>
      </c>
      <c r="D747" s="12" t="s">
        <v>1213</v>
      </c>
      <c r="E747" s="6" t="s">
        <v>820</v>
      </c>
      <c r="F747" s="13" t="s">
        <v>844</v>
      </c>
      <c r="G747" s="6" t="s">
        <v>822</v>
      </c>
      <c r="H747" s="7" t="str">
        <f t="shared" si="11"/>
        <v>EPC-IPU-F704-04Operation &amp; Maintenance</v>
      </c>
      <c r="I747" s="8" t="s">
        <v>49</v>
      </c>
      <c r="J747" s="8" t="s">
        <v>259</v>
      </c>
      <c r="K747" s="8" t="s">
        <v>259</v>
      </c>
      <c r="L747" s="9"/>
      <c r="M747" s="9"/>
      <c r="N747" s="9"/>
      <c r="O747" s="9"/>
      <c r="P747" s="9"/>
      <c r="Q747" s="9"/>
      <c r="R747" s="9"/>
      <c r="S747" s="9"/>
      <c r="T747" s="9"/>
      <c r="U747" s="9"/>
      <c r="V747" s="9"/>
      <c r="W747" s="9"/>
      <c r="X747" s="9">
        <v>0</v>
      </c>
      <c r="Y747" s="9">
        <v>722.4</v>
      </c>
      <c r="Z747" s="9"/>
      <c r="AA747" s="9"/>
      <c r="AB747" s="9"/>
      <c r="AC747" s="9"/>
      <c r="AD747" s="9"/>
      <c r="AE747" s="9"/>
      <c r="AF747" s="9"/>
      <c r="AG747" s="9"/>
      <c r="AH747" s="7">
        <v>0</v>
      </c>
      <c r="AI747" s="7">
        <v>722.4</v>
      </c>
    </row>
    <row r="748" spans="2:35" x14ac:dyDescent="0.3">
      <c r="B748" s="5" t="s">
        <v>3061</v>
      </c>
      <c r="C748" s="5" t="s">
        <v>13</v>
      </c>
      <c r="D748" s="12" t="s">
        <v>1215</v>
      </c>
      <c r="E748" s="6" t="s">
        <v>896</v>
      </c>
      <c r="F748" s="13" t="s">
        <v>1003</v>
      </c>
      <c r="G748" s="6" t="s">
        <v>137</v>
      </c>
      <c r="H748" s="7" t="str">
        <f t="shared" si="11"/>
        <v>EPC-IPU-M428-01Spot</v>
      </c>
      <c r="I748" s="8" t="s">
        <v>18</v>
      </c>
      <c r="J748" s="8" t="s">
        <v>76</v>
      </c>
      <c r="K748" s="8" t="s">
        <v>76</v>
      </c>
      <c r="L748" s="9"/>
      <c r="M748" s="9"/>
      <c r="N748" s="9"/>
      <c r="O748" s="9"/>
      <c r="P748" s="9"/>
      <c r="Q748" s="9"/>
      <c r="R748" s="9"/>
      <c r="S748" s="9"/>
      <c r="T748" s="9"/>
      <c r="U748" s="9"/>
      <c r="V748" s="9"/>
      <c r="W748" s="9"/>
      <c r="X748" s="9">
        <v>0</v>
      </c>
      <c r="Y748" s="9">
        <v>37926.81</v>
      </c>
      <c r="Z748" s="9"/>
      <c r="AA748" s="9"/>
      <c r="AB748" s="9"/>
      <c r="AC748" s="9"/>
      <c r="AD748" s="9"/>
      <c r="AE748" s="9"/>
      <c r="AF748" s="9"/>
      <c r="AG748" s="9"/>
      <c r="AH748" s="7">
        <v>0</v>
      </c>
      <c r="AI748" s="7">
        <v>37926.81</v>
      </c>
    </row>
    <row r="749" spans="2:35" x14ac:dyDescent="0.3">
      <c r="B749" s="5" t="s">
        <v>3061</v>
      </c>
      <c r="C749" s="5" t="s">
        <v>13</v>
      </c>
      <c r="D749" s="12" t="s">
        <v>1213</v>
      </c>
      <c r="E749" s="6" t="s">
        <v>896</v>
      </c>
      <c r="F749" s="13" t="s">
        <v>1003</v>
      </c>
      <c r="G749" s="6" t="s">
        <v>137</v>
      </c>
      <c r="H749" s="7" t="str">
        <f t="shared" si="11"/>
        <v>EPC-IPU-M428-01Operation &amp; Maintenance</v>
      </c>
      <c r="I749" s="8" t="s">
        <v>18</v>
      </c>
      <c r="J749" s="8" t="s">
        <v>76</v>
      </c>
      <c r="K749" s="8" t="s">
        <v>76</v>
      </c>
      <c r="L749" s="9"/>
      <c r="M749" s="9"/>
      <c r="N749" s="9"/>
      <c r="O749" s="9"/>
      <c r="P749" s="9"/>
      <c r="Q749" s="9"/>
      <c r="R749" s="9"/>
      <c r="S749" s="9"/>
      <c r="T749" s="9"/>
      <c r="U749" s="9"/>
      <c r="V749" s="9"/>
      <c r="W749" s="9"/>
      <c r="X749" s="9">
        <v>0</v>
      </c>
      <c r="Y749" s="9">
        <v>847.68</v>
      </c>
      <c r="Z749" s="9"/>
      <c r="AA749" s="9"/>
      <c r="AB749" s="9"/>
      <c r="AC749" s="9"/>
      <c r="AD749" s="9"/>
      <c r="AE749" s="9"/>
      <c r="AF749" s="9"/>
      <c r="AG749" s="9"/>
      <c r="AH749" s="7">
        <v>0</v>
      </c>
      <c r="AI749" s="7">
        <v>847.68</v>
      </c>
    </row>
    <row r="750" spans="2:35" x14ac:dyDescent="0.3">
      <c r="B750" s="5" t="s">
        <v>3061</v>
      </c>
      <c r="C750" s="5" t="s">
        <v>13</v>
      </c>
      <c r="D750" s="12" t="s">
        <v>1213</v>
      </c>
      <c r="E750" s="6" t="s">
        <v>442</v>
      </c>
      <c r="F750" s="13" t="s">
        <v>443</v>
      </c>
      <c r="G750" s="6" t="s">
        <v>444</v>
      </c>
      <c r="H750" s="7" t="str">
        <f t="shared" si="11"/>
        <v>CL3-IPU-F736-01Operation &amp; Maintenance</v>
      </c>
      <c r="I750" s="8" t="s">
        <v>49</v>
      </c>
      <c r="J750" s="8" t="s">
        <v>19</v>
      </c>
      <c r="K750" s="8" t="s">
        <v>98</v>
      </c>
      <c r="L750" s="9"/>
      <c r="M750" s="9"/>
      <c r="N750" s="9"/>
      <c r="O750" s="9"/>
      <c r="P750" s="9"/>
      <c r="Q750" s="9"/>
      <c r="R750" s="9"/>
      <c r="S750" s="9"/>
      <c r="T750" s="9"/>
      <c r="U750" s="9"/>
      <c r="V750" s="9"/>
      <c r="W750" s="9"/>
      <c r="X750" s="9">
        <v>0</v>
      </c>
      <c r="Y750" s="9">
        <v>386.46</v>
      </c>
      <c r="Z750" s="9"/>
      <c r="AA750" s="9"/>
      <c r="AB750" s="9"/>
      <c r="AC750" s="9"/>
      <c r="AD750" s="9"/>
      <c r="AE750" s="9"/>
      <c r="AF750" s="9"/>
      <c r="AG750" s="9"/>
      <c r="AH750" s="7">
        <v>0</v>
      </c>
      <c r="AI750" s="7">
        <v>386.46</v>
      </c>
    </row>
    <row r="751" spans="2:35" x14ac:dyDescent="0.3">
      <c r="B751" s="5" t="s">
        <v>3061</v>
      </c>
      <c r="C751" s="5" t="s">
        <v>13</v>
      </c>
      <c r="D751" s="12" t="s">
        <v>1213</v>
      </c>
      <c r="E751" s="6" t="s">
        <v>1142</v>
      </c>
      <c r="F751" s="13" t="s">
        <v>1143</v>
      </c>
      <c r="G751" s="6" t="s">
        <v>1144</v>
      </c>
      <c r="H751" s="7" t="str">
        <f t="shared" si="11"/>
        <v>PPP-IPU-D763-01Operation &amp; Maintenance</v>
      </c>
      <c r="I751" s="8" t="s">
        <v>24</v>
      </c>
      <c r="J751" s="8" t="s">
        <v>19</v>
      </c>
      <c r="K751" s="8" t="s">
        <v>20</v>
      </c>
      <c r="L751" s="9"/>
      <c r="M751" s="9"/>
      <c r="N751" s="9"/>
      <c r="O751" s="9"/>
      <c r="P751" s="9"/>
      <c r="Q751" s="9"/>
      <c r="R751" s="9"/>
      <c r="S751" s="9"/>
      <c r="T751" s="9"/>
      <c r="U751" s="9"/>
      <c r="V751" s="9"/>
      <c r="W751" s="9"/>
      <c r="X751" s="9">
        <v>76843.7</v>
      </c>
      <c r="Y751" s="9">
        <v>9198</v>
      </c>
      <c r="Z751" s="9"/>
      <c r="AA751" s="9"/>
      <c r="AB751" s="9"/>
      <c r="AC751" s="9"/>
      <c r="AD751" s="9"/>
      <c r="AE751" s="9"/>
      <c r="AF751" s="9"/>
      <c r="AG751" s="9"/>
      <c r="AH751" s="7">
        <v>76843.7</v>
      </c>
      <c r="AI751" s="7">
        <v>9198</v>
      </c>
    </row>
    <row r="752" spans="2:35" x14ac:dyDescent="0.3">
      <c r="B752" s="5" t="s">
        <v>3061</v>
      </c>
      <c r="C752" s="5" t="s">
        <v>13</v>
      </c>
      <c r="D752" s="12" t="s">
        <v>1214</v>
      </c>
      <c r="E752" s="6" t="s">
        <v>742</v>
      </c>
      <c r="F752" s="13" t="s">
        <v>742</v>
      </c>
      <c r="G752" s="6" t="s">
        <v>688</v>
      </c>
      <c r="H752" s="7" t="str">
        <f t="shared" si="11"/>
        <v>MALATTIAUnknown</v>
      </c>
      <c r="I752" s="8" t="s">
        <v>689</v>
      </c>
      <c r="J752" s="8" t="s">
        <v>690</v>
      </c>
      <c r="K752" s="8" t="s">
        <v>690</v>
      </c>
      <c r="L752" s="9"/>
      <c r="M752" s="9"/>
      <c r="N752" s="9"/>
      <c r="O752" s="9"/>
      <c r="P752" s="9"/>
      <c r="Q752" s="9"/>
      <c r="R752" s="9"/>
      <c r="S752" s="9"/>
      <c r="T752" s="9"/>
      <c r="U752" s="9"/>
      <c r="V752" s="9"/>
      <c r="W752" s="9"/>
      <c r="X752" s="9">
        <v>0</v>
      </c>
      <c r="Y752" s="9">
        <v>55451.01</v>
      </c>
      <c r="Z752" s="9"/>
      <c r="AA752" s="9"/>
      <c r="AB752" s="9"/>
      <c r="AC752" s="9"/>
      <c r="AD752" s="9"/>
      <c r="AE752" s="9"/>
      <c r="AF752" s="9"/>
      <c r="AG752" s="9"/>
      <c r="AH752" s="7">
        <v>0</v>
      </c>
      <c r="AI752" s="7">
        <v>55451.01</v>
      </c>
    </row>
    <row r="753" spans="2:35" x14ac:dyDescent="0.3">
      <c r="B753" s="5" t="s">
        <v>3061</v>
      </c>
      <c r="C753" s="5" t="s">
        <v>13</v>
      </c>
      <c r="D753" s="12" t="s">
        <v>1213</v>
      </c>
      <c r="E753" s="6" t="s">
        <v>617</v>
      </c>
      <c r="F753" s="13" t="s">
        <v>618</v>
      </c>
      <c r="G753" s="6" t="s">
        <v>466</v>
      </c>
      <c r="H753" s="7" t="str">
        <f t="shared" si="11"/>
        <v>EPC-IPU-B162-01Operation &amp; Maintenance</v>
      </c>
      <c r="I753" s="8" t="s">
        <v>49</v>
      </c>
      <c r="J753" s="8" t="s">
        <v>76</v>
      </c>
      <c r="K753" s="8" t="s">
        <v>76</v>
      </c>
      <c r="L753" s="9"/>
      <c r="M753" s="9"/>
      <c r="N753" s="9"/>
      <c r="O753" s="9"/>
      <c r="P753" s="9"/>
      <c r="Q753" s="9"/>
      <c r="R753" s="9"/>
      <c r="S753" s="9"/>
      <c r="T753" s="9"/>
      <c r="U753" s="9"/>
      <c r="V753" s="9"/>
      <c r="W753" s="9"/>
      <c r="X753" s="9">
        <v>0</v>
      </c>
      <c r="Y753" s="9">
        <v>191.16</v>
      </c>
      <c r="Z753" s="9"/>
      <c r="AA753" s="9"/>
      <c r="AB753" s="9"/>
      <c r="AC753" s="9"/>
      <c r="AD753" s="9"/>
      <c r="AE753" s="9"/>
      <c r="AF753" s="9"/>
      <c r="AG753" s="9"/>
      <c r="AH753" s="7">
        <v>0</v>
      </c>
      <c r="AI753" s="7">
        <v>191.16</v>
      </c>
    </row>
    <row r="754" spans="2:35" x14ac:dyDescent="0.3">
      <c r="B754" s="5" t="s">
        <v>3061</v>
      </c>
      <c r="C754" s="5" t="s">
        <v>13</v>
      </c>
      <c r="D754" s="12" t="s">
        <v>1213</v>
      </c>
      <c r="E754" s="6" t="s">
        <v>370</v>
      </c>
      <c r="F754" s="13" t="s">
        <v>371</v>
      </c>
      <c r="G754" s="6" t="s">
        <v>372</v>
      </c>
      <c r="H754" s="7" t="str">
        <f t="shared" si="11"/>
        <v>CL3-IPU-L415-01Operation &amp; Maintenance</v>
      </c>
      <c r="I754" s="8" t="s">
        <v>49</v>
      </c>
      <c r="J754" s="8" t="s">
        <v>19</v>
      </c>
      <c r="K754" s="8" t="s">
        <v>98</v>
      </c>
      <c r="L754" s="9"/>
      <c r="M754" s="9"/>
      <c r="N754" s="9"/>
      <c r="O754" s="9"/>
      <c r="P754" s="9"/>
      <c r="Q754" s="9"/>
      <c r="R754" s="9"/>
      <c r="S754" s="9"/>
      <c r="T754" s="9"/>
      <c r="U754" s="9"/>
      <c r="V754" s="9"/>
      <c r="W754" s="9"/>
      <c r="X754" s="9">
        <v>0</v>
      </c>
      <c r="Y754" s="9">
        <v>3307.25</v>
      </c>
      <c r="Z754" s="9"/>
      <c r="AA754" s="9"/>
      <c r="AB754" s="9"/>
      <c r="AC754" s="9"/>
      <c r="AD754" s="9"/>
      <c r="AE754" s="9"/>
      <c r="AF754" s="9"/>
      <c r="AG754" s="9"/>
      <c r="AH754" s="7">
        <v>0</v>
      </c>
      <c r="AI754" s="7">
        <v>3307.25</v>
      </c>
    </row>
    <row r="755" spans="2:35" x14ac:dyDescent="0.3">
      <c r="B755" s="5" t="s">
        <v>3061</v>
      </c>
      <c r="C755" s="5" t="s">
        <v>13</v>
      </c>
      <c r="D755" s="12" t="s">
        <v>1213</v>
      </c>
      <c r="E755" s="6" t="s">
        <v>467</v>
      </c>
      <c r="F755" s="13" t="s">
        <v>468</v>
      </c>
      <c r="G755" s="6" t="s">
        <v>386</v>
      </c>
      <c r="H755" s="7" t="str">
        <f t="shared" si="11"/>
        <v>PPP-EEE-C638-01Operation &amp; Maintenance</v>
      </c>
      <c r="I755" s="8" t="s">
        <v>56</v>
      </c>
      <c r="J755" s="8" t="s">
        <v>202</v>
      </c>
      <c r="K755" s="8" t="s">
        <v>202</v>
      </c>
      <c r="L755" s="9"/>
      <c r="M755" s="9"/>
      <c r="N755" s="9"/>
      <c r="O755" s="9"/>
      <c r="P755" s="9"/>
      <c r="Q755" s="9"/>
      <c r="R755" s="9"/>
      <c r="S755" s="9"/>
      <c r="T755" s="9"/>
      <c r="U755" s="9"/>
      <c r="V755" s="9"/>
      <c r="W755" s="9"/>
      <c r="X755" s="9">
        <v>0</v>
      </c>
      <c r="Y755" s="9">
        <v>488.12</v>
      </c>
      <c r="Z755" s="9"/>
      <c r="AA755" s="9"/>
      <c r="AB755" s="9"/>
      <c r="AC755" s="9"/>
      <c r="AD755" s="9"/>
      <c r="AE755" s="9"/>
      <c r="AF755" s="9"/>
      <c r="AG755" s="9"/>
      <c r="AH755" s="7">
        <v>0</v>
      </c>
      <c r="AI755" s="7">
        <v>488.12</v>
      </c>
    </row>
    <row r="756" spans="2:35" x14ac:dyDescent="0.3">
      <c r="B756" s="5" t="s">
        <v>3061</v>
      </c>
      <c r="C756" s="5" t="s">
        <v>13</v>
      </c>
      <c r="D756" s="12" t="s">
        <v>1213</v>
      </c>
      <c r="E756" s="6" t="s">
        <v>358</v>
      </c>
      <c r="F756" s="13" t="s">
        <v>359</v>
      </c>
      <c r="G756" s="6" t="s">
        <v>360</v>
      </c>
      <c r="H756" s="7" t="str">
        <f t="shared" si="11"/>
        <v>PPP-IPU-C888-01Operation &amp; Maintenance</v>
      </c>
      <c r="I756" s="8" t="s">
        <v>18</v>
      </c>
      <c r="J756" s="8" t="s">
        <v>19</v>
      </c>
      <c r="K756" s="8" t="s">
        <v>20</v>
      </c>
      <c r="L756" s="9"/>
      <c r="M756" s="9"/>
      <c r="N756" s="9"/>
      <c r="O756" s="9"/>
      <c r="P756" s="9"/>
      <c r="Q756" s="9"/>
      <c r="R756" s="9"/>
      <c r="S756" s="9"/>
      <c r="T756" s="9"/>
      <c r="U756" s="9"/>
      <c r="V756" s="9"/>
      <c r="W756" s="9"/>
      <c r="X756" s="9">
        <v>13309.09</v>
      </c>
      <c r="Y756" s="9">
        <v>3413.57</v>
      </c>
      <c r="Z756" s="9"/>
      <c r="AA756" s="9"/>
      <c r="AB756" s="9"/>
      <c r="AC756" s="9"/>
      <c r="AD756" s="9"/>
      <c r="AE756" s="9"/>
      <c r="AF756" s="9"/>
      <c r="AG756" s="9"/>
      <c r="AH756" s="7">
        <v>13309.09</v>
      </c>
      <c r="AI756" s="7">
        <v>3413.57</v>
      </c>
    </row>
    <row r="757" spans="2:35" x14ac:dyDescent="0.3">
      <c r="B757" s="5" t="s">
        <v>3061</v>
      </c>
      <c r="C757" s="5" t="s">
        <v>13</v>
      </c>
      <c r="D757" s="12" t="s">
        <v>1213</v>
      </c>
      <c r="E757" s="6" t="s">
        <v>612</v>
      </c>
      <c r="F757" s="13" t="s">
        <v>613</v>
      </c>
      <c r="G757" s="6" t="s">
        <v>286</v>
      </c>
      <c r="H757" s="7" t="str">
        <f t="shared" si="11"/>
        <v>EPC-IPU-I696-01Operation &amp; Maintenance</v>
      </c>
      <c r="I757" s="8" t="s">
        <v>49</v>
      </c>
      <c r="J757" s="8" t="s">
        <v>76</v>
      </c>
      <c r="K757" s="8" t="s">
        <v>76</v>
      </c>
      <c r="L757" s="9"/>
      <c r="M757" s="9"/>
      <c r="N757" s="9"/>
      <c r="O757" s="9"/>
      <c r="P757" s="9"/>
      <c r="Q757" s="9"/>
      <c r="R757" s="9"/>
      <c r="S757" s="9"/>
      <c r="T757" s="9"/>
      <c r="U757" s="9"/>
      <c r="V757" s="9"/>
      <c r="W757" s="9"/>
      <c r="X757" s="9">
        <v>0</v>
      </c>
      <c r="Y757" s="9">
        <v>3023.9</v>
      </c>
      <c r="Z757" s="9"/>
      <c r="AA757" s="9"/>
      <c r="AB757" s="9"/>
      <c r="AC757" s="9"/>
      <c r="AD757" s="9"/>
      <c r="AE757" s="9"/>
      <c r="AF757" s="9"/>
      <c r="AG757" s="9"/>
      <c r="AH757" s="7">
        <v>0</v>
      </c>
      <c r="AI757" s="7">
        <v>3023.9</v>
      </c>
    </row>
    <row r="758" spans="2:35" x14ac:dyDescent="0.3">
      <c r="B758" s="5" t="s">
        <v>3061</v>
      </c>
      <c r="C758" s="5" t="s">
        <v>865</v>
      </c>
      <c r="D758" s="12" t="s">
        <v>1215</v>
      </c>
      <c r="E758" s="6" t="s">
        <v>866</v>
      </c>
      <c r="F758" s="13" t="s">
        <v>867</v>
      </c>
      <c r="G758" s="6" t="s">
        <v>868</v>
      </c>
      <c r="H758" s="7" t="str">
        <f t="shared" si="11"/>
        <v>SEC-IPU-I895-01Spot</v>
      </c>
      <c r="I758" s="8" t="s">
        <v>18</v>
      </c>
      <c r="J758" s="8" t="s">
        <v>76</v>
      </c>
      <c r="K758" s="8" t="s">
        <v>76</v>
      </c>
      <c r="L758" s="9"/>
      <c r="M758" s="9"/>
      <c r="N758" s="9"/>
      <c r="O758" s="9"/>
      <c r="P758" s="9"/>
      <c r="Q758" s="9"/>
      <c r="R758" s="9"/>
      <c r="S758" s="9"/>
      <c r="T758" s="9"/>
      <c r="U758" s="9"/>
      <c r="V758" s="9"/>
      <c r="W758" s="9"/>
      <c r="X758" s="9">
        <v>0</v>
      </c>
      <c r="Y758" s="9">
        <v>1924.64</v>
      </c>
      <c r="Z758" s="9"/>
      <c r="AA758" s="9"/>
      <c r="AB758" s="9"/>
      <c r="AC758" s="9"/>
      <c r="AD758" s="9"/>
      <c r="AE758" s="9"/>
      <c r="AF758" s="9"/>
      <c r="AG758" s="9"/>
      <c r="AH758" s="7">
        <v>0</v>
      </c>
      <c r="AI758" s="7">
        <v>1924.64</v>
      </c>
    </row>
    <row r="759" spans="2:35" x14ac:dyDescent="0.3">
      <c r="B759" s="5" t="s">
        <v>3061</v>
      </c>
      <c r="C759" s="5" t="s">
        <v>865</v>
      </c>
      <c r="D759" s="12" t="s">
        <v>1213</v>
      </c>
      <c r="E759" s="6" t="s">
        <v>866</v>
      </c>
      <c r="F759" s="13" t="s">
        <v>867</v>
      </c>
      <c r="G759" s="6" t="s">
        <v>868</v>
      </c>
      <c r="H759" s="7" t="str">
        <f t="shared" si="11"/>
        <v>SEC-IPU-I895-01Operation &amp; Maintenance</v>
      </c>
      <c r="I759" s="8" t="s">
        <v>18</v>
      </c>
      <c r="J759" s="8" t="s">
        <v>76</v>
      </c>
      <c r="K759" s="8" t="s">
        <v>76</v>
      </c>
      <c r="L759" s="9"/>
      <c r="M759" s="9"/>
      <c r="N759" s="9"/>
      <c r="O759" s="9"/>
      <c r="P759" s="9"/>
      <c r="Q759" s="9"/>
      <c r="R759" s="9"/>
      <c r="S759" s="9"/>
      <c r="T759" s="9"/>
      <c r="U759" s="9"/>
      <c r="V759" s="9"/>
      <c r="W759" s="9"/>
      <c r="X759" s="9">
        <v>454.59</v>
      </c>
      <c r="Y759" s="9">
        <v>0</v>
      </c>
      <c r="Z759" s="9"/>
      <c r="AA759" s="9"/>
      <c r="AB759" s="9"/>
      <c r="AC759" s="9"/>
      <c r="AD759" s="9"/>
      <c r="AE759" s="9"/>
      <c r="AF759" s="9"/>
      <c r="AG759" s="9"/>
      <c r="AH759" s="7">
        <v>454.59</v>
      </c>
      <c r="AI759" s="7">
        <v>0</v>
      </c>
    </row>
    <row r="760" spans="2:35" x14ac:dyDescent="0.3">
      <c r="B760" s="5" t="s">
        <v>3061</v>
      </c>
      <c r="C760" s="5" t="s">
        <v>13</v>
      </c>
      <c r="D760" s="12" t="s">
        <v>1213</v>
      </c>
      <c r="E760" s="6" t="s">
        <v>340</v>
      </c>
      <c r="F760" s="13" t="s">
        <v>341</v>
      </c>
      <c r="G760" s="6" t="s">
        <v>342</v>
      </c>
      <c r="H760" s="7" t="str">
        <f t="shared" si="11"/>
        <v>PPP-IPU-A047-01Operation &amp; Maintenance</v>
      </c>
      <c r="I760" s="8" t="s">
        <v>24</v>
      </c>
      <c r="J760" s="8" t="s">
        <v>19</v>
      </c>
      <c r="K760" s="8" t="s">
        <v>20</v>
      </c>
      <c r="L760" s="9"/>
      <c r="M760" s="9"/>
      <c r="N760" s="9"/>
      <c r="O760" s="9"/>
      <c r="P760" s="9"/>
      <c r="Q760" s="9"/>
      <c r="R760" s="9"/>
      <c r="S760" s="9"/>
      <c r="T760" s="9"/>
      <c r="U760" s="9"/>
      <c r="V760" s="9"/>
      <c r="W760" s="9"/>
      <c r="X760" s="9">
        <v>64350.16</v>
      </c>
      <c r="Y760" s="9">
        <v>6081.7</v>
      </c>
      <c r="Z760" s="9"/>
      <c r="AA760" s="9"/>
      <c r="AB760" s="9"/>
      <c r="AC760" s="9"/>
      <c r="AD760" s="9"/>
      <c r="AE760" s="9"/>
      <c r="AF760" s="9"/>
      <c r="AG760" s="9"/>
      <c r="AH760" s="7">
        <v>64350.16</v>
      </c>
      <c r="AI760" s="7">
        <v>6081.7</v>
      </c>
    </row>
    <row r="761" spans="2:35" x14ac:dyDescent="0.3">
      <c r="B761" s="5" t="s">
        <v>3061</v>
      </c>
      <c r="C761" s="5" t="s">
        <v>13</v>
      </c>
      <c r="D761" s="12" t="s">
        <v>1215</v>
      </c>
      <c r="E761" s="6" t="s">
        <v>872</v>
      </c>
      <c r="F761" s="13" t="s">
        <v>873</v>
      </c>
      <c r="G761" s="6" t="s">
        <v>874</v>
      </c>
      <c r="H761" s="7" t="str">
        <f t="shared" si="11"/>
        <v>EPC-IPU-C793-01Spot</v>
      </c>
      <c r="I761" s="8" t="s">
        <v>49</v>
      </c>
      <c r="J761" s="8" t="s">
        <v>259</v>
      </c>
      <c r="K761" s="8" t="s">
        <v>259</v>
      </c>
      <c r="L761" s="9"/>
      <c r="M761" s="9"/>
      <c r="N761" s="9"/>
      <c r="O761" s="9"/>
      <c r="P761" s="9"/>
      <c r="Q761" s="9"/>
      <c r="R761" s="9"/>
      <c r="S761" s="9"/>
      <c r="T761" s="9"/>
      <c r="U761" s="9"/>
      <c r="V761" s="9"/>
      <c r="W761" s="9"/>
      <c r="X761" s="9">
        <v>0</v>
      </c>
      <c r="Y761" s="9">
        <v>0</v>
      </c>
      <c r="Z761" s="9"/>
      <c r="AA761" s="9"/>
      <c r="AB761" s="9"/>
      <c r="AC761" s="9"/>
      <c r="AD761" s="9"/>
      <c r="AE761" s="9"/>
      <c r="AF761" s="9"/>
      <c r="AG761" s="9"/>
      <c r="AH761" s="7">
        <v>0</v>
      </c>
      <c r="AI761" s="7">
        <v>0</v>
      </c>
    </row>
    <row r="762" spans="2:35" x14ac:dyDescent="0.3">
      <c r="B762" s="5" t="s">
        <v>3061</v>
      </c>
      <c r="C762" s="5" t="s">
        <v>13</v>
      </c>
      <c r="D762" s="12" t="s">
        <v>1213</v>
      </c>
      <c r="E762" s="6" t="s">
        <v>221</v>
      </c>
      <c r="F762" s="13" t="s">
        <v>222</v>
      </c>
      <c r="G762" s="6" t="s">
        <v>223</v>
      </c>
      <c r="H762" s="7" t="str">
        <f t="shared" si="11"/>
        <v>PPP-IPU-F747-01Operation &amp; Maintenance</v>
      </c>
      <c r="I762" s="8" t="s">
        <v>24</v>
      </c>
      <c r="J762" s="8" t="s">
        <v>19</v>
      </c>
      <c r="K762" s="8" t="s">
        <v>20</v>
      </c>
      <c r="L762" s="9"/>
      <c r="M762" s="9"/>
      <c r="N762" s="9"/>
      <c r="O762" s="9"/>
      <c r="P762" s="9"/>
      <c r="Q762" s="9"/>
      <c r="R762" s="9"/>
      <c r="S762" s="9"/>
      <c r="T762" s="9"/>
      <c r="U762" s="9"/>
      <c r="V762" s="9"/>
      <c r="W762" s="9"/>
      <c r="X762" s="9">
        <v>37259.51</v>
      </c>
      <c r="Y762" s="9">
        <v>1915.69</v>
      </c>
      <c r="Z762" s="9"/>
      <c r="AA762" s="9"/>
      <c r="AB762" s="9"/>
      <c r="AC762" s="9"/>
      <c r="AD762" s="9"/>
      <c r="AE762" s="9"/>
      <c r="AF762" s="9"/>
      <c r="AG762" s="9"/>
      <c r="AH762" s="7">
        <v>37259.51</v>
      </c>
      <c r="AI762" s="7">
        <v>1915.69</v>
      </c>
    </row>
    <row r="763" spans="2:35" x14ac:dyDescent="0.3">
      <c r="B763" s="5" t="s">
        <v>3061</v>
      </c>
      <c r="C763" s="5" t="s">
        <v>171</v>
      </c>
      <c r="D763" s="12" t="s">
        <v>1213</v>
      </c>
      <c r="E763" s="6" t="s">
        <v>346</v>
      </c>
      <c r="F763" s="13" t="s">
        <v>347</v>
      </c>
      <c r="G763" s="6" t="s">
        <v>348</v>
      </c>
      <c r="H763" s="7" t="str">
        <f t="shared" si="11"/>
        <v>PPP-IPU-M426-01Operation &amp; Maintenance</v>
      </c>
      <c r="I763" s="8" t="s">
        <v>56</v>
      </c>
      <c r="J763" s="8" t="s">
        <v>19</v>
      </c>
      <c r="K763" s="8" t="s">
        <v>20</v>
      </c>
      <c r="L763" s="9"/>
      <c r="M763" s="9"/>
      <c r="N763" s="9"/>
      <c r="O763" s="9"/>
      <c r="P763" s="9"/>
      <c r="Q763" s="9"/>
      <c r="R763" s="9"/>
      <c r="S763" s="9"/>
      <c r="T763" s="9"/>
      <c r="U763" s="9"/>
      <c r="V763" s="9"/>
      <c r="W763" s="9"/>
      <c r="X763" s="9">
        <v>7483.32</v>
      </c>
      <c r="Y763" s="9">
        <v>3542.44</v>
      </c>
      <c r="Z763" s="9"/>
      <c r="AA763" s="9"/>
      <c r="AB763" s="9"/>
      <c r="AC763" s="9"/>
      <c r="AD763" s="9"/>
      <c r="AE763" s="9"/>
      <c r="AF763" s="9"/>
      <c r="AG763" s="9"/>
      <c r="AH763" s="7">
        <v>7483.32</v>
      </c>
      <c r="AI763" s="7">
        <v>3542.44</v>
      </c>
    </row>
    <row r="764" spans="2:35" x14ac:dyDescent="0.3">
      <c r="B764" s="5" t="s">
        <v>3061</v>
      </c>
      <c r="C764" s="5" t="s">
        <v>13</v>
      </c>
      <c r="D764" s="12" t="s">
        <v>1214</v>
      </c>
      <c r="E764" s="6" t="s">
        <v>697</v>
      </c>
      <c r="F764" s="13" t="s">
        <v>698</v>
      </c>
      <c r="G764" s="6" t="s">
        <v>694</v>
      </c>
      <c r="H764" s="7" t="str">
        <f t="shared" si="11"/>
        <v>SEC-PHV-D593-01Unknown</v>
      </c>
      <c r="I764" s="8" t="s">
        <v>18</v>
      </c>
      <c r="J764" s="8" t="s">
        <v>454</v>
      </c>
      <c r="K764" s="8" t="s">
        <v>454</v>
      </c>
      <c r="L764" s="9"/>
      <c r="M764" s="9"/>
      <c r="N764" s="9"/>
      <c r="O764" s="9"/>
      <c r="P764" s="9"/>
      <c r="Q764" s="9"/>
      <c r="R764" s="9"/>
      <c r="S764" s="9"/>
      <c r="T764" s="9"/>
      <c r="U764" s="9"/>
      <c r="V764" s="9"/>
      <c r="W764" s="9"/>
      <c r="X764" s="9">
        <v>0</v>
      </c>
      <c r="Y764" s="9">
        <v>7142.8</v>
      </c>
      <c r="Z764" s="9"/>
      <c r="AA764" s="9"/>
      <c r="AB764" s="9"/>
      <c r="AC764" s="9"/>
      <c r="AD764" s="9"/>
      <c r="AE764" s="9"/>
      <c r="AF764" s="9"/>
      <c r="AG764" s="9"/>
      <c r="AH764" s="7">
        <v>0</v>
      </c>
      <c r="AI764" s="7">
        <v>7142.8</v>
      </c>
    </row>
    <row r="765" spans="2:35" x14ac:dyDescent="0.3">
      <c r="B765" s="5" t="s">
        <v>3061</v>
      </c>
      <c r="C765" s="5" t="s">
        <v>13</v>
      </c>
      <c r="D765" s="12" t="s">
        <v>1213</v>
      </c>
      <c r="E765" s="6" t="s">
        <v>305</v>
      </c>
      <c r="F765" s="13" t="s">
        <v>306</v>
      </c>
      <c r="G765" s="6" t="s">
        <v>307</v>
      </c>
      <c r="H765" s="7" t="str">
        <f t="shared" si="11"/>
        <v>PPP-IPU-I799-01Operation &amp; Maintenance</v>
      </c>
      <c r="I765" s="8" t="s">
        <v>56</v>
      </c>
      <c r="J765" s="8" t="s">
        <v>19</v>
      </c>
      <c r="K765" s="8" t="s">
        <v>20</v>
      </c>
      <c r="L765" s="9"/>
      <c r="M765" s="9"/>
      <c r="N765" s="9"/>
      <c r="O765" s="9"/>
      <c r="P765" s="9"/>
      <c r="Q765" s="9"/>
      <c r="R765" s="9"/>
      <c r="S765" s="9"/>
      <c r="T765" s="9"/>
      <c r="U765" s="9"/>
      <c r="V765" s="9"/>
      <c r="W765" s="9"/>
      <c r="X765" s="9">
        <v>113638.32</v>
      </c>
      <c r="Y765" s="9">
        <v>3205.38</v>
      </c>
      <c r="Z765" s="9"/>
      <c r="AA765" s="9"/>
      <c r="AB765" s="9"/>
      <c r="AC765" s="9"/>
      <c r="AD765" s="9"/>
      <c r="AE765" s="9"/>
      <c r="AF765" s="9"/>
      <c r="AG765" s="9"/>
      <c r="AH765" s="7">
        <v>113638.32</v>
      </c>
      <c r="AI765" s="7">
        <v>3205.38</v>
      </c>
    </row>
    <row r="766" spans="2:35" x14ac:dyDescent="0.3">
      <c r="B766" s="5" t="s">
        <v>3061</v>
      </c>
      <c r="C766" s="5" t="s">
        <v>13</v>
      </c>
      <c r="D766" s="12" t="s">
        <v>1213</v>
      </c>
      <c r="E766" s="6" t="s">
        <v>162</v>
      </c>
      <c r="F766" s="13" t="s">
        <v>163</v>
      </c>
      <c r="G766" s="6" t="s">
        <v>164</v>
      </c>
      <c r="H766" s="7" t="str">
        <f t="shared" si="11"/>
        <v>ATI-IPU-F109-01Operation &amp; Maintenance</v>
      </c>
      <c r="I766" s="8" t="s">
        <v>18</v>
      </c>
      <c r="J766" s="8" t="s">
        <v>19</v>
      </c>
      <c r="K766" s="8" t="s">
        <v>20</v>
      </c>
      <c r="L766" s="9"/>
      <c r="M766" s="9"/>
      <c r="N766" s="9"/>
      <c r="O766" s="9"/>
      <c r="P766" s="9"/>
      <c r="Q766" s="9"/>
      <c r="R766" s="9"/>
      <c r="S766" s="9"/>
      <c r="T766" s="9"/>
      <c r="U766" s="9"/>
      <c r="V766" s="9"/>
      <c r="W766" s="9"/>
      <c r="X766" s="9">
        <v>2556.12</v>
      </c>
      <c r="Y766" s="9">
        <v>1056.42</v>
      </c>
      <c r="Z766" s="9"/>
      <c r="AA766" s="9"/>
      <c r="AB766" s="9"/>
      <c r="AC766" s="9"/>
      <c r="AD766" s="9"/>
      <c r="AE766" s="9"/>
      <c r="AF766" s="9"/>
      <c r="AG766" s="9"/>
      <c r="AH766" s="7">
        <v>2556.12</v>
      </c>
      <c r="AI766" s="7">
        <v>1056.42</v>
      </c>
    </row>
    <row r="767" spans="2:35" x14ac:dyDescent="0.3">
      <c r="B767" s="5" t="s">
        <v>3061</v>
      </c>
      <c r="C767" s="5" t="s">
        <v>13</v>
      </c>
      <c r="D767" s="12" t="s">
        <v>1213</v>
      </c>
      <c r="E767" s="6" t="s">
        <v>28</v>
      </c>
      <c r="F767" s="13" t="s">
        <v>29</v>
      </c>
      <c r="G767" s="6" t="s">
        <v>30</v>
      </c>
      <c r="H767" s="7" t="str">
        <f t="shared" si="11"/>
        <v>PPP-IPU-F843-01Operation &amp; Maintenance</v>
      </c>
      <c r="I767" s="8" t="s">
        <v>18</v>
      </c>
      <c r="J767" s="8" t="s">
        <v>19</v>
      </c>
      <c r="K767" s="8" t="s">
        <v>20</v>
      </c>
      <c r="L767" s="9"/>
      <c r="M767" s="9"/>
      <c r="N767" s="9"/>
      <c r="O767" s="9"/>
      <c r="P767" s="9"/>
      <c r="Q767" s="9"/>
      <c r="R767" s="9"/>
      <c r="S767" s="9"/>
      <c r="T767" s="9"/>
      <c r="U767" s="9"/>
      <c r="V767" s="9"/>
      <c r="W767" s="9"/>
      <c r="X767" s="9">
        <v>7998.52</v>
      </c>
      <c r="Y767" s="9">
        <v>1692.22</v>
      </c>
      <c r="Z767" s="9"/>
      <c r="AA767" s="9"/>
      <c r="AB767" s="9"/>
      <c r="AC767" s="9"/>
      <c r="AD767" s="9"/>
      <c r="AE767" s="9"/>
      <c r="AF767" s="9"/>
      <c r="AG767" s="9"/>
      <c r="AH767" s="7">
        <v>7998.52</v>
      </c>
      <c r="AI767" s="7">
        <v>1692.22</v>
      </c>
    </row>
    <row r="768" spans="2:35" x14ac:dyDescent="0.3">
      <c r="B768" s="5" t="s">
        <v>3061</v>
      </c>
      <c r="C768" s="5" t="s">
        <v>13</v>
      </c>
      <c r="D768" s="12" t="s">
        <v>1213</v>
      </c>
      <c r="E768" s="6" t="s">
        <v>206</v>
      </c>
      <c r="F768" s="13" t="s">
        <v>207</v>
      </c>
      <c r="G768" s="6" t="s">
        <v>208</v>
      </c>
      <c r="H768" s="7" t="str">
        <f t="shared" si="11"/>
        <v>CL3-IPU-I522-01Operation &amp; Maintenance</v>
      </c>
      <c r="I768" s="8" t="s">
        <v>24</v>
      </c>
      <c r="J768" s="8" t="s">
        <v>19</v>
      </c>
      <c r="K768" s="8" t="s">
        <v>98</v>
      </c>
      <c r="L768" s="9"/>
      <c r="M768" s="9"/>
      <c r="N768" s="9"/>
      <c r="O768" s="9"/>
      <c r="P768" s="9"/>
      <c r="Q768" s="9"/>
      <c r="R768" s="9"/>
      <c r="S768" s="9"/>
      <c r="T768" s="9"/>
      <c r="U768" s="9"/>
      <c r="V768" s="9"/>
      <c r="W768" s="9"/>
      <c r="X768" s="9">
        <v>0</v>
      </c>
      <c r="Y768" s="9">
        <v>1797</v>
      </c>
      <c r="Z768" s="9"/>
      <c r="AA768" s="9"/>
      <c r="AB768" s="9"/>
      <c r="AC768" s="9"/>
      <c r="AD768" s="9"/>
      <c r="AE768" s="9"/>
      <c r="AF768" s="9"/>
      <c r="AG768" s="9"/>
      <c r="AH768" s="7">
        <v>0</v>
      </c>
      <c r="AI768" s="7">
        <v>1797</v>
      </c>
    </row>
    <row r="769" spans="2:35" x14ac:dyDescent="0.3">
      <c r="B769" s="5" t="s">
        <v>3061</v>
      </c>
      <c r="C769" s="5" t="s">
        <v>13</v>
      </c>
      <c r="D769" s="12" t="s">
        <v>1215</v>
      </c>
      <c r="E769" s="6" t="s">
        <v>974</v>
      </c>
      <c r="F769" s="13" t="s">
        <v>975</v>
      </c>
      <c r="G769" s="6" t="s">
        <v>976</v>
      </c>
      <c r="H769" s="7" t="str">
        <f t="shared" si="11"/>
        <v>EPC-IPU-I317-02Spot</v>
      </c>
      <c r="I769" s="8" t="s">
        <v>18</v>
      </c>
      <c r="J769" s="8" t="s">
        <v>76</v>
      </c>
      <c r="K769" s="8" t="s">
        <v>76</v>
      </c>
      <c r="L769" s="9"/>
      <c r="M769" s="9"/>
      <c r="N769" s="9"/>
      <c r="O769" s="9"/>
      <c r="P769" s="9"/>
      <c r="Q769" s="9"/>
      <c r="R769" s="9"/>
      <c r="S769" s="9"/>
      <c r="T769" s="9"/>
      <c r="U769" s="9"/>
      <c r="V769" s="9"/>
      <c r="W769" s="9"/>
      <c r="X769" s="9">
        <v>2689.08</v>
      </c>
      <c r="Y769" s="9">
        <v>0</v>
      </c>
      <c r="Z769" s="9"/>
      <c r="AA769" s="9"/>
      <c r="AB769" s="9"/>
      <c r="AC769" s="9"/>
      <c r="AD769" s="9"/>
      <c r="AE769" s="9"/>
      <c r="AF769" s="9"/>
      <c r="AG769" s="9"/>
      <c r="AH769" s="7">
        <v>2689.08</v>
      </c>
      <c r="AI769" s="7">
        <v>0</v>
      </c>
    </row>
    <row r="770" spans="2:35" x14ac:dyDescent="0.3">
      <c r="B770" s="5" t="s">
        <v>3061</v>
      </c>
      <c r="C770" s="5" t="s">
        <v>865</v>
      </c>
      <c r="D770" s="12" t="s">
        <v>1213</v>
      </c>
      <c r="E770" s="6" t="s">
        <v>932</v>
      </c>
      <c r="F770" s="13" t="s">
        <v>933</v>
      </c>
      <c r="G770" s="6" t="s">
        <v>934</v>
      </c>
      <c r="H770" s="7" t="str">
        <f t="shared" si="11"/>
        <v>PPP-IPU-C422-01Operation &amp; Maintenance</v>
      </c>
      <c r="I770" s="8" t="s">
        <v>56</v>
      </c>
      <c r="J770" s="8" t="s">
        <v>19</v>
      </c>
      <c r="K770" s="8" t="s">
        <v>20</v>
      </c>
      <c r="L770" s="9"/>
      <c r="M770" s="9"/>
      <c r="N770" s="9"/>
      <c r="O770" s="9"/>
      <c r="P770" s="9"/>
      <c r="Q770" s="9"/>
      <c r="R770" s="9"/>
      <c r="S770" s="9"/>
      <c r="T770" s="9"/>
      <c r="U770" s="9"/>
      <c r="V770" s="9"/>
      <c r="W770" s="9"/>
      <c r="X770" s="9">
        <v>0</v>
      </c>
      <c r="Y770" s="9">
        <v>494</v>
      </c>
      <c r="Z770" s="9"/>
      <c r="AA770" s="9"/>
      <c r="AB770" s="9"/>
      <c r="AC770" s="9"/>
      <c r="AD770" s="9"/>
      <c r="AE770" s="9"/>
      <c r="AF770" s="9"/>
      <c r="AG770" s="9"/>
      <c r="AH770" s="7">
        <v>0</v>
      </c>
      <c r="AI770" s="7">
        <v>494</v>
      </c>
    </row>
    <row r="771" spans="2:35" x14ac:dyDescent="0.3">
      <c r="B771" s="5" t="s">
        <v>3061</v>
      </c>
      <c r="C771" s="5" t="s">
        <v>13</v>
      </c>
      <c r="D771" s="12" t="s">
        <v>1215</v>
      </c>
      <c r="E771" s="6" t="s">
        <v>1084</v>
      </c>
      <c r="F771" s="13" t="s">
        <v>1085</v>
      </c>
      <c r="G771" s="6" t="s">
        <v>840</v>
      </c>
      <c r="H771" s="7" t="str">
        <f t="shared" ref="H771:H834" si="12">+F771&amp;D771</f>
        <v>EPC-IPU-A697-03Spot</v>
      </c>
      <c r="I771" s="8" t="s">
        <v>49</v>
      </c>
      <c r="J771" s="8" t="s">
        <v>76</v>
      </c>
      <c r="K771" s="8" t="s">
        <v>76</v>
      </c>
      <c r="L771" s="9"/>
      <c r="M771" s="9"/>
      <c r="N771" s="9"/>
      <c r="O771" s="9"/>
      <c r="P771" s="9"/>
      <c r="Q771" s="9"/>
      <c r="R771" s="9"/>
      <c r="S771" s="9"/>
      <c r="T771" s="9"/>
      <c r="U771" s="9"/>
      <c r="V771" s="9"/>
      <c r="W771" s="9"/>
      <c r="X771" s="9">
        <v>10238.36</v>
      </c>
      <c r="Y771" s="9">
        <v>5159.03</v>
      </c>
      <c r="Z771" s="9"/>
      <c r="AA771" s="9"/>
      <c r="AB771" s="9"/>
      <c r="AC771" s="9"/>
      <c r="AD771" s="9"/>
      <c r="AE771" s="9"/>
      <c r="AF771" s="9"/>
      <c r="AG771" s="9"/>
      <c r="AH771" s="7">
        <v>10238.36</v>
      </c>
      <c r="AI771" s="7">
        <v>5159.03</v>
      </c>
    </row>
    <row r="772" spans="2:35" x14ac:dyDescent="0.3">
      <c r="B772" s="5" t="s">
        <v>3061</v>
      </c>
      <c r="C772" s="5" t="s">
        <v>13</v>
      </c>
      <c r="D772" s="12" t="s">
        <v>1215</v>
      </c>
      <c r="E772" s="6" t="s">
        <v>1052</v>
      </c>
      <c r="F772" s="13" t="s">
        <v>1053</v>
      </c>
      <c r="G772" s="6" t="s">
        <v>450</v>
      </c>
      <c r="H772" s="7" t="str">
        <f t="shared" si="12"/>
        <v>EPC-IPU-F348-06Spot</v>
      </c>
      <c r="I772" s="8" t="s">
        <v>24</v>
      </c>
      <c r="J772" s="8" t="s">
        <v>76</v>
      </c>
      <c r="K772" s="8" t="s">
        <v>76</v>
      </c>
      <c r="L772" s="9"/>
      <c r="M772" s="9"/>
      <c r="N772" s="9"/>
      <c r="O772" s="9"/>
      <c r="P772" s="9"/>
      <c r="Q772" s="9"/>
      <c r="R772" s="9"/>
      <c r="S772" s="9"/>
      <c r="T772" s="9"/>
      <c r="U772" s="9"/>
      <c r="V772" s="9"/>
      <c r="W772" s="9"/>
      <c r="X772" s="9">
        <v>0</v>
      </c>
      <c r="Y772" s="9">
        <v>0</v>
      </c>
      <c r="Z772" s="9"/>
      <c r="AA772" s="9"/>
      <c r="AB772" s="9"/>
      <c r="AC772" s="9"/>
      <c r="AD772" s="9"/>
      <c r="AE772" s="9"/>
      <c r="AF772" s="9"/>
      <c r="AG772" s="9"/>
      <c r="AH772" s="7">
        <v>0</v>
      </c>
      <c r="AI772" s="7">
        <v>0</v>
      </c>
    </row>
    <row r="773" spans="2:35" x14ac:dyDescent="0.3">
      <c r="B773" s="5" t="s">
        <v>3061</v>
      </c>
      <c r="C773" s="5" t="s">
        <v>13</v>
      </c>
      <c r="D773" s="12" t="s">
        <v>1213</v>
      </c>
      <c r="E773" s="6" t="s">
        <v>193</v>
      </c>
      <c r="F773" s="13" t="s">
        <v>194</v>
      </c>
      <c r="G773" s="6" t="s">
        <v>195</v>
      </c>
      <c r="H773" s="7" t="str">
        <f t="shared" si="12"/>
        <v>PPP-IPU-G806-01Operation &amp; Maintenance</v>
      </c>
      <c r="I773" s="8" t="s">
        <v>18</v>
      </c>
      <c r="J773" s="8" t="s">
        <v>19</v>
      </c>
      <c r="K773" s="8" t="s">
        <v>20</v>
      </c>
      <c r="L773" s="9"/>
      <c r="M773" s="9"/>
      <c r="N773" s="9"/>
      <c r="O773" s="9"/>
      <c r="P773" s="9"/>
      <c r="Q773" s="9"/>
      <c r="R773" s="9"/>
      <c r="S773" s="9"/>
      <c r="T773" s="9"/>
      <c r="U773" s="9"/>
      <c r="V773" s="9"/>
      <c r="W773" s="9"/>
      <c r="X773" s="9">
        <v>15655.18</v>
      </c>
      <c r="Y773" s="9">
        <v>5028.3500000000004</v>
      </c>
      <c r="Z773" s="9"/>
      <c r="AA773" s="9"/>
      <c r="AB773" s="9"/>
      <c r="AC773" s="9"/>
      <c r="AD773" s="9"/>
      <c r="AE773" s="9"/>
      <c r="AF773" s="9"/>
      <c r="AG773" s="9"/>
      <c r="AH773" s="7">
        <v>15655.18</v>
      </c>
      <c r="AI773" s="7">
        <v>5028.3500000000004</v>
      </c>
    </row>
    <row r="774" spans="2:35" x14ac:dyDescent="0.3">
      <c r="B774" s="5" t="s">
        <v>3061</v>
      </c>
      <c r="C774" s="5" t="s">
        <v>13</v>
      </c>
      <c r="D774" s="12" t="s">
        <v>1213</v>
      </c>
      <c r="E774" s="6" t="s">
        <v>539</v>
      </c>
      <c r="F774" s="13" t="s">
        <v>540</v>
      </c>
      <c r="G774" s="6" t="s">
        <v>386</v>
      </c>
      <c r="H774" s="7" t="str">
        <f t="shared" si="12"/>
        <v>PPP-EEE-C638-03Operation &amp; Maintenance</v>
      </c>
      <c r="I774" s="8" t="s">
        <v>56</v>
      </c>
      <c r="J774" s="8" t="s">
        <v>202</v>
      </c>
      <c r="K774" s="8" t="s">
        <v>202</v>
      </c>
      <c r="L774" s="9"/>
      <c r="M774" s="9"/>
      <c r="N774" s="9"/>
      <c r="O774" s="9"/>
      <c r="P774" s="9"/>
      <c r="Q774" s="9"/>
      <c r="R774" s="9"/>
      <c r="S774" s="9"/>
      <c r="T774" s="9"/>
      <c r="U774" s="9"/>
      <c r="V774" s="9"/>
      <c r="W774" s="9"/>
      <c r="X774" s="9">
        <v>0</v>
      </c>
      <c r="Y774" s="9">
        <v>3873.49</v>
      </c>
      <c r="Z774" s="9"/>
      <c r="AA774" s="9"/>
      <c r="AB774" s="9"/>
      <c r="AC774" s="9"/>
      <c r="AD774" s="9"/>
      <c r="AE774" s="9"/>
      <c r="AF774" s="9"/>
      <c r="AG774" s="9"/>
      <c r="AH774" s="7">
        <v>0</v>
      </c>
      <c r="AI774" s="7">
        <v>3873.49</v>
      </c>
    </row>
    <row r="775" spans="2:35" x14ac:dyDescent="0.3">
      <c r="B775" s="5" t="s">
        <v>3061</v>
      </c>
      <c r="C775" s="5" t="s">
        <v>13</v>
      </c>
      <c r="D775" s="12" t="s">
        <v>1214</v>
      </c>
      <c r="E775" s="6" t="s">
        <v>720</v>
      </c>
      <c r="F775" s="13" t="s">
        <v>721</v>
      </c>
      <c r="G775" s="6" t="s">
        <v>719</v>
      </c>
      <c r="H775" s="7" t="str">
        <f t="shared" si="12"/>
        <v>SEC-PHV-M269-03Unknown</v>
      </c>
      <c r="I775" s="8" t="s">
        <v>18</v>
      </c>
      <c r="J775" s="8" t="s">
        <v>454</v>
      </c>
      <c r="K775" s="8" t="s">
        <v>454</v>
      </c>
      <c r="L775" s="9"/>
      <c r="M775" s="9"/>
      <c r="N775" s="9"/>
      <c r="O775" s="9"/>
      <c r="P775" s="9"/>
      <c r="Q775" s="9"/>
      <c r="R775" s="9"/>
      <c r="S775" s="9"/>
      <c r="T775" s="9"/>
      <c r="U775" s="9"/>
      <c r="V775" s="9"/>
      <c r="W775" s="9"/>
      <c r="X775" s="9">
        <v>1662.3</v>
      </c>
      <c r="Y775" s="9">
        <v>2724.08</v>
      </c>
      <c r="Z775" s="9"/>
      <c r="AA775" s="9"/>
      <c r="AB775" s="9"/>
      <c r="AC775" s="9"/>
      <c r="AD775" s="9"/>
      <c r="AE775" s="9"/>
      <c r="AF775" s="9"/>
      <c r="AG775" s="9"/>
      <c r="AH775" s="7">
        <v>1662.3</v>
      </c>
      <c r="AI775" s="7">
        <v>2724.08</v>
      </c>
    </row>
    <row r="776" spans="2:35" x14ac:dyDescent="0.3">
      <c r="B776" s="5" t="s">
        <v>3061</v>
      </c>
      <c r="C776" s="5" t="s">
        <v>13</v>
      </c>
      <c r="D776" s="12" t="s">
        <v>1213</v>
      </c>
      <c r="E776" s="6" t="s">
        <v>1178</v>
      </c>
      <c r="F776" s="13" t="s">
        <v>1179</v>
      </c>
      <c r="G776" s="6" t="s">
        <v>372</v>
      </c>
      <c r="H776" s="7" t="str">
        <f t="shared" si="12"/>
        <v>EPC-IPU-L415-08Operation &amp; Maintenance</v>
      </c>
      <c r="I776" s="8" t="s">
        <v>49</v>
      </c>
      <c r="J776" s="8" t="s">
        <v>76</v>
      </c>
      <c r="K776" s="8" t="s">
        <v>76</v>
      </c>
      <c r="L776" s="9"/>
      <c r="M776" s="9"/>
      <c r="N776" s="9"/>
      <c r="O776" s="9"/>
      <c r="P776" s="9"/>
      <c r="Q776" s="9"/>
      <c r="R776" s="9"/>
      <c r="S776" s="9"/>
      <c r="T776" s="9"/>
      <c r="U776" s="9"/>
      <c r="V776" s="9"/>
      <c r="W776" s="9"/>
      <c r="X776" s="9">
        <v>0</v>
      </c>
      <c r="Y776" s="9">
        <v>6200</v>
      </c>
      <c r="Z776" s="9"/>
      <c r="AA776" s="9"/>
      <c r="AB776" s="9"/>
      <c r="AC776" s="9"/>
      <c r="AD776" s="9"/>
      <c r="AE776" s="9"/>
      <c r="AF776" s="9"/>
      <c r="AG776" s="9"/>
      <c r="AH776" s="7">
        <v>0</v>
      </c>
      <c r="AI776" s="7">
        <v>6200</v>
      </c>
    </row>
    <row r="777" spans="2:35" x14ac:dyDescent="0.3">
      <c r="B777" s="5" t="s">
        <v>3061</v>
      </c>
      <c r="C777" s="5" t="s">
        <v>13</v>
      </c>
      <c r="D777" s="12" t="s">
        <v>1215</v>
      </c>
      <c r="E777" s="6" t="s">
        <v>969</v>
      </c>
      <c r="F777" s="13" t="s">
        <v>970</v>
      </c>
      <c r="G777" s="6" t="s">
        <v>971</v>
      </c>
      <c r="H777" s="7" t="str">
        <f t="shared" si="12"/>
        <v>EPC-IPU-G942-02Spot</v>
      </c>
      <c r="I777" s="8" t="s">
        <v>18</v>
      </c>
      <c r="J777" s="8" t="s">
        <v>259</v>
      </c>
      <c r="K777" s="8" t="s">
        <v>259</v>
      </c>
      <c r="L777" s="9"/>
      <c r="M777" s="9"/>
      <c r="N777" s="9"/>
      <c r="O777" s="9"/>
      <c r="P777" s="9"/>
      <c r="Q777" s="9"/>
      <c r="R777" s="9"/>
      <c r="S777" s="9"/>
      <c r="T777" s="9"/>
      <c r="U777" s="9"/>
      <c r="V777" s="9"/>
      <c r="W777" s="9"/>
      <c r="X777" s="9">
        <v>2447</v>
      </c>
      <c r="Y777" s="9">
        <v>7988.2</v>
      </c>
      <c r="Z777" s="9"/>
      <c r="AA777" s="9"/>
      <c r="AB777" s="9"/>
      <c r="AC777" s="9"/>
      <c r="AD777" s="9"/>
      <c r="AE777" s="9"/>
      <c r="AF777" s="9"/>
      <c r="AG777" s="9"/>
      <c r="AH777" s="7">
        <v>2447</v>
      </c>
      <c r="AI777" s="7">
        <v>7988.2</v>
      </c>
    </row>
    <row r="778" spans="2:35" x14ac:dyDescent="0.3">
      <c r="B778" s="5" t="s">
        <v>3061</v>
      </c>
      <c r="C778" s="5" t="s">
        <v>13</v>
      </c>
      <c r="D778" s="12" t="s">
        <v>1213</v>
      </c>
      <c r="E778" s="6" t="s">
        <v>969</v>
      </c>
      <c r="F778" s="13" t="s">
        <v>970</v>
      </c>
      <c r="G778" s="6" t="s">
        <v>971</v>
      </c>
      <c r="H778" s="7" t="str">
        <f t="shared" si="12"/>
        <v>EPC-IPU-G942-02Operation &amp; Maintenance</v>
      </c>
      <c r="I778" s="8" t="s">
        <v>18</v>
      </c>
      <c r="J778" s="8" t="s">
        <v>259</v>
      </c>
      <c r="K778" s="8" t="s">
        <v>259</v>
      </c>
      <c r="L778" s="9"/>
      <c r="M778" s="9"/>
      <c r="N778" s="9"/>
      <c r="O778" s="9"/>
      <c r="P778" s="9"/>
      <c r="Q778" s="9"/>
      <c r="R778" s="9"/>
      <c r="S778" s="9"/>
      <c r="T778" s="9"/>
      <c r="U778" s="9"/>
      <c r="V778" s="9"/>
      <c r="W778" s="9"/>
      <c r="X778" s="9">
        <v>0</v>
      </c>
      <c r="Y778" s="9">
        <v>400</v>
      </c>
      <c r="Z778" s="9"/>
      <c r="AA778" s="9"/>
      <c r="AB778" s="9"/>
      <c r="AC778" s="9"/>
      <c r="AD778" s="9"/>
      <c r="AE778" s="9"/>
      <c r="AF778" s="9"/>
      <c r="AG778" s="9"/>
      <c r="AH778" s="7">
        <v>0</v>
      </c>
      <c r="AI778" s="7">
        <v>400</v>
      </c>
    </row>
    <row r="779" spans="2:35" x14ac:dyDescent="0.3">
      <c r="B779" s="5" t="s">
        <v>3061</v>
      </c>
      <c r="C779" s="5" t="s">
        <v>13</v>
      </c>
      <c r="D779" s="12" t="s">
        <v>1215</v>
      </c>
      <c r="E779" s="6" t="s">
        <v>1086</v>
      </c>
      <c r="F779" s="13" t="s">
        <v>1087</v>
      </c>
      <c r="G779" s="6" t="s">
        <v>1088</v>
      </c>
      <c r="H779" s="7" t="str">
        <f t="shared" si="12"/>
        <v>EPC-IPU-E569-04Spot</v>
      </c>
      <c r="I779" s="8" t="s">
        <v>49</v>
      </c>
      <c r="J779" s="8" t="s">
        <v>259</v>
      </c>
      <c r="K779" s="8" t="s">
        <v>259</v>
      </c>
      <c r="L779" s="9"/>
      <c r="M779" s="9"/>
      <c r="N779" s="9"/>
      <c r="O779" s="9"/>
      <c r="P779" s="9"/>
      <c r="Q779" s="9"/>
      <c r="R779" s="9"/>
      <c r="S779" s="9"/>
      <c r="T779" s="9"/>
      <c r="U779" s="9"/>
      <c r="V779" s="9"/>
      <c r="W779" s="9"/>
      <c r="X779" s="9">
        <v>789.87</v>
      </c>
      <c r="Y779" s="9">
        <v>0</v>
      </c>
      <c r="Z779" s="9"/>
      <c r="AA779" s="9"/>
      <c r="AB779" s="9"/>
      <c r="AC779" s="9"/>
      <c r="AD779" s="9"/>
      <c r="AE779" s="9"/>
      <c r="AF779" s="9"/>
      <c r="AG779" s="9"/>
      <c r="AH779" s="7">
        <v>789.87</v>
      </c>
      <c r="AI779" s="7">
        <v>0</v>
      </c>
    </row>
    <row r="780" spans="2:35" x14ac:dyDescent="0.3">
      <c r="B780" s="5" t="s">
        <v>3061</v>
      </c>
      <c r="C780" s="5" t="s">
        <v>13</v>
      </c>
      <c r="D780" s="12" t="s">
        <v>1213</v>
      </c>
      <c r="E780" s="6" t="s">
        <v>1107</v>
      </c>
      <c r="F780" s="13" t="s">
        <v>1108</v>
      </c>
      <c r="G780" s="6" t="s">
        <v>1109</v>
      </c>
      <c r="H780" s="7" t="str">
        <f t="shared" si="12"/>
        <v>EPC-IPU-H602-02Operation &amp; Maintenance</v>
      </c>
      <c r="I780" s="8" t="s">
        <v>49</v>
      </c>
      <c r="J780" s="8" t="s">
        <v>76</v>
      </c>
      <c r="K780" s="8" t="s">
        <v>76</v>
      </c>
      <c r="L780" s="9"/>
      <c r="M780" s="9"/>
      <c r="N780" s="9"/>
      <c r="O780" s="9"/>
      <c r="P780" s="9"/>
      <c r="Q780" s="9"/>
      <c r="R780" s="9"/>
      <c r="S780" s="9"/>
      <c r="T780" s="9"/>
      <c r="U780" s="9"/>
      <c r="V780" s="9"/>
      <c r="W780" s="9"/>
      <c r="X780" s="9">
        <v>0</v>
      </c>
      <c r="Y780" s="9">
        <v>1482.12</v>
      </c>
      <c r="Z780" s="9"/>
      <c r="AA780" s="9"/>
      <c r="AB780" s="9"/>
      <c r="AC780" s="9"/>
      <c r="AD780" s="9"/>
      <c r="AE780" s="9"/>
      <c r="AF780" s="9"/>
      <c r="AG780" s="9"/>
      <c r="AH780" s="7">
        <v>0</v>
      </c>
      <c r="AI780" s="7">
        <v>1482.12</v>
      </c>
    </row>
    <row r="781" spans="2:35" x14ac:dyDescent="0.3">
      <c r="B781" s="5" t="s">
        <v>3061</v>
      </c>
      <c r="C781" s="5" t="s">
        <v>13</v>
      </c>
      <c r="D781" s="12" t="s">
        <v>1213</v>
      </c>
      <c r="E781" s="6" t="s">
        <v>147</v>
      </c>
      <c r="F781" s="13" t="s">
        <v>148</v>
      </c>
      <c r="G781" s="6" t="s">
        <v>149</v>
      </c>
      <c r="H781" s="7" t="str">
        <f t="shared" si="12"/>
        <v>PPP-IPU-A743-01Operation &amp; Maintenance</v>
      </c>
      <c r="I781" s="8" t="s">
        <v>18</v>
      </c>
      <c r="J781" s="8" t="s">
        <v>19</v>
      </c>
      <c r="K781" s="8" t="s">
        <v>20</v>
      </c>
      <c r="L781" s="9"/>
      <c r="M781" s="9"/>
      <c r="N781" s="9"/>
      <c r="O781" s="9"/>
      <c r="P781" s="9"/>
      <c r="Q781" s="9"/>
      <c r="R781" s="9"/>
      <c r="S781" s="9"/>
      <c r="T781" s="9"/>
      <c r="U781" s="9"/>
      <c r="V781" s="9"/>
      <c r="W781" s="9"/>
      <c r="X781" s="9">
        <v>20858.099999999999</v>
      </c>
      <c r="Y781" s="9">
        <v>5451.51</v>
      </c>
      <c r="Z781" s="9"/>
      <c r="AA781" s="9"/>
      <c r="AB781" s="9"/>
      <c r="AC781" s="9"/>
      <c r="AD781" s="9"/>
      <c r="AE781" s="9"/>
      <c r="AF781" s="9"/>
      <c r="AG781" s="9"/>
      <c r="AH781" s="7">
        <v>20858.099999999999</v>
      </c>
      <c r="AI781" s="7">
        <v>5451.51</v>
      </c>
    </row>
    <row r="782" spans="2:35" x14ac:dyDescent="0.3">
      <c r="B782" s="5" t="s">
        <v>3061</v>
      </c>
      <c r="C782" s="5" t="s">
        <v>13</v>
      </c>
      <c r="D782" s="12" t="s">
        <v>1213</v>
      </c>
      <c r="E782" s="6" t="s">
        <v>203</v>
      </c>
      <c r="F782" s="13" t="s">
        <v>204</v>
      </c>
      <c r="G782" s="6" t="s">
        <v>205</v>
      </c>
      <c r="H782" s="7" t="str">
        <f t="shared" si="12"/>
        <v>SEC-IPU-C750-01Operation &amp; Maintenance</v>
      </c>
      <c r="I782" s="8" t="s">
        <v>24</v>
      </c>
      <c r="J782" s="8" t="s">
        <v>19</v>
      </c>
      <c r="K782" s="8" t="s">
        <v>20</v>
      </c>
      <c r="L782" s="9"/>
      <c r="M782" s="9"/>
      <c r="N782" s="9"/>
      <c r="O782" s="9"/>
      <c r="P782" s="9"/>
      <c r="Q782" s="9"/>
      <c r="R782" s="9"/>
      <c r="S782" s="9"/>
      <c r="T782" s="9"/>
      <c r="U782" s="9"/>
      <c r="V782" s="9"/>
      <c r="W782" s="9"/>
      <c r="X782" s="9">
        <v>475</v>
      </c>
      <c r="Y782" s="9">
        <v>135.69999999999999</v>
      </c>
      <c r="Z782" s="9"/>
      <c r="AA782" s="9"/>
      <c r="AB782" s="9"/>
      <c r="AC782" s="9"/>
      <c r="AD782" s="9"/>
      <c r="AE782" s="9"/>
      <c r="AF782" s="9"/>
      <c r="AG782" s="9"/>
      <c r="AH782" s="7">
        <v>475</v>
      </c>
      <c r="AI782" s="7">
        <v>135.69999999999999</v>
      </c>
    </row>
    <row r="783" spans="2:35" x14ac:dyDescent="0.3">
      <c r="B783" s="5" t="s">
        <v>3061</v>
      </c>
      <c r="C783" s="5" t="s">
        <v>13</v>
      </c>
      <c r="D783" s="12" t="s">
        <v>1213</v>
      </c>
      <c r="E783" s="6" t="s">
        <v>401</v>
      </c>
      <c r="F783" s="13" t="s">
        <v>402</v>
      </c>
      <c r="G783" s="6" t="s">
        <v>403</v>
      </c>
      <c r="H783" s="7" t="str">
        <f t="shared" si="12"/>
        <v>PPP-IPU-A415-01Operation &amp; Maintenance</v>
      </c>
      <c r="I783" s="8" t="s">
        <v>18</v>
      </c>
      <c r="J783" s="8" t="s">
        <v>19</v>
      </c>
      <c r="K783" s="8" t="s">
        <v>20</v>
      </c>
      <c r="L783" s="9"/>
      <c r="M783" s="9"/>
      <c r="N783" s="9"/>
      <c r="O783" s="9"/>
      <c r="P783" s="9"/>
      <c r="Q783" s="9"/>
      <c r="R783" s="9"/>
      <c r="S783" s="9"/>
      <c r="T783" s="9"/>
      <c r="U783" s="9"/>
      <c r="V783" s="9"/>
      <c r="W783" s="9"/>
      <c r="X783" s="9">
        <v>2936.3</v>
      </c>
      <c r="Y783" s="9">
        <v>1336.3</v>
      </c>
      <c r="Z783" s="9"/>
      <c r="AA783" s="9"/>
      <c r="AB783" s="9"/>
      <c r="AC783" s="9"/>
      <c r="AD783" s="9"/>
      <c r="AE783" s="9"/>
      <c r="AF783" s="9"/>
      <c r="AG783" s="9"/>
      <c r="AH783" s="7">
        <v>2936.3</v>
      </c>
      <c r="AI783" s="7">
        <v>1336.3</v>
      </c>
    </row>
    <row r="784" spans="2:35" x14ac:dyDescent="0.3">
      <c r="B784" s="5" t="s">
        <v>3061</v>
      </c>
      <c r="C784" s="5" t="s">
        <v>13</v>
      </c>
      <c r="D784" s="12" t="s">
        <v>1213</v>
      </c>
      <c r="E784" s="6" t="s">
        <v>310</v>
      </c>
      <c r="F784" s="13" t="s">
        <v>311</v>
      </c>
      <c r="G784" s="6" t="s">
        <v>312</v>
      </c>
      <c r="H784" s="7" t="str">
        <f t="shared" si="12"/>
        <v>CL3-IPU-G690-01Operation &amp; Maintenance</v>
      </c>
      <c r="I784" s="8" t="s">
        <v>24</v>
      </c>
      <c r="J784" s="8" t="s">
        <v>19</v>
      </c>
      <c r="K784" s="8" t="s">
        <v>98</v>
      </c>
      <c r="L784" s="9"/>
      <c r="M784" s="9"/>
      <c r="N784" s="9"/>
      <c r="O784" s="9"/>
      <c r="P784" s="9"/>
      <c r="Q784" s="9"/>
      <c r="R784" s="9"/>
      <c r="S784" s="9"/>
      <c r="T784" s="9"/>
      <c r="U784" s="9"/>
      <c r="V784" s="9"/>
      <c r="W784" s="9"/>
      <c r="X784" s="9">
        <v>0</v>
      </c>
      <c r="Y784" s="9">
        <v>23</v>
      </c>
      <c r="Z784" s="9"/>
      <c r="AA784" s="9"/>
      <c r="AB784" s="9"/>
      <c r="AC784" s="9"/>
      <c r="AD784" s="9"/>
      <c r="AE784" s="9"/>
      <c r="AF784" s="9"/>
      <c r="AG784" s="9"/>
      <c r="AH784" s="7">
        <v>0</v>
      </c>
      <c r="AI784" s="7">
        <v>23</v>
      </c>
    </row>
    <row r="785" spans="2:35" x14ac:dyDescent="0.3">
      <c r="B785" s="5" t="s">
        <v>3061</v>
      </c>
      <c r="C785" s="5" t="s">
        <v>13</v>
      </c>
      <c r="D785" s="12" t="s">
        <v>1213</v>
      </c>
      <c r="E785" s="6" t="s">
        <v>898</v>
      </c>
      <c r="F785" s="13" t="s">
        <v>899</v>
      </c>
      <c r="G785" s="6" t="s">
        <v>900</v>
      </c>
      <c r="H785" s="7" t="str">
        <f t="shared" si="12"/>
        <v>PPP-IPU-D578-01Operation &amp; Maintenance</v>
      </c>
      <c r="I785" s="8" t="s">
        <v>56</v>
      </c>
      <c r="J785" s="8" t="s">
        <v>19</v>
      </c>
      <c r="K785" s="8" t="s">
        <v>20</v>
      </c>
      <c r="L785" s="9"/>
      <c r="M785" s="9"/>
      <c r="N785" s="9"/>
      <c r="O785" s="9"/>
      <c r="P785" s="9"/>
      <c r="Q785" s="9"/>
      <c r="R785" s="9"/>
      <c r="S785" s="9"/>
      <c r="T785" s="9"/>
      <c r="U785" s="9"/>
      <c r="V785" s="9"/>
      <c r="W785" s="9"/>
      <c r="X785" s="9">
        <v>3638.72</v>
      </c>
      <c r="Y785" s="9">
        <v>196.66</v>
      </c>
      <c r="Z785" s="9"/>
      <c r="AA785" s="9"/>
      <c r="AB785" s="9"/>
      <c r="AC785" s="9"/>
      <c r="AD785" s="9"/>
      <c r="AE785" s="9"/>
      <c r="AF785" s="9"/>
      <c r="AG785" s="9"/>
      <c r="AH785" s="7">
        <v>3638.72</v>
      </c>
      <c r="AI785" s="7">
        <v>196.66</v>
      </c>
    </row>
    <row r="786" spans="2:35" x14ac:dyDescent="0.3">
      <c r="B786" s="5" t="s">
        <v>3061</v>
      </c>
      <c r="C786" s="5" t="s">
        <v>13</v>
      </c>
      <c r="D786" s="12" t="s">
        <v>1213</v>
      </c>
      <c r="E786" s="6" t="s">
        <v>1043</v>
      </c>
      <c r="F786" s="13" t="s">
        <v>1044</v>
      </c>
      <c r="G786" s="6" t="s">
        <v>354</v>
      </c>
      <c r="H786" s="7" t="str">
        <f t="shared" si="12"/>
        <v>EPC-IPU-I608-05Operation &amp; Maintenance</v>
      </c>
      <c r="I786" s="8" t="s">
        <v>24</v>
      </c>
      <c r="J786" s="8" t="s">
        <v>76</v>
      </c>
      <c r="K786" s="8" t="s">
        <v>76</v>
      </c>
      <c r="L786" s="9"/>
      <c r="M786" s="9"/>
      <c r="N786" s="9"/>
      <c r="O786" s="9"/>
      <c r="P786" s="9"/>
      <c r="Q786" s="9"/>
      <c r="R786" s="9"/>
      <c r="S786" s="9"/>
      <c r="T786" s="9"/>
      <c r="U786" s="9"/>
      <c r="V786" s="9"/>
      <c r="W786" s="9"/>
      <c r="X786" s="9">
        <v>0</v>
      </c>
      <c r="Y786" s="9">
        <v>919</v>
      </c>
      <c r="Z786" s="9"/>
      <c r="AA786" s="9"/>
      <c r="AB786" s="9"/>
      <c r="AC786" s="9"/>
      <c r="AD786" s="9"/>
      <c r="AE786" s="9"/>
      <c r="AF786" s="9"/>
      <c r="AG786" s="9"/>
      <c r="AH786" s="7">
        <v>0</v>
      </c>
      <c r="AI786" s="7">
        <v>919</v>
      </c>
    </row>
    <row r="787" spans="2:35" x14ac:dyDescent="0.3">
      <c r="B787" s="5" t="s">
        <v>3061</v>
      </c>
      <c r="C787" s="5" t="s">
        <v>13</v>
      </c>
      <c r="D787" s="12" t="s">
        <v>1213</v>
      </c>
      <c r="E787" s="6" t="s">
        <v>972</v>
      </c>
      <c r="F787" s="13" t="s">
        <v>973</v>
      </c>
      <c r="G787" s="6" t="s">
        <v>366</v>
      </c>
      <c r="H787" s="7" t="str">
        <f t="shared" si="12"/>
        <v>EPC-IPU-L285-02Operation &amp; Maintenance</v>
      </c>
      <c r="I787" s="8" t="s">
        <v>49</v>
      </c>
      <c r="J787" s="8" t="s">
        <v>76</v>
      </c>
      <c r="K787" s="8" t="s">
        <v>76</v>
      </c>
      <c r="L787" s="9"/>
      <c r="M787" s="9"/>
      <c r="N787" s="9"/>
      <c r="O787" s="9"/>
      <c r="P787" s="9"/>
      <c r="Q787" s="9"/>
      <c r="R787" s="9"/>
      <c r="S787" s="9"/>
      <c r="T787" s="9"/>
      <c r="U787" s="9"/>
      <c r="V787" s="9"/>
      <c r="W787" s="9"/>
      <c r="X787" s="9">
        <v>30000</v>
      </c>
      <c r="Y787" s="9">
        <v>5365.69</v>
      </c>
      <c r="Z787" s="9"/>
      <c r="AA787" s="9"/>
      <c r="AB787" s="9"/>
      <c r="AC787" s="9"/>
      <c r="AD787" s="9"/>
      <c r="AE787" s="9"/>
      <c r="AF787" s="9"/>
      <c r="AG787" s="9"/>
      <c r="AH787" s="7">
        <v>30000</v>
      </c>
      <c r="AI787" s="7">
        <v>5365.69</v>
      </c>
    </row>
    <row r="788" spans="2:35" x14ac:dyDescent="0.3">
      <c r="B788" s="5" t="s">
        <v>3061</v>
      </c>
      <c r="C788" s="5" t="s">
        <v>13</v>
      </c>
      <c r="D788" s="12" t="s">
        <v>1215</v>
      </c>
      <c r="E788" s="6" t="s">
        <v>972</v>
      </c>
      <c r="F788" s="13" t="s">
        <v>973</v>
      </c>
      <c r="G788" s="6" t="s">
        <v>366</v>
      </c>
      <c r="H788" s="7" t="str">
        <f t="shared" si="12"/>
        <v>EPC-IPU-L285-02Spot</v>
      </c>
      <c r="I788" s="8" t="s">
        <v>49</v>
      </c>
      <c r="J788" s="8" t="s">
        <v>76</v>
      </c>
      <c r="K788" s="8" t="s">
        <v>76</v>
      </c>
      <c r="L788" s="9"/>
      <c r="M788" s="9"/>
      <c r="N788" s="9"/>
      <c r="O788" s="9"/>
      <c r="P788" s="9"/>
      <c r="Q788" s="9"/>
      <c r="R788" s="9"/>
      <c r="S788" s="9"/>
      <c r="T788" s="9"/>
      <c r="U788" s="9"/>
      <c r="V788" s="9"/>
      <c r="W788" s="9"/>
      <c r="X788" s="9">
        <v>0</v>
      </c>
      <c r="Y788" s="9">
        <v>23263.93</v>
      </c>
      <c r="Z788" s="9"/>
      <c r="AA788" s="9"/>
      <c r="AB788" s="9"/>
      <c r="AC788" s="9"/>
      <c r="AD788" s="9"/>
      <c r="AE788" s="9"/>
      <c r="AF788" s="9"/>
      <c r="AG788" s="9"/>
      <c r="AH788" s="7">
        <v>0</v>
      </c>
      <c r="AI788" s="7">
        <v>23263.93</v>
      </c>
    </row>
    <row r="789" spans="2:35" x14ac:dyDescent="0.3">
      <c r="B789" s="5" t="s">
        <v>3061</v>
      </c>
      <c r="C789" s="5" t="s">
        <v>13</v>
      </c>
      <c r="D789" s="12" t="s">
        <v>1215</v>
      </c>
      <c r="E789" s="6" t="s">
        <v>814</v>
      </c>
      <c r="F789" s="13" t="s">
        <v>815</v>
      </c>
      <c r="G789" s="6" t="s">
        <v>816</v>
      </c>
      <c r="H789" s="7" t="str">
        <f t="shared" si="12"/>
        <v>EPC-IPU-C058-01Spot</v>
      </c>
      <c r="I789" s="8" t="s">
        <v>18</v>
      </c>
      <c r="J789" s="8" t="s">
        <v>259</v>
      </c>
      <c r="K789" s="8" t="s">
        <v>259</v>
      </c>
      <c r="L789" s="9"/>
      <c r="M789" s="9"/>
      <c r="N789" s="9"/>
      <c r="O789" s="9"/>
      <c r="P789" s="9"/>
      <c r="Q789" s="9"/>
      <c r="R789" s="9"/>
      <c r="S789" s="9"/>
      <c r="T789" s="9"/>
      <c r="U789" s="9"/>
      <c r="V789" s="9"/>
      <c r="W789" s="9"/>
      <c r="X789" s="9">
        <v>0</v>
      </c>
      <c r="Y789" s="9">
        <v>1445.35</v>
      </c>
      <c r="Z789" s="9"/>
      <c r="AA789" s="9"/>
      <c r="AB789" s="9"/>
      <c r="AC789" s="9"/>
      <c r="AD789" s="9"/>
      <c r="AE789" s="9"/>
      <c r="AF789" s="9"/>
      <c r="AG789" s="9"/>
      <c r="AH789" s="7">
        <v>0</v>
      </c>
      <c r="AI789" s="7">
        <v>1445.35</v>
      </c>
    </row>
    <row r="790" spans="2:35" x14ac:dyDescent="0.3">
      <c r="B790" s="5" t="s">
        <v>3061</v>
      </c>
      <c r="C790" s="5" t="s">
        <v>13</v>
      </c>
      <c r="D790" s="12" t="s">
        <v>1213</v>
      </c>
      <c r="E790" s="6" t="s">
        <v>352</v>
      </c>
      <c r="F790" s="13" t="s">
        <v>353</v>
      </c>
      <c r="G790" s="6" t="s">
        <v>354</v>
      </c>
      <c r="H790" s="7" t="str">
        <f t="shared" si="12"/>
        <v>CL3-IPU-I608-01Operation &amp; Maintenance</v>
      </c>
      <c r="I790" s="8" t="s">
        <v>24</v>
      </c>
      <c r="J790" s="8" t="s">
        <v>19</v>
      </c>
      <c r="K790" s="8" t="s">
        <v>98</v>
      </c>
      <c r="L790" s="9"/>
      <c r="M790" s="9"/>
      <c r="N790" s="9"/>
      <c r="O790" s="9"/>
      <c r="P790" s="9"/>
      <c r="Q790" s="9"/>
      <c r="R790" s="9"/>
      <c r="S790" s="9"/>
      <c r="T790" s="9"/>
      <c r="U790" s="9"/>
      <c r="V790" s="9"/>
      <c r="W790" s="9"/>
      <c r="X790" s="9">
        <v>0</v>
      </c>
      <c r="Y790" s="9">
        <v>19.190000000000001</v>
      </c>
      <c r="Z790" s="9"/>
      <c r="AA790" s="9"/>
      <c r="AB790" s="9"/>
      <c r="AC790" s="9"/>
      <c r="AD790" s="9"/>
      <c r="AE790" s="9"/>
      <c r="AF790" s="9"/>
      <c r="AG790" s="9"/>
      <c r="AH790" s="7">
        <v>0</v>
      </c>
      <c r="AI790" s="7">
        <v>19.190000000000001</v>
      </c>
    </row>
    <row r="791" spans="2:35" x14ac:dyDescent="0.3">
      <c r="B791" s="5" t="s">
        <v>3061</v>
      </c>
      <c r="C791" s="5" t="s">
        <v>13</v>
      </c>
      <c r="D791" s="12" t="s">
        <v>1214</v>
      </c>
      <c r="E791" s="6" t="s">
        <v>696</v>
      </c>
      <c r="F791" s="13" t="s">
        <v>696</v>
      </c>
      <c r="G791" s="6" t="s">
        <v>688</v>
      </c>
      <c r="H791" s="7" t="str">
        <f t="shared" si="12"/>
        <v>CABLAGGIO MLSUnknown</v>
      </c>
      <c r="I791" s="8" t="s">
        <v>689</v>
      </c>
      <c r="J791" s="8" t="s">
        <v>690</v>
      </c>
      <c r="K791" s="8" t="s">
        <v>690</v>
      </c>
      <c r="L791" s="9"/>
      <c r="M791" s="9"/>
      <c r="N791" s="9"/>
      <c r="O791" s="9"/>
      <c r="P791" s="9"/>
      <c r="Q791" s="9"/>
      <c r="R791" s="9"/>
      <c r="S791" s="9"/>
      <c r="T791" s="9"/>
      <c r="U791" s="9"/>
      <c r="V791" s="9"/>
      <c r="W791" s="9"/>
      <c r="X791" s="9">
        <v>0</v>
      </c>
      <c r="Y791" s="9">
        <v>61370.27</v>
      </c>
      <c r="Z791" s="9"/>
      <c r="AA791" s="9"/>
      <c r="AB791" s="9"/>
      <c r="AC791" s="9"/>
      <c r="AD791" s="9"/>
      <c r="AE791" s="9"/>
      <c r="AF791" s="9"/>
      <c r="AG791" s="9"/>
      <c r="AH791" s="7">
        <v>0</v>
      </c>
      <c r="AI791" s="7">
        <v>61370.27</v>
      </c>
    </row>
    <row r="792" spans="2:35" x14ac:dyDescent="0.3">
      <c r="B792" s="5" t="s">
        <v>3061</v>
      </c>
      <c r="C792" s="5" t="s">
        <v>13</v>
      </c>
      <c r="D792" s="12" t="s">
        <v>1213</v>
      </c>
      <c r="E792" s="6" t="s">
        <v>281</v>
      </c>
      <c r="F792" s="13" t="s">
        <v>282</v>
      </c>
      <c r="G792" s="6" t="s">
        <v>283</v>
      </c>
      <c r="H792" s="7" t="str">
        <f t="shared" si="12"/>
        <v>CL3-IPU-H602-01Operation &amp; Maintenance</v>
      </c>
      <c r="I792" s="8" t="s">
        <v>49</v>
      </c>
      <c r="J792" s="8" t="s">
        <v>19</v>
      </c>
      <c r="K792" s="8" t="s">
        <v>98</v>
      </c>
      <c r="L792" s="9"/>
      <c r="M792" s="9"/>
      <c r="N792" s="9"/>
      <c r="O792" s="9"/>
      <c r="P792" s="9"/>
      <c r="Q792" s="9"/>
      <c r="R792" s="9"/>
      <c r="S792" s="9"/>
      <c r="T792" s="9"/>
      <c r="U792" s="9"/>
      <c r="V792" s="9"/>
      <c r="W792" s="9"/>
      <c r="X792" s="9">
        <v>0</v>
      </c>
      <c r="Y792" s="9">
        <v>4618.45</v>
      </c>
      <c r="Z792" s="9"/>
      <c r="AA792" s="9"/>
      <c r="AB792" s="9"/>
      <c r="AC792" s="9"/>
      <c r="AD792" s="9"/>
      <c r="AE792" s="9"/>
      <c r="AF792" s="9"/>
      <c r="AG792" s="9"/>
      <c r="AH792" s="7">
        <v>0</v>
      </c>
      <c r="AI792" s="7">
        <v>4618.45</v>
      </c>
    </row>
    <row r="793" spans="2:35" x14ac:dyDescent="0.3">
      <c r="B793" s="5" t="s">
        <v>3061</v>
      </c>
      <c r="C793" s="5" t="s">
        <v>13</v>
      </c>
      <c r="D793" s="12" t="s">
        <v>1213</v>
      </c>
      <c r="E793" s="6" t="s">
        <v>574</v>
      </c>
      <c r="F793" s="13" t="s">
        <v>575</v>
      </c>
      <c r="G793" s="6" t="s">
        <v>576</v>
      </c>
      <c r="H793" s="7" t="str">
        <f t="shared" si="12"/>
        <v>CL3-IPU-I441-01Operation &amp; Maintenance</v>
      </c>
      <c r="I793" s="8" t="s">
        <v>49</v>
      </c>
      <c r="J793" s="8" t="s">
        <v>19</v>
      </c>
      <c r="K793" s="8" t="s">
        <v>98</v>
      </c>
      <c r="L793" s="9"/>
      <c r="M793" s="9"/>
      <c r="N793" s="9"/>
      <c r="O793" s="9"/>
      <c r="P793" s="9"/>
      <c r="Q793" s="9"/>
      <c r="R793" s="9"/>
      <c r="S793" s="9"/>
      <c r="T793" s="9"/>
      <c r="U793" s="9"/>
      <c r="V793" s="9"/>
      <c r="W793" s="9"/>
      <c r="X793" s="9">
        <v>0</v>
      </c>
      <c r="Y793" s="9">
        <v>31993.14</v>
      </c>
      <c r="Z793" s="9"/>
      <c r="AA793" s="9"/>
      <c r="AB793" s="9"/>
      <c r="AC793" s="9"/>
      <c r="AD793" s="9"/>
      <c r="AE793" s="9"/>
      <c r="AF793" s="9"/>
      <c r="AG793" s="9"/>
      <c r="AH793" s="7">
        <v>0</v>
      </c>
      <c r="AI793" s="7">
        <v>31993.14</v>
      </c>
    </row>
    <row r="794" spans="2:35" x14ac:dyDescent="0.3">
      <c r="B794" s="5" t="s">
        <v>3061</v>
      </c>
      <c r="C794" s="5" t="s">
        <v>13</v>
      </c>
      <c r="D794" s="12" t="s">
        <v>1213</v>
      </c>
      <c r="E794" s="6" t="s">
        <v>1095</v>
      </c>
      <c r="F794" s="13" t="s">
        <v>1096</v>
      </c>
      <c r="G794" s="6" t="s">
        <v>1097</v>
      </c>
      <c r="H794" s="7" t="str">
        <f t="shared" si="12"/>
        <v>EPC-IPU-C717-03Operation &amp; Maintenance</v>
      </c>
      <c r="I794" s="8" t="s">
        <v>18</v>
      </c>
      <c r="J794" s="8" t="s">
        <v>259</v>
      </c>
      <c r="K794" s="8" t="s">
        <v>259</v>
      </c>
      <c r="L794" s="9"/>
      <c r="M794" s="9"/>
      <c r="N794" s="9"/>
      <c r="O794" s="9"/>
      <c r="P794" s="9"/>
      <c r="Q794" s="9"/>
      <c r="R794" s="9"/>
      <c r="S794" s="9"/>
      <c r="T794" s="9"/>
      <c r="U794" s="9"/>
      <c r="V794" s="9"/>
      <c r="W794" s="9"/>
      <c r="X794" s="9">
        <v>0</v>
      </c>
      <c r="Y794" s="9">
        <v>1152.22</v>
      </c>
      <c r="Z794" s="9"/>
      <c r="AA794" s="9"/>
      <c r="AB794" s="9"/>
      <c r="AC794" s="9"/>
      <c r="AD794" s="9"/>
      <c r="AE794" s="9"/>
      <c r="AF794" s="9"/>
      <c r="AG794" s="9"/>
      <c r="AH794" s="7">
        <v>0</v>
      </c>
      <c r="AI794" s="7">
        <v>1152.22</v>
      </c>
    </row>
    <row r="795" spans="2:35" x14ac:dyDescent="0.3">
      <c r="B795" s="5" t="s">
        <v>3061</v>
      </c>
      <c r="C795" s="5" t="s">
        <v>13</v>
      </c>
      <c r="D795" s="12" t="s">
        <v>72</v>
      </c>
      <c r="E795" s="6" t="s">
        <v>1095</v>
      </c>
      <c r="F795" s="13" t="s">
        <v>1096</v>
      </c>
      <c r="G795" s="6" t="s">
        <v>1097</v>
      </c>
      <c r="H795" s="7" t="str">
        <f t="shared" si="12"/>
        <v>EPC-IPU-C717-03EXTRA LAVORI</v>
      </c>
      <c r="I795" s="8" t="s">
        <v>18</v>
      </c>
      <c r="J795" s="8" t="s">
        <v>259</v>
      </c>
      <c r="K795" s="8" t="s">
        <v>259</v>
      </c>
      <c r="L795" s="9"/>
      <c r="M795" s="9"/>
      <c r="N795" s="9"/>
      <c r="O795" s="9"/>
      <c r="P795" s="9"/>
      <c r="Q795" s="9"/>
      <c r="R795" s="9"/>
      <c r="S795" s="9"/>
      <c r="T795" s="9"/>
      <c r="U795" s="9"/>
      <c r="V795" s="9"/>
      <c r="W795" s="9"/>
      <c r="X795" s="9">
        <v>3871.27</v>
      </c>
      <c r="Y795" s="9">
        <v>0</v>
      </c>
      <c r="Z795" s="9"/>
      <c r="AA795" s="9"/>
      <c r="AB795" s="9"/>
      <c r="AC795" s="9"/>
      <c r="AD795" s="9"/>
      <c r="AE795" s="9"/>
      <c r="AF795" s="9"/>
      <c r="AG795" s="9"/>
      <c r="AH795" s="7">
        <v>3871.27</v>
      </c>
      <c r="AI795" s="7">
        <v>0</v>
      </c>
    </row>
    <row r="796" spans="2:35" x14ac:dyDescent="0.3">
      <c r="B796" s="5" t="s">
        <v>3061</v>
      </c>
      <c r="C796" s="5" t="s">
        <v>13</v>
      </c>
      <c r="D796" s="12" t="s">
        <v>1215</v>
      </c>
      <c r="E796" s="6" t="s">
        <v>1095</v>
      </c>
      <c r="F796" s="13" t="s">
        <v>1096</v>
      </c>
      <c r="G796" s="6" t="s">
        <v>1097</v>
      </c>
      <c r="H796" s="7" t="str">
        <f t="shared" si="12"/>
        <v>EPC-IPU-C717-03Spot</v>
      </c>
      <c r="I796" s="8" t="s">
        <v>18</v>
      </c>
      <c r="J796" s="8" t="s">
        <v>259</v>
      </c>
      <c r="K796" s="8" t="s">
        <v>259</v>
      </c>
      <c r="L796" s="9"/>
      <c r="M796" s="9"/>
      <c r="N796" s="9"/>
      <c r="O796" s="9"/>
      <c r="P796" s="9"/>
      <c r="Q796" s="9"/>
      <c r="R796" s="9"/>
      <c r="S796" s="9"/>
      <c r="T796" s="9"/>
      <c r="U796" s="9"/>
      <c r="V796" s="9"/>
      <c r="W796" s="9"/>
      <c r="X796" s="9">
        <v>830.2</v>
      </c>
      <c r="Y796" s="9">
        <v>0</v>
      </c>
      <c r="Z796" s="9"/>
      <c r="AA796" s="9"/>
      <c r="AB796" s="9"/>
      <c r="AC796" s="9"/>
      <c r="AD796" s="9"/>
      <c r="AE796" s="9"/>
      <c r="AF796" s="9"/>
      <c r="AG796" s="9"/>
      <c r="AH796" s="7">
        <v>830.2</v>
      </c>
      <c r="AI796" s="7">
        <v>0</v>
      </c>
    </row>
    <row r="797" spans="2:35" x14ac:dyDescent="0.3">
      <c r="B797" s="5" t="s">
        <v>3061</v>
      </c>
      <c r="C797" s="5" t="s">
        <v>13</v>
      </c>
      <c r="D797" s="12" t="s">
        <v>1215</v>
      </c>
      <c r="E797" s="6" t="s">
        <v>961</v>
      </c>
      <c r="F797" s="13" t="s">
        <v>962</v>
      </c>
      <c r="G797" s="6" t="s">
        <v>453</v>
      </c>
      <c r="H797" s="7" t="str">
        <f t="shared" si="12"/>
        <v>EPC-PHV-L736-04Spot</v>
      </c>
      <c r="I797" s="8" t="s">
        <v>56</v>
      </c>
      <c r="J797" s="8" t="s">
        <v>76</v>
      </c>
      <c r="K797" s="8" t="s">
        <v>76</v>
      </c>
      <c r="L797" s="9"/>
      <c r="M797" s="9"/>
      <c r="N797" s="9"/>
      <c r="O797" s="9"/>
      <c r="P797" s="9"/>
      <c r="Q797" s="9"/>
      <c r="R797" s="9"/>
      <c r="S797" s="9"/>
      <c r="T797" s="9"/>
      <c r="U797" s="9"/>
      <c r="V797" s="9"/>
      <c r="W797" s="9"/>
      <c r="X797" s="9">
        <v>0</v>
      </c>
      <c r="Y797" s="9">
        <v>1936.47</v>
      </c>
      <c r="Z797" s="9"/>
      <c r="AA797" s="9"/>
      <c r="AB797" s="9"/>
      <c r="AC797" s="9"/>
      <c r="AD797" s="9"/>
      <c r="AE797" s="9"/>
      <c r="AF797" s="9"/>
      <c r="AG797" s="9"/>
      <c r="AH797" s="7">
        <v>0</v>
      </c>
      <c r="AI797" s="7">
        <v>1936.47</v>
      </c>
    </row>
    <row r="798" spans="2:35" x14ac:dyDescent="0.3">
      <c r="B798" s="5" t="s">
        <v>3061</v>
      </c>
      <c r="C798" s="5" t="s">
        <v>13</v>
      </c>
      <c r="D798" s="12" t="s">
        <v>1215</v>
      </c>
      <c r="E798" s="6" t="s">
        <v>805</v>
      </c>
      <c r="F798" s="13" t="s">
        <v>806</v>
      </c>
      <c r="G798" s="6" t="s">
        <v>807</v>
      </c>
      <c r="H798" s="7" t="str">
        <f t="shared" si="12"/>
        <v>EPC-IPU-B258-01Spot</v>
      </c>
      <c r="I798" s="8" t="s">
        <v>49</v>
      </c>
      <c r="J798" s="8" t="s">
        <v>259</v>
      </c>
      <c r="K798" s="8" t="s">
        <v>259</v>
      </c>
      <c r="L798" s="9"/>
      <c r="M798" s="9"/>
      <c r="N798" s="9"/>
      <c r="O798" s="9"/>
      <c r="P798" s="9"/>
      <c r="Q798" s="9"/>
      <c r="R798" s="9"/>
      <c r="S798" s="9"/>
      <c r="T798" s="9"/>
      <c r="U798" s="9"/>
      <c r="V798" s="9"/>
      <c r="W798" s="9"/>
      <c r="X798" s="9">
        <v>1871.9</v>
      </c>
      <c r="Y798" s="9">
        <v>0</v>
      </c>
      <c r="Z798" s="9"/>
      <c r="AA798" s="9"/>
      <c r="AB798" s="9"/>
      <c r="AC798" s="9"/>
      <c r="AD798" s="9"/>
      <c r="AE798" s="9"/>
      <c r="AF798" s="9"/>
      <c r="AG798" s="9"/>
      <c r="AH798" s="7">
        <v>1871.9</v>
      </c>
      <c r="AI798" s="7">
        <v>0</v>
      </c>
    </row>
    <row r="799" spans="2:35" x14ac:dyDescent="0.3">
      <c r="B799" s="5" t="s">
        <v>3061</v>
      </c>
      <c r="C799" s="5" t="s">
        <v>13</v>
      </c>
      <c r="D799" s="12" t="s">
        <v>1213</v>
      </c>
      <c r="E799" s="6" t="s">
        <v>398</v>
      </c>
      <c r="F799" s="13" t="s">
        <v>399</v>
      </c>
      <c r="G799" s="6" t="s">
        <v>400</v>
      </c>
      <c r="H799" s="7" t="str">
        <f t="shared" si="12"/>
        <v>PPP-IPU-C058-01Operation &amp; Maintenance</v>
      </c>
      <c r="I799" s="8" t="s">
        <v>18</v>
      </c>
      <c r="J799" s="8" t="s">
        <v>19</v>
      </c>
      <c r="K799" s="8" t="s">
        <v>20</v>
      </c>
      <c r="L799" s="9"/>
      <c r="M799" s="9"/>
      <c r="N799" s="9"/>
      <c r="O799" s="9"/>
      <c r="P799" s="9"/>
      <c r="Q799" s="9"/>
      <c r="R799" s="9"/>
      <c r="S799" s="9"/>
      <c r="T799" s="9"/>
      <c r="U799" s="9"/>
      <c r="V799" s="9"/>
      <c r="W799" s="9"/>
      <c r="X799" s="9">
        <v>4119.45</v>
      </c>
      <c r="Y799" s="9">
        <v>1919.45</v>
      </c>
      <c r="Z799" s="9"/>
      <c r="AA799" s="9"/>
      <c r="AB799" s="9"/>
      <c r="AC799" s="9"/>
      <c r="AD799" s="9"/>
      <c r="AE799" s="9"/>
      <c r="AF799" s="9"/>
      <c r="AG799" s="9"/>
      <c r="AH799" s="7">
        <v>4119.45</v>
      </c>
      <c r="AI799" s="7">
        <v>1919.45</v>
      </c>
    </row>
    <row r="800" spans="2:35" x14ac:dyDescent="0.3">
      <c r="B800" s="5" t="s">
        <v>3061</v>
      </c>
      <c r="C800" s="5" t="s">
        <v>13</v>
      </c>
      <c r="D800" s="12" t="s">
        <v>1214</v>
      </c>
      <c r="E800" s="6" t="s">
        <v>989</v>
      </c>
      <c r="F800" s="13" t="s">
        <v>990</v>
      </c>
      <c r="G800" s="6" t="s">
        <v>694</v>
      </c>
      <c r="H800" s="7" t="str">
        <f t="shared" si="12"/>
        <v>SEC-PHV-D593-05Unknown</v>
      </c>
      <c r="I800" s="8" t="s">
        <v>18</v>
      </c>
      <c r="J800" s="8" t="s">
        <v>454</v>
      </c>
      <c r="K800" s="8" t="s">
        <v>454</v>
      </c>
      <c r="L800" s="9"/>
      <c r="M800" s="9"/>
      <c r="N800" s="9"/>
      <c r="O800" s="9"/>
      <c r="P800" s="9"/>
      <c r="Q800" s="9"/>
      <c r="R800" s="9"/>
      <c r="S800" s="9"/>
      <c r="T800" s="9"/>
      <c r="U800" s="9"/>
      <c r="V800" s="9"/>
      <c r="W800" s="9"/>
      <c r="X800" s="9">
        <v>244.68</v>
      </c>
      <c r="Y800" s="9">
        <v>1722.06</v>
      </c>
      <c r="Z800" s="9"/>
      <c r="AA800" s="9"/>
      <c r="AB800" s="9"/>
      <c r="AC800" s="9"/>
      <c r="AD800" s="9"/>
      <c r="AE800" s="9"/>
      <c r="AF800" s="9"/>
      <c r="AG800" s="9"/>
      <c r="AH800" s="7">
        <v>244.68</v>
      </c>
      <c r="AI800" s="7">
        <v>1722.06</v>
      </c>
    </row>
    <row r="801" spans="2:35" x14ac:dyDescent="0.3">
      <c r="B801" s="5" t="s">
        <v>3061</v>
      </c>
      <c r="C801" s="5" t="s">
        <v>13</v>
      </c>
      <c r="D801" s="12" t="s">
        <v>1214</v>
      </c>
      <c r="E801" s="6" t="s">
        <v>691</v>
      </c>
      <c r="F801" s="13" t="s">
        <v>691</v>
      </c>
      <c r="G801" s="6" t="s">
        <v>688</v>
      </c>
      <c r="H801" s="7" t="str">
        <f t="shared" si="12"/>
        <v>STRUTTURA BU NORDUnknown</v>
      </c>
      <c r="I801" s="8" t="s">
        <v>689</v>
      </c>
      <c r="J801" s="8" t="s">
        <v>690</v>
      </c>
      <c r="K801" s="8" t="s">
        <v>690</v>
      </c>
      <c r="L801" s="9"/>
      <c r="M801" s="9"/>
      <c r="N801" s="9"/>
      <c r="O801" s="9"/>
      <c r="P801" s="9"/>
      <c r="Q801" s="9"/>
      <c r="R801" s="9"/>
      <c r="S801" s="9"/>
      <c r="T801" s="9"/>
      <c r="U801" s="9"/>
      <c r="V801" s="9"/>
      <c r="W801" s="9"/>
      <c r="X801" s="9">
        <v>0</v>
      </c>
      <c r="Y801" s="9">
        <v>56672.09</v>
      </c>
      <c r="Z801" s="9"/>
      <c r="AA801" s="9"/>
      <c r="AB801" s="9"/>
      <c r="AC801" s="9"/>
      <c r="AD801" s="9"/>
      <c r="AE801" s="9"/>
      <c r="AF801" s="9"/>
      <c r="AG801" s="9"/>
      <c r="AH801" s="7">
        <v>0</v>
      </c>
      <c r="AI801" s="7">
        <v>56672.09</v>
      </c>
    </row>
    <row r="802" spans="2:35" x14ac:dyDescent="0.3">
      <c r="B802" s="5" t="s">
        <v>3061</v>
      </c>
      <c r="C802" s="5" t="s">
        <v>13</v>
      </c>
      <c r="D802" s="12" t="s">
        <v>1213</v>
      </c>
      <c r="E802" s="6" t="s">
        <v>544</v>
      </c>
      <c r="F802" s="13" t="s">
        <v>545</v>
      </c>
      <c r="G802" s="6" t="s">
        <v>546</v>
      </c>
      <c r="H802" s="7" t="str">
        <f t="shared" si="12"/>
        <v>ATI-IPU-M122-01Operation &amp; Maintenance</v>
      </c>
      <c r="I802" s="8" t="s">
        <v>49</v>
      </c>
      <c r="J802" s="8" t="s">
        <v>19</v>
      </c>
      <c r="K802" s="8" t="s">
        <v>20</v>
      </c>
      <c r="L802" s="9"/>
      <c r="M802" s="9"/>
      <c r="N802" s="9"/>
      <c r="O802" s="9"/>
      <c r="P802" s="9"/>
      <c r="Q802" s="9"/>
      <c r="R802" s="9"/>
      <c r="S802" s="9"/>
      <c r="T802" s="9"/>
      <c r="U802" s="9"/>
      <c r="V802" s="9"/>
      <c r="W802" s="9"/>
      <c r="X802" s="9">
        <v>5077.67</v>
      </c>
      <c r="Y802" s="9">
        <v>2547.23</v>
      </c>
      <c r="Z802" s="9"/>
      <c r="AA802" s="9"/>
      <c r="AB802" s="9"/>
      <c r="AC802" s="9"/>
      <c r="AD802" s="9"/>
      <c r="AE802" s="9"/>
      <c r="AF802" s="9"/>
      <c r="AG802" s="9"/>
      <c r="AH802" s="7">
        <v>5077.67</v>
      </c>
      <c r="AI802" s="7">
        <v>2547.23</v>
      </c>
    </row>
    <row r="803" spans="2:35" x14ac:dyDescent="0.3">
      <c r="B803" s="5" t="s">
        <v>3061</v>
      </c>
      <c r="C803" s="5" t="s">
        <v>13</v>
      </c>
      <c r="D803" s="12" t="s">
        <v>1215</v>
      </c>
      <c r="E803" s="6" t="s">
        <v>848</v>
      </c>
      <c r="F803" s="13" t="s">
        <v>849</v>
      </c>
      <c r="G803" s="6" t="s">
        <v>850</v>
      </c>
      <c r="H803" s="7" t="str">
        <f t="shared" si="12"/>
        <v>EPC-IPU-B162-02Spot</v>
      </c>
      <c r="I803" s="8" t="s">
        <v>49</v>
      </c>
      <c r="J803" s="8" t="s">
        <v>259</v>
      </c>
      <c r="K803" s="8" t="s">
        <v>259</v>
      </c>
      <c r="L803" s="9"/>
      <c r="M803" s="9"/>
      <c r="N803" s="9"/>
      <c r="O803" s="9"/>
      <c r="P803" s="9"/>
      <c r="Q803" s="9"/>
      <c r="R803" s="9"/>
      <c r="S803" s="9"/>
      <c r="T803" s="9"/>
      <c r="U803" s="9"/>
      <c r="V803" s="9"/>
      <c r="W803" s="9"/>
      <c r="X803" s="9">
        <v>3290.86</v>
      </c>
      <c r="Y803" s="9">
        <v>0</v>
      </c>
      <c r="Z803" s="9"/>
      <c r="AA803" s="9"/>
      <c r="AB803" s="9"/>
      <c r="AC803" s="9"/>
      <c r="AD803" s="9"/>
      <c r="AE803" s="9"/>
      <c r="AF803" s="9"/>
      <c r="AG803" s="9"/>
      <c r="AH803" s="7">
        <v>3290.86</v>
      </c>
      <c r="AI803" s="7">
        <v>0</v>
      </c>
    </row>
    <row r="804" spans="2:35" x14ac:dyDescent="0.3">
      <c r="B804" s="5" t="s">
        <v>3061</v>
      </c>
      <c r="C804" s="5" t="s">
        <v>13</v>
      </c>
      <c r="D804" s="12" t="s">
        <v>1213</v>
      </c>
      <c r="E804" s="6" t="s">
        <v>521</v>
      </c>
      <c r="F804" s="13" t="s">
        <v>522</v>
      </c>
      <c r="G804" s="6" t="s">
        <v>523</v>
      </c>
      <c r="H804" s="7" t="str">
        <f t="shared" si="12"/>
        <v>CL3-IPU-B731-01Operation &amp; Maintenance</v>
      </c>
      <c r="I804" s="8" t="s">
        <v>49</v>
      </c>
      <c r="J804" s="8" t="s">
        <v>19</v>
      </c>
      <c r="K804" s="8" t="s">
        <v>98</v>
      </c>
      <c r="L804" s="9"/>
      <c r="M804" s="9"/>
      <c r="N804" s="9"/>
      <c r="O804" s="9"/>
      <c r="P804" s="9"/>
      <c r="Q804" s="9"/>
      <c r="R804" s="9"/>
      <c r="S804" s="9"/>
      <c r="T804" s="9"/>
      <c r="U804" s="9"/>
      <c r="V804" s="9"/>
      <c r="W804" s="9"/>
      <c r="X804" s="9">
        <v>0</v>
      </c>
      <c r="Y804" s="9">
        <v>10921.2</v>
      </c>
      <c r="Z804" s="9"/>
      <c r="AA804" s="9"/>
      <c r="AB804" s="9"/>
      <c r="AC804" s="9"/>
      <c r="AD804" s="9"/>
      <c r="AE804" s="9"/>
      <c r="AF804" s="9"/>
      <c r="AG804" s="9"/>
      <c r="AH804" s="7">
        <v>0</v>
      </c>
      <c r="AI804" s="7">
        <v>10921.2</v>
      </c>
    </row>
    <row r="805" spans="2:35" x14ac:dyDescent="0.3">
      <c r="B805" s="5" t="s">
        <v>3061</v>
      </c>
      <c r="C805" s="5" t="s">
        <v>13</v>
      </c>
      <c r="D805" s="12" t="s">
        <v>1215</v>
      </c>
      <c r="E805" s="6" t="s">
        <v>595</v>
      </c>
      <c r="F805" s="13" t="s">
        <v>596</v>
      </c>
      <c r="G805" s="6" t="s">
        <v>597</v>
      </c>
      <c r="H805" s="7" t="str">
        <f t="shared" si="12"/>
        <v>EPC-IPU-L736-01Spot</v>
      </c>
      <c r="I805" s="8" t="s">
        <v>56</v>
      </c>
      <c r="J805" s="8" t="s">
        <v>76</v>
      </c>
      <c r="K805" s="8" t="s">
        <v>76</v>
      </c>
      <c r="L805" s="9"/>
      <c r="M805" s="9"/>
      <c r="N805" s="9"/>
      <c r="O805" s="9"/>
      <c r="P805" s="9"/>
      <c r="Q805" s="9"/>
      <c r="R805" s="9"/>
      <c r="S805" s="9"/>
      <c r="T805" s="9"/>
      <c r="U805" s="9"/>
      <c r="V805" s="9"/>
      <c r="W805" s="9"/>
      <c r="X805" s="9">
        <v>0</v>
      </c>
      <c r="Y805" s="9">
        <v>0</v>
      </c>
      <c r="Z805" s="9"/>
      <c r="AA805" s="9"/>
      <c r="AB805" s="9"/>
      <c r="AC805" s="9"/>
      <c r="AD805" s="9"/>
      <c r="AE805" s="9"/>
      <c r="AF805" s="9"/>
      <c r="AG805" s="9"/>
      <c r="AH805" s="7">
        <v>0</v>
      </c>
      <c r="AI805" s="7">
        <v>0</v>
      </c>
    </row>
    <row r="806" spans="2:35" x14ac:dyDescent="0.3">
      <c r="B806" s="5" t="s">
        <v>3061</v>
      </c>
      <c r="C806" s="5" t="s">
        <v>13</v>
      </c>
      <c r="D806" s="12" t="s">
        <v>1213</v>
      </c>
      <c r="E806" s="6" t="s">
        <v>595</v>
      </c>
      <c r="F806" s="13" t="s">
        <v>596</v>
      </c>
      <c r="G806" s="6" t="s">
        <v>597</v>
      </c>
      <c r="H806" s="7" t="str">
        <f t="shared" si="12"/>
        <v>EPC-IPU-L736-01Operation &amp; Maintenance</v>
      </c>
      <c r="I806" s="8" t="s">
        <v>56</v>
      </c>
      <c r="J806" s="8" t="s">
        <v>76</v>
      </c>
      <c r="K806" s="8" t="s">
        <v>76</v>
      </c>
      <c r="L806" s="9"/>
      <c r="M806" s="9"/>
      <c r="N806" s="9"/>
      <c r="O806" s="9"/>
      <c r="P806" s="9"/>
      <c r="Q806" s="9"/>
      <c r="R806" s="9"/>
      <c r="S806" s="9"/>
      <c r="T806" s="9"/>
      <c r="U806" s="9"/>
      <c r="V806" s="9"/>
      <c r="W806" s="9"/>
      <c r="X806" s="9">
        <v>0</v>
      </c>
      <c r="Y806" s="9">
        <v>3477.79</v>
      </c>
      <c r="Z806" s="9"/>
      <c r="AA806" s="9"/>
      <c r="AB806" s="9"/>
      <c r="AC806" s="9"/>
      <c r="AD806" s="9"/>
      <c r="AE806" s="9"/>
      <c r="AF806" s="9"/>
      <c r="AG806" s="9"/>
      <c r="AH806" s="7">
        <v>0</v>
      </c>
      <c r="AI806" s="7">
        <v>3477.79</v>
      </c>
    </row>
    <row r="807" spans="2:35" x14ac:dyDescent="0.3">
      <c r="B807" s="5" t="s">
        <v>3061</v>
      </c>
      <c r="C807" s="5" t="s">
        <v>13</v>
      </c>
      <c r="D807" s="12" t="s">
        <v>1213</v>
      </c>
      <c r="E807" s="6" t="s">
        <v>190</v>
      </c>
      <c r="F807" s="13" t="s">
        <v>191</v>
      </c>
      <c r="G807" s="6" t="s">
        <v>192</v>
      </c>
      <c r="H807" s="7" t="str">
        <f t="shared" si="12"/>
        <v>PPP-IPU-A942-01Operation &amp; Maintenance</v>
      </c>
      <c r="I807" s="8" t="s">
        <v>18</v>
      </c>
      <c r="J807" s="8" t="s">
        <v>19</v>
      </c>
      <c r="K807" s="8" t="s">
        <v>20</v>
      </c>
      <c r="L807" s="9"/>
      <c r="M807" s="9"/>
      <c r="N807" s="9"/>
      <c r="O807" s="9"/>
      <c r="P807" s="9"/>
      <c r="Q807" s="9"/>
      <c r="R807" s="9"/>
      <c r="S807" s="9"/>
      <c r="T807" s="9"/>
      <c r="U807" s="9"/>
      <c r="V807" s="9"/>
      <c r="W807" s="9"/>
      <c r="X807" s="9">
        <v>27493.03</v>
      </c>
      <c r="Y807" s="9">
        <v>3729</v>
      </c>
      <c r="Z807" s="9"/>
      <c r="AA807" s="9"/>
      <c r="AB807" s="9"/>
      <c r="AC807" s="9"/>
      <c r="AD807" s="9"/>
      <c r="AE807" s="9"/>
      <c r="AF807" s="9"/>
      <c r="AG807" s="9"/>
      <c r="AH807" s="7">
        <v>27493.03</v>
      </c>
      <c r="AI807" s="7">
        <v>3729</v>
      </c>
    </row>
    <row r="808" spans="2:35" x14ac:dyDescent="0.3">
      <c r="B808" s="5" t="s">
        <v>3061</v>
      </c>
      <c r="C808" s="5" t="s">
        <v>13</v>
      </c>
      <c r="D808" s="12" t="s">
        <v>1215</v>
      </c>
      <c r="E808" s="6" t="s">
        <v>679</v>
      </c>
      <c r="F808" s="13" t="s">
        <v>680</v>
      </c>
      <c r="G808" s="6" t="s">
        <v>681</v>
      </c>
      <c r="H808" s="7" t="str">
        <f t="shared" si="12"/>
        <v>EPC-IPU-F736-03Spot</v>
      </c>
      <c r="I808" s="8" t="s">
        <v>49</v>
      </c>
      <c r="J808" s="8" t="s">
        <v>259</v>
      </c>
      <c r="K808" s="8" t="s">
        <v>259</v>
      </c>
      <c r="L808" s="9"/>
      <c r="M808" s="9"/>
      <c r="N808" s="9"/>
      <c r="O808" s="9"/>
      <c r="P808" s="9"/>
      <c r="Q808" s="9"/>
      <c r="R808" s="9"/>
      <c r="S808" s="9"/>
      <c r="T808" s="9"/>
      <c r="U808" s="9"/>
      <c r="V808" s="9"/>
      <c r="W808" s="9"/>
      <c r="X808" s="9">
        <v>1179.0999999999999</v>
      </c>
      <c r="Y808" s="9">
        <v>0</v>
      </c>
      <c r="Z808" s="9"/>
      <c r="AA808" s="9"/>
      <c r="AB808" s="9"/>
      <c r="AC808" s="9"/>
      <c r="AD808" s="9"/>
      <c r="AE808" s="9"/>
      <c r="AF808" s="9"/>
      <c r="AG808" s="9"/>
      <c r="AH808" s="7">
        <v>1179.0999999999999</v>
      </c>
      <c r="AI808" s="7">
        <v>0</v>
      </c>
    </row>
    <row r="809" spans="2:35" x14ac:dyDescent="0.3">
      <c r="B809" s="5" t="s">
        <v>3061</v>
      </c>
      <c r="C809" s="5" t="s">
        <v>13</v>
      </c>
      <c r="D809" s="12" t="s">
        <v>1215</v>
      </c>
      <c r="E809" s="6" t="s">
        <v>977</v>
      </c>
      <c r="F809" s="13" t="s">
        <v>978</v>
      </c>
      <c r="G809" s="6" t="s">
        <v>566</v>
      </c>
      <c r="H809" s="7" t="str">
        <f t="shared" si="12"/>
        <v>EPC-IPU-L191-05Spot</v>
      </c>
      <c r="I809" s="8" t="s">
        <v>24</v>
      </c>
      <c r="J809" s="8" t="s">
        <v>76</v>
      </c>
      <c r="K809" s="8" t="s">
        <v>76</v>
      </c>
      <c r="L809" s="9"/>
      <c r="M809" s="9"/>
      <c r="N809" s="9"/>
      <c r="O809" s="9"/>
      <c r="P809" s="9"/>
      <c r="Q809" s="9"/>
      <c r="R809" s="9"/>
      <c r="S809" s="9"/>
      <c r="T809" s="9"/>
      <c r="U809" s="9"/>
      <c r="V809" s="9"/>
      <c r="W809" s="9"/>
      <c r="X809" s="9">
        <v>1612.45</v>
      </c>
      <c r="Y809" s="9">
        <v>0</v>
      </c>
      <c r="Z809" s="9"/>
      <c r="AA809" s="9"/>
      <c r="AB809" s="9"/>
      <c r="AC809" s="9"/>
      <c r="AD809" s="9"/>
      <c r="AE809" s="9"/>
      <c r="AF809" s="9"/>
      <c r="AG809" s="9"/>
      <c r="AH809" s="7">
        <v>1612.45</v>
      </c>
      <c r="AI809" s="7">
        <v>0</v>
      </c>
    </row>
    <row r="810" spans="2:35" x14ac:dyDescent="0.3">
      <c r="B810" s="5" t="s">
        <v>3061</v>
      </c>
      <c r="C810" s="5" t="s">
        <v>13</v>
      </c>
      <c r="D810" s="12" t="s">
        <v>1214</v>
      </c>
      <c r="E810" s="6" t="s">
        <v>1073</v>
      </c>
      <c r="F810" s="13" t="s">
        <v>1074</v>
      </c>
      <c r="G810" s="6" t="s">
        <v>694</v>
      </c>
      <c r="H810" s="7" t="str">
        <f t="shared" si="12"/>
        <v>SEC-PHV-D593-02Unknown</v>
      </c>
      <c r="I810" s="8" t="s">
        <v>18</v>
      </c>
      <c r="J810" s="8" t="s">
        <v>454</v>
      </c>
      <c r="K810" s="8" t="s">
        <v>454</v>
      </c>
      <c r="L810" s="9"/>
      <c r="M810" s="9"/>
      <c r="N810" s="9"/>
      <c r="O810" s="9"/>
      <c r="P810" s="9"/>
      <c r="Q810" s="9"/>
      <c r="R810" s="9"/>
      <c r="S810" s="9"/>
      <c r="T810" s="9"/>
      <c r="U810" s="9"/>
      <c r="V810" s="9"/>
      <c r="W810" s="9"/>
      <c r="X810" s="9">
        <v>0</v>
      </c>
      <c r="Y810" s="9">
        <v>339.54</v>
      </c>
      <c r="Z810" s="9"/>
      <c r="AA810" s="9"/>
      <c r="AB810" s="9"/>
      <c r="AC810" s="9"/>
      <c r="AD810" s="9"/>
      <c r="AE810" s="9"/>
      <c r="AF810" s="9"/>
      <c r="AG810" s="9"/>
      <c r="AH810" s="7">
        <v>0</v>
      </c>
      <c r="AI810" s="7">
        <v>339.54</v>
      </c>
    </row>
    <row r="811" spans="2:35" x14ac:dyDescent="0.3">
      <c r="B811" s="5" t="s">
        <v>3061</v>
      </c>
      <c r="C811" s="5" t="s">
        <v>13</v>
      </c>
      <c r="D811" s="12" t="s">
        <v>1213</v>
      </c>
      <c r="E811" s="6" t="s">
        <v>1193</v>
      </c>
      <c r="F811" s="13" t="s">
        <v>1194</v>
      </c>
      <c r="G811" s="6" t="s">
        <v>466</v>
      </c>
      <c r="H811" s="7" t="str">
        <f t="shared" si="12"/>
        <v>EPC-IPU-B162-06Operation &amp; Maintenance</v>
      </c>
      <c r="I811" s="8" t="s">
        <v>49</v>
      </c>
      <c r="J811" s="8" t="s">
        <v>76</v>
      </c>
      <c r="K811" s="8" t="s">
        <v>76</v>
      </c>
      <c r="L811" s="9"/>
      <c r="M811" s="9"/>
      <c r="N811" s="9"/>
      <c r="O811" s="9"/>
      <c r="P811" s="9"/>
      <c r="Q811" s="9"/>
      <c r="R811" s="9"/>
      <c r="S811" s="9"/>
      <c r="T811" s="9"/>
      <c r="U811" s="9"/>
      <c r="V811" s="9"/>
      <c r="W811" s="9"/>
      <c r="X811" s="9">
        <v>12233.6</v>
      </c>
      <c r="Y811" s="9">
        <v>0</v>
      </c>
      <c r="Z811" s="9"/>
      <c r="AA811" s="9"/>
      <c r="AB811" s="9"/>
      <c r="AC811" s="9"/>
      <c r="AD811" s="9"/>
      <c r="AE811" s="9"/>
      <c r="AF811" s="9"/>
      <c r="AG811" s="9"/>
      <c r="AH811" s="7">
        <v>12233.6</v>
      </c>
      <c r="AI811" s="7">
        <v>0</v>
      </c>
    </row>
    <row r="812" spans="2:35" x14ac:dyDescent="0.3">
      <c r="B812" s="5" t="s">
        <v>3061</v>
      </c>
      <c r="C812" s="5" t="s">
        <v>13</v>
      </c>
      <c r="D812" s="12" t="s">
        <v>1215</v>
      </c>
      <c r="E812" s="6" t="s">
        <v>1158</v>
      </c>
      <c r="F812" s="13" t="s">
        <v>1159</v>
      </c>
      <c r="G812" s="6" t="s">
        <v>1160</v>
      </c>
      <c r="H812" s="7" t="str">
        <f t="shared" si="12"/>
        <v>EPC-IPU-E246-04Spot</v>
      </c>
      <c r="I812" s="8" t="s">
        <v>18</v>
      </c>
      <c r="J812" s="8" t="s">
        <v>76</v>
      </c>
      <c r="K812" s="8" t="s">
        <v>76</v>
      </c>
      <c r="L812" s="9"/>
      <c r="M812" s="9"/>
      <c r="N812" s="9"/>
      <c r="O812" s="9"/>
      <c r="P812" s="9"/>
      <c r="Q812" s="9"/>
      <c r="R812" s="9"/>
      <c r="S812" s="9"/>
      <c r="T812" s="9"/>
      <c r="U812" s="9"/>
      <c r="V812" s="9"/>
      <c r="W812" s="9"/>
      <c r="X812" s="9">
        <v>4500</v>
      </c>
      <c r="Y812" s="9">
        <v>0</v>
      </c>
      <c r="Z812" s="9"/>
      <c r="AA812" s="9"/>
      <c r="AB812" s="9"/>
      <c r="AC812" s="9"/>
      <c r="AD812" s="9"/>
      <c r="AE812" s="9"/>
      <c r="AF812" s="9"/>
      <c r="AG812" s="9"/>
      <c r="AH812" s="7">
        <v>4500</v>
      </c>
      <c r="AI812" s="7">
        <v>0</v>
      </c>
    </row>
    <row r="813" spans="2:35" x14ac:dyDescent="0.3">
      <c r="B813" s="5" t="s">
        <v>3061</v>
      </c>
      <c r="C813" s="5" t="s">
        <v>13</v>
      </c>
      <c r="D813" s="12" t="s">
        <v>1213</v>
      </c>
      <c r="E813" s="6" t="s">
        <v>80</v>
      </c>
      <c r="F813" s="13" t="s">
        <v>81</v>
      </c>
      <c r="G813" s="6" t="s">
        <v>82</v>
      </c>
      <c r="H813" s="7" t="str">
        <f t="shared" si="12"/>
        <v>PPP-IPU-G761-01Operation &amp; Maintenance</v>
      </c>
      <c r="I813" s="8" t="s">
        <v>18</v>
      </c>
      <c r="J813" s="8" t="s">
        <v>19</v>
      </c>
      <c r="K813" s="8" t="s">
        <v>20</v>
      </c>
      <c r="L813" s="9"/>
      <c r="M813" s="9"/>
      <c r="N813" s="9"/>
      <c r="O813" s="9"/>
      <c r="P813" s="9"/>
      <c r="Q813" s="9"/>
      <c r="R813" s="9"/>
      <c r="S813" s="9"/>
      <c r="T813" s="9"/>
      <c r="U813" s="9"/>
      <c r="V813" s="9"/>
      <c r="W813" s="9"/>
      <c r="X813" s="9">
        <v>13193.57</v>
      </c>
      <c r="Y813" s="9">
        <v>2375.6799999999998</v>
      </c>
      <c r="Z813" s="9"/>
      <c r="AA813" s="9"/>
      <c r="AB813" s="9"/>
      <c r="AC813" s="9"/>
      <c r="AD813" s="9"/>
      <c r="AE813" s="9"/>
      <c r="AF813" s="9"/>
      <c r="AG813" s="9"/>
      <c r="AH813" s="7">
        <v>13193.57</v>
      </c>
      <c r="AI813" s="7">
        <v>2375.6799999999998</v>
      </c>
    </row>
    <row r="814" spans="2:35" x14ac:dyDescent="0.3">
      <c r="B814" s="5" t="s">
        <v>3061</v>
      </c>
      <c r="C814" s="5" t="s">
        <v>13</v>
      </c>
      <c r="D814" s="12" t="s">
        <v>1215</v>
      </c>
      <c r="E814" s="6" t="s">
        <v>820</v>
      </c>
      <c r="F814" s="13" t="s">
        <v>821</v>
      </c>
      <c r="G814" s="6" t="s">
        <v>822</v>
      </c>
      <c r="H814" s="7" t="str">
        <f t="shared" si="12"/>
        <v>EPC-IPU-F704-03Spot</v>
      </c>
      <c r="I814" s="8" t="s">
        <v>49</v>
      </c>
      <c r="J814" s="8" t="s">
        <v>259</v>
      </c>
      <c r="K814" s="8" t="s">
        <v>259</v>
      </c>
      <c r="L814" s="9"/>
      <c r="M814" s="9"/>
      <c r="N814" s="9"/>
      <c r="O814" s="9"/>
      <c r="P814" s="9"/>
      <c r="Q814" s="9"/>
      <c r="R814" s="9"/>
      <c r="S814" s="9"/>
      <c r="T814" s="9"/>
      <c r="U814" s="9"/>
      <c r="V814" s="9"/>
      <c r="W814" s="9"/>
      <c r="X814" s="9">
        <v>0</v>
      </c>
      <c r="Y814" s="9">
        <v>320.39999999999998</v>
      </c>
      <c r="Z814" s="9"/>
      <c r="AA814" s="9"/>
      <c r="AB814" s="9"/>
      <c r="AC814" s="9"/>
      <c r="AD814" s="9"/>
      <c r="AE814" s="9"/>
      <c r="AF814" s="9"/>
      <c r="AG814" s="9"/>
      <c r="AH814" s="7">
        <v>0</v>
      </c>
      <c r="AI814" s="7">
        <v>320.39999999999998</v>
      </c>
    </row>
    <row r="815" spans="2:35" x14ac:dyDescent="0.3">
      <c r="B815" s="5" t="s">
        <v>3061</v>
      </c>
      <c r="C815" s="5" t="s">
        <v>13</v>
      </c>
      <c r="D815" s="12" t="s">
        <v>1213</v>
      </c>
      <c r="E815" s="6" t="s">
        <v>651</v>
      </c>
      <c r="F815" s="13" t="s">
        <v>652</v>
      </c>
      <c r="G815" s="6" t="s">
        <v>653</v>
      </c>
      <c r="H815" s="7" t="str">
        <f t="shared" si="12"/>
        <v>CL3-IPU-B352-01Operation &amp; Maintenance</v>
      </c>
      <c r="I815" s="8" t="s">
        <v>24</v>
      </c>
      <c r="J815" s="8" t="s">
        <v>19</v>
      </c>
      <c r="K815" s="8" t="s">
        <v>98</v>
      </c>
      <c r="L815" s="9"/>
      <c r="M815" s="9"/>
      <c r="N815" s="9"/>
      <c r="O815" s="9"/>
      <c r="P815" s="9"/>
      <c r="Q815" s="9"/>
      <c r="R815" s="9"/>
      <c r="S815" s="9"/>
      <c r="T815" s="9"/>
      <c r="U815" s="9"/>
      <c r="V815" s="9"/>
      <c r="W815" s="9"/>
      <c r="X815" s="9">
        <v>0</v>
      </c>
      <c r="Y815" s="9">
        <v>-94.86</v>
      </c>
      <c r="Z815" s="9"/>
      <c r="AA815" s="9"/>
      <c r="AB815" s="9"/>
      <c r="AC815" s="9"/>
      <c r="AD815" s="9"/>
      <c r="AE815" s="9"/>
      <c r="AF815" s="9"/>
      <c r="AG815" s="9"/>
      <c r="AH815" s="7">
        <v>0</v>
      </c>
      <c r="AI815" s="7">
        <v>-94.86</v>
      </c>
    </row>
    <row r="816" spans="2:35" x14ac:dyDescent="0.3">
      <c r="B816" s="5" t="s">
        <v>3061</v>
      </c>
      <c r="C816" s="5" t="s">
        <v>13</v>
      </c>
      <c r="D816" s="12" t="s">
        <v>1213</v>
      </c>
      <c r="E816" s="6" t="s">
        <v>509</v>
      </c>
      <c r="F816" s="13" t="s">
        <v>510</v>
      </c>
      <c r="G816" s="6" t="s">
        <v>511</v>
      </c>
      <c r="H816" s="7" t="str">
        <f t="shared" si="12"/>
        <v>PPP-IPU-H052-01Operation &amp; Maintenance</v>
      </c>
      <c r="I816" s="8" t="s">
        <v>24</v>
      </c>
      <c r="J816" s="8" t="s">
        <v>19</v>
      </c>
      <c r="K816" s="8" t="s">
        <v>20</v>
      </c>
      <c r="L816" s="9"/>
      <c r="M816" s="9"/>
      <c r="N816" s="9"/>
      <c r="O816" s="9"/>
      <c r="P816" s="9"/>
      <c r="Q816" s="9"/>
      <c r="R816" s="9"/>
      <c r="S816" s="9"/>
      <c r="T816" s="9"/>
      <c r="U816" s="9"/>
      <c r="V816" s="9"/>
      <c r="W816" s="9"/>
      <c r="X816" s="9">
        <v>14178.86</v>
      </c>
      <c r="Y816" s="9">
        <v>2743.27</v>
      </c>
      <c r="Z816" s="9"/>
      <c r="AA816" s="9"/>
      <c r="AB816" s="9"/>
      <c r="AC816" s="9"/>
      <c r="AD816" s="9"/>
      <c r="AE816" s="9"/>
      <c r="AF816" s="9"/>
      <c r="AG816" s="9"/>
      <c r="AH816" s="7">
        <v>14178.86</v>
      </c>
      <c r="AI816" s="7">
        <v>2743.27</v>
      </c>
    </row>
    <row r="817" spans="2:35" x14ac:dyDescent="0.3">
      <c r="B817" s="5" t="s">
        <v>3061</v>
      </c>
      <c r="C817" s="5" t="s">
        <v>13</v>
      </c>
      <c r="D817" s="12" t="s">
        <v>1213</v>
      </c>
      <c r="E817" s="6" t="s">
        <v>230</v>
      </c>
      <c r="F817" s="13" t="s">
        <v>231</v>
      </c>
      <c r="G817" s="6" t="s">
        <v>232</v>
      </c>
      <c r="H817" s="7" t="str">
        <f t="shared" si="12"/>
        <v>PPP-IPU-D269-01Operation &amp; Maintenance</v>
      </c>
      <c r="I817" s="8" t="s">
        <v>18</v>
      </c>
      <c r="J817" s="8" t="s">
        <v>19</v>
      </c>
      <c r="K817" s="8" t="s">
        <v>20</v>
      </c>
      <c r="L817" s="9"/>
      <c r="M817" s="9"/>
      <c r="N817" s="9"/>
      <c r="O817" s="9"/>
      <c r="P817" s="9"/>
      <c r="Q817" s="9"/>
      <c r="R817" s="9"/>
      <c r="S817" s="9"/>
      <c r="T817" s="9"/>
      <c r="U817" s="9"/>
      <c r="V817" s="9"/>
      <c r="W817" s="9"/>
      <c r="X817" s="9">
        <v>40666.6</v>
      </c>
      <c r="Y817" s="9">
        <v>0</v>
      </c>
      <c r="Z817" s="9"/>
      <c r="AA817" s="9"/>
      <c r="AB817" s="9"/>
      <c r="AC817" s="9"/>
      <c r="AD817" s="9"/>
      <c r="AE817" s="9"/>
      <c r="AF817" s="9"/>
      <c r="AG817" s="9"/>
      <c r="AH817" s="7">
        <v>40666.6</v>
      </c>
      <c r="AI817" s="7">
        <v>0</v>
      </c>
    </row>
    <row r="818" spans="2:35" x14ac:dyDescent="0.3">
      <c r="B818" s="5" t="s">
        <v>3061</v>
      </c>
      <c r="C818" s="5" t="s">
        <v>13</v>
      </c>
      <c r="D818" s="12" t="s">
        <v>1215</v>
      </c>
      <c r="E818" s="6" t="s">
        <v>832</v>
      </c>
      <c r="F818" s="13" t="s">
        <v>833</v>
      </c>
      <c r="G818" s="6" t="s">
        <v>834</v>
      </c>
      <c r="H818" s="7" t="str">
        <f t="shared" si="12"/>
        <v>EPC-IPU-E951-05Spot</v>
      </c>
      <c r="I818" s="8" t="s">
        <v>49</v>
      </c>
      <c r="J818" s="8" t="s">
        <v>259</v>
      </c>
      <c r="K818" s="8" t="s">
        <v>259</v>
      </c>
      <c r="L818" s="9"/>
      <c r="M818" s="9"/>
      <c r="N818" s="9"/>
      <c r="O818" s="9"/>
      <c r="P818" s="9"/>
      <c r="Q818" s="9"/>
      <c r="R818" s="9"/>
      <c r="S818" s="9"/>
      <c r="T818" s="9"/>
      <c r="U818" s="9"/>
      <c r="V818" s="9"/>
      <c r="W818" s="9"/>
      <c r="X818" s="9">
        <v>1461.38</v>
      </c>
      <c r="Y818" s="9">
        <v>0</v>
      </c>
      <c r="Z818" s="9"/>
      <c r="AA818" s="9"/>
      <c r="AB818" s="9"/>
      <c r="AC818" s="9"/>
      <c r="AD818" s="9"/>
      <c r="AE818" s="9"/>
      <c r="AF818" s="9"/>
      <c r="AG818" s="9"/>
      <c r="AH818" s="7">
        <v>1461.38</v>
      </c>
      <c r="AI818" s="7">
        <v>0</v>
      </c>
    </row>
    <row r="819" spans="2:35" x14ac:dyDescent="0.3">
      <c r="B819" s="5" t="s">
        <v>3061</v>
      </c>
      <c r="C819" s="5" t="s">
        <v>13</v>
      </c>
      <c r="D819" s="12" t="s">
        <v>1213</v>
      </c>
      <c r="E819" s="6" t="s">
        <v>343</v>
      </c>
      <c r="F819" s="13" t="s">
        <v>344</v>
      </c>
      <c r="G819" s="6" t="s">
        <v>345</v>
      </c>
      <c r="H819" s="7" t="str">
        <f t="shared" si="12"/>
        <v>PPP-IPU-H795-01Operation &amp; Maintenance</v>
      </c>
      <c r="I819" s="8" t="s">
        <v>18</v>
      </c>
      <c r="J819" s="8" t="s">
        <v>19</v>
      </c>
      <c r="K819" s="8" t="s">
        <v>20</v>
      </c>
      <c r="L819" s="9"/>
      <c r="M819" s="9"/>
      <c r="N819" s="9"/>
      <c r="O819" s="9"/>
      <c r="P819" s="9"/>
      <c r="Q819" s="9"/>
      <c r="R819" s="9"/>
      <c r="S819" s="9"/>
      <c r="T819" s="9"/>
      <c r="U819" s="9"/>
      <c r="V819" s="9"/>
      <c r="W819" s="9"/>
      <c r="X819" s="9">
        <v>7894.1</v>
      </c>
      <c r="Y819" s="9">
        <v>2091.84</v>
      </c>
      <c r="Z819" s="9"/>
      <c r="AA819" s="9"/>
      <c r="AB819" s="9"/>
      <c r="AC819" s="9"/>
      <c r="AD819" s="9"/>
      <c r="AE819" s="9"/>
      <c r="AF819" s="9"/>
      <c r="AG819" s="9"/>
      <c r="AH819" s="7">
        <v>7894.1</v>
      </c>
      <c r="AI819" s="7">
        <v>2091.84</v>
      </c>
    </row>
    <row r="820" spans="2:35" x14ac:dyDescent="0.3">
      <c r="B820" s="5" t="s">
        <v>3061</v>
      </c>
      <c r="C820" s="5" t="s">
        <v>13</v>
      </c>
      <c r="D820" s="12" t="s">
        <v>1215</v>
      </c>
      <c r="E820" s="6" t="s">
        <v>661</v>
      </c>
      <c r="F820" s="13" t="s">
        <v>662</v>
      </c>
      <c r="G820" s="6" t="s">
        <v>386</v>
      </c>
      <c r="H820" s="7" t="str">
        <f t="shared" si="12"/>
        <v>EPC-IPU-C638-01Spot</v>
      </c>
      <c r="I820" s="8" t="s">
        <v>56</v>
      </c>
      <c r="J820" s="8" t="s">
        <v>76</v>
      </c>
      <c r="K820" s="8" t="s">
        <v>76</v>
      </c>
      <c r="L820" s="9"/>
      <c r="M820" s="9"/>
      <c r="N820" s="9"/>
      <c r="O820" s="9"/>
      <c r="P820" s="9"/>
      <c r="Q820" s="9"/>
      <c r="R820" s="9"/>
      <c r="S820" s="9"/>
      <c r="T820" s="9"/>
      <c r="U820" s="9"/>
      <c r="V820" s="9"/>
      <c r="W820" s="9"/>
      <c r="X820" s="9">
        <v>3036</v>
      </c>
      <c r="Y820" s="9">
        <v>1128.05</v>
      </c>
      <c r="Z820" s="9"/>
      <c r="AA820" s="9"/>
      <c r="AB820" s="9"/>
      <c r="AC820" s="9"/>
      <c r="AD820" s="9"/>
      <c r="AE820" s="9"/>
      <c r="AF820" s="9"/>
      <c r="AG820" s="9"/>
      <c r="AH820" s="7">
        <v>3036</v>
      </c>
      <c r="AI820" s="7">
        <v>1128.05</v>
      </c>
    </row>
    <row r="821" spans="2:35" x14ac:dyDescent="0.3">
      <c r="B821" s="5" t="s">
        <v>3061</v>
      </c>
      <c r="C821" s="5" t="s">
        <v>13</v>
      </c>
      <c r="D821" s="12" t="s">
        <v>1213</v>
      </c>
      <c r="E821" s="6" t="s">
        <v>857</v>
      </c>
      <c r="F821" s="13" t="s">
        <v>858</v>
      </c>
      <c r="G821" s="6" t="s">
        <v>429</v>
      </c>
      <c r="H821" s="7" t="str">
        <f t="shared" si="12"/>
        <v>EPC-IPU-F874-01Operation &amp; Maintenance</v>
      </c>
      <c r="I821" s="8" t="s">
        <v>49</v>
      </c>
      <c r="J821" s="8" t="s">
        <v>259</v>
      </c>
      <c r="K821" s="8" t="s">
        <v>259</v>
      </c>
      <c r="L821" s="9"/>
      <c r="M821" s="9"/>
      <c r="N821" s="9"/>
      <c r="O821" s="9"/>
      <c r="P821" s="9"/>
      <c r="Q821" s="9"/>
      <c r="R821" s="9"/>
      <c r="S821" s="9"/>
      <c r="T821" s="9"/>
      <c r="U821" s="9"/>
      <c r="V821" s="9"/>
      <c r="W821" s="9"/>
      <c r="X821" s="9">
        <v>0</v>
      </c>
      <c r="Y821" s="9">
        <v>4799.99</v>
      </c>
      <c r="Z821" s="9"/>
      <c r="AA821" s="9"/>
      <c r="AB821" s="9"/>
      <c r="AC821" s="9"/>
      <c r="AD821" s="9"/>
      <c r="AE821" s="9"/>
      <c r="AF821" s="9"/>
      <c r="AG821" s="9"/>
      <c r="AH821" s="7">
        <v>0</v>
      </c>
      <c r="AI821" s="7">
        <v>4799.99</v>
      </c>
    </row>
    <row r="822" spans="2:35" x14ac:dyDescent="0.3">
      <c r="B822" s="5" t="s">
        <v>3061</v>
      </c>
      <c r="C822" s="5" t="s">
        <v>13</v>
      </c>
      <c r="D822" s="12" t="s">
        <v>1215</v>
      </c>
      <c r="E822" s="6" t="s">
        <v>857</v>
      </c>
      <c r="F822" s="13" t="s">
        <v>858</v>
      </c>
      <c r="G822" s="6" t="s">
        <v>429</v>
      </c>
      <c r="H822" s="7" t="str">
        <f t="shared" si="12"/>
        <v>EPC-IPU-F874-01Spot</v>
      </c>
      <c r="I822" s="8" t="s">
        <v>49</v>
      </c>
      <c r="J822" s="8" t="s">
        <v>259</v>
      </c>
      <c r="K822" s="8" t="s">
        <v>259</v>
      </c>
      <c r="L822" s="9"/>
      <c r="M822" s="9"/>
      <c r="N822" s="9"/>
      <c r="O822" s="9"/>
      <c r="P822" s="9"/>
      <c r="Q822" s="9"/>
      <c r="R822" s="9"/>
      <c r="S822" s="9"/>
      <c r="T822" s="9"/>
      <c r="U822" s="9"/>
      <c r="V822" s="9"/>
      <c r="W822" s="9"/>
      <c r="X822" s="9">
        <v>0</v>
      </c>
      <c r="Y822" s="9">
        <v>14559.01</v>
      </c>
      <c r="Z822" s="9"/>
      <c r="AA822" s="9"/>
      <c r="AB822" s="9"/>
      <c r="AC822" s="9"/>
      <c r="AD822" s="9"/>
      <c r="AE822" s="9"/>
      <c r="AF822" s="9"/>
      <c r="AG822" s="9"/>
      <c r="AH822" s="7">
        <v>0</v>
      </c>
      <c r="AI822" s="7">
        <v>14559.01</v>
      </c>
    </row>
    <row r="823" spans="2:35" x14ac:dyDescent="0.3">
      <c r="B823" s="5" t="s">
        <v>3061</v>
      </c>
      <c r="C823" s="5" t="s">
        <v>13</v>
      </c>
      <c r="D823" s="12" t="s">
        <v>1214</v>
      </c>
      <c r="E823" s="6" t="s">
        <v>1071</v>
      </c>
      <c r="F823" s="13" t="s">
        <v>1072</v>
      </c>
      <c r="G823" s="6" t="s">
        <v>719</v>
      </c>
      <c r="H823" s="7" t="str">
        <f t="shared" si="12"/>
        <v>SEC-PHV-M269-02Unknown</v>
      </c>
      <c r="I823" s="8" t="s">
        <v>18</v>
      </c>
      <c r="J823" s="8" t="s">
        <v>454</v>
      </c>
      <c r="K823" s="8" t="s">
        <v>454</v>
      </c>
      <c r="L823" s="9"/>
      <c r="M823" s="9"/>
      <c r="N823" s="9"/>
      <c r="O823" s="9"/>
      <c r="P823" s="9"/>
      <c r="Q823" s="9"/>
      <c r="R823" s="9"/>
      <c r="S823" s="9"/>
      <c r="T823" s="9"/>
      <c r="U823" s="9"/>
      <c r="V823" s="9"/>
      <c r="W823" s="9"/>
      <c r="X823" s="9">
        <v>0</v>
      </c>
      <c r="Y823" s="9">
        <v>518.48</v>
      </c>
      <c r="Z823" s="9"/>
      <c r="AA823" s="9"/>
      <c r="AB823" s="9"/>
      <c r="AC823" s="9"/>
      <c r="AD823" s="9"/>
      <c r="AE823" s="9"/>
      <c r="AF823" s="9"/>
      <c r="AG823" s="9"/>
      <c r="AH823" s="7">
        <v>0</v>
      </c>
      <c r="AI823" s="7">
        <v>518.48</v>
      </c>
    </row>
    <row r="824" spans="2:35" x14ac:dyDescent="0.3">
      <c r="B824" s="5" t="s">
        <v>3061</v>
      </c>
      <c r="C824" s="5" t="s">
        <v>13</v>
      </c>
      <c r="D824" s="12" t="s">
        <v>1215</v>
      </c>
      <c r="E824" s="6" t="s">
        <v>1054</v>
      </c>
      <c r="F824" s="13" t="s">
        <v>1055</v>
      </c>
      <c r="G824" s="6" t="s">
        <v>1056</v>
      </c>
      <c r="H824" s="7" t="str">
        <f t="shared" si="12"/>
        <v>EPC-IPU-I332-02Spot</v>
      </c>
      <c r="I824" s="8" t="s">
        <v>24</v>
      </c>
      <c r="J824" s="8" t="s">
        <v>259</v>
      </c>
      <c r="K824" s="8" t="s">
        <v>259</v>
      </c>
      <c r="L824" s="9"/>
      <c r="M824" s="9"/>
      <c r="N824" s="9"/>
      <c r="O824" s="9"/>
      <c r="P824" s="9"/>
      <c r="Q824" s="9"/>
      <c r="R824" s="9"/>
      <c r="S824" s="9"/>
      <c r="T824" s="9"/>
      <c r="U824" s="9"/>
      <c r="V824" s="9"/>
      <c r="W824" s="9"/>
      <c r="X824" s="9">
        <v>5731.33</v>
      </c>
      <c r="Y824" s="9">
        <v>0</v>
      </c>
      <c r="Z824" s="9"/>
      <c r="AA824" s="9"/>
      <c r="AB824" s="9"/>
      <c r="AC824" s="9"/>
      <c r="AD824" s="9"/>
      <c r="AE824" s="9"/>
      <c r="AF824" s="9"/>
      <c r="AG824" s="9"/>
      <c r="AH824" s="7">
        <v>5731.33</v>
      </c>
      <c r="AI824" s="7">
        <v>0</v>
      </c>
    </row>
    <row r="825" spans="2:35" x14ac:dyDescent="0.3">
      <c r="B825" s="5" t="s">
        <v>3061</v>
      </c>
      <c r="C825" s="5" t="s">
        <v>13</v>
      </c>
      <c r="D825" s="12" t="s">
        <v>1213</v>
      </c>
      <c r="E825" s="6" t="s">
        <v>1069</v>
      </c>
      <c r="F825" s="13" t="s">
        <v>1070</v>
      </c>
      <c r="G825" s="6" t="s">
        <v>702</v>
      </c>
      <c r="H825" s="7" t="str">
        <f t="shared" si="12"/>
        <v>SEC-PHV-A519-02Operation &amp; Maintenance</v>
      </c>
      <c r="I825" s="8" t="s">
        <v>18</v>
      </c>
      <c r="J825" s="8" t="s">
        <v>454</v>
      </c>
      <c r="K825" s="8" t="s">
        <v>454</v>
      </c>
      <c r="L825" s="9"/>
      <c r="M825" s="9"/>
      <c r="N825" s="9"/>
      <c r="O825" s="9"/>
      <c r="P825" s="9"/>
      <c r="Q825" s="9"/>
      <c r="R825" s="9"/>
      <c r="S825" s="9"/>
      <c r="T825" s="9"/>
      <c r="U825" s="9"/>
      <c r="V825" s="9"/>
      <c r="W825" s="9"/>
      <c r="X825" s="9">
        <v>0</v>
      </c>
      <c r="Y825" s="9">
        <v>19.690000000000001</v>
      </c>
      <c r="Z825" s="9"/>
      <c r="AA825" s="9"/>
      <c r="AB825" s="9"/>
      <c r="AC825" s="9"/>
      <c r="AD825" s="9"/>
      <c r="AE825" s="9"/>
      <c r="AF825" s="9"/>
      <c r="AG825" s="9"/>
      <c r="AH825" s="7">
        <v>0</v>
      </c>
      <c r="AI825" s="7">
        <v>19.690000000000001</v>
      </c>
    </row>
    <row r="826" spans="2:35" x14ac:dyDescent="0.3">
      <c r="B826" s="5" t="s">
        <v>3061</v>
      </c>
      <c r="C826" s="5" t="s">
        <v>13</v>
      </c>
      <c r="D826" s="12" t="s">
        <v>1214</v>
      </c>
      <c r="E826" s="6" t="s">
        <v>1069</v>
      </c>
      <c r="F826" s="13" t="s">
        <v>1070</v>
      </c>
      <c r="G826" s="6" t="s">
        <v>702</v>
      </c>
      <c r="H826" s="7" t="str">
        <f t="shared" si="12"/>
        <v>SEC-PHV-A519-02Unknown</v>
      </c>
      <c r="I826" s="8" t="s">
        <v>18</v>
      </c>
      <c r="J826" s="8" t="s">
        <v>454</v>
      </c>
      <c r="K826" s="8" t="s">
        <v>454</v>
      </c>
      <c r="L826" s="9"/>
      <c r="M826" s="9"/>
      <c r="N826" s="9"/>
      <c r="O826" s="9"/>
      <c r="P826" s="9"/>
      <c r="Q826" s="9"/>
      <c r="R826" s="9"/>
      <c r="S826" s="9"/>
      <c r="T826" s="9"/>
      <c r="U826" s="9"/>
      <c r="V826" s="9"/>
      <c r="W826" s="9"/>
      <c r="X826" s="9">
        <v>0</v>
      </c>
      <c r="Y826" s="9">
        <v>4278.72</v>
      </c>
      <c r="Z826" s="9"/>
      <c r="AA826" s="9"/>
      <c r="AB826" s="9"/>
      <c r="AC826" s="9"/>
      <c r="AD826" s="9"/>
      <c r="AE826" s="9"/>
      <c r="AF826" s="9"/>
      <c r="AG826" s="9"/>
      <c r="AH826" s="7">
        <v>0</v>
      </c>
      <c r="AI826" s="7">
        <v>4278.72</v>
      </c>
    </row>
    <row r="827" spans="2:35" x14ac:dyDescent="0.3">
      <c r="B827" s="5" t="s">
        <v>3061</v>
      </c>
      <c r="C827" s="5" t="s">
        <v>13</v>
      </c>
      <c r="D827" s="12" t="s">
        <v>1214</v>
      </c>
      <c r="E827" s="6" t="s">
        <v>717</v>
      </c>
      <c r="F827" s="13" t="s">
        <v>718</v>
      </c>
      <c r="G827" s="6" t="s">
        <v>719</v>
      </c>
      <c r="H827" s="7" t="str">
        <f t="shared" si="12"/>
        <v>SEC-PHV-M269-01Unknown</v>
      </c>
      <c r="I827" s="8" t="s">
        <v>18</v>
      </c>
      <c r="J827" s="8" t="s">
        <v>454</v>
      </c>
      <c r="K827" s="8" t="s">
        <v>454</v>
      </c>
      <c r="L827" s="9"/>
      <c r="M827" s="9"/>
      <c r="N827" s="9"/>
      <c r="O827" s="9"/>
      <c r="P827" s="9"/>
      <c r="Q827" s="9"/>
      <c r="R827" s="9"/>
      <c r="S827" s="9"/>
      <c r="T827" s="9"/>
      <c r="U827" s="9"/>
      <c r="V827" s="9"/>
      <c r="W827" s="9"/>
      <c r="X827" s="9">
        <v>0</v>
      </c>
      <c r="Y827" s="9">
        <v>221.19</v>
      </c>
      <c r="Z827" s="9"/>
      <c r="AA827" s="9"/>
      <c r="AB827" s="9"/>
      <c r="AC827" s="9"/>
      <c r="AD827" s="9"/>
      <c r="AE827" s="9"/>
      <c r="AF827" s="9"/>
      <c r="AG827" s="9"/>
      <c r="AH827" s="7">
        <v>0</v>
      </c>
      <c r="AI827" s="7">
        <v>221.19</v>
      </c>
    </row>
    <row r="828" spans="2:35" x14ac:dyDescent="0.3">
      <c r="B828" s="5" t="s">
        <v>3061</v>
      </c>
      <c r="C828" s="5" t="s">
        <v>13</v>
      </c>
      <c r="D828" s="12" t="s">
        <v>1213</v>
      </c>
      <c r="E828" s="6" t="s">
        <v>337</v>
      </c>
      <c r="F828" s="13" t="s">
        <v>338</v>
      </c>
      <c r="G828" s="6" t="s">
        <v>339</v>
      </c>
      <c r="H828" s="7" t="str">
        <f t="shared" si="12"/>
        <v>PPP-IPU-G023-01Operation &amp; Maintenance</v>
      </c>
      <c r="I828" s="8" t="s">
        <v>18</v>
      </c>
      <c r="J828" s="8" t="s">
        <v>19</v>
      </c>
      <c r="K828" s="8" t="s">
        <v>20</v>
      </c>
      <c r="L828" s="9"/>
      <c r="M828" s="9"/>
      <c r="N828" s="9"/>
      <c r="O828" s="9"/>
      <c r="P828" s="9"/>
      <c r="Q828" s="9"/>
      <c r="R828" s="9"/>
      <c r="S828" s="9"/>
      <c r="T828" s="9"/>
      <c r="U828" s="9"/>
      <c r="V828" s="9"/>
      <c r="W828" s="9"/>
      <c r="X828" s="9">
        <v>20293.150000000001</v>
      </c>
      <c r="Y828" s="9">
        <v>4861.99</v>
      </c>
      <c r="Z828" s="9"/>
      <c r="AA828" s="9"/>
      <c r="AB828" s="9"/>
      <c r="AC828" s="9"/>
      <c r="AD828" s="9"/>
      <c r="AE828" s="9"/>
      <c r="AF828" s="9"/>
      <c r="AG828" s="9"/>
      <c r="AH828" s="7">
        <v>20293.150000000001</v>
      </c>
      <c r="AI828" s="7">
        <v>4861.99</v>
      </c>
    </row>
    <row r="829" spans="2:35" x14ac:dyDescent="0.3">
      <c r="B829" s="5" t="s">
        <v>3061</v>
      </c>
      <c r="C829" s="5" t="s">
        <v>13</v>
      </c>
      <c r="D829" s="12" t="s">
        <v>1215</v>
      </c>
      <c r="E829" s="6" t="s">
        <v>845</v>
      </c>
      <c r="F829" s="13" t="s">
        <v>846</v>
      </c>
      <c r="G829" s="6" t="s">
        <v>847</v>
      </c>
      <c r="H829" s="7" t="str">
        <f t="shared" si="12"/>
        <v>EPC-IPU-A512-01Spot</v>
      </c>
      <c r="I829" s="8" t="s">
        <v>18</v>
      </c>
      <c r="J829" s="8" t="s">
        <v>259</v>
      </c>
      <c r="K829" s="8" t="s">
        <v>259</v>
      </c>
      <c r="L829" s="9"/>
      <c r="M829" s="9"/>
      <c r="N829" s="9"/>
      <c r="O829" s="9"/>
      <c r="P829" s="9"/>
      <c r="Q829" s="9"/>
      <c r="R829" s="9"/>
      <c r="S829" s="9"/>
      <c r="T829" s="9"/>
      <c r="U829" s="9"/>
      <c r="V829" s="9"/>
      <c r="W829" s="9"/>
      <c r="X829" s="9">
        <v>732</v>
      </c>
      <c r="Y829" s="9">
        <v>0</v>
      </c>
      <c r="Z829" s="9"/>
      <c r="AA829" s="9"/>
      <c r="AB829" s="9"/>
      <c r="AC829" s="9"/>
      <c r="AD829" s="9"/>
      <c r="AE829" s="9"/>
      <c r="AF829" s="9"/>
      <c r="AG829" s="9"/>
      <c r="AH829" s="7">
        <v>732</v>
      </c>
      <c r="AI829" s="7">
        <v>0</v>
      </c>
    </row>
    <row r="830" spans="2:35" x14ac:dyDescent="0.3">
      <c r="B830" s="5" t="s">
        <v>3061</v>
      </c>
      <c r="C830" s="5" t="s">
        <v>13</v>
      </c>
      <c r="D830" s="12" t="s">
        <v>1215</v>
      </c>
      <c r="E830" s="6" t="s">
        <v>799</v>
      </c>
      <c r="F830" s="13" t="s">
        <v>800</v>
      </c>
      <c r="G830" s="6" t="s">
        <v>801</v>
      </c>
      <c r="H830" s="7" t="str">
        <f t="shared" si="12"/>
        <v>EPC-IPU-A519-04Spot</v>
      </c>
      <c r="I830" s="8" t="s">
        <v>18</v>
      </c>
      <c r="J830" s="8" t="s">
        <v>259</v>
      </c>
      <c r="K830" s="8" t="s">
        <v>259</v>
      </c>
      <c r="L830" s="9"/>
      <c r="M830" s="9"/>
      <c r="N830" s="9"/>
      <c r="O830" s="9"/>
      <c r="P830" s="9"/>
      <c r="Q830" s="9"/>
      <c r="R830" s="9"/>
      <c r="S830" s="9"/>
      <c r="T830" s="9"/>
      <c r="U830" s="9"/>
      <c r="V830" s="9"/>
      <c r="W830" s="9"/>
      <c r="X830" s="9">
        <v>0</v>
      </c>
      <c r="Y830" s="9">
        <v>250</v>
      </c>
      <c r="Z830" s="9"/>
      <c r="AA830" s="9"/>
      <c r="AB830" s="9"/>
      <c r="AC830" s="9"/>
      <c r="AD830" s="9"/>
      <c r="AE830" s="9"/>
      <c r="AF830" s="9"/>
      <c r="AG830" s="9"/>
      <c r="AH830" s="7">
        <v>0</v>
      </c>
      <c r="AI830" s="7">
        <v>250</v>
      </c>
    </row>
    <row r="831" spans="2:35" x14ac:dyDescent="0.3">
      <c r="B831" s="5" t="s">
        <v>3061</v>
      </c>
      <c r="C831" s="5" t="s">
        <v>13</v>
      </c>
      <c r="D831" s="12" t="s">
        <v>1215</v>
      </c>
      <c r="E831" s="6" t="s">
        <v>743</v>
      </c>
      <c r="F831" s="13" t="s">
        <v>744</v>
      </c>
      <c r="G831" s="6" t="s">
        <v>745</v>
      </c>
      <c r="H831" s="7" t="str">
        <f t="shared" si="12"/>
        <v>EPC-IPU-A683-02Spot</v>
      </c>
      <c r="I831" s="8" t="s">
        <v>49</v>
      </c>
      <c r="J831" s="8" t="s">
        <v>259</v>
      </c>
      <c r="K831" s="8" t="s">
        <v>259</v>
      </c>
      <c r="L831" s="9"/>
      <c r="M831" s="9"/>
      <c r="N831" s="9"/>
      <c r="O831" s="9"/>
      <c r="P831" s="9"/>
      <c r="Q831" s="9"/>
      <c r="R831" s="9"/>
      <c r="S831" s="9"/>
      <c r="T831" s="9"/>
      <c r="U831" s="9"/>
      <c r="V831" s="9"/>
      <c r="W831" s="9"/>
      <c r="X831" s="9">
        <v>1571.73</v>
      </c>
      <c r="Y831" s="9">
        <v>0</v>
      </c>
      <c r="Z831" s="9"/>
      <c r="AA831" s="9"/>
      <c r="AB831" s="9"/>
      <c r="AC831" s="9"/>
      <c r="AD831" s="9"/>
      <c r="AE831" s="9"/>
      <c r="AF831" s="9"/>
      <c r="AG831" s="9"/>
      <c r="AH831" s="7">
        <v>1571.73</v>
      </c>
      <c r="AI831" s="7">
        <v>0</v>
      </c>
    </row>
    <row r="832" spans="2:35" x14ac:dyDescent="0.3">
      <c r="B832" s="5" t="s">
        <v>3061</v>
      </c>
      <c r="C832" s="5" t="s">
        <v>13</v>
      </c>
      <c r="D832" s="12" t="s">
        <v>1213</v>
      </c>
      <c r="E832" s="6" t="s">
        <v>1191</v>
      </c>
      <c r="F832" s="13" t="s">
        <v>1192</v>
      </c>
      <c r="G832" s="6" t="s">
        <v>125</v>
      </c>
      <c r="H832" s="7" t="str">
        <f t="shared" si="12"/>
        <v>EPC-IPU-D869-04Operation &amp; Maintenance</v>
      </c>
      <c r="I832" s="8" t="s">
        <v>49</v>
      </c>
      <c r="J832" s="8" t="s">
        <v>76</v>
      </c>
      <c r="K832" s="8" t="s">
        <v>76</v>
      </c>
      <c r="L832" s="9"/>
      <c r="M832" s="9"/>
      <c r="N832" s="9"/>
      <c r="O832" s="9"/>
      <c r="P832" s="9"/>
      <c r="Q832" s="9"/>
      <c r="R832" s="9"/>
      <c r="S832" s="9"/>
      <c r="T832" s="9"/>
      <c r="U832" s="9"/>
      <c r="V832" s="9"/>
      <c r="W832" s="9"/>
      <c r="X832" s="9">
        <v>2776.67</v>
      </c>
      <c r="Y832" s="9">
        <v>0</v>
      </c>
      <c r="Z832" s="9"/>
      <c r="AA832" s="9"/>
      <c r="AB832" s="9"/>
      <c r="AC832" s="9"/>
      <c r="AD832" s="9"/>
      <c r="AE832" s="9"/>
      <c r="AF832" s="9"/>
      <c r="AG832" s="9"/>
      <c r="AH832" s="7">
        <v>2776.67</v>
      </c>
      <c r="AI832" s="7">
        <v>0</v>
      </c>
    </row>
    <row r="833" spans="2:35" x14ac:dyDescent="0.3">
      <c r="B833" s="5" t="s">
        <v>3061</v>
      </c>
      <c r="C833" s="5" t="s">
        <v>13</v>
      </c>
      <c r="D833" s="12" t="s">
        <v>1213</v>
      </c>
      <c r="E833" s="6" t="s">
        <v>1114</v>
      </c>
      <c r="F833" s="13" t="s">
        <v>1115</v>
      </c>
      <c r="G833" s="6" t="s">
        <v>125</v>
      </c>
      <c r="H833" s="7" t="str">
        <f t="shared" si="12"/>
        <v>EPC-IPU-D869-03Operation &amp; Maintenance</v>
      </c>
      <c r="I833" s="8" t="s">
        <v>49</v>
      </c>
      <c r="J833" s="8" t="s">
        <v>76</v>
      </c>
      <c r="K833" s="8" t="s">
        <v>76</v>
      </c>
      <c r="L833" s="9"/>
      <c r="M833" s="9"/>
      <c r="N833" s="9"/>
      <c r="O833" s="9"/>
      <c r="P833" s="9"/>
      <c r="Q833" s="9"/>
      <c r="R833" s="9"/>
      <c r="S833" s="9"/>
      <c r="T833" s="9"/>
      <c r="U833" s="9"/>
      <c r="V833" s="9"/>
      <c r="W833" s="9"/>
      <c r="X833" s="9">
        <v>3195.16</v>
      </c>
      <c r="Y833" s="9">
        <v>0</v>
      </c>
      <c r="Z833" s="9"/>
      <c r="AA833" s="9"/>
      <c r="AB833" s="9"/>
      <c r="AC833" s="9"/>
      <c r="AD833" s="9"/>
      <c r="AE833" s="9"/>
      <c r="AF833" s="9"/>
      <c r="AG833" s="9"/>
      <c r="AH833" s="7">
        <v>3195.16</v>
      </c>
      <c r="AI833" s="7">
        <v>0</v>
      </c>
    </row>
    <row r="834" spans="2:35" x14ac:dyDescent="0.3">
      <c r="B834" s="5" t="s">
        <v>3061</v>
      </c>
      <c r="C834" s="5" t="s">
        <v>13</v>
      </c>
      <c r="D834" s="12" t="s">
        <v>1215</v>
      </c>
      <c r="E834" s="6" t="s">
        <v>631</v>
      </c>
      <c r="F834" s="13" t="s">
        <v>632</v>
      </c>
      <c r="G834" s="6" t="s">
        <v>633</v>
      </c>
      <c r="H834" s="7" t="str">
        <f t="shared" si="12"/>
        <v>EPC-IPU-F736-02Spot</v>
      </c>
      <c r="I834" s="8" t="s">
        <v>49</v>
      </c>
      <c r="J834" s="8" t="s">
        <v>259</v>
      </c>
      <c r="K834" s="8" t="s">
        <v>259</v>
      </c>
      <c r="L834" s="9"/>
      <c r="M834" s="9"/>
      <c r="N834" s="9"/>
      <c r="O834" s="9"/>
      <c r="P834" s="9"/>
      <c r="Q834" s="9"/>
      <c r="R834" s="9"/>
      <c r="S834" s="9"/>
      <c r="T834" s="9"/>
      <c r="U834" s="9"/>
      <c r="V834" s="9"/>
      <c r="W834" s="9"/>
      <c r="X834" s="9">
        <v>1179.0999999999999</v>
      </c>
      <c r="Y834" s="9">
        <v>0</v>
      </c>
      <c r="Z834" s="9"/>
      <c r="AA834" s="9"/>
      <c r="AB834" s="9"/>
      <c r="AC834" s="9"/>
      <c r="AD834" s="9"/>
      <c r="AE834" s="9"/>
      <c r="AF834" s="9"/>
      <c r="AG834" s="9"/>
      <c r="AH834" s="7">
        <v>1179.0999999999999</v>
      </c>
      <c r="AI834" s="7">
        <v>0</v>
      </c>
    </row>
    <row r="835" spans="2:35" x14ac:dyDescent="0.3">
      <c r="B835" s="5" t="s">
        <v>3061</v>
      </c>
      <c r="C835" s="5" t="s">
        <v>13</v>
      </c>
      <c r="D835" s="12" t="s">
        <v>1215</v>
      </c>
      <c r="E835" s="6" t="s">
        <v>958</v>
      </c>
      <c r="F835" s="13" t="s">
        <v>959</v>
      </c>
      <c r="G835" s="6" t="s">
        <v>960</v>
      </c>
      <c r="H835" s="7" t="str">
        <f t="shared" ref="H835:H898" si="13">+F835&amp;D835</f>
        <v>EPC-IPU-F003-01Spot</v>
      </c>
      <c r="I835" s="8" t="s">
        <v>49</v>
      </c>
      <c r="J835" s="8" t="s">
        <v>76</v>
      </c>
      <c r="K835" s="8" t="s">
        <v>76</v>
      </c>
      <c r="L835" s="9"/>
      <c r="M835" s="9"/>
      <c r="N835" s="9"/>
      <c r="O835" s="9"/>
      <c r="P835" s="9"/>
      <c r="Q835" s="9"/>
      <c r="R835" s="9"/>
      <c r="S835" s="9"/>
      <c r="T835" s="9"/>
      <c r="U835" s="9"/>
      <c r="V835" s="9"/>
      <c r="W835" s="9"/>
      <c r="X835" s="9">
        <v>0</v>
      </c>
      <c r="Y835" s="9">
        <v>16</v>
      </c>
      <c r="Z835" s="9"/>
      <c r="AA835" s="9"/>
      <c r="AB835" s="9"/>
      <c r="AC835" s="9"/>
      <c r="AD835" s="9"/>
      <c r="AE835" s="9"/>
      <c r="AF835" s="9"/>
      <c r="AG835" s="9"/>
      <c r="AH835" s="7">
        <v>0</v>
      </c>
      <c r="AI835" s="7">
        <v>16</v>
      </c>
    </row>
    <row r="836" spans="2:35" x14ac:dyDescent="0.3">
      <c r="B836" s="5" t="s">
        <v>3061</v>
      </c>
      <c r="C836" s="5" t="s">
        <v>13</v>
      </c>
      <c r="D836" s="12" t="s">
        <v>1215</v>
      </c>
      <c r="E836" s="6" t="s">
        <v>1049</v>
      </c>
      <c r="F836" s="13" t="s">
        <v>1050</v>
      </c>
      <c r="G836" s="6" t="s">
        <v>1051</v>
      </c>
      <c r="H836" s="7" t="str">
        <f t="shared" si="13"/>
        <v>EPC-IPU-M367-02Spot</v>
      </c>
      <c r="I836" s="8" t="s">
        <v>24</v>
      </c>
      <c r="J836" s="8" t="s">
        <v>259</v>
      </c>
      <c r="K836" s="8" t="s">
        <v>259</v>
      </c>
      <c r="L836" s="9"/>
      <c r="M836" s="9"/>
      <c r="N836" s="9"/>
      <c r="O836" s="9"/>
      <c r="P836" s="9"/>
      <c r="Q836" s="9"/>
      <c r="R836" s="9"/>
      <c r="S836" s="9"/>
      <c r="T836" s="9"/>
      <c r="U836" s="9"/>
      <c r="V836" s="9"/>
      <c r="W836" s="9"/>
      <c r="X836" s="9">
        <v>1500</v>
      </c>
      <c r="Y836" s="9">
        <v>0</v>
      </c>
      <c r="Z836" s="9"/>
      <c r="AA836" s="9"/>
      <c r="AB836" s="9"/>
      <c r="AC836" s="9"/>
      <c r="AD836" s="9"/>
      <c r="AE836" s="9"/>
      <c r="AF836" s="9"/>
      <c r="AG836" s="9"/>
      <c r="AH836" s="7">
        <v>1500</v>
      </c>
      <c r="AI836" s="7">
        <v>0</v>
      </c>
    </row>
    <row r="837" spans="2:35" x14ac:dyDescent="0.3">
      <c r="B837" s="5" t="s">
        <v>3061</v>
      </c>
      <c r="C837" s="5" t="s">
        <v>13</v>
      </c>
      <c r="D837" s="12" t="s">
        <v>1214</v>
      </c>
      <c r="E837" s="6" t="s">
        <v>991</v>
      </c>
      <c r="F837" s="13" t="s">
        <v>992</v>
      </c>
      <c r="G837" s="6" t="s">
        <v>702</v>
      </c>
      <c r="H837" s="7" t="str">
        <f t="shared" si="13"/>
        <v>SEC-PHV-A519-07Unknown</v>
      </c>
      <c r="I837" s="8" t="s">
        <v>18</v>
      </c>
      <c r="J837" s="8" t="s">
        <v>454</v>
      </c>
      <c r="K837" s="8" t="s">
        <v>454</v>
      </c>
      <c r="L837" s="9"/>
      <c r="M837" s="9"/>
      <c r="N837" s="9"/>
      <c r="O837" s="9"/>
      <c r="P837" s="9"/>
      <c r="Q837" s="9"/>
      <c r="R837" s="9"/>
      <c r="S837" s="9"/>
      <c r="T837" s="9"/>
      <c r="U837" s="9"/>
      <c r="V837" s="9"/>
      <c r="W837" s="9"/>
      <c r="X837" s="9">
        <v>0</v>
      </c>
      <c r="Y837" s="9">
        <v>100</v>
      </c>
      <c r="Z837" s="9"/>
      <c r="AA837" s="9"/>
      <c r="AB837" s="9"/>
      <c r="AC837" s="9"/>
      <c r="AD837" s="9"/>
      <c r="AE837" s="9"/>
      <c r="AF837" s="9"/>
      <c r="AG837" s="9"/>
      <c r="AH837" s="7">
        <v>0</v>
      </c>
      <c r="AI837" s="7">
        <v>100</v>
      </c>
    </row>
    <row r="838" spans="2:35" x14ac:dyDescent="0.3">
      <c r="B838" s="5" t="s">
        <v>3061</v>
      </c>
      <c r="C838" s="5" t="s">
        <v>13</v>
      </c>
      <c r="D838" s="12" t="s">
        <v>1215</v>
      </c>
      <c r="E838" s="6" t="s">
        <v>1153</v>
      </c>
      <c r="F838" s="13" t="s">
        <v>1154</v>
      </c>
      <c r="G838" s="6" t="s">
        <v>1155</v>
      </c>
      <c r="H838" s="7" t="str">
        <f t="shared" si="13"/>
        <v>EPC-IPU-A952-01Spot</v>
      </c>
      <c r="I838" s="8" t="s">
        <v>56</v>
      </c>
      <c r="J838" s="8" t="s">
        <v>259</v>
      </c>
      <c r="K838" s="8" t="s">
        <v>259</v>
      </c>
      <c r="L838" s="9"/>
      <c r="M838" s="9"/>
      <c r="N838" s="9"/>
      <c r="O838" s="9"/>
      <c r="P838" s="9"/>
      <c r="Q838" s="9"/>
      <c r="R838" s="9"/>
      <c r="S838" s="9"/>
      <c r="T838" s="9"/>
      <c r="U838" s="9"/>
      <c r="V838" s="9"/>
      <c r="W838" s="9"/>
      <c r="X838" s="9">
        <v>1806.18</v>
      </c>
      <c r="Y838" s="9">
        <v>1615</v>
      </c>
      <c r="Z838" s="9"/>
      <c r="AA838" s="9"/>
      <c r="AB838" s="9"/>
      <c r="AC838" s="9"/>
      <c r="AD838" s="9"/>
      <c r="AE838" s="9"/>
      <c r="AF838" s="9"/>
      <c r="AG838" s="9"/>
      <c r="AH838" s="7">
        <v>1806.18</v>
      </c>
      <c r="AI838" s="7">
        <v>1615</v>
      </c>
    </row>
    <row r="839" spans="2:35" x14ac:dyDescent="0.3">
      <c r="B839" s="5" t="s">
        <v>3061</v>
      </c>
      <c r="C839" s="5" t="s">
        <v>13</v>
      </c>
      <c r="D839" s="12" t="s">
        <v>1214</v>
      </c>
      <c r="E839" s="6" t="s">
        <v>1203</v>
      </c>
      <c r="F839" s="13" t="s">
        <v>1204</v>
      </c>
      <c r="G839" s="6" t="s">
        <v>694</v>
      </c>
      <c r="H839" s="7" t="str">
        <f t="shared" si="13"/>
        <v>SEC-PHV-D593-07Unknown</v>
      </c>
      <c r="I839" s="8" t="s">
        <v>18</v>
      </c>
      <c r="J839" s="8" t="s">
        <v>454</v>
      </c>
      <c r="K839" s="8" t="s">
        <v>454</v>
      </c>
      <c r="L839" s="9"/>
      <c r="M839" s="9"/>
      <c r="N839" s="9"/>
      <c r="O839" s="9"/>
      <c r="P839" s="9"/>
      <c r="Q839" s="9"/>
      <c r="R839" s="9"/>
      <c r="S839" s="9"/>
      <c r="T839" s="9"/>
      <c r="U839" s="9"/>
      <c r="V839" s="9"/>
      <c r="W839" s="9"/>
      <c r="X839" s="9">
        <v>293.92</v>
      </c>
      <c r="Y839" s="9">
        <v>599.20000000000005</v>
      </c>
      <c r="Z839" s="9"/>
      <c r="AA839" s="9"/>
      <c r="AB839" s="9"/>
      <c r="AC839" s="9"/>
      <c r="AD839" s="9"/>
      <c r="AE839" s="9"/>
      <c r="AF839" s="9"/>
      <c r="AG839" s="9"/>
      <c r="AH839" s="7">
        <v>293.92</v>
      </c>
      <c r="AI839" s="7">
        <v>599.20000000000005</v>
      </c>
    </row>
    <row r="840" spans="2:35" x14ac:dyDescent="0.3">
      <c r="B840" s="5" t="s">
        <v>3061</v>
      </c>
      <c r="C840" s="5" t="s">
        <v>13</v>
      </c>
      <c r="D840" s="12" t="s">
        <v>1213</v>
      </c>
      <c r="E840" s="6" t="s">
        <v>734</v>
      </c>
      <c r="F840" s="13" t="s">
        <v>735</v>
      </c>
      <c r="G840" s="6" t="s">
        <v>702</v>
      </c>
      <c r="H840" s="7" t="str">
        <f t="shared" si="13"/>
        <v>SEC-PHV-A519-05Operation &amp; Maintenance</v>
      </c>
      <c r="I840" s="8" t="s">
        <v>18</v>
      </c>
      <c r="J840" s="8" t="s">
        <v>454</v>
      </c>
      <c r="K840" s="8" t="s">
        <v>454</v>
      </c>
      <c r="L840" s="9"/>
      <c r="M840" s="9"/>
      <c r="N840" s="9"/>
      <c r="O840" s="9"/>
      <c r="P840" s="9"/>
      <c r="Q840" s="9"/>
      <c r="R840" s="9"/>
      <c r="S840" s="9"/>
      <c r="T840" s="9"/>
      <c r="U840" s="9"/>
      <c r="V840" s="9"/>
      <c r="W840" s="9"/>
      <c r="X840" s="9">
        <v>0</v>
      </c>
      <c r="Y840" s="9">
        <v>0</v>
      </c>
      <c r="Z840" s="9"/>
      <c r="AA840" s="9"/>
      <c r="AB840" s="9"/>
      <c r="AC840" s="9"/>
      <c r="AD840" s="9"/>
      <c r="AE840" s="9"/>
      <c r="AF840" s="9"/>
      <c r="AG840" s="9"/>
      <c r="AH840" s="7">
        <v>0</v>
      </c>
      <c r="AI840" s="7">
        <v>0</v>
      </c>
    </row>
    <row r="841" spans="2:35" x14ac:dyDescent="0.3">
      <c r="B841" s="5" t="s">
        <v>3061</v>
      </c>
      <c r="C841" s="5" t="s">
        <v>13</v>
      </c>
      <c r="D841" s="12" t="s">
        <v>1214</v>
      </c>
      <c r="E841" s="6" t="s">
        <v>734</v>
      </c>
      <c r="F841" s="13" t="s">
        <v>735</v>
      </c>
      <c r="G841" s="6" t="s">
        <v>702</v>
      </c>
      <c r="H841" s="7" t="str">
        <f t="shared" si="13"/>
        <v>SEC-PHV-A519-05Unknown</v>
      </c>
      <c r="I841" s="8" t="s">
        <v>18</v>
      </c>
      <c r="J841" s="8" t="s">
        <v>454</v>
      </c>
      <c r="K841" s="8" t="s">
        <v>454</v>
      </c>
      <c r="L841" s="9"/>
      <c r="M841" s="9"/>
      <c r="N841" s="9"/>
      <c r="O841" s="9"/>
      <c r="P841" s="9"/>
      <c r="Q841" s="9"/>
      <c r="R841" s="9"/>
      <c r="S841" s="9"/>
      <c r="T841" s="9"/>
      <c r="U841" s="9"/>
      <c r="V841" s="9"/>
      <c r="W841" s="9"/>
      <c r="X841" s="9">
        <v>0</v>
      </c>
      <c r="Y841" s="9">
        <v>9980</v>
      </c>
      <c r="Z841" s="9"/>
      <c r="AA841" s="9"/>
      <c r="AB841" s="9"/>
      <c r="AC841" s="9"/>
      <c r="AD841" s="9"/>
      <c r="AE841" s="9"/>
      <c r="AF841" s="9"/>
      <c r="AG841" s="9"/>
      <c r="AH841" s="7">
        <v>0</v>
      </c>
      <c r="AI841" s="7">
        <v>9980</v>
      </c>
    </row>
    <row r="842" spans="2:35" x14ac:dyDescent="0.3">
      <c r="B842" s="5" t="s">
        <v>3061</v>
      </c>
      <c r="C842" s="5" t="s">
        <v>13</v>
      </c>
      <c r="D842" s="12" t="s">
        <v>1214</v>
      </c>
      <c r="E842" s="6" t="s">
        <v>705</v>
      </c>
      <c r="F842" s="13" t="s">
        <v>705</v>
      </c>
      <c r="G842" s="6" t="s">
        <v>688</v>
      </c>
      <c r="H842" s="7" t="str">
        <f t="shared" si="13"/>
        <v>PREVENTIVI SELETTRAUnknown</v>
      </c>
      <c r="I842" s="8" t="s">
        <v>689</v>
      </c>
      <c r="J842" s="8" t="s">
        <v>690</v>
      </c>
      <c r="K842" s="8" t="s">
        <v>690</v>
      </c>
      <c r="L842" s="9"/>
      <c r="M842" s="9"/>
      <c r="N842" s="9"/>
      <c r="O842" s="9"/>
      <c r="P842" s="9"/>
      <c r="Q842" s="9"/>
      <c r="R842" s="9"/>
      <c r="S842" s="9"/>
      <c r="T842" s="9"/>
      <c r="U842" s="9"/>
      <c r="V842" s="9"/>
      <c r="W842" s="9"/>
      <c r="X842" s="9">
        <v>0</v>
      </c>
      <c r="Y842" s="9">
        <v>16644.88</v>
      </c>
      <c r="Z842" s="9"/>
      <c r="AA842" s="9"/>
      <c r="AB842" s="9"/>
      <c r="AC842" s="9"/>
      <c r="AD842" s="9"/>
      <c r="AE842" s="9"/>
      <c r="AF842" s="9"/>
      <c r="AG842" s="9"/>
      <c r="AH842" s="7">
        <v>0</v>
      </c>
      <c r="AI842" s="7">
        <v>16644.88</v>
      </c>
    </row>
    <row r="843" spans="2:35" x14ac:dyDescent="0.3">
      <c r="B843" s="5" t="s">
        <v>3061</v>
      </c>
      <c r="C843" s="5" t="s">
        <v>13</v>
      </c>
      <c r="D843" s="12" t="s">
        <v>1214</v>
      </c>
      <c r="E843" s="6" t="s">
        <v>710</v>
      </c>
      <c r="F843" s="13" t="s">
        <v>710</v>
      </c>
      <c r="G843" s="6" t="s">
        <v>688</v>
      </c>
      <c r="H843" s="7" t="str">
        <f t="shared" si="13"/>
        <v>CONSUMABILIUnknown</v>
      </c>
      <c r="I843" s="8" t="s">
        <v>689</v>
      </c>
      <c r="J843" s="8" t="s">
        <v>690</v>
      </c>
      <c r="K843" s="8" t="s">
        <v>690</v>
      </c>
      <c r="L843" s="9"/>
      <c r="M843" s="9"/>
      <c r="N843" s="9"/>
      <c r="O843" s="9"/>
      <c r="P843" s="9"/>
      <c r="Q843" s="9"/>
      <c r="R843" s="9"/>
      <c r="S843" s="9"/>
      <c r="T843" s="9"/>
      <c r="U843" s="9"/>
      <c r="V843" s="9"/>
      <c r="W843" s="9"/>
      <c r="X843" s="9">
        <v>0</v>
      </c>
      <c r="Y843" s="9">
        <v>2151.59</v>
      </c>
      <c r="Z843" s="9"/>
      <c r="AA843" s="9"/>
      <c r="AB843" s="9"/>
      <c r="AC843" s="9"/>
      <c r="AD843" s="9"/>
      <c r="AE843" s="9"/>
      <c r="AF843" s="9"/>
      <c r="AG843" s="9"/>
      <c r="AH843" s="7">
        <v>0</v>
      </c>
      <c r="AI843" s="7">
        <v>2151.59</v>
      </c>
    </row>
    <row r="844" spans="2:35" x14ac:dyDescent="0.3">
      <c r="B844" s="5" t="s">
        <v>3061</v>
      </c>
      <c r="C844" s="5" t="s">
        <v>13</v>
      </c>
      <c r="D844" s="12" t="s">
        <v>1215</v>
      </c>
      <c r="E844" s="6" t="s">
        <v>823</v>
      </c>
      <c r="F844" s="13" t="s">
        <v>824</v>
      </c>
      <c r="G844" s="6" t="s">
        <v>825</v>
      </c>
      <c r="H844" s="7" t="str">
        <f t="shared" si="13"/>
        <v>EPC-IPU-I465-01Spot</v>
      </c>
      <c r="I844" s="8" t="s">
        <v>49</v>
      </c>
      <c r="J844" s="8" t="s">
        <v>259</v>
      </c>
      <c r="K844" s="8" t="s">
        <v>259</v>
      </c>
      <c r="L844" s="9"/>
      <c r="M844" s="9"/>
      <c r="N844" s="9"/>
      <c r="O844" s="9"/>
      <c r="P844" s="9"/>
      <c r="Q844" s="9"/>
      <c r="R844" s="9"/>
      <c r="S844" s="9"/>
      <c r="T844" s="9"/>
      <c r="U844" s="9"/>
      <c r="V844" s="9"/>
      <c r="W844" s="9"/>
      <c r="X844" s="9">
        <v>0</v>
      </c>
      <c r="Y844" s="9">
        <v>0</v>
      </c>
      <c r="Z844" s="9"/>
      <c r="AA844" s="9"/>
      <c r="AB844" s="9"/>
      <c r="AC844" s="9"/>
      <c r="AD844" s="9"/>
      <c r="AE844" s="9"/>
      <c r="AF844" s="9"/>
      <c r="AG844" s="9"/>
      <c r="AH844" s="7">
        <v>0</v>
      </c>
      <c r="AI844" s="7">
        <v>0</v>
      </c>
    </row>
    <row r="845" spans="2:35" x14ac:dyDescent="0.3">
      <c r="B845" s="5" t="s">
        <v>3061</v>
      </c>
      <c r="C845" s="5" t="s">
        <v>13</v>
      </c>
      <c r="D845" s="12" t="s">
        <v>1215</v>
      </c>
      <c r="E845" s="6" t="s">
        <v>749</v>
      </c>
      <c r="F845" s="13" t="s">
        <v>750</v>
      </c>
      <c r="G845" s="6" t="s">
        <v>751</v>
      </c>
      <c r="H845" s="7" t="str">
        <f t="shared" si="13"/>
        <v>CL4-IPU-L142-01Spot</v>
      </c>
      <c r="I845" s="8" t="s">
        <v>18</v>
      </c>
      <c r="J845" s="8" t="s">
        <v>19</v>
      </c>
      <c r="K845" s="8" t="s">
        <v>573</v>
      </c>
      <c r="L845" s="9"/>
      <c r="M845" s="9"/>
      <c r="N845" s="9"/>
      <c r="O845" s="9"/>
      <c r="P845" s="9"/>
      <c r="Q845" s="9"/>
      <c r="R845" s="9"/>
      <c r="S845" s="9"/>
      <c r="T845" s="9"/>
      <c r="U845" s="9"/>
      <c r="V845" s="9"/>
      <c r="W845" s="9"/>
      <c r="X845" s="9">
        <v>1236.8499999999999</v>
      </c>
      <c r="Y845" s="9">
        <v>0</v>
      </c>
      <c r="Z845" s="9"/>
      <c r="AA845" s="9"/>
      <c r="AB845" s="9"/>
      <c r="AC845" s="9"/>
      <c r="AD845" s="9"/>
      <c r="AE845" s="9"/>
      <c r="AF845" s="9"/>
      <c r="AG845" s="9"/>
      <c r="AH845" s="7">
        <v>1236.8499999999999</v>
      </c>
      <c r="AI845" s="7">
        <v>0</v>
      </c>
    </row>
    <row r="846" spans="2:35" x14ac:dyDescent="0.3">
      <c r="B846" s="5" t="s">
        <v>3061</v>
      </c>
      <c r="C846" s="5" t="s">
        <v>13</v>
      </c>
      <c r="D846" s="12" t="s">
        <v>1214</v>
      </c>
      <c r="E846" s="6" t="s">
        <v>687</v>
      </c>
      <c r="F846" s="13" t="s">
        <v>687</v>
      </c>
      <c r="G846" s="6" t="s">
        <v>688</v>
      </c>
      <c r="H846" s="7" t="str">
        <f t="shared" si="13"/>
        <v>SINISTRIUnknown</v>
      </c>
      <c r="I846" s="8" t="s">
        <v>689</v>
      </c>
      <c r="J846" s="8" t="s">
        <v>690</v>
      </c>
      <c r="K846" s="8" t="s">
        <v>690</v>
      </c>
      <c r="L846" s="9"/>
      <c r="M846" s="9"/>
      <c r="N846" s="9"/>
      <c r="O846" s="9"/>
      <c r="P846" s="9"/>
      <c r="Q846" s="9"/>
      <c r="R846" s="9"/>
      <c r="S846" s="9"/>
      <c r="T846" s="9"/>
      <c r="U846" s="9"/>
      <c r="V846" s="9"/>
      <c r="W846" s="9"/>
      <c r="X846" s="9">
        <v>0</v>
      </c>
      <c r="Y846" s="9">
        <v>18846.05</v>
      </c>
      <c r="Z846" s="9"/>
      <c r="AA846" s="9"/>
      <c r="AB846" s="9"/>
      <c r="AC846" s="9"/>
      <c r="AD846" s="9"/>
      <c r="AE846" s="9"/>
      <c r="AF846" s="9"/>
      <c r="AG846" s="9"/>
      <c r="AH846" s="7">
        <v>0</v>
      </c>
      <c r="AI846" s="7">
        <v>18846.05</v>
      </c>
    </row>
    <row r="847" spans="2:35" x14ac:dyDescent="0.3">
      <c r="B847" s="5" t="s">
        <v>3061</v>
      </c>
      <c r="C847" s="5" t="s">
        <v>13</v>
      </c>
      <c r="D847" s="12" t="s">
        <v>1215</v>
      </c>
      <c r="E847" s="6" t="s">
        <v>1092</v>
      </c>
      <c r="F847" s="13" t="s">
        <v>1093</v>
      </c>
      <c r="G847" s="6" t="s">
        <v>1094</v>
      </c>
      <c r="H847" s="7" t="str">
        <f t="shared" si="13"/>
        <v>EPC-IPU-L219-01Spot</v>
      </c>
      <c r="I847" s="8" t="s">
        <v>49</v>
      </c>
      <c r="J847" s="8" t="s">
        <v>259</v>
      </c>
      <c r="K847" s="8" t="s">
        <v>259</v>
      </c>
      <c r="L847" s="9"/>
      <c r="M847" s="9"/>
      <c r="N847" s="9"/>
      <c r="O847" s="9"/>
      <c r="P847" s="9"/>
      <c r="Q847" s="9"/>
      <c r="R847" s="9"/>
      <c r="S847" s="9"/>
      <c r="T847" s="9"/>
      <c r="U847" s="9"/>
      <c r="V847" s="9"/>
      <c r="W847" s="9"/>
      <c r="X847" s="9">
        <v>772.5</v>
      </c>
      <c r="Y847" s="9">
        <v>0</v>
      </c>
      <c r="Z847" s="9"/>
      <c r="AA847" s="9"/>
      <c r="AB847" s="9"/>
      <c r="AC847" s="9"/>
      <c r="AD847" s="9"/>
      <c r="AE847" s="9"/>
      <c r="AF847" s="9"/>
      <c r="AG847" s="9"/>
      <c r="AH847" s="7">
        <v>772.5</v>
      </c>
      <c r="AI847" s="7">
        <v>0</v>
      </c>
    </row>
    <row r="848" spans="2:35" x14ac:dyDescent="0.3">
      <c r="B848" s="5" t="s">
        <v>3061</v>
      </c>
      <c r="C848" s="5" t="s">
        <v>13</v>
      </c>
      <c r="D848" s="12" t="s">
        <v>1214</v>
      </c>
      <c r="E848" s="6" t="s">
        <v>712</v>
      </c>
      <c r="F848" s="13" t="s">
        <v>713</v>
      </c>
      <c r="G848" s="6" t="s">
        <v>702</v>
      </c>
      <c r="H848" s="7" t="str">
        <f t="shared" si="13"/>
        <v>SEC-PHV-A519-06Unknown</v>
      </c>
      <c r="I848" s="8" t="s">
        <v>18</v>
      </c>
      <c r="J848" s="8" t="s">
        <v>454</v>
      </c>
      <c r="K848" s="8" t="s">
        <v>454</v>
      </c>
      <c r="L848" s="9"/>
      <c r="M848" s="9"/>
      <c r="N848" s="9"/>
      <c r="O848" s="9"/>
      <c r="P848" s="9"/>
      <c r="Q848" s="9"/>
      <c r="R848" s="9"/>
      <c r="S848" s="9"/>
      <c r="T848" s="9"/>
      <c r="U848" s="9"/>
      <c r="V848" s="9"/>
      <c r="W848" s="9"/>
      <c r="X848" s="9">
        <v>0</v>
      </c>
      <c r="Y848" s="9">
        <v>244</v>
      </c>
      <c r="Z848" s="9"/>
      <c r="AA848" s="9"/>
      <c r="AB848" s="9"/>
      <c r="AC848" s="9"/>
      <c r="AD848" s="9"/>
      <c r="AE848" s="9"/>
      <c r="AF848" s="9"/>
      <c r="AG848" s="9"/>
      <c r="AH848" s="7">
        <v>0</v>
      </c>
      <c r="AI848" s="7">
        <v>244</v>
      </c>
    </row>
    <row r="849" spans="2:35" x14ac:dyDescent="0.3">
      <c r="B849" s="5" t="s">
        <v>3061</v>
      </c>
      <c r="C849" s="5" t="s">
        <v>13</v>
      </c>
      <c r="D849" s="12" t="s">
        <v>1213</v>
      </c>
      <c r="E849" s="6" t="s">
        <v>412</v>
      </c>
      <c r="F849" s="13" t="s">
        <v>413</v>
      </c>
      <c r="G849" s="6" t="s">
        <v>414</v>
      </c>
      <c r="H849" s="7" t="str">
        <f t="shared" si="13"/>
        <v>PPP-IPU-G187-01Operation &amp; Maintenance</v>
      </c>
      <c r="I849" s="8" t="s">
        <v>18</v>
      </c>
      <c r="J849" s="8" t="s">
        <v>19</v>
      </c>
      <c r="K849" s="8" t="s">
        <v>20</v>
      </c>
      <c r="L849" s="9"/>
      <c r="M849" s="9"/>
      <c r="N849" s="9"/>
      <c r="O849" s="9"/>
      <c r="P849" s="9"/>
      <c r="Q849" s="9"/>
      <c r="R849" s="9"/>
      <c r="S849" s="9"/>
      <c r="T849" s="9"/>
      <c r="U849" s="9"/>
      <c r="V849" s="9"/>
      <c r="W849" s="9"/>
      <c r="X849" s="9">
        <v>0</v>
      </c>
      <c r="Y849" s="9">
        <v>308.24</v>
      </c>
      <c r="Z849" s="9"/>
      <c r="AA849" s="9"/>
      <c r="AB849" s="9"/>
      <c r="AC849" s="9"/>
      <c r="AD849" s="9"/>
      <c r="AE849" s="9"/>
      <c r="AF849" s="9"/>
      <c r="AG849" s="9"/>
      <c r="AH849" s="7">
        <v>0</v>
      </c>
      <c r="AI849" s="7">
        <v>308.24</v>
      </c>
    </row>
    <row r="850" spans="2:35" x14ac:dyDescent="0.3">
      <c r="B850" s="5" t="s">
        <v>3061</v>
      </c>
      <c r="C850" s="5" t="s">
        <v>13</v>
      </c>
      <c r="D850" s="12" t="s">
        <v>1215</v>
      </c>
      <c r="E850" s="6" t="s">
        <v>995</v>
      </c>
      <c r="F850" s="13" t="s">
        <v>996</v>
      </c>
      <c r="G850" s="6" t="s">
        <v>566</v>
      </c>
      <c r="H850" s="7" t="str">
        <f t="shared" si="13"/>
        <v>EPC-IPU-L191-06Spot</v>
      </c>
      <c r="I850" s="8" t="s">
        <v>24</v>
      </c>
      <c r="J850" s="8" t="s">
        <v>76</v>
      </c>
      <c r="K850" s="8" t="s">
        <v>76</v>
      </c>
      <c r="L850" s="9"/>
      <c r="M850" s="9"/>
      <c r="N850" s="9"/>
      <c r="O850" s="9"/>
      <c r="P850" s="9"/>
      <c r="Q850" s="9"/>
      <c r="R850" s="9"/>
      <c r="S850" s="9"/>
      <c r="T850" s="9"/>
      <c r="U850" s="9"/>
      <c r="V850" s="9"/>
      <c r="W850" s="9"/>
      <c r="X850" s="9">
        <v>1886.45</v>
      </c>
      <c r="Y850" s="9">
        <v>0</v>
      </c>
      <c r="Z850" s="9"/>
      <c r="AA850" s="9"/>
      <c r="AB850" s="9"/>
      <c r="AC850" s="9"/>
      <c r="AD850" s="9"/>
      <c r="AE850" s="9"/>
      <c r="AF850" s="9"/>
      <c r="AG850" s="9"/>
      <c r="AH850" s="7">
        <v>1886.45</v>
      </c>
      <c r="AI850" s="7">
        <v>0</v>
      </c>
    </row>
    <row r="851" spans="2:35" x14ac:dyDescent="0.3">
      <c r="B851" s="5" t="s">
        <v>3061</v>
      </c>
      <c r="C851" s="5" t="s">
        <v>13</v>
      </c>
      <c r="D851" s="12" t="s">
        <v>1214</v>
      </c>
      <c r="E851" s="6" t="s">
        <v>993</v>
      </c>
      <c r="F851" s="13" t="s">
        <v>994</v>
      </c>
      <c r="G851" s="6" t="s">
        <v>702</v>
      </c>
      <c r="H851" s="7" t="str">
        <f t="shared" si="13"/>
        <v>SEC-PHV-A519-08Unknown</v>
      </c>
      <c r="I851" s="8" t="s">
        <v>18</v>
      </c>
      <c r="J851" s="8" t="s">
        <v>454</v>
      </c>
      <c r="K851" s="8" t="s">
        <v>454</v>
      </c>
      <c r="L851" s="9"/>
      <c r="M851" s="9"/>
      <c r="N851" s="9"/>
      <c r="O851" s="9"/>
      <c r="P851" s="9"/>
      <c r="Q851" s="9"/>
      <c r="R851" s="9"/>
      <c r="S851" s="9"/>
      <c r="T851" s="9"/>
      <c r="U851" s="9"/>
      <c r="V851" s="9"/>
      <c r="W851" s="9"/>
      <c r="X851" s="9">
        <v>0</v>
      </c>
      <c r="Y851" s="9">
        <v>100</v>
      </c>
      <c r="Z851" s="9"/>
      <c r="AA851" s="9"/>
      <c r="AB851" s="9"/>
      <c r="AC851" s="9"/>
      <c r="AD851" s="9"/>
      <c r="AE851" s="9"/>
      <c r="AF851" s="9"/>
      <c r="AG851" s="9"/>
      <c r="AH851" s="7">
        <v>0</v>
      </c>
      <c r="AI851" s="7">
        <v>100</v>
      </c>
    </row>
    <row r="852" spans="2:35" x14ac:dyDescent="0.3">
      <c r="B852" s="5" t="s">
        <v>3061</v>
      </c>
      <c r="C852" s="5" t="s">
        <v>13</v>
      </c>
      <c r="D852" s="12" t="s">
        <v>1214</v>
      </c>
      <c r="E852" s="6" t="s">
        <v>708</v>
      </c>
      <c r="F852" s="13" t="s">
        <v>709</v>
      </c>
      <c r="G852" s="6" t="s">
        <v>688</v>
      </c>
      <c r="H852" s="7" t="str">
        <f t="shared" si="13"/>
        <v>MANUTENZIONE MEZZI AZIENDALIUnknown</v>
      </c>
      <c r="I852" s="8" t="s">
        <v>689</v>
      </c>
      <c r="J852" s="8" t="s">
        <v>690</v>
      </c>
      <c r="K852" s="8" t="s">
        <v>690</v>
      </c>
      <c r="L852" s="9"/>
      <c r="M852" s="9"/>
      <c r="N852" s="9"/>
      <c r="O852" s="9"/>
      <c r="P852" s="9"/>
      <c r="Q852" s="9"/>
      <c r="R852" s="9"/>
      <c r="S852" s="9"/>
      <c r="T852" s="9"/>
      <c r="U852" s="9"/>
      <c r="V852" s="9"/>
      <c r="W852" s="9"/>
      <c r="X852" s="9">
        <v>0</v>
      </c>
      <c r="Y852" s="9">
        <v>77427.399999999994</v>
      </c>
      <c r="Z852" s="9"/>
      <c r="AA852" s="9"/>
      <c r="AB852" s="9"/>
      <c r="AC852" s="9"/>
      <c r="AD852" s="9"/>
      <c r="AE852" s="9"/>
      <c r="AF852" s="9"/>
      <c r="AG852" s="9"/>
      <c r="AH852" s="7">
        <v>0</v>
      </c>
      <c r="AI852" s="7">
        <v>77427.399999999994</v>
      </c>
    </row>
    <row r="853" spans="2:35" x14ac:dyDescent="0.3">
      <c r="B853" s="5" t="s">
        <v>3061</v>
      </c>
      <c r="C853" s="5" t="s">
        <v>13</v>
      </c>
      <c r="D853" s="12" t="s">
        <v>1214</v>
      </c>
      <c r="E853" s="6" t="s">
        <v>1210</v>
      </c>
      <c r="F853" s="13" t="s">
        <v>1211</v>
      </c>
      <c r="G853" s="6" t="s">
        <v>1184</v>
      </c>
      <c r="H853" s="7" t="str">
        <f t="shared" si="13"/>
        <v>EPC-IPU-I457-02Unknown</v>
      </c>
      <c r="I853" s="8" t="s">
        <v>18</v>
      </c>
      <c r="J853" s="8" t="s">
        <v>76</v>
      </c>
      <c r="K853" s="8" t="s">
        <v>76</v>
      </c>
      <c r="L853" s="9"/>
      <c r="M853" s="9"/>
      <c r="N853" s="9"/>
      <c r="O853" s="9"/>
      <c r="P853" s="9"/>
      <c r="Q853" s="9"/>
      <c r="R853" s="9"/>
      <c r="S853" s="9"/>
      <c r="T853" s="9"/>
      <c r="U853" s="9"/>
      <c r="V853" s="9"/>
      <c r="W853" s="9"/>
      <c r="X853" s="9">
        <v>0</v>
      </c>
      <c r="Y853" s="9">
        <v>0</v>
      </c>
      <c r="Z853" s="9"/>
      <c r="AA853" s="9"/>
      <c r="AB853" s="9"/>
      <c r="AC853" s="9"/>
      <c r="AD853" s="9"/>
      <c r="AE853" s="9"/>
      <c r="AF853" s="9"/>
      <c r="AG853" s="9"/>
      <c r="AH853" s="7">
        <v>0</v>
      </c>
      <c r="AI853" s="7">
        <v>0</v>
      </c>
    </row>
    <row r="854" spans="2:35" x14ac:dyDescent="0.3">
      <c r="B854" s="5" t="s">
        <v>3061</v>
      </c>
      <c r="C854" s="5" t="s">
        <v>13</v>
      </c>
      <c r="D854" s="12" t="s">
        <v>1214</v>
      </c>
      <c r="E854" s="6" t="s">
        <v>736</v>
      </c>
      <c r="F854" s="13" t="s">
        <v>736</v>
      </c>
      <c r="G854" s="6" t="s">
        <v>688</v>
      </c>
      <c r="H854" s="7" t="str">
        <f t="shared" si="13"/>
        <v>NUMERO VERDEUnknown</v>
      </c>
      <c r="I854" s="8" t="s">
        <v>689</v>
      </c>
      <c r="J854" s="8" t="s">
        <v>690</v>
      </c>
      <c r="K854" s="8" t="s">
        <v>690</v>
      </c>
      <c r="L854" s="9"/>
      <c r="M854" s="9"/>
      <c r="N854" s="9"/>
      <c r="O854" s="9"/>
      <c r="P854" s="9"/>
      <c r="Q854" s="9"/>
      <c r="R854" s="9"/>
      <c r="S854" s="9"/>
      <c r="T854" s="9"/>
      <c r="U854" s="9"/>
      <c r="V854" s="9"/>
      <c r="W854" s="9"/>
      <c r="X854" s="9">
        <v>0</v>
      </c>
      <c r="Y854" s="9">
        <v>11410.12</v>
      </c>
      <c r="Z854" s="9"/>
      <c r="AA854" s="9"/>
      <c r="AB854" s="9"/>
      <c r="AC854" s="9"/>
      <c r="AD854" s="9"/>
      <c r="AE854" s="9"/>
      <c r="AF854" s="9"/>
      <c r="AG854" s="9"/>
      <c r="AH854" s="7">
        <v>0</v>
      </c>
      <c r="AI854" s="7">
        <v>11410.12</v>
      </c>
    </row>
    <row r="855" spans="2:35" x14ac:dyDescent="0.3">
      <c r="B855" s="5" t="s">
        <v>3061</v>
      </c>
      <c r="C855" s="5" t="s">
        <v>13</v>
      </c>
      <c r="D855" s="12" t="s">
        <v>1215</v>
      </c>
      <c r="E855" s="6" t="s">
        <v>862</v>
      </c>
      <c r="F855" s="13" t="s">
        <v>863</v>
      </c>
      <c r="G855" s="6" t="s">
        <v>864</v>
      </c>
      <c r="H855" s="7" t="str">
        <f t="shared" si="13"/>
        <v>EPC-IPU-B731-02Spot</v>
      </c>
      <c r="I855" s="8" t="s">
        <v>49</v>
      </c>
      <c r="J855" s="8" t="s">
        <v>259</v>
      </c>
      <c r="K855" s="8" t="s">
        <v>259</v>
      </c>
      <c r="L855" s="9"/>
      <c r="M855" s="9"/>
      <c r="N855" s="9"/>
      <c r="O855" s="9"/>
      <c r="P855" s="9"/>
      <c r="Q855" s="9"/>
      <c r="R855" s="9"/>
      <c r="S855" s="9"/>
      <c r="T855" s="9"/>
      <c r="U855" s="9"/>
      <c r="V855" s="9"/>
      <c r="W855" s="9"/>
      <c r="X855" s="9">
        <v>1197.53</v>
      </c>
      <c r="Y855" s="9">
        <v>0</v>
      </c>
      <c r="Z855" s="9"/>
      <c r="AA855" s="9"/>
      <c r="AB855" s="9"/>
      <c r="AC855" s="9"/>
      <c r="AD855" s="9"/>
      <c r="AE855" s="9"/>
      <c r="AF855" s="9"/>
      <c r="AG855" s="9"/>
      <c r="AH855" s="7">
        <v>1197.53</v>
      </c>
      <c r="AI855" s="7">
        <v>0</v>
      </c>
    </row>
    <row r="856" spans="2:35" x14ac:dyDescent="0.3">
      <c r="B856" s="5" t="s">
        <v>3061</v>
      </c>
      <c r="C856" s="5" t="s">
        <v>13</v>
      </c>
      <c r="D856" s="12" t="s">
        <v>1215</v>
      </c>
      <c r="E856" s="6" t="s">
        <v>620</v>
      </c>
      <c r="F856" s="13" t="s">
        <v>621</v>
      </c>
      <c r="G856" s="6" t="s">
        <v>622</v>
      </c>
      <c r="H856" s="7" t="str">
        <f t="shared" si="13"/>
        <v>EPC-IPU-E951-04Spot</v>
      </c>
      <c r="I856" s="8" t="s">
        <v>49</v>
      </c>
      <c r="J856" s="8" t="s">
        <v>259</v>
      </c>
      <c r="K856" s="8" t="s">
        <v>259</v>
      </c>
      <c r="L856" s="9"/>
      <c r="M856" s="9"/>
      <c r="N856" s="9"/>
      <c r="O856" s="9"/>
      <c r="P856" s="9"/>
      <c r="Q856" s="9"/>
      <c r="R856" s="9"/>
      <c r="S856" s="9"/>
      <c r="T856" s="9"/>
      <c r="U856" s="9"/>
      <c r="V856" s="9"/>
      <c r="W856" s="9"/>
      <c r="X856" s="9">
        <v>3536.47</v>
      </c>
      <c r="Y856" s="9">
        <v>0</v>
      </c>
      <c r="Z856" s="9"/>
      <c r="AA856" s="9"/>
      <c r="AB856" s="9"/>
      <c r="AC856" s="9"/>
      <c r="AD856" s="9"/>
      <c r="AE856" s="9"/>
      <c r="AF856" s="9"/>
      <c r="AG856" s="9"/>
      <c r="AH856" s="7">
        <v>3536.47</v>
      </c>
      <c r="AI856" s="7">
        <v>0</v>
      </c>
    </row>
    <row r="857" spans="2:35" x14ac:dyDescent="0.3">
      <c r="B857" s="5" t="s">
        <v>3061</v>
      </c>
      <c r="C857" s="5" t="s">
        <v>13</v>
      </c>
      <c r="D857" s="12" t="s">
        <v>1215</v>
      </c>
      <c r="E857" s="6" t="s">
        <v>1104</v>
      </c>
      <c r="F857" s="13" t="s">
        <v>1105</v>
      </c>
      <c r="G857" s="6" t="s">
        <v>1106</v>
      </c>
      <c r="H857" s="7" t="str">
        <f t="shared" si="13"/>
        <v>EPC-IPU-A488-02Spot</v>
      </c>
      <c r="I857" s="8" t="s">
        <v>24</v>
      </c>
      <c r="J857" s="8" t="s">
        <v>259</v>
      </c>
      <c r="K857" s="8" t="s">
        <v>259</v>
      </c>
      <c r="L857" s="9"/>
      <c r="M857" s="9"/>
      <c r="N857" s="9"/>
      <c r="O857" s="9"/>
      <c r="P857" s="9"/>
      <c r="Q857" s="9"/>
      <c r="R857" s="9"/>
      <c r="S857" s="9"/>
      <c r="T857" s="9"/>
      <c r="U857" s="9"/>
      <c r="V857" s="9"/>
      <c r="W857" s="9"/>
      <c r="X857" s="9">
        <v>350</v>
      </c>
      <c r="Y857" s="9">
        <v>0</v>
      </c>
      <c r="Z857" s="9"/>
      <c r="AA857" s="9"/>
      <c r="AB857" s="9"/>
      <c r="AC857" s="9"/>
      <c r="AD857" s="9"/>
      <c r="AE857" s="9"/>
      <c r="AF857" s="9"/>
      <c r="AG857" s="9"/>
      <c r="AH857" s="7">
        <v>350</v>
      </c>
      <c r="AI857" s="7">
        <v>0</v>
      </c>
    </row>
    <row r="858" spans="2:35" x14ac:dyDescent="0.3">
      <c r="B858" s="5" t="s">
        <v>3061</v>
      </c>
      <c r="C858" s="5" t="s">
        <v>13</v>
      </c>
      <c r="D858" s="12" t="s">
        <v>1215</v>
      </c>
      <c r="E858" s="6" t="s">
        <v>1060</v>
      </c>
      <c r="F858" s="13" t="s">
        <v>1061</v>
      </c>
      <c r="G858" s="6" t="s">
        <v>1062</v>
      </c>
      <c r="H858" s="7" t="str">
        <f t="shared" si="13"/>
        <v>EPC-IPU-G878-02Spot</v>
      </c>
      <c r="I858" s="8" t="s">
        <v>24</v>
      </c>
      <c r="J858" s="8" t="s">
        <v>259</v>
      </c>
      <c r="K858" s="8" t="s">
        <v>259</v>
      </c>
      <c r="L858" s="9"/>
      <c r="M858" s="9"/>
      <c r="N858" s="9"/>
      <c r="O858" s="9"/>
      <c r="P858" s="9"/>
      <c r="Q858" s="9"/>
      <c r="R858" s="9"/>
      <c r="S858" s="9"/>
      <c r="T858" s="9"/>
      <c r="U858" s="9"/>
      <c r="V858" s="9"/>
      <c r="W858" s="9"/>
      <c r="X858" s="9">
        <v>1931.63</v>
      </c>
      <c r="Y858" s="9">
        <v>1500</v>
      </c>
      <c r="Z858" s="9"/>
      <c r="AA858" s="9"/>
      <c r="AB858" s="9"/>
      <c r="AC858" s="9"/>
      <c r="AD858" s="9"/>
      <c r="AE858" s="9"/>
      <c r="AF858" s="9"/>
      <c r="AG858" s="9"/>
      <c r="AH858" s="7">
        <v>1931.63</v>
      </c>
      <c r="AI858" s="7">
        <v>1500</v>
      </c>
    </row>
    <row r="859" spans="2:35" x14ac:dyDescent="0.3">
      <c r="B859" s="5" t="s">
        <v>3061</v>
      </c>
      <c r="C859" s="5" t="s">
        <v>13</v>
      </c>
      <c r="D859" s="12" t="s">
        <v>1215</v>
      </c>
      <c r="E859" s="6" t="s">
        <v>1063</v>
      </c>
      <c r="F859" s="13" t="s">
        <v>1064</v>
      </c>
      <c r="G859" s="6" t="s">
        <v>1065</v>
      </c>
      <c r="H859" s="7" t="str">
        <f t="shared" si="13"/>
        <v>EPC-IPU-I089-01Spot</v>
      </c>
      <c r="I859" s="8" t="s">
        <v>18</v>
      </c>
      <c r="J859" s="8" t="s">
        <v>259</v>
      </c>
      <c r="K859" s="8" t="s">
        <v>259</v>
      </c>
      <c r="L859" s="9"/>
      <c r="M859" s="9"/>
      <c r="N859" s="9"/>
      <c r="O859" s="9"/>
      <c r="P859" s="9"/>
      <c r="Q859" s="9"/>
      <c r="R859" s="9"/>
      <c r="S859" s="9"/>
      <c r="T859" s="9"/>
      <c r="U859" s="9"/>
      <c r="V859" s="9"/>
      <c r="W859" s="9"/>
      <c r="X859" s="9">
        <v>550</v>
      </c>
      <c r="Y859" s="9">
        <v>0</v>
      </c>
      <c r="Z859" s="9"/>
      <c r="AA859" s="9"/>
      <c r="AB859" s="9"/>
      <c r="AC859" s="9"/>
      <c r="AD859" s="9"/>
      <c r="AE859" s="9"/>
      <c r="AF859" s="9"/>
      <c r="AG859" s="9"/>
      <c r="AH859" s="7">
        <v>550</v>
      </c>
      <c r="AI859" s="7">
        <v>0</v>
      </c>
    </row>
    <row r="860" spans="2:35" x14ac:dyDescent="0.3">
      <c r="B860" s="5" t="s">
        <v>3061</v>
      </c>
      <c r="C860" s="5" t="s">
        <v>13</v>
      </c>
      <c r="D860" s="12" t="s">
        <v>1213</v>
      </c>
      <c r="E860" s="6" t="s">
        <v>1216</v>
      </c>
      <c r="F860" s="13" t="s">
        <v>1217</v>
      </c>
      <c r="G860" s="6" t="s">
        <v>417</v>
      </c>
      <c r="H860" s="7" t="str">
        <f t="shared" si="13"/>
        <v>EPC-IPU-A683-03Operation &amp; Maintenance</v>
      </c>
      <c r="I860" s="8" t="s">
        <v>49</v>
      </c>
      <c r="J860" s="8" t="s">
        <v>76</v>
      </c>
      <c r="K860" s="8" t="s">
        <v>76</v>
      </c>
      <c r="L860" s="9"/>
      <c r="M860" s="9"/>
      <c r="N860" s="9"/>
      <c r="O860" s="9"/>
      <c r="P860" s="9"/>
      <c r="Q860" s="9"/>
      <c r="R860" s="9"/>
      <c r="S860" s="9"/>
      <c r="T860" s="9"/>
      <c r="U860" s="9"/>
      <c r="V860" s="9"/>
      <c r="W860" s="9"/>
      <c r="X860" s="9">
        <v>14320.93</v>
      </c>
      <c r="Y860" s="9">
        <v>0</v>
      </c>
      <c r="Z860" s="9"/>
      <c r="AA860" s="9"/>
      <c r="AB860" s="9"/>
      <c r="AC860" s="9"/>
      <c r="AD860" s="9"/>
      <c r="AE860" s="9"/>
      <c r="AF860" s="9"/>
      <c r="AG860" s="9"/>
      <c r="AH860" s="7">
        <v>14320.93</v>
      </c>
      <c r="AI860" s="7">
        <v>0</v>
      </c>
    </row>
    <row r="861" spans="2:35" x14ac:dyDescent="0.3">
      <c r="B861" s="5" t="s">
        <v>3061</v>
      </c>
      <c r="C861" s="5" t="s">
        <v>1218</v>
      </c>
      <c r="D861" s="12" t="s">
        <v>14</v>
      </c>
      <c r="E861" s="6" t="s">
        <v>1219</v>
      </c>
      <c r="F861" s="13" t="s">
        <v>1220</v>
      </c>
      <c r="G861" s="6" t="s">
        <v>1221</v>
      </c>
      <c r="H861" s="7" t="str">
        <f t="shared" si="13"/>
        <v>PPP-IPU-I561-01OPERATIONAL</v>
      </c>
      <c r="I861" s="8" t="s">
        <v>49</v>
      </c>
      <c r="J861" s="8" t="s">
        <v>19</v>
      </c>
      <c r="K861" s="8" t="s">
        <v>20</v>
      </c>
      <c r="L861" s="9"/>
      <c r="M861" s="9"/>
      <c r="N861" s="9"/>
      <c r="O861" s="9"/>
      <c r="P861" s="9"/>
      <c r="Q861" s="9"/>
      <c r="R861" s="9"/>
      <c r="S861" s="9"/>
      <c r="T861" s="9"/>
      <c r="U861" s="9"/>
      <c r="V861" s="9"/>
      <c r="W861" s="9"/>
      <c r="X861" s="9">
        <v>0</v>
      </c>
      <c r="Y861" s="9">
        <v>5671.91</v>
      </c>
      <c r="Z861" s="9"/>
      <c r="AA861" s="9"/>
      <c r="AB861" s="9"/>
      <c r="AC861" s="9"/>
      <c r="AD861" s="9"/>
      <c r="AE861" s="9"/>
      <c r="AF861" s="9"/>
      <c r="AG861" s="9"/>
      <c r="AH861" s="7">
        <v>0</v>
      </c>
      <c r="AI861" s="7">
        <v>5671.91</v>
      </c>
    </row>
    <row r="862" spans="2:35" x14ac:dyDescent="0.3">
      <c r="B862" s="5" t="s">
        <v>3061</v>
      </c>
      <c r="C862" s="5" t="s">
        <v>1218</v>
      </c>
      <c r="D862" s="12" t="s">
        <v>1213</v>
      </c>
      <c r="E862" s="6" t="s">
        <v>1219</v>
      </c>
      <c r="F862" s="13" t="s">
        <v>1220</v>
      </c>
      <c r="G862" s="6" t="s">
        <v>1221</v>
      </c>
      <c r="H862" s="7" t="str">
        <f t="shared" si="13"/>
        <v>PPP-IPU-I561-01Operation &amp; Maintenance</v>
      </c>
      <c r="I862" s="8" t="s">
        <v>49</v>
      </c>
      <c r="J862" s="8" t="s">
        <v>19</v>
      </c>
      <c r="K862" s="8" t="s">
        <v>20</v>
      </c>
      <c r="L862" s="9"/>
      <c r="M862" s="9"/>
      <c r="N862" s="9"/>
      <c r="O862" s="9"/>
      <c r="P862" s="9"/>
      <c r="Q862" s="9"/>
      <c r="R862" s="9"/>
      <c r="S862" s="9"/>
      <c r="T862" s="9"/>
      <c r="U862" s="9"/>
      <c r="V862" s="9"/>
      <c r="W862" s="9"/>
      <c r="X862" s="9">
        <v>0</v>
      </c>
      <c r="Y862" s="9">
        <v>2335.31</v>
      </c>
      <c r="Z862" s="9"/>
      <c r="AA862" s="9"/>
      <c r="AB862" s="9"/>
      <c r="AC862" s="9"/>
      <c r="AD862" s="9"/>
      <c r="AE862" s="9"/>
      <c r="AF862" s="9"/>
      <c r="AG862" s="9"/>
      <c r="AH862" s="7">
        <v>0</v>
      </c>
      <c r="AI862" s="7">
        <v>2335.31</v>
      </c>
    </row>
    <row r="863" spans="2:35" x14ac:dyDescent="0.3">
      <c r="B863" s="5" t="s">
        <v>3061</v>
      </c>
      <c r="C863" s="5" t="s">
        <v>13</v>
      </c>
      <c r="D863" s="12" t="s">
        <v>1213</v>
      </c>
      <c r="E863" s="6" t="s">
        <v>1222</v>
      </c>
      <c r="F863" s="13" t="s">
        <v>1223</v>
      </c>
      <c r="G863" s="6" t="s">
        <v>1224</v>
      </c>
      <c r="H863" s="7" t="str">
        <f t="shared" si="13"/>
        <v>EPC-IPU-C767-04Operation &amp; Maintenance</v>
      </c>
      <c r="I863" s="8" t="s">
        <v>24</v>
      </c>
      <c r="J863" s="8" t="s">
        <v>259</v>
      </c>
      <c r="K863" s="8" t="s">
        <v>259</v>
      </c>
      <c r="L863" s="9"/>
      <c r="M863" s="9"/>
      <c r="N863" s="9"/>
      <c r="O863" s="9"/>
      <c r="P863" s="9"/>
      <c r="Q863" s="9"/>
      <c r="R863" s="9"/>
      <c r="S863" s="9"/>
      <c r="T863" s="9"/>
      <c r="U863" s="9"/>
      <c r="V863" s="9"/>
      <c r="W863" s="9"/>
      <c r="X863" s="9">
        <v>380</v>
      </c>
      <c r="Y863" s="9">
        <v>0</v>
      </c>
      <c r="Z863" s="9"/>
      <c r="AA863" s="9"/>
      <c r="AB863" s="9"/>
      <c r="AC863" s="9"/>
      <c r="AD863" s="9"/>
      <c r="AE863" s="9"/>
      <c r="AF863" s="9"/>
      <c r="AG863" s="9"/>
      <c r="AH863" s="7">
        <v>380</v>
      </c>
      <c r="AI863" s="7">
        <v>0</v>
      </c>
    </row>
    <row r="864" spans="2:35" x14ac:dyDescent="0.3">
      <c r="B864" s="5" t="s">
        <v>3061</v>
      </c>
      <c r="C864" s="5" t="s">
        <v>13</v>
      </c>
      <c r="D864" s="12" t="s">
        <v>1215</v>
      </c>
      <c r="E864" s="6" t="s">
        <v>1225</v>
      </c>
      <c r="F864" s="13" t="s">
        <v>1226</v>
      </c>
      <c r="G864" s="6" t="s">
        <v>1227</v>
      </c>
      <c r="H864" s="7" t="str">
        <f t="shared" si="13"/>
        <v>EPC-IPU-A413-09Spot</v>
      </c>
      <c r="I864" s="8" t="s">
        <v>49</v>
      </c>
      <c r="J864" s="8" t="s">
        <v>259</v>
      </c>
      <c r="K864" s="8" t="s">
        <v>259</v>
      </c>
      <c r="L864" s="9"/>
      <c r="M864" s="9"/>
      <c r="N864" s="9"/>
      <c r="O864" s="9"/>
      <c r="P864" s="9"/>
      <c r="Q864" s="9"/>
      <c r="R864" s="9"/>
      <c r="S864" s="9"/>
      <c r="T864" s="9"/>
      <c r="U864" s="9"/>
      <c r="V864" s="9"/>
      <c r="W864" s="9"/>
      <c r="X864" s="9">
        <v>5874.87</v>
      </c>
      <c r="Y864" s="9">
        <v>0</v>
      </c>
      <c r="Z864" s="9"/>
      <c r="AA864" s="9"/>
      <c r="AB864" s="9"/>
      <c r="AC864" s="9"/>
      <c r="AD864" s="9"/>
      <c r="AE864" s="9"/>
      <c r="AF864" s="9"/>
      <c r="AG864" s="9"/>
      <c r="AH864" s="7">
        <v>5874.87</v>
      </c>
      <c r="AI864" s="7">
        <v>0</v>
      </c>
    </row>
    <row r="865" spans="2:35" x14ac:dyDescent="0.3">
      <c r="B865" s="5" t="s">
        <v>3061</v>
      </c>
      <c r="C865" s="5" t="s">
        <v>13</v>
      </c>
      <c r="D865" s="12" t="s">
        <v>14</v>
      </c>
      <c r="E865" s="6" t="s">
        <v>1228</v>
      </c>
      <c r="F865" s="13" t="s">
        <v>1229</v>
      </c>
      <c r="G865" s="6" t="s">
        <v>1230</v>
      </c>
      <c r="H865" s="7" t="str">
        <f t="shared" si="13"/>
        <v>SEC-PHV-A515-02OPERATIONAL</v>
      </c>
      <c r="I865" s="8" t="s">
        <v>24</v>
      </c>
      <c r="J865" s="8" t="s">
        <v>454</v>
      </c>
      <c r="K865" s="8" t="s">
        <v>454</v>
      </c>
      <c r="L865" s="9"/>
      <c r="M865" s="9"/>
      <c r="N865" s="9"/>
      <c r="O865" s="9"/>
      <c r="P865" s="9"/>
      <c r="Q865" s="9"/>
      <c r="R865" s="9"/>
      <c r="S865" s="9"/>
      <c r="T865" s="9"/>
      <c r="U865" s="9"/>
      <c r="V865" s="9"/>
      <c r="W865" s="9"/>
      <c r="X865" s="9">
        <v>0</v>
      </c>
      <c r="Y865" s="9">
        <v>14.27</v>
      </c>
      <c r="Z865" s="9"/>
      <c r="AA865" s="9"/>
      <c r="AB865" s="9"/>
      <c r="AC865" s="9"/>
      <c r="AD865" s="9"/>
      <c r="AE865" s="9"/>
      <c r="AF865" s="9"/>
      <c r="AG865" s="9"/>
      <c r="AH865" s="7">
        <v>0</v>
      </c>
      <c r="AI865" s="7">
        <v>14.27</v>
      </c>
    </row>
    <row r="866" spans="2:35" x14ac:dyDescent="0.3">
      <c r="B866" s="5" t="s">
        <v>3061</v>
      </c>
      <c r="C866" s="5" t="s">
        <v>13</v>
      </c>
      <c r="D866" s="12" t="s">
        <v>1214</v>
      </c>
      <c r="E866" s="6" t="s">
        <v>1228</v>
      </c>
      <c r="F866" s="13" t="s">
        <v>1229</v>
      </c>
      <c r="G866" s="6" t="s">
        <v>1230</v>
      </c>
      <c r="H866" s="7" t="str">
        <f t="shared" si="13"/>
        <v>SEC-PHV-A515-02Unknown</v>
      </c>
      <c r="I866" s="8" t="s">
        <v>24</v>
      </c>
      <c r="J866" s="8" t="s">
        <v>454</v>
      </c>
      <c r="K866" s="8" t="s">
        <v>454</v>
      </c>
      <c r="L866" s="9"/>
      <c r="M866" s="9"/>
      <c r="N866" s="9"/>
      <c r="O866" s="9"/>
      <c r="P866" s="9"/>
      <c r="Q866" s="9"/>
      <c r="R866" s="9"/>
      <c r="S866" s="9"/>
      <c r="T866" s="9"/>
      <c r="U866" s="9"/>
      <c r="V866" s="9"/>
      <c r="W866" s="9"/>
      <c r="X866" s="9">
        <v>0</v>
      </c>
      <c r="Y866" s="9">
        <v>-44.78</v>
      </c>
      <c r="Z866" s="9"/>
      <c r="AA866" s="9"/>
      <c r="AB866" s="9"/>
      <c r="AC866" s="9"/>
      <c r="AD866" s="9"/>
      <c r="AE866" s="9"/>
      <c r="AF866" s="9"/>
      <c r="AG866" s="9"/>
      <c r="AH866" s="7">
        <v>0</v>
      </c>
      <c r="AI866" s="7">
        <v>-44.78</v>
      </c>
    </row>
    <row r="867" spans="2:35" x14ac:dyDescent="0.3">
      <c r="B867" s="5" t="s">
        <v>3061</v>
      </c>
      <c r="C867" s="5" t="s">
        <v>13</v>
      </c>
      <c r="D867" s="12" t="s">
        <v>1213</v>
      </c>
      <c r="E867" s="6" t="s">
        <v>1231</v>
      </c>
      <c r="F867" s="13" t="s">
        <v>1232</v>
      </c>
      <c r="G867" s="6" t="s">
        <v>1233</v>
      </c>
      <c r="H867" s="7" t="str">
        <f t="shared" si="13"/>
        <v>EPC-IPU-C767-03Operation &amp; Maintenance</v>
      </c>
      <c r="I867" s="8" t="s">
        <v>24</v>
      </c>
      <c r="J867" s="8" t="s">
        <v>259</v>
      </c>
      <c r="K867" s="8" t="s">
        <v>259</v>
      </c>
      <c r="L867" s="9"/>
      <c r="M867" s="9"/>
      <c r="N867" s="9"/>
      <c r="O867" s="9"/>
      <c r="P867" s="9"/>
      <c r="Q867" s="9"/>
      <c r="R867" s="9"/>
      <c r="S867" s="9"/>
      <c r="T867" s="9"/>
      <c r="U867" s="9"/>
      <c r="V867" s="9"/>
      <c r="W867" s="9"/>
      <c r="X867" s="9">
        <v>555</v>
      </c>
      <c r="Y867" s="9">
        <v>0</v>
      </c>
      <c r="Z867" s="9"/>
      <c r="AA867" s="9"/>
      <c r="AB867" s="9"/>
      <c r="AC867" s="9"/>
      <c r="AD867" s="9"/>
      <c r="AE867" s="9"/>
      <c r="AF867" s="9"/>
      <c r="AG867" s="9"/>
      <c r="AH867" s="7">
        <v>555</v>
      </c>
      <c r="AI867" s="7">
        <v>0</v>
      </c>
    </row>
    <row r="868" spans="2:35" x14ac:dyDescent="0.3">
      <c r="B868" s="5" t="s">
        <v>3061</v>
      </c>
      <c r="C868" s="5" t="s">
        <v>13</v>
      </c>
      <c r="D868" s="12" t="s">
        <v>1213</v>
      </c>
      <c r="E868" s="6" t="s">
        <v>1234</v>
      </c>
      <c r="F868" s="13" t="s">
        <v>1235</v>
      </c>
      <c r="G868" s="6" t="s">
        <v>1236</v>
      </c>
      <c r="H868" s="7" t="str">
        <f t="shared" si="13"/>
        <v>PPP-IPU-B437-01Operation &amp; Maintenance</v>
      </c>
      <c r="I868" s="8" t="s">
        <v>18</v>
      </c>
      <c r="J868" s="8" t="s">
        <v>19</v>
      </c>
      <c r="K868" s="8" t="s">
        <v>20</v>
      </c>
      <c r="L868" s="9"/>
      <c r="M868" s="9"/>
      <c r="N868" s="9"/>
      <c r="O868" s="9"/>
      <c r="P868" s="9"/>
      <c r="Q868" s="9"/>
      <c r="R868" s="9"/>
      <c r="S868" s="9"/>
      <c r="T868" s="9"/>
      <c r="U868" s="9"/>
      <c r="V868" s="9"/>
      <c r="W868" s="9"/>
      <c r="X868" s="9">
        <v>0</v>
      </c>
      <c r="Y868" s="9">
        <v>1000</v>
      </c>
      <c r="Z868" s="9"/>
      <c r="AA868" s="9"/>
      <c r="AB868" s="9"/>
      <c r="AC868" s="9"/>
      <c r="AD868" s="9"/>
      <c r="AE868" s="9"/>
      <c r="AF868" s="9"/>
      <c r="AG868" s="9"/>
      <c r="AH868" s="7">
        <v>0</v>
      </c>
      <c r="AI868" s="7">
        <v>1000</v>
      </c>
    </row>
    <row r="869" spans="2:35" x14ac:dyDescent="0.3">
      <c r="B869" s="5" t="s">
        <v>3061</v>
      </c>
      <c r="C869" s="5" t="s">
        <v>13</v>
      </c>
      <c r="D869" s="12" t="s">
        <v>14</v>
      </c>
      <c r="E869" s="6" t="s">
        <v>1237</v>
      </c>
      <c r="F869" s="13" t="s">
        <v>1238</v>
      </c>
      <c r="G869" s="6" t="s">
        <v>1239</v>
      </c>
      <c r="H869" s="7" t="str">
        <f t="shared" si="13"/>
        <v>EPC-IPU-C638-02OPERATIONAL</v>
      </c>
      <c r="I869" s="8" t="s">
        <v>56</v>
      </c>
      <c r="J869" s="8" t="s">
        <v>259</v>
      </c>
      <c r="K869" s="8" t="s">
        <v>259</v>
      </c>
      <c r="L869" s="9"/>
      <c r="M869" s="9"/>
      <c r="N869" s="9"/>
      <c r="O869" s="9"/>
      <c r="P869" s="9"/>
      <c r="Q869" s="9"/>
      <c r="R869" s="9"/>
      <c r="S869" s="9"/>
      <c r="T869" s="9"/>
      <c r="U869" s="9"/>
      <c r="V869" s="9"/>
      <c r="W869" s="9"/>
      <c r="X869" s="9">
        <v>40789.980000000003</v>
      </c>
      <c r="Y869" s="9">
        <v>0</v>
      </c>
      <c r="Z869" s="9"/>
      <c r="AA869" s="9"/>
      <c r="AB869" s="9"/>
      <c r="AC869" s="9"/>
      <c r="AD869" s="9"/>
      <c r="AE869" s="9"/>
      <c r="AF869" s="9"/>
      <c r="AG869" s="9"/>
      <c r="AH869" s="7">
        <v>40789.980000000003</v>
      </c>
      <c r="AI869" s="7">
        <v>0</v>
      </c>
    </row>
    <row r="870" spans="2:35" x14ac:dyDescent="0.3">
      <c r="B870" s="5" t="s">
        <v>3061</v>
      </c>
      <c r="C870" s="5" t="s">
        <v>13</v>
      </c>
      <c r="D870" s="12" t="s">
        <v>1215</v>
      </c>
      <c r="E870" s="6" t="s">
        <v>1240</v>
      </c>
      <c r="F870" s="13" t="s">
        <v>1241</v>
      </c>
      <c r="G870" s="6" t="s">
        <v>1242</v>
      </c>
      <c r="H870" s="7" t="str">
        <f t="shared" si="13"/>
        <v>EPC-IPU-H641-02Spot</v>
      </c>
      <c r="I870" s="8" t="s">
        <v>18</v>
      </c>
      <c r="J870" s="8" t="s">
        <v>259</v>
      </c>
      <c r="K870" s="8" t="s">
        <v>259</v>
      </c>
      <c r="L870" s="9"/>
      <c r="M870" s="9"/>
      <c r="N870" s="9"/>
      <c r="O870" s="9"/>
      <c r="P870" s="9"/>
      <c r="Q870" s="9"/>
      <c r="R870" s="9"/>
      <c r="S870" s="9"/>
      <c r="T870" s="9"/>
      <c r="U870" s="9"/>
      <c r="V870" s="9"/>
      <c r="W870" s="9"/>
      <c r="X870" s="9">
        <v>1000</v>
      </c>
      <c r="Y870" s="9">
        <v>0</v>
      </c>
      <c r="Z870" s="9"/>
      <c r="AA870" s="9"/>
      <c r="AB870" s="9"/>
      <c r="AC870" s="9"/>
      <c r="AD870" s="9"/>
      <c r="AE870" s="9"/>
      <c r="AF870" s="9"/>
      <c r="AG870" s="9"/>
      <c r="AH870" s="7">
        <v>1000</v>
      </c>
      <c r="AI870" s="7">
        <v>0</v>
      </c>
    </row>
    <row r="871" spans="2:35" x14ac:dyDescent="0.3">
      <c r="B871" s="5" t="s">
        <v>3061</v>
      </c>
      <c r="C871" s="5" t="s">
        <v>13</v>
      </c>
      <c r="D871" s="12" t="s">
        <v>1213</v>
      </c>
      <c r="E871" s="6" t="s">
        <v>1243</v>
      </c>
      <c r="F871" s="13" t="s">
        <v>1244</v>
      </c>
      <c r="G871" s="6" t="s">
        <v>354</v>
      </c>
      <c r="H871" s="7" t="str">
        <f t="shared" si="13"/>
        <v>EPC-IPU-I608-06Operation &amp; Maintenance</v>
      </c>
      <c r="I871" s="8" t="s">
        <v>24</v>
      </c>
      <c r="J871" s="8" t="s">
        <v>76</v>
      </c>
      <c r="K871" s="8" t="s">
        <v>76</v>
      </c>
      <c r="L871" s="9"/>
      <c r="M871" s="9"/>
      <c r="N871" s="9"/>
      <c r="O871" s="9"/>
      <c r="P871" s="9"/>
      <c r="Q871" s="9"/>
      <c r="R871" s="9"/>
      <c r="S871" s="9"/>
      <c r="T871" s="9"/>
      <c r="U871" s="9"/>
      <c r="V871" s="9"/>
      <c r="W871" s="9"/>
      <c r="X871" s="9">
        <v>-1319.51</v>
      </c>
      <c r="Y871" s="9">
        <v>0</v>
      </c>
      <c r="Z871" s="9"/>
      <c r="AA871" s="9"/>
      <c r="AB871" s="9"/>
      <c r="AC871" s="9"/>
      <c r="AD871" s="9"/>
      <c r="AE871" s="9"/>
      <c r="AF871" s="9"/>
      <c r="AG871" s="9"/>
      <c r="AH871" s="7">
        <v>-1319.51</v>
      </c>
      <c r="AI871" s="7">
        <v>0</v>
      </c>
    </row>
    <row r="872" spans="2:35" x14ac:dyDescent="0.3">
      <c r="B872" s="5" t="s">
        <v>3061</v>
      </c>
      <c r="C872" s="5" t="s">
        <v>13</v>
      </c>
      <c r="D872" s="12" t="s">
        <v>1213</v>
      </c>
      <c r="E872" s="6" t="s">
        <v>1245</v>
      </c>
      <c r="F872" s="13" t="s">
        <v>1246</v>
      </c>
      <c r="G872" s="6" t="s">
        <v>211</v>
      </c>
      <c r="H872" s="7" t="str">
        <f t="shared" si="13"/>
        <v>EPC-IPU-I305-05Operation &amp; Maintenance</v>
      </c>
      <c r="I872" s="8" t="s">
        <v>18</v>
      </c>
      <c r="J872" s="8" t="s">
        <v>76</v>
      </c>
      <c r="K872" s="8" t="s">
        <v>76</v>
      </c>
      <c r="L872" s="9"/>
      <c r="M872" s="9"/>
      <c r="N872" s="9"/>
      <c r="O872" s="9"/>
      <c r="P872" s="9"/>
      <c r="Q872" s="9"/>
      <c r="R872" s="9"/>
      <c r="S872" s="9"/>
      <c r="T872" s="9"/>
      <c r="U872" s="9"/>
      <c r="V872" s="9"/>
      <c r="W872" s="9"/>
      <c r="X872" s="9">
        <v>4230.96</v>
      </c>
      <c r="Y872" s="9">
        <v>0</v>
      </c>
      <c r="Z872" s="9"/>
      <c r="AA872" s="9"/>
      <c r="AB872" s="9"/>
      <c r="AC872" s="9"/>
      <c r="AD872" s="9"/>
      <c r="AE872" s="9"/>
      <c r="AF872" s="9"/>
      <c r="AG872" s="9"/>
      <c r="AH872" s="7">
        <v>4230.96</v>
      </c>
      <c r="AI872" s="7">
        <v>0</v>
      </c>
    </row>
    <row r="873" spans="2:35" x14ac:dyDescent="0.3">
      <c r="B873" s="5" t="s">
        <v>3061</v>
      </c>
      <c r="C873" s="5" t="s">
        <v>13</v>
      </c>
      <c r="D873" s="12" t="s">
        <v>1213</v>
      </c>
      <c r="E873" s="6" t="s">
        <v>1247</v>
      </c>
      <c r="F873" s="13" t="s">
        <v>1248</v>
      </c>
      <c r="G873" s="6" t="s">
        <v>1249</v>
      </c>
      <c r="H873" s="7" t="str">
        <f t="shared" si="13"/>
        <v>EPC-IPU-I307-05Operation &amp; Maintenance</v>
      </c>
      <c r="I873" s="8" t="s">
        <v>18</v>
      </c>
      <c r="J873" s="8" t="s">
        <v>76</v>
      </c>
      <c r="K873" s="8" t="s">
        <v>76</v>
      </c>
      <c r="L873" s="9"/>
      <c r="M873" s="9"/>
      <c r="N873" s="9"/>
      <c r="O873" s="9"/>
      <c r="P873" s="9"/>
      <c r="Q873" s="9"/>
      <c r="R873" s="9"/>
      <c r="S873" s="9"/>
      <c r="T873" s="9"/>
      <c r="U873" s="9"/>
      <c r="V873" s="9"/>
      <c r="W873" s="9"/>
      <c r="X873" s="9">
        <v>297.44</v>
      </c>
      <c r="Y873" s="9">
        <v>0</v>
      </c>
      <c r="Z873" s="9"/>
      <c r="AA873" s="9"/>
      <c r="AB873" s="9"/>
      <c r="AC873" s="9"/>
      <c r="AD873" s="9"/>
      <c r="AE873" s="9"/>
      <c r="AF873" s="9"/>
      <c r="AG873" s="9"/>
      <c r="AH873" s="7">
        <v>297.44</v>
      </c>
      <c r="AI873" s="7">
        <v>0</v>
      </c>
    </row>
    <row r="874" spans="2:35" x14ac:dyDescent="0.3">
      <c r="B874" s="5" t="s">
        <v>3061</v>
      </c>
      <c r="C874" s="5" t="s">
        <v>13</v>
      </c>
      <c r="D874" s="12" t="s">
        <v>1213</v>
      </c>
      <c r="E874" s="6" t="s">
        <v>1250</v>
      </c>
      <c r="F874" s="13" t="s">
        <v>1251</v>
      </c>
      <c r="G874" s="6" t="s">
        <v>161</v>
      </c>
      <c r="H874" s="7" t="str">
        <f t="shared" si="13"/>
        <v>EPC-IPU-A162-01Operation &amp; Maintenance</v>
      </c>
      <c r="I874" s="8" t="s">
        <v>24</v>
      </c>
      <c r="J874" s="8" t="s">
        <v>76</v>
      </c>
      <c r="K874" s="8" t="s">
        <v>76</v>
      </c>
      <c r="L874" s="9"/>
      <c r="M874" s="9"/>
      <c r="N874" s="9"/>
      <c r="O874" s="9"/>
      <c r="P874" s="9"/>
      <c r="Q874" s="9"/>
      <c r="R874" s="9"/>
      <c r="S874" s="9"/>
      <c r="T874" s="9"/>
      <c r="U874" s="9"/>
      <c r="V874" s="9"/>
      <c r="W874" s="9"/>
      <c r="X874" s="9">
        <v>0</v>
      </c>
      <c r="Y874" s="9">
        <v>478.26</v>
      </c>
      <c r="Z874" s="9"/>
      <c r="AA874" s="9"/>
      <c r="AB874" s="9"/>
      <c r="AC874" s="9"/>
      <c r="AD874" s="9"/>
      <c r="AE874" s="9"/>
      <c r="AF874" s="9"/>
      <c r="AG874" s="9"/>
      <c r="AH874" s="7">
        <v>0</v>
      </c>
      <c r="AI874" s="7">
        <v>478.26</v>
      </c>
    </row>
    <row r="875" spans="2:35" x14ac:dyDescent="0.3">
      <c r="B875" s="5" t="s">
        <v>3061</v>
      </c>
      <c r="C875" s="5" t="s">
        <v>13</v>
      </c>
      <c r="D875" s="12" t="s">
        <v>1214</v>
      </c>
      <c r="E875" s="6" t="s">
        <v>1252</v>
      </c>
      <c r="F875" s="13" t="s">
        <v>1253</v>
      </c>
      <c r="G875" s="6" t="s">
        <v>1254</v>
      </c>
      <c r="H875" s="7" t="str">
        <f t="shared" si="13"/>
        <v>SEC-PHV-B008-01Unknown</v>
      </c>
      <c r="I875" s="8" t="s">
        <v>24</v>
      </c>
      <c r="J875" s="8" t="s">
        <v>454</v>
      </c>
      <c r="K875" s="8" t="s">
        <v>454</v>
      </c>
      <c r="L875" s="9"/>
      <c r="M875" s="9"/>
      <c r="N875" s="9"/>
      <c r="O875" s="9"/>
      <c r="P875" s="9"/>
      <c r="Q875" s="9"/>
      <c r="R875" s="9"/>
      <c r="S875" s="9"/>
      <c r="T875" s="9"/>
      <c r="U875" s="9"/>
      <c r="V875" s="9"/>
      <c r="W875" s="9"/>
      <c r="X875" s="9">
        <v>0</v>
      </c>
      <c r="Y875" s="9">
        <v>28.38</v>
      </c>
      <c r="Z875" s="9"/>
      <c r="AA875" s="9"/>
      <c r="AB875" s="9"/>
      <c r="AC875" s="9"/>
      <c r="AD875" s="9"/>
      <c r="AE875" s="9"/>
      <c r="AF875" s="9"/>
      <c r="AG875" s="9"/>
      <c r="AH875" s="7">
        <v>0</v>
      </c>
      <c r="AI875" s="7">
        <v>28.38</v>
      </c>
    </row>
    <row r="876" spans="2:35" x14ac:dyDescent="0.3">
      <c r="B876" s="5" t="s">
        <v>3061</v>
      </c>
      <c r="C876" s="5" t="s">
        <v>13</v>
      </c>
      <c r="D876" s="12" t="s">
        <v>14</v>
      </c>
      <c r="E876" s="6" t="s">
        <v>1252</v>
      </c>
      <c r="F876" s="13" t="s">
        <v>1253</v>
      </c>
      <c r="G876" s="6" t="s">
        <v>1254</v>
      </c>
      <c r="H876" s="7" t="str">
        <f t="shared" si="13"/>
        <v>SEC-PHV-B008-01OPERATIONAL</v>
      </c>
      <c r="I876" s="8" t="s">
        <v>24</v>
      </c>
      <c r="J876" s="8" t="s">
        <v>454</v>
      </c>
      <c r="K876" s="8" t="s">
        <v>454</v>
      </c>
      <c r="L876" s="9"/>
      <c r="M876" s="9"/>
      <c r="N876" s="9"/>
      <c r="O876" s="9"/>
      <c r="P876" s="9"/>
      <c r="Q876" s="9"/>
      <c r="R876" s="9"/>
      <c r="S876" s="9"/>
      <c r="T876" s="9"/>
      <c r="U876" s="9"/>
      <c r="V876" s="9"/>
      <c r="W876" s="9"/>
      <c r="X876" s="9">
        <v>0</v>
      </c>
      <c r="Y876" s="9">
        <v>15.54</v>
      </c>
      <c r="Z876" s="9"/>
      <c r="AA876" s="9"/>
      <c r="AB876" s="9"/>
      <c r="AC876" s="9"/>
      <c r="AD876" s="9"/>
      <c r="AE876" s="9"/>
      <c r="AF876" s="9"/>
      <c r="AG876" s="9"/>
      <c r="AH876" s="7">
        <v>0</v>
      </c>
      <c r="AI876" s="7">
        <v>15.54</v>
      </c>
    </row>
    <row r="877" spans="2:35" x14ac:dyDescent="0.3">
      <c r="B877" s="5" t="s">
        <v>3061</v>
      </c>
      <c r="C877" s="5" t="s">
        <v>13</v>
      </c>
      <c r="D877" s="12" t="s">
        <v>1213</v>
      </c>
      <c r="E877" s="6" t="s">
        <v>1255</v>
      </c>
      <c r="F877" s="13" t="s">
        <v>1256</v>
      </c>
      <c r="G877" s="6" t="s">
        <v>831</v>
      </c>
      <c r="H877" s="7" t="str">
        <f t="shared" si="13"/>
        <v>PPP-IPU-G712-01Operation &amp; Maintenance</v>
      </c>
      <c r="I877" s="8" t="s">
        <v>18</v>
      </c>
      <c r="J877" s="8" t="s">
        <v>19</v>
      </c>
      <c r="K877" s="8" t="s">
        <v>20</v>
      </c>
      <c r="L877" s="9"/>
      <c r="M877" s="9"/>
      <c r="N877" s="9"/>
      <c r="O877" s="9"/>
      <c r="P877" s="9"/>
      <c r="Q877" s="9"/>
      <c r="R877" s="9"/>
      <c r="S877" s="9"/>
      <c r="T877" s="9"/>
      <c r="U877" s="9"/>
      <c r="V877" s="9"/>
      <c r="W877" s="9"/>
      <c r="X877" s="9">
        <v>0</v>
      </c>
      <c r="Y877" s="9">
        <v>20.81</v>
      </c>
      <c r="Z877" s="9"/>
      <c r="AA877" s="9"/>
      <c r="AB877" s="9"/>
      <c r="AC877" s="9"/>
      <c r="AD877" s="9"/>
      <c r="AE877" s="9"/>
      <c r="AF877" s="9"/>
      <c r="AG877" s="9"/>
      <c r="AH877" s="7">
        <v>0</v>
      </c>
      <c r="AI877" s="7">
        <v>20.81</v>
      </c>
    </row>
    <row r="878" spans="2:35" x14ac:dyDescent="0.3">
      <c r="B878" s="5" t="s">
        <v>3061</v>
      </c>
      <c r="C878" s="5" t="s">
        <v>13</v>
      </c>
      <c r="D878" s="12" t="s">
        <v>14</v>
      </c>
      <c r="E878" s="6" t="s">
        <v>1257</v>
      </c>
      <c r="F878" s="13" t="s">
        <v>1258</v>
      </c>
      <c r="G878" s="6" t="s">
        <v>1239</v>
      </c>
      <c r="H878" s="7" t="str">
        <f t="shared" si="13"/>
        <v>PPP-EEE-C638-04OPERATIONAL</v>
      </c>
      <c r="I878" s="8" t="s">
        <v>56</v>
      </c>
      <c r="J878" s="8" t="s">
        <v>202</v>
      </c>
      <c r="K878" s="8" t="s">
        <v>202</v>
      </c>
      <c r="L878" s="9"/>
      <c r="M878" s="9"/>
      <c r="N878" s="9"/>
      <c r="O878" s="9"/>
      <c r="P878" s="9"/>
      <c r="Q878" s="9"/>
      <c r="R878" s="9"/>
      <c r="S878" s="9"/>
      <c r="T878" s="9"/>
      <c r="U878" s="9"/>
      <c r="V878" s="9"/>
      <c r="W878" s="9"/>
      <c r="X878" s="9">
        <v>103333.32</v>
      </c>
      <c r="Y878" s="9">
        <v>0</v>
      </c>
      <c r="Z878" s="9"/>
      <c r="AA878" s="9"/>
      <c r="AB878" s="9"/>
      <c r="AC878" s="9"/>
      <c r="AD878" s="9"/>
      <c r="AE878" s="9"/>
      <c r="AF878" s="9"/>
      <c r="AG878" s="9"/>
      <c r="AH878" s="7">
        <v>103333.32</v>
      </c>
      <c r="AI878" s="7">
        <v>0</v>
      </c>
    </row>
    <row r="879" spans="2:35" x14ac:dyDescent="0.3">
      <c r="B879" s="5" t="s">
        <v>3061</v>
      </c>
      <c r="C879" s="5" t="s">
        <v>1218</v>
      </c>
      <c r="D879" s="12" t="s">
        <v>14</v>
      </c>
      <c r="E879" s="6" t="s">
        <v>1259</v>
      </c>
      <c r="F879" s="13" t="s">
        <v>1260</v>
      </c>
      <c r="G879" s="6" t="s">
        <v>1261</v>
      </c>
      <c r="H879" s="7" t="str">
        <f t="shared" si="13"/>
        <v>PPP-IPU-I362-01OPERATIONAL</v>
      </c>
      <c r="I879" s="8" t="s">
        <v>49</v>
      </c>
      <c r="J879" s="8" t="s">
        <v>19</v>
      </c>
      <c r="K879" s="8" t="s">
        <v>20</v>
      </c>
      <c r="L879" s="9"/>
      <c r="M879" s="9"/>
      <c r="N879" s="9"/>
      <c r="O879" s="9"/>
      <c r="P879" s="9"/>
      <c r="Q879" s="9"/>
      <c r="R879" s="9"/>
      <c r="S879" s="9"/>
      <c r="T879" s="9"/>
      <c r="U879" s="9"/>
      <c r="V879" s="9"/>
      <c r="W879" s="9"/>
      <c r="X879" s="9">
        <v>0</v>
      </c>
      <c r="Y879" s="9">
        <v>6383.62</v>
      </c>
      <c r="Z879" s="9"/>
      <c r="AA879" s="9"/>
      <c r="AB879" s="9"/>
      <c r="AC879" s="9"/>
      <c r="AD879" s="9"/>
      <c r="AE879" s="9"/>
      <c r="AF879" s="9"/>
      <c r="AG879" s="9"/>
      <c r="AH879" s="7">
        <v>0</v>
      </c>
      <c r="AI879" s="7">
        <v>6383.62</v>
      </c>
    </row>
    <row r="880" spans="2:35" x14ac:dyDescent="0.3">
      <c r="B880" s="5" t="s">
        <v>3061</v>
      </c>
      <c r="C880" s="5" t="s">
        <v>1218</v>
      </c>
      <c r="D880" s="12" t="s">
        <v>1213</v>
      </c>
      <c r="E880" s="6" t="s">
        <v>1259</v>
      </c>
      <c r="F880" s="13" t="s">
        <v>1260</v>
      </c>
      <c r="G880" s="6" t="s">
        <v>1261</v>
      </c>
      <c r="H880" s="7" t="str">
        <f t="shared" si="13"/>
        <v>PPP-IPU-I362-01Operation &amp; Maintenance</v>
      </c>
      <c r="I880" s="8" t="s">
        <v>49</v>
      </c>
      <c r="J880" s="8" t="s">
        <v>19</v>
      </c>
      <c r="K880" s="8" t="s">
        <v>20</v>
      </c>
      <c r="L880" s="9"/>
      <c r="M880" s="9"/>
      <c r="N880" s="9"/>
      <c r="O880" s="9"/>
      <c r="P880" s="9"/>
      <c r="Q880" s="9"/>
      <c r="R880" s="9"/>
      <c r="S880" s="9"/>
      <c r="T880" s="9"/>
      <c r="U880" s="9"/>
      <c r="V880" s="9"/>
      <c r="W880" s="9"/>
      <c r="X880" s="9">
        <v>0</v>
      </c>
      <c r="Y880" s="9">
        <v>3247.13</v>
      </c>
      <c r="Z880" s="9"/>
      <c r="AA880" s="9"/>
      <c r="AB880" s="9"/>
      <c r="AC880" s="9"/>
      <c r="AD880" s="9"/>
      <c r="AE880" s="9"/>
      <c r="AF880" s="9"/>
      <c r="AG880" s="9"/>
      <c r="AH880" s="7">
        <v>0</v>
      </c>
      <c r="AI880" s="7">
        <v>3247.13</v>
      </c>
    </row>
    <row r="881" spans="2:35" x14ac:dyDescent="0.3">
      <c r="B881" s="5" t="s">
        <v>3061</v>
      </c>
      <c r="C881" s="5" t="s">
        <v>13</v>
      </c>
      <c r="D881" s="12" t="s">
        <v>1213</v>
      </c>
      <c r="E881" s="6" t="s">
        <v>1262</v>
      </c>
      <c r="F881" s="13" t="s">
        <v>1263</v>
      </c>
      <c r="G881" s="6" t="s">
        <v>1264</v>
      </c>
      <c r="H881" s="7" t="str">
        <f t="shared" si="13"/>
        <v>EPC-IPU-H601-02Operation &amp; Maintenance</v>
      </c>
      <c r="I881" s="8" t="s">
        <v>49</v>
      </c>
      <c r="J881" s="8" t="s">
        <v>259</v>
      </c>
      <c r="K881" s="8" t="s">
        <v>259</v>
      </c>
      <c r="L881" s="9"/>
      <c r="M881" s="9"/>
      <c r="N881" s="9"/>
      <c r="O881" s="9"/>
      <c r="P881" s="9"/>
      <c r="Q881" s="9"/>
      <c r="R881" s="9"/>
      <c r="S881" s="9"/>
      <c r="T881" s="9"/>
      <c r="U881" s="9"/>
      <c r="V881" s="9"/>
      <c r="W881" s="9"/>
      <c r="X881" s="9">
        <v>0</v>
      </c>
      <c r="Y881" s="9">
        <v>860</v>
      </c>
      <c r="Z881" s="9"/>
      <c r="AA881" s="9"/>
      <c r="AB881" s="9"/>
      <c r="AC881" s="9"/>
      <c r="AD881" s="9"/>
      <c r="AE881" s="9"/>
      <c r="AF881" s="9"/>
      <c r="AG881" s="9"/>
      <c r="AH881" s="7">
        <v>0</v>
      </c>
      <c r="AI881" s="7">
        <v>860</v>
      </c>
    </row>
    <row r="882" spans="2:35" x14ac:dyDescent="0.3">
      <c r="B882" s="5" t="s">
        <v>3061</v>
      </c>
      <c r="C882" s="5" t="s">
        <v>13</v>
      </c>
      <c r="D882" s="12" t="s">
        <v>1213</v>
      </c>
      <c r="E882" s="6" t="s">
        <v>1265</v>
      </c>
      <c r="F882" s="13" t="s">
        <v>1266</v>
      </c>
      <c r="G882" s="6" t="s">
        <v>508</v>
      </c>
      <c r="H882" s="7" t="str">
        <f t="shared" si="13"/>
        <v>EPC-IPU-G910-01Operation &amp; Maintenance</v>
      </c>
      <c r="I882" s="8" t="s">
        <v>24</v>
      </c>
      <c r="J882" s="8" t="s">
        <v>76</v>
      </c>
      <c r="K882" s="8" t="s">
        <v>76</v>
      </c>
      <c r="L882" s="9"/>
      <c r="M882" s="9"/>
      <c r="N882" s="9"/>
      <c r="O882" s="9"/>
      <c r="P882" s="9"/>
      <c r="Q882" s="9"/>
      <c r="R882" s="9"/>
      <c r="S882" s="9"/>
      <c r="T882" s="9"/>
      <c r="U882" s="9"/>
      <c r="V882" s="9"/>
      <c r="W882" s="9"/>
      <c r="X882" s="9">
        <v>680</v>
      </c>
      <c r="Y882" s="9">
        <v>0</v>
      </c>
      <c r="Z882" s="9"/>
      <c r="AA882" s="9"/>
      <c r="AB882" s="9"/>
      <c r="AC882" s="9"/>
      <c r="AD882" s="9"/>
      <c r="AE882" s="9"/>
      <c r="AF882" s="9"/>
      <c r="AG882" s="9"/>
      <c r="AH882" s="7">
        <v>680</v>
      </c>
      <c r="AI882" s="7">
        <v>0</v>
      </c>
    </row>
    <row r="883" spans="2:35" x14ac:dyDescent="0.3">
      <c r="B883" s="5" t="s">
        <v>3061</v>
      </c>
      <c r="C883" s="5" t="s">
        <v>13</v>
      </c>
      <c r="D883" s="12" t="s">
        <v>72</v>
      </c>
      <c r="E883" s="6" t="s">
        <v>1265</v>
      </c>
      <c r="F883" s="13" t="s">
        <v>1266</v>
      </c>
      <c r="G883" s="6" t="s">
        <v>508</v>
      </c>
      <c r="H883" s="7" t="str">
        <f t="shared" si="13"/>
        <v>EPC-IPU-G910-01EXTRA LAVORI</v>
      </c>
      <c r="I883" s="8" t="s">
        <v>24</v>
      </c>
      <c r="J883" s="8" t="s">
        <v>76</v>
      </c>
      <c r="K883" s="8" t="s">
        <v>76</v>
      </c>
      <c r="L883" s="9"/>
      <c r="M883" s="9"/>
      <c r="N883" s="9"/>
      <c r="O883" s="9"/>
      <c r="P883" s="9"/>
      <c r="Q883" s="9"/>
      <c r="R883" s="9"/>
      <c r="S883" s="9"/>
      <c r="T883" s="9"/>
      <c r="U883" s="9"/>
      <c r="V883" s="9"/>
      <c r="W883" s="9"/>
      <c r="X883" s="9">
        <v>0</v>
      </c>
      <c r="Y883" s="9">
        <v>3635.63</v>
      </c>
      <c r="Z883" s="9"/>
      <c r="AA883" s="9"/>
      <c r="AB883" s="9"/>
      <c r="AC883" s="9"/>
      <c r="AD883" s="9"/>
      <c r="AE883" s="9"/>
      <c r="AF883" s="9"/>
      <c r="AG883" s="9"/>
      <c r="AH883" s="7">
        <v>0</v>
      </c>
      <c r="AI883" s="7">
        <v>3635.63</v>
      </c>
    </row>
    <row r="884" spans="2:35" x14ac:dyDescent="0.3">
      <c r="B884" s="5" t="s">
        <v>3061</v>
      </c>
      <c r="C884" s="5" t="s">
        <v>13</v>
      </c>
      <c r="D884" s="12" t="s">
        <v>1213</v>
      </c>
      <c r="E884" s="6" t="s">
        <v>1267</v>
      </c>
      <c r="F884" s="13" t="s">
        <v>1268</v>
      </c>
      <c r="G884" s="6" t="s">
        <v>1269</v>
      </c>
      <c r="H884" s="7" t="str">
        <f t="shared" si="13"/>
        <v>PPP-IPU-I242-01Operation &amp; Maintenance</v>
      </c>
      <c r="I884" s="8" t="s">
        <v>56</v>
      </c>
      <c r="J884" s="8" t="s">
        <v>19</v>
      </c>
      <c r="K884" s="8" t="s">
        <v>20</v>
      </c>
      <c r="L884" s="9"/>
      <c r="M884" s="9"/>
      <c r="N884" s="9"/>
      <c r="O884" s="9"/>
      <c r="P884" s="9"/>
      <c r="Q884" s="9"/>
      <c r="R884" s="9"/>
      <c r="S884" s="9"/>
      <c r="T884" s="9"/>
      <c r="U884" s="9"/>
      <c r="V884" s="9"/>
      <c r="W884" s="9"/>
      <c r="X884" s="9">
        <v>8700</v>
      </c>
      <c r="Y884" s="9">
        <v>4678</v>
      </c>
      <c r="Z884" s="9"/>
      <c r="AA884" s="9"/>
      <c r="AB884" s="9"/>
      <c r="AC884" s="9"/>
      <c r="AD884" s="9"/>
      <c r="AE884" s="9"/>
      <c r="AF884" s="9"/>
      <c r="AG884" s="9"/>
      <c r="AH884" s="7">
        <v>8700</v>
      </c>
      <c r="AI884" s="7">
        <v>4678</v>
      </c>
    </row>
    <row r="885" spans="2:35" x14ac:dyDescent="0.3">
      <c r="B885" s="5" t="s">
        <v>3061</v>
      </c>
      <c r="C885" s="5" t="s">
        <v>13</v>
      </c>
      <c r="D885" s="12" t="s">
        <v>1215</v>
      </c>
      <c r="E885" s="6" t="s">
        <v>1270</v>
      </c>
      <c r="F885" s="13" t="s">
        <v>1271</v>
      </c>
      <c r="G885" s="6" t="s">
        <v>1160</v>
      </c>
      <c r="H885" s="7" t="str">
        <f t="shared" si="13"/>
        <v>EPC-IPU-E246-05Spot</v>
      </c>
      <c r="I885" s="8" t="s">
        <v>18</v>
      </c>
      <c r="J885" s="8" t="s">
        <v>259</v>
      </c>
      <c r="K885" s="8" t="s">
        <v>259</v>
      </c>
      <c r="L885" s="9"/>
      <c r="M885" s="9"/>
      <c r="N885" s="9"/>
      <c r="O885" s="9"/>
      <c r="P885" s="9"/>
      <c r="Q885" s="9"/>
      <c r="R885" s="9"/>
      <c r="S885" s="9"/>
      <c r="T885" s="9"/>
      <c r="U885" s="9"/>
      <c r="V885" s="9"/>
      <c r="W885" s="9"/>
      <c r="X885" s="9">
        <v>1230</v>
      </c>
      <c r="Y885" s="9">
        <v>397.53</v>
      </c>
      <c r="Z885" s="9"/>
      <c r="AA885" s="9"/>
      <c r="AB885" s="9"/>
      <c r="AC885" s="9"/>
      <c r="AD885" s="9"/>
      <c r="AE885" s="9"/>
      <c r="AF885" s="9"/>
      <c r="AG885" s="9"/>
      <c r="AH885" s="7">
        <v>1230</v>
      </c>
      <c r="AI885" s="7">
        <v>397.53</v>
      </c>
    </row>
    <row r="886" spans="2:35" x14ac:dyDescent="0.3">
      <c r="B886" s="5" t="s">
        <v>3061</v>
      </c>
      <c r="C886" s="5" t="s">
        <v>13</v>
      </c>
      <c r="D886" s="12" t="s">
        <v>1213</v>
      </c>
      <c r="E886" s="6" t="s">
        <v>1272</v>
      </c>
      <c r="F886" s="13" t="s">
        <v>1273</v>
      </c>
      <c r="G886" s="6" t="s">
        <v>810</v>
      </c>
      <c r="H886" s="7" t="str">
        <f t="shared" si="13"/>
        <v>EPC-IPU-L357-02Operation &amp; Maintenance</v>
      </c>
      <c r="I886" s="8" t="s">
        <v>18</v>
      </c>
      <c r="J886" s="8" t="s">
        <v>259</v>
      </c>
      <c r="K886" s="8" t="s">
        <v>259</v>
      </c>
      <c r="L886" s="9"/>
      <c r="M886" s="9"/>
      <c r="N886" s="9"/>
      <c r="O886" s="9"/>
      <c r="P886" s="9"/>
      <c r="Q886" s="9"/>
      <c r="R886" s="9"/>
      <c r="S886" s="9"/>
      <c r="T886" s="9"/>
      <c r="U886" s="9"/>
      <c r="V886" s="9"/>
      <c r="W886" s="9"/>
      <c r="X886" s="9">
        <v>932.36</v>
      </c>
      <c r="Y886" s="9">
        <v>0</v>
      </c>
      <c r="Z886" s="9"/>
      <c r="AA886" s="9"/>
      <c r="AB886" s="9"/>
      <c r="AC886" s="9"/>
      <c r="AD886" s="9"/>
      <c r="AE886" s="9"/>
      <c r="AF886" s="9"/>
      <c r="AG886" s="9"/>
      <c r="AH886" s="7">
        <v>932.36</v>
      </c>
      <c r="AI886" s="7">
        <v>0</v>
      </c>
    </row>
    <row r="887" spans="2:35" x14ac:dyDescent="0.3">
      <c r="B887" s="5" t="s">
        <v>3061</v>
      </c>
      <c r="C887" s="5" t="s">
        <v>13</v>
      </c>
      <c r="D887" s="12" t="s">
        <v>1213</v>
      </c>
      <c r="E887" s="6" t="s">
        <v>1274</v>
      </c>
      <c r="F887" s="13" t="s">
        <v>1275</v>
      </c>
      <c r="G887" s="6" t="s">
        <v>252</v>
      </c>
      <c r="H887" s="7" t="str">
        <f t="shared" si="13"/>
        <v>EPC-IPU-D542-04Operation &amp; Maintenance</v>
      </c>
      <c r="I887" s="8" t="s">
        <v>24</v>
      </c>
      <c r="J887" s="8" t="s">
        <v>76</v>
      </c>
      <c r="K887" s="8" t="s">
        <v>76</v>
      </c>
      <c r="L887" s="9"/>
      <c r="M887" s="9"/>
      <c r="N887" s="9"/>
      <c r="O887" s="9"/>
      <c r="P887" s="9"/>
      <c r="Q887" s="9"/>
      <c r="R887" s="9"/>
      <c r="S887" s="9"/>
      <c r="T887" s="9"/>
      <c r="U887" s="9"/>
      <c r="V887" s="9"/>
      <c r="W887" s="9"/>
      <c r="X887" s="9">
        <v>0</v>
      </c>
      <c r="Y887" s="9">
        <v>827.6</v>
      </c>
      <c r="Z887" s="9"/>
      <c r="AA887" s="9"/>
      <c r="AB887" s="9"/>
      <c r="AC887" s="9"/>
      <c r="AD887" s="9"/>
      <c r="AE887" s="9"/>
      <c r="AF887" s="9"/>
      <c r="AG887" s="9"/>
      <c r="AH887" s="7">
        <v>0</v>
      </c>
      <c r="AI887" s="7">
        <v>827.6</v>
      </c>
    </row>
    <row r="888" spans="2:35" x14ac:dyDescent="0.3">
      <c r="B888" s="5" t="s">
        <v>3061</v>
      </c>
      <c r="C888" s="5" t="s">
        <v>13</v>
      </c>
      <c r="D888" s="12" t="s">
        <v>1213</v>
      </c>
      <c r="E888" s="6" t="s">
        <v>1276</v>
      </c>
      <c r="F888" s="13" t="s">
        <v>1277</v>
      </c>
      <c r="G888" s="6" t="s">
        <v>466</v>
      </c>
      <c r="H888" s="7" t="str">
        <f t="shared" si="13"/>
        <v>EPC-IPU-B162-08Operation &amp; Maintenance</v>
      </c>
      <c r="I888" s="8" t="s">
        <v>49</v>
      </c>
      <c r="J888" s="8" t="s">
        <v>76</v>
      </c>
      <c r="K888" s="8" t="s">
        <v>76</v>
      </c>
      <c r="L888" s="9"/>
      <c r="M888" s="9"/>
      <c r="N888" s="9"/>
      <c r="O888" s="9"/>
      <c r="P888" s="9"/>
      <c r="Q888" s="9"/>
      <c r="R888" s="9"/>
      <c r="S888" s="9"/>
      <c r="T888" s="9"/>
      <c r="U888" s="9"/>
      <c r="V888" s="9"/>
      <c r="W888" s="9"/>
      <c r="X888" s="9">
        <v>26558.66</v>
      </c>
      <c r="Y888" s="9">
        <v>0</v>
      </c>
      <c r="Z888" s="9"/>
      <c r="AA888" s="9"/>
      <c r="AB888" s="9"/>
      <c r="AC888" s="9"/>
      <c r="AD888" s="9"/>
      <c r="AE888" s="9"/>
      <c r="AF888" s="9"/>
      <c r="AG888" s="9"/>
      <c r="AH888" s="7">
        <v>26558.66</v>
      </c>
      <c r="AI888" s="7">
        <v>0</v>
      </c>
    </row>
    <row r="889" spans="2:35" x14ac:dyDescent="0.3">
      <c r="B889" s="5" t="s">
        <v>3061</v>
      </c>
      <c r="C889" s="5" t="s">
        <v>13</v>
      </c>
      <c r="D889" s="12" t="s">
        <v>72</v>
      </c>
      <c r="E889" s="6" t="s">
        <v>1276</v>
      </c>
      <c r="F889" s="13" t="s">
        <v>1277</v>
      </c>
      <c r="G889" s="6" t="s">
        <v>466</v>
      </c>
      <c r="H889" s="7" t="str">
        <f t="shared" si="13"/>
        <v>EPC-IPU-B162-08EXTRA LAVORI</v>
      </c>
      <c r="I889" s="8" t="s">
        <v>49</v>
      </c>
      <c r="J889" s="8" t="s">
        <v>76</v>
      </c>
      <c r="K889" s="8" t="s">
        <v>76</v>
      </c>
      <c r="L889" s="9"/>
      <c r="M889" s="9"/>
      <c r="N889" s="9"/>
      <c r="O889" s="9"/>
      <c r="P889" s="9"/>
      <c r="Q889" s="9"/>
      <c r="R889" s="9"/>
      <c r="S889" s="9"/>
      <c r="T889" s="9"/>
      <c r="U889" s="9"/>
      <c r="V889" s="9"/>
      <c r="W889" s="9"/>
      <c r="X889" s="9">
        <v>0</v>
      </c>
      <c r="Y889" s="9">
        <v>12635.6</v>
      </c>
      <c r="Z889" s="9"/>
      <c r="AA889" s="9"/>
      <c r="AB889" s="9"/>
      <c r="AC889" s="9"/>
      <c r="AD889" s="9"/>
      <c r="AE889" s="9"/>
      <c r="AF889" s="9"/>
      <c r="AG889" s="9"/>
      <c r="AH889" s="7">
        <v>0</v>
      </c>
      <c r="AI889" s="7">
        <v>12635.6</v>
      </c>
    </row>
    <row r="890" spans="2:35" x14ac:dyDescent="0.3">
      <c r="B890" s="5" t="s">
        <v>3061</v>
      </c>
      <c r="C890" s="5" t="s">
        <v>13</v>
      </c>
      <c r="D890" s="12" t="s">
        <v>1213</v>
      </c>
      <c r="E890" s="6" t="s">
        <v>1278</v>
      </c>
      <c r="F890" s="13" t="s">
        <v>1279</v>
      </c>
      <c r="G890" s="6" t="s">
        <v>1280</v>
      </c>
      <c r="H890" s="7" t="str">
        <f t="shared" si="13"/>
        <v>PPP-IPU-I926-01Operation &amp; Maintenance</v>
      </c>
      <c r="I890" s="8" t="s">
        <v>49</v>
      </c>
      <c r="J890" s="8" t="s">
        <v>19</v>
      </c>
      <c r="K890" s="8" t="s">
        <v>20</v>
      </c>
      <c r="L890" s="9"/>
      <c r="M890" s="9"/>
      <c r="N890" s="9"/>
      <c r="O890" s="9"/>
      <c r="P890" s="9"/>
      <c r="Q890" s="9"/>
      <c r="R890" s="9"/>
      <c r="S890" s="9"/>
      <c r="T890" s="9"/>
      <c r="U890" s="9"/>
      <c r="V890" s="9"/>
      <c r="W890" s="9"/>
      <c r="X890" s="9">
        <v>750.75</v>
      </c>
      <c r="Y890" s="9">
        <v>977.4</v>
      </c>
      <c r="Z890" s="9"/>
      <c r="AA890" s="9"/>
      <c r="AB890" s="9"/>
      <c r="AC890" s="9"/>
      <c r="AD890" s="9"/>
      <c r="AE890" s="9"/>
      <c r="AF890" s="9"/>
      <c r="AG890" s="9"/>
      <c r="AH890" s="7">
        <v>750.75</v>
      </c>
      <c r="AI890" s="7">
        <v>977.4</v>
      </c>
    </row>
    <row r="891" spans="2:35" x14ac:dyDescent="0.3">
      <c r="B891" s="5" t="s">
        <v>3061</v>
      </c>
      <c r="C891" s="5" t="s">
        <v>13</v>
      </c>
      <c r="D891" s="12" t="s">
        <v>14</v>
      </c>
      <c r="E891" s="6" t="s">
        <v>1278</v>
      </c>
      <c r="F891" s="13" t="s">
        <v>1279</v>
      </c>
      <c r="G891" s="6" t="s">
        <v>1280</v>
      </c>
      <c r="H891" s="7" t="str">
        <f t="shared" si="13"/>
        <v>PPP-IPU-I926-01OPERATIONAL</v>
      </c>
      <c r="I891" s="8" t="s">
        <v>49</v>
      </c>
      <c r="J891" s="8" t="s">
        <v>19</v>
      </c>
      <c r="K891" s="8" t="s">
        <v>20</v>
      </c>
      <c r="L891" s="9"/>
      <c r="M891" s="9"/>
      <c r="N891" s="9"/>
      <c r="O891" s="9"/>
      <c r="P891" s="9"/>
      <c r="Q891" s="9"/>
      <c r="R891" s="9"/>
      <c r="S891" s="9"/>
      <c r="T891" s="9"/>
      <c r="U891" s="9"/>
      <c r="V891" s="9"/>
      <c r="W891" s="9"/>
      <c r="X891" s="9">
        <v>0</v>
      </c>
      <c r="Y891" s="9">
        <v>660</v>
      </c>
      <c r="Z891" s="9"/>
      <c r="AA891" s="9"/>
      <c r="AB891" s="9"/>
      <c r="AC891" s="9"/>
      <c r="AD891" s="9"/>
      <c r="AE891" s="9"/>
      <c r="AF891" s="9"/>
      <c r="AG891" s="9"/>
      <c r="AH891" s="7">
        <v>0</v>
      </c>
      <c r="AI891" s="7">
        <v>660</v>
      </c>
    </row>
    <row r="892" spans="2:35" x14ac:dyDescent="0.3">
      <c r="B892" s="5" t="s">
        <v>3061</v>
      </c>
      <c r="C892" s="5" t="s">
        <v>1218</v>
      </c>
      <c r="D892" s="12" t="s">
        <v>1213</v>
      </c>
      <c r="E892" s="6" t="s">
        <v>1281</v>
      </c>
      <c r="F892" s="13" t="s">
        <v>1282</v>
      </c>
      <c r="G892" s="6" t="s">
        <v>1283</v>
      </c>
      <c r="H892" s="7" t="str">
        <f t="shared" si="13"/>
        <v>PPP-IPU-H502-01Operation &amp; Maintenance</v>
      </c>
      <c r="I892" s="8" t="s">
        <v>49</v>
      </c>
      <c r="J892" s="8" t="s">
        <v>19</v>
      </c>
      <c r="K892" s="8" t="s">
        <v>20</v>
      </c>
      <c r="L892" s="9"/>
      <c r="M892" s="9"/>
      <c r="N892" s="9"/>
      <c r="O892" s="9"/>
      <c r="P892" s="9"/>
      <c r="Q892" s="9"/>
      <c r="R892" s="9"/>
      <c r="S892" s="9"/>
      <c r="T892" s="9"/>
      <c r="U892" s="9"/>
      <c r="V892" s="9"/>
      <c r="W892" s="9"/>
      <c r="X892" s="9">
        <v>99883.54</v>
      </c>
      <c r="Y892" s="9">
        <v>18861.93</v>
      </c>
      <c r="Z892" s="9"/>
      <c r="AA892" s="9"/>
      <c r="AB892" s="9"/>
      <c r="AC892" s="9"/>
      <c r="AD892" s="9"/>
      <c r="AE892" s="9"/>
      <c r="AF892" s="9"/>
      <c r="AG892" s="9"/>
      <c r="AH892" s="7">
        <v>99883.54</v>
      </c>
      <c r="AI892" s="7">
        <v>18861.93</v>
      </c>
    </row>
    <row r="893" spans="2:35" x14ac:dyDescent="0.3">
      <c r="B893" s="5" t="s">
        <v>3061</v>
      </c>
      <c r="C893" s="5" t="s">
        <v>1218</v>
      </c>
      <c r="D893" s="12" t="s">
        <v>14</v>
      </c>
      <c r="E893" s="6" t="s">
        <v>1281</v>
      </c>
      <c r="F893" s="13" t="s">
        <v>1282</v>
      </c>
      <c r="G893" s="6" t="s">
        <v>1283</v>
      </c>
      <c r="H893" s="7" t="str">
        <f t="shared" si="13"/>
        <v>PPP-IPU-H502-01OPERATIONAL</v>
      </c>
      <c r="I893" s="8" t="s">
        <v>49</v>
      </c>
      <c r="J893" s="8" t="s">
        <v>19</v>
      </c>
      <c r="K893" s="8" t="s">
        <v>20</v>
      </c>
      <c r="L893" s="9"/>
      <c r="M893" s="9"/>
      <c r="N893" s="9"/>
      <c r="O893" s="9"/>
      <c r="P893" s="9"/>
      <c r="Q893" s="9"/>
      <c r="R893" s="9"/>
      <c r="S893" s="9"/>
      <c r="T893" s="9"/>
      <c r="U893" s="9"/>
      <c r="V893" s="9"/>
      <c r="W893" s="9"/>
      <c r="X893" s="9">
        <v>64527.6</v>
      </c>
      <c r="Y893" s="9">
        <v>2000</v>
      </c>
      <c r="Z893" s="9"/>
      <c r="AA893" s="9"/>
      <c r="AB893" s="9"/>
      <c r="AC893" s="9"/>
      <c r="AD893" s="9"/>
      <c r="AE893" s="9"/>
      <c r="AF893" s="9"/>
      <c r="AG893" s="9"/>
      <c r="AH893" s="7">
        <v>64527.6</v>
      </c>
      <c r="AI893" s="7">
        <v>2000</v>
      </c>
    </row>
    <row r="894" spans="2:35" x14ac:dyDescent="0.3">
      <c r="B894" s="5" t="s">
        <v>3061</v>
      </c>
      <c r="C894" s="5" t="s">
        <v>13</v>
      </c>
      <c r="D894" s="12" t="s">
        <v>1213</v>
      </c>
      <c r="E894" s="6" t="s">
        <v>230</v>
      </c>
      <c r="F894" s="13" t="s">
        <v>1284</v>
      </c>
      <c r="G894" s="6" t="s">
        <v>232</v>
      </c>
      <c r="H894" s="7" t="str">
        <f t="shared" si="13"/>
        <v>PPP-IPU-D269-02Operation &amp; Maintenance</v>
      </c>
      <c r="I894" s="8" t="s">
        <v>18</v>
      </c>
      <c r="J894" s="8" t="s">
        <v>19</v>
      </c>
      <c r="K894" s="8" t="s">
        <v>20</v>
      </c>
      <c r="L894" s="9"/>
      <c r="M894" s="9"/>
      <c r="N894" s="9"/>
      <c r="O894" s="9"/>
      <c r="P894" s="9"/>
      <c r="Q894" s="9"/>
      <c r="R894" s="9"/>
      <c r="S894" s="9"/>
      <c r="T894" s="9"/>
      <c r="U894" s="9"/>
      <c r="V894" s="9"/>
      <c r="W894" s="9"/>
      <c r="X894" s="9">
        <v>0</v>
      </c>
      <c r="Y894" s="9">
        <v>4944.41</v>
      </c>
      <c r="Z894" s="9"/>
      <c r="AA894" s="9"/>
      <c r="AB894" s="9"/>
      <c r="AC894" s="9"/>
      <c r="AD894" s="9"/>
      <c r="AE894" s="9"/>
      <c r="AF894" s="9"/>
      <c r="AG894" s="9"/>
      <c r="AH894" s="7">
        <v>0</v>
      </c>
      <c r="AI894" s="7">
        <v>4944.41</v>
      </c>
    </row>
    <row r="895" spans="2:35" x14ac:dyDescent="0.3">
      <c r="B895" s="5" t="s">
        <v>3061</v>
      </c>
      <c r="C895" s="5" t="s">
        <v>13</v>
      </c>
      <c r="D895" s="12" t="s">
        <v>1213</v>
      </c>
      <c r="E895" s="6" t="s">
        <v>1285</v>
      </c>
      <c r="F895" s="13" t="s">
        <v>1286</v>
      </c>
      <c r="G895" s="6" t="s">
        <v>813</v>
      </c>
      <c r="H895" s="7" t="str">
        <f t="shared" si="13"/>
        <v>PPP-IPU-M269-01Operation &amp; Maintenance</v>
      </c>
      <c r="I895" s="8" t="s">
        <v>18</v>
      </c>
      <c r="J895" s="8" t="s">
        <v>19</v>
      </c>
      <c r="K895" s="8" t="s">
        <v>20</v>
      </c>
      <c r="L895" s="9"/>
      <c r="M895" s="9"/>
      <c r="N895" s="9"/>
      <c r="O895" s="9"/>
      <c r="P895" s="9"/>
      <c r="Q895" s="9"/>
      <c r="R895" s="9"/>
      <c r="S895" s="9"/>
      <c r="T895" s="9"/>
      <c r="U895" s="9"/>
      <c r="V895" s="9"/>
      <c r="W895" s="9"/>
      <c r="X895" s="9">
        <v>0</v>
      </c>
      <c r="Y895" s="9">
        <v>132.36000000000001</v>
      </c>
      <c r="Z895" s="9"/>
      <c r="AA895" s="9"/>
      <c r="AB895" s="9"/>
      <c r="AC895" s="9"/>
      <c r="AD895" s="9"/>
      <c r="AE895" s="9"/>
      <c r="AF895" s="9"/>
      <c r="AG895" s="9"/>
      <c r="AH895" s="7">
        <v>0</v>
      </c>
      <c r="AI895" s="7">
        <v>132.36000000000001</v>
      </c>
    </row>
    <row r="896" spans="2:35" x14ac:dyDescent="0.3">
      <c r="B896" s="5" t="s">
        <v>3061</v>
      </c>
      <c r="C896" s="5" t="s">
        <v>13</v>
      </c>
      <c r="D896" s="12" t="s">
        <v>1213</v>
      </c>
      <c r="E896" s="6" t="s">
        <v>1287</v>
      </c>
      <c r="F896" s="13" t="s">
        <v>1288</v>
      </c>
      <c r="G896" s="6" t="s">
        <v>1249</v>
      </c>
      <c r="H896" s="7" t="str">
        <f t="shared" si="13"/>
        <v>EPC-IPU-I307-04Operation &amp; Maintenance</v>
      </c>
      <c r="I896" s="8" t="s">
        <v>18</v>
      </c>
      <c r="J896" s="8" t="s">
        <v>76</v>
      </c>
      <c r="K896" s="8" t="s">
        <v>76</v>
      </c>
      <c r="L896" s="9"/>
      <c r="M896" s="9"/>
      <c r="N896" s="9"/>
      <c r="O896" s="9"/>
      <c r="P896" s="9"/>
      <c r="Q896" s="9"/>
      <c r="R896" s="9"/>
      <c r="S896" s="9"/>
      <c r="T896" s="9"/>
      <c r="U896" s="9"/>
      <c r="V896" s="9"/>
      <c r="W896" s="9"/>
      <c r="X896" s="9">
        <v>1142.05</v>
      </c>
      <c r="Y896" s="9">
        <v>0</v>
      </c>
      <c r="Z896" s="9"/>
      <c r="AA896" s="9"/>
      <c r="AB896" s="9"/>
      <c r="AC896" s="9"/>
      <c r="AD896" s="9"/>
      <c r="AE896" s="9"/>
      <c r="AF896" s="9"/>
      <c r="AG896" s="9"/>
      <c r="AH896" s="7">
        <v>1142.05</v>
      </c>
      <c r="AI896" s="7">
        <v>0</v>
      </c>
    </row>
    <row r="897" spans="2:35" x14ac:dyDescent="0.3">
      <c r="B897" s="5" t="s">
        <v>3061</v>
      </c>
      <c r="C897" s="5" t="s">
        <v>13</v>
      </c>
      <c r="D897" s="12" t="s">
        <v>1213</v>
      </c>
      <c r="E897" s="6" t="s">
        <v>1289</v>
      </c>
      <c r="F897" s="13" t="s">
        <v>1290</v>
      </c>
      <c r="G897" s="6" t="s">
        <v>351</v>
      </c>
      <c r="H897" s="7" t="str">
        <f t="shared" si="13"/>
        <v>SEC-PHV-A519-04Operation &amp; Maintenance</v>
      </c>
      <c r="I897" s="8" t="s">
        <v>18</v>
      </c>
      <c r="J897" s="8" t="s">
        <v>454</v>
      </c>
      <c r="K897" s="8" t="s">
        <v>454</v>
      </c>
      <c r="L897" s="9"/>
      <c r="M897" s="9"/>
      <c r="N897" s="9"/>
      <c r="O897" s="9"/>
      <c r="P897" s="9"/>
      <c r="Q897" s="9"/>
      <c r="R897" s="9"/>
      <c r="S897" s="9"/>
      <c r="T897" s="9"/>
      <c r="U897" s="9"/>
      <c r="V897" s="9"/>
      <c r="W897" s="9"/>
      <c r="X897" s="9">
        <v>0</v>
      </c>
      <c r="Y897" s="9">
        <v>19.690000000000001</v>
      </c>
      <c r="Z897" s="9"/>
      <c r="AA897" s="9"/>
      <c r="AB897" s="9"/>
      <c r="AC897" s="9"/>
      <c r="AD897" s="9"/>
      <c r="AE897" s="9"/>
      <c r="AF897" s="9"/>
      <c r="AG897" s="9"/>
      <c r="AH897" s="7">
        <v>0</v>
      </c>
      <c r="AI897" s="7">
        <v>19.690000000000001</v>
      </c>
    </row>
    <row r="898" spans="2:35" x14ac:dyDescent="0.3">
      <c r="B898" s="5" t="s">
        <v>3061</v>
      </c>
      <c r="C898" s="5" t="s">
        <v>13</v>
      </c>
      <c r="D898" s="12" t="s">
        <v>72</v>
      </c>
      <c r="E898" s="6" t="s">
        <v>1291</v>
      </c>
      <c r="F898" s="13" t="s">
        <v>1292</v>
      </c>
      <c r="G898" s="6" t="s">
        <v>1293</v>
      </c>
      <c r="H898" s="7" t="str">
        <f t="shared" si="13"/>
        <v>EPC-VS-L736-01EXTRA LAVORI</v>
      </c>
      <c r="I898" s="8" t="s">
        <v>56</v>
      </c>
      <c r="J898" s="8" t="s">
        <v>259</v>
      </c>
      <c r="K898" s="8" t="s">
        <v>259</v>
      </c>
      <c r="L898" s="9"/>
      <c r="M898" s="9"/>
      <c r="N898" s="9"/>
      <c r="O898" s="9"/>
      <c r="P898" s="9"/>
      <c r="Q898" s="9"/>
      <c r="R898" s="9"/>
      <c r="S898" s="9"/>
      <c r="T898" s="9"/>
      <c r="U898" s="9"/>
      <c r="V898" s="9"/>
      <c r="W898" s="9"/>
      <c r="X898" s="9">
        <v>0</v>
      </c>
      <c r="Y898" s="9">
        <v>33</v>
      </c>
      <c r="Z898" s="9"/>
      <c r="AA898" s="9"/>
      <c r="AB898" s="9"/>
      <c r="AC898" s="9"/>
      <c r="AD898" s="9"/>
      <c r="AE898" s="9"/>
      <c r="AF898" s="9"/>
      <c r="AG898" s="9"/>
      <c r="AH898" s="7">
        <v>0</v>
      </c>
      <c r="AI898" s="7">
        <v>33</v>
      </c>
    </row>
    <row r="899" spans="2:35" x14ac:dyDescent="0.3">
      <c r="B899" s="5" t="s">
        <v>3061</v>
      </c>
      <c r="C899" s="5" t="s">
        <v>1218</v>
      </c>
      <c r="D899" s="12" t="s">
        <v>1213</v>
      </c>
      <c r="E899" s="6" t="s">
        <v>1294</v>
      </c>
      <c r="F899" s="13" t="s">
        <v>1295</v>
      </c>
      <c r="G899" s="6" t="s">
        <v>1296</v>
      </c>
      <c r="H899" s="7" t="str">
        <f t="shared" ref="H899:H925" si="14">+F899&amp;D899</f>
        <v>PPP-IPU-E693-01Operation &amp; Maintenance</v>
      </c>
      <c r="I899" s="8" t="s">
        <v>24</v>
      </c>
      <c r="J899" s="8" t="s">
        <v>19</v>
      </c>
      <c r="K899" s="8" t="s">
        <v>20</v>
      </c>
      <c r="L899" s="9"/>
      <c r="M899" s="9"/>
      <c r="N899" s="9"/>
      <c r="O899" s="9"/>
      <c r="P899" s="9"/>
      <c r="Q899" s="9"/>
      <c r="R899" s="9"/>
      <c r="S899" s="9"/>
      <c r="T899" s="9"/>
      <c r="U899" s="9"/>
      <c r="V899" s="9"/>
      <c r="W899" s="9"/>
      <c r="X899" s="9">
        <v>0</v>
      </c>
      <c r="Y899" s="9">
        <v>7166.41</v>
      </c>
      <c r="Z899" s="9"/>
      <c r="AA899" s="9"/>
      <c r="AB899" s="9"/>
      <c r="AC899" s="9"/>
      <c r="AD899" s="9"/>
      <c r="AE899" s="9"/>
      <c r="AF899" s="9"/>
      <c r="AG899" s="9"/>
      <c r="AH899" s="7">
        <v>0</v>
      </c>
      <c r="AI899" s="7">
        <v>7166.41</v>
      </c>
    </row>
    <row r="900" spans="2:35" x14ac:dyDescent="0.3">
      <c r="B900" s="5" t="s">
        <v>3061</v>
      </c>
      <c r="C900" s="5" t="s">
        <v>1218</v>
      </c>
      <c r="D900" s="12" t="s">
        <v>14</v>
      </c>
      <c r="E900" s="6" t="s">
        <v>1294</v>
      </c>
      <c r="F900" s="13" t="s">
        <v>1295</v>
      </c>
      <c r="G900" s="6" t="s">
        <v>1296</v>
      </c>
      <c r="H900" s="7" t="str">
        <f t="shared" si="14"/>
        <v>PPP-IPU-E693-01OPERATIONAL</v>
      </c>
      <c r="I900" s="8" t="s">
        <v>24</v>
      </c>
      <c r="J900" s="8" t="s">
        <v>19</v>
      </c>
      <c r="K900" s="8" t="s">
        <v>20</v>
      </c>
      <c r="L900" s="9"/>
      <c r="M900" s="9"/>
      <c r="N900" s="9"/>
      <c r="O900" s="9"/>
      <c r="P900" s="9"/>
      <c r="Q900" s="9"/>
      <c r="R900" s="9"/>
      <c r="S900" s="9"/>
      <c r="T900" s="9"/>
      <c r="U900" s="9"/>
      <c r="V900" s="9"/>
      <c r="W900" s="9"/>
      <c r="X900" s="9">
        <v>0</v>
      </c>
      <c r="Y900" s="9">
        <v>12970.6</v>
      </c>
      <c r="Z900" s="9"/>
      <c r="AA900" s="9"/>
      <c r="AB900" s="9"/>
      <c r="AC900" s="9"/>
      <c r="AD900" s="9"/>
      <c r="AE900" s="9"/>
      <c r="AF900" s="9"/>
      <c r="AG900" s="9"/>
      <c r="AH900" s="7">
        <v>0</v>
      </c>
      <c r="AI900" s="7">
        <v>12970.6</v>
      </c>
    </row>
    <row r="901" spans="2:35" x14ac:dyDescent="0.3">
      <c r="B901" s="5" t="s">
        <v>3061</v>
      </c>
      <c r="C901" s="5" t="s">
        <v>13</v>
      </c>
      <c r="D901" s="12" t="s">
        <v>1213</v>
      </c>
      <c r="E901" s="6" t="s">
        <v>1297</v>
      </c>
      <c r="F901" s="13" t="s">
        <v>1298</v>
      </c>
      <c r="G901" s="6" t="s">
        <v>1299</v>
      </c>
      <c r="H901" s="7" t="str">
        <f t="shared" si="14"/>
        <v>PPP-IPU-H344-01Operation &amp; Maintenance</v>
      </c>
      <c r="I901" s="8" t="s">
        <v>49</v>
      </c>
      <c r="J901" s="8" t="s">
        <v>19</v>
      </c>
      <c r="K901" s="8" t="s">
        <v>20</v>
      </c>
      <c r="L901" s="9"/>
      <c r="M901" s="9"/>
      <c r="N901" s="9"/>
      <c r="O901" s="9"/>
      <c r="P901" s="9"/>
      <c r="Q901" s="9"/>
      <c r="R901" s="9"/>
      <c r="S901" s="9"/>
      <c r="T901" s="9"/>
      <c r="U901" s="9"/>
      <c r="V901" s="9"/>
      <c r="W901" s="9"/>
      <c r="X901" s="9">
        <v>0</v>
      </c>
      <c r="Y901" s="9">
        <v>1839.63</v>
      </c>
      <c r="Z901" s="9"/>
      <c r="AA901" s="9"/>
      <c r="AB901" s="9"/>
      <c r="AC901" s="9"/>
      <c r="AD901" s="9"/>
      <c r="AE901" s="9"/>
      <c r="AF901" s="9"/>
      <c r="AG901" s="9"/>
      <c r="AH901" s="7">
        <v>0</v>
      </c>
      <c r="AI901" s="7">
        <v>1839.63</v>
      </c>
    </row>
    <row r="902" spans="2:35" x14ac:dyDescent="0.3">
      <c r="B902" s="5" t="s">
        <v>3061</v>
      </c>
      <c r="C902" s="5" t="s">
        <v>13</v>
      </c>
      <c r="D902" s="12" t="s">
        <v>14</v>
      </c>
      <c r="E902" s="6" t="s">
        <v>1297</v>
      </c>
      <c r="F902" s="13" t="s">
        <v>1298</v>
      </c>
      <c r="G902" s="6" t="s">
        <v>1299</v>
      </c>
      <c r="H902" s="7" t="str">
        <f t="shared" si="14"/>
        <v>PPP-IPU-H344-01OPERATIONAL</v>
      </c>
      <c r="I902" s="8" t="s">
        <v>49</v>
      </c>
      <c r="J902" s="8" t="s">
        <v>19</v>
      </c>
      <c r="K902" s="8" t="s">
        <v>20</v>
      </c>
      <c r="L902" s="9"/>
      <c r="M902" s="9"/>
      <c r="N902" s="9"/>
      <c r="O902" s="9"/>
      <c r="P902" s="9"/>
      <c r="Q902" s="9"/>
      <c r="R902" s="9"/>
      <c r="S902" s="9"/>
      <c r="T902" s="9"/>
      <c r="U902" s="9"/>
      <c r="V902" s="9"/>
      <c r="W902" s="9"/>
      <c r="X902" s="9">
        <v>0</v>
      </c>
      <c r="Y902" s="9">
        <v>4678.0600000000004</v>
      </c>
      <c r="Z902" s="9"/>
      <c r="AA902" s="9"/>
      <c r="AB902" s="9"/>
      <c r="AC902" s="9"/>
      <c r="AD902" s="9"/>
      <c r="AE902" s="9"/>
      <c r="AF902" s="9"/>
      <c r="AG902" s="9"/>
      <c r="AH902" s="7">
        <v>0</v>
      </c>
      <c r="AI902" s="7">
        <v>4678.0600000000004</v>
      </c>
    </row>
    <row r="903" spans="2:35" x14ac:dyDescent="0.3">
      <c r="B903" s="5" t="s">
        <v>3061</v>
      </c>
      <c r="C903" s="5" t="s">
        <v>13</v>
      </c>
      <c r="D903" s="12" t="s">
        <v>1213</v>
      </c>
      <c r="E903" s="6" t="s">
        <v>1300</v>
      </c>
      <c r="F903" s="13" t="s">
        <v>1301</v>
      </c>
      <c r="G903" s="6" t="s">
        <v>211</v>
      </c>
      <c r="H903" s="7" t="str">
        <f t="shared" si="14"/>
        <v>EPC-IPU-I305-04Operation &amp; Maintenance</v>
      </c>
      <c r="I903" s="8" t="s">
        <v>18</v>
      </c>
      <c r="J903" s="8" t="s">
        <v>76</v>
      </c>
      <c r="K903" s="8" t="s">
        <v>76</v>
      </c>
      <c r="L903" s="9"/>
      <c r="M903" s="9"/>
      <c r="N903" s="9"/>
      <c r="O903" s="9"/>
      <c r="P903" s="9"/>
      <c r="Q903" s="9"/>
      <c r="R903" s="9"/>
      <c r="S903" s="9"/>
      <c r="T903" s="9"/>
      <c r="U903" s="9"/>
      <c r="V903" s="9"/>
      <c r="W903" s="9"/>
      <c r="X903" s="9">
        <v>1269.03</v>
      </c>
      <c r="Y903" s="9">
        <v>0</v>
      </c>
      <c r="Z903" s="9"/>
      <c r="AA903" s="9"/>
      <c r="AB903" s="9"/>
      <c r="AC903" s="9"/>
      <c r="AD903" s="9"/>
      <c r="AE903" s="9"/>
      <c r="AF903" s="9"/>
      <c r="AG903" s="9"/>
      <c r="AH903" s="7">
        <v>1269.03</v>
      </c>
      <c r="AI903" s="7">
        <v>0</v>
      </c>
    </row>
    <row r="904" spans="2:35" x14ac:dyDescent="0.3">
      <c r="B904" s="5" t="s">
        <v>3061</v>
      </c>
      <c r="C904" s="5" t="s">
        <v>13</v>
      </c>
      <c r="D904" s="12" t="s">
        <v>1213</v>
      </c>
      <c r="E904" s="6" t="s">
        <v>1302</v>
      </c>
      <c r="F904" s="13" t="s">
        <v>1303</v>
      </c>
      <c r="G904" s="6" t="s">
        <v>514</v>
      </c>
      <c r="H904" s="7" t="str">
        <f t="shared" si="14"/>
        <v>EPC-IPU-L074-01Operation &amp; Maintenance</v>
      </c>
      <c r="I904" s="8" t="s">
        <v>18</v>
      </c>
      <c r="J904" s="8" t="s">
        <v>76</v>
      </c>
      <c r="K904" s="8" t="s">
        <v>76</v>
      </c>
      <c r="L904" s="9"/>
      <c r="M904" s="9"/>
      <c r="N904" s="9"/>
      <c r="O904" s="9"/>
      <c r="P904" s="9"/>
      <c r="Q904" s="9"/>
      <c r="R904" s="9"/>
      <c r="S904" s="9"/>
      <c r="T904" s="9"/>
      <c r="U904" s="9"/>
      <c r="V904" s="9"/>
      <c r="W904" s="9"/>
      <c r="X904" s="9">
        <v>0</v>
      </c>
      <c r="Y904" s="9">
        <v>240.96</v>
      </c>
      <c r="Z904" s="9"/>
      <c r="AA904" s="9"/>
      <c r="AB904" s="9"/>
      <c r="AC904" s="9"/>
      <c r="AD904" s="9"/>
      <c r="AE904" s="9"/>
      <c r="AF904" s="9"/>
      <c r="AG904" s="9"/>
      <c r="AH904" s="7">
        <v>0</v>
      </c>
      <c r="AI904" s="7">
        <v>240.96</v>
      </c>
    </row>
    <row r="905" spans="2:35" x14ac:dyDescent="0.3">
      <c r="B905" s="5" t="s">
        <v>3061</v>
      </c>
      <c r="C905" s="5" t="s">
        <v>13</v>
      </c>
      <c r="D905" s="12" t="s">
        <v>1213</v>
      </c>
      <c r="E905" s="6" t="s">
        <v>1304</v>
      </c>
      <c r="F905" s="13" t="s">
        <v>1305</v>
      </c>
      <c r="G905" s="6" t="s">
        <v>1306</v>
      </c>
      <c r="H905" s="7" t="str">
        <f t="shared" si="14"/>
        <v>EPC-IPU-L703-01Operation &amp; Maintenance</v>
      </c>
      <c r="I905" s="8" t="s">
        <v>49</v>
      </c>
      <c r="J905" s="8" t="s">
        <v>76</v>
      </c>
      <c r="K905" s="8" t="s">
        <v>76</v>
      </c>
      <c r="L905" s="9"/>
      <c r="M905" s="9"/>
      <c r="N905" s="9"/>
      <c r="O905" s="9"/>
      <c r="P905" s="9"/>
      <c r="Q905" s="9"/>
      <c r="R905" s="9"/>
      <c r="S905" s="9"/>
      <c r="T905" s="9"/>
      <c r="U905" s="9"/>
      <c r="V905" s="9"/>
      <c r="W905" s="9"/>
      <c r="X905" s="9">
        <v>0</v>
      </c>
      <c r="Y905" s="9">
        <v>15.98</v>
      </c>
      <c r="Z905" s="9"/>
      <c r="AA905" s="9"/>
      <c r="AB905" s="9"/>
      <c r="AC905" s="9"/>
      <c r="AD905" s="9"/>
      <c r="AE905" s="9"/>
      <c r="AF905" s="9"/>
      <c r="AG905" s="9"/>
      <c r="AH905" s="7">
        <v>0</v>
      </c>
      <c r="AI905" s="7">
        <v>15.98</v>
      </c>
    </row>
    <row r="906" spans="2:35" x14ac:dyDescent="0.3">
      <c r="B906" s="5" t="s">
        <v>3061</v>
      </c>
      <c r="C906" s="5" t="s">
        <v>13</v>
      </c>
      <c r="D906" s="12" t="s">
        <v>1213</v>
      </c>
      <c r="E906" s="6" t="s">
        <v>1307</v>
      </c>
      <c r="F906" s="13" t="s">
        <v>1308</v>
      </c>
      <c r="G906" s="6" t="s">
        <v>158</v>
      </c>
      <c r="H906" s="7" t="str">
        <f t="shared" si="14"/>
        <v>EPC-IPU-F952-05Operation &amp; Maintenance</v>
      </c>
      <c r="I906" s="8" t="s">
        <v>49</v>
      </c>
      <c r="J906" s="8" t="s">
        <v>76</v>
      </c>
      <c r="K906" s="8" t="s">
        <v>76</v>
      </c>
      <c r="L906" s="9"/>
      <c r="M906" s="9"/>
      <c r="N906" s="9"/>
      <c r="O906" s="9"/>
      <c r="P906" s="9"/>
      <c r="Q906" s="9"/>
      <c r="R906" s="9"/>
      <c r="S906" s="9"/>
      <c r="T906" s="9"/>
      <c r="U906" s="9"/>
      <c r="V906" s="9"/>
      <c r="W906" s="9"/>
      <c r="X906" s="9">
        <v>32670</v>
      </c>
      <c r="Y906" s="9">
        <v>0</v>
      </c>
      <c r="Z906" s="9"/>
      <c r="AA906" s="9"/>
      <c r="AB906" s="9"/>
      <c r="AC906" s="9"/>
      <c r="AD906" s="9"/>
      <c r="AE906" s="9"/>
      <c r="AF906" s="9"/>
      <c r="AG906" s="9"/>
      <c r="AH906" s="7">
        <v>32670</v>
      </c>
      <c r="AI906" s="7">
        <v>0</v>
      </c>
    </row>
    <row r="907" spans="2:35" x14ac:dyDescent="0.3">
      <c r="B907" s="5" t="s">
        <v>3061</v>
      </c>
      <c r="C907" s="5" t="s">
        <v>13</v>
      </c>
      <c r="D907" s="12" t="s">
        <v>72</v>
      </c>
      <c r="E907" s="6" t="s">
        <v>1309</v>
      </c>
      <c r="F907" s="13" t="s">
        <v>1310</v>
      </c>
      <c r="G907" s="6" t="s">
        <v>1311</v>
      </c>
      <c r="H907" s="7" t="str">
        <f t="shared" si="14"/>
        <v>EPC-IPU-A271-01EXTRA LAVORI</v>
      </c>
      <c r="I907" s="8" t="s">
        <v>24</v>
      </c>
      <c r="J907" s="8" t="s">
        <v>259</v>
      </c>
      <c r="K907" s="8" t="s">
        <v>259</v>
      </c>
      <c r="L907" s="9"/>
      <c r="M907" s="9"/>
      <c r="N907" s="9"/>
      <c r="O907" s="9"/>
      <c r="P907" s="9"/>
      <c r="Q907" s="9"/>
      <c r="R907" s="9"/>
      <c r="S907" s="9"/>
      <c r="T907" s="9"/>
      <c r="U907" s="9"/>
      <c r="V907" s="9"/>
      <c r="W907" s="9"/>
      <c r="X907" s="9">
        <v>13670.49</v>
      </c>
      <c r="Y907" s="9">
        <v>5910</v>
      </c>
      <c r="Z907" s="9"/>
      <c r="AA907" s="9"/>
      <c r="AB907" s="9"/>
      <c r="AC907" s="9"/>
      <c r="AD907" s="9"/>
      <c r="AE907" s="9"/>
      <c r="AF907" s="9"/>
      <c r="AG907" s="9"/>
      <c r="AH907" s="7">
        <v>13670.49</v>
      </c>
      <c r="AI907" s="7">
        <v>5910</v>
      </c>
    </row>
    <row r="908" spans="2:35" x14ac:dyDescent="0.3">
      <c r="B908" s="5" t="s">
        <v>3061</v>
      </c>
      <c r="C908" s="5" t="s">
        <v>13</v>
      </c>
      <c r="D908" s="12" t="s">
        <v>1213</v>
      </c>
      <c r="E908" s="6" t="s">
        <v>1312</v>
      </c>
      <c r="F908" s="13" t="s">
        <v>1313</v>
      </c>
      <c r="G908" s="6" t="s">
        <v>386</v>
      </c>
      <c r="H908" s="7" t="str">
        <f t="shared" si="14"/>
        <v>EPC-EEE-C638-02Operation &amp; Maintenance</v>
      </c>
      <c r="I908" s="8" t="s">
        <v>56</v>
      </c>
      <c r="J908" s="8" t="s">
        <v>76</v>
      </c>
      <c r="K908" s="8" t="s">
        <v>76</v>
      </c>
      <c r="L908" s="9"/>
      <c r="M908" s="9"/>
      <c r="N908" s="9"/>
      <c r="O908" s="9"/>
      <c r="P908" s="9"/>
      <c r="Q908" s="9"/>
      <c r="R908" s="9"/>
      <c r="S908" s="9"/>
      <c r="T908" s="9"/>
      <c r="U908" s="9"/>
      <c r="V908" s="9"/>
      <c r="W908" s="9"/>
      <c r="X908" s="9">
        <v>0</v>
      </c>
      <c r="Y908" s="9">
        <v>548.62</v>
      </c>
      <c r="Z908" s="9"/>
      <c r="AA908" s="9"/>
      <c r="AB908" s="9"/>
      <c r="AC908" s="9"/>
      <c r="AD908" s="9"/>
      <c r="AE908" s="9"/>
      <c r="AF908" s="9"/>
      <c r="AG908" s="9"/>
      <c r="AH908" s="7">
        <v>0</v>
      </c>
      <c r="AI908" s="7">
        <v>548.62</v>
      </c>
    </row>
    <row r="909" spans="2:35" x14ac:dyDescent="0.3">
      <c r="B909" s="5" t="s">
        <v>3061</v>
      </c>
      <c r="C909" s="5" t="s">
        <v>13</v>
      </c>
      <c r="D909" s="12" t="s">
        <v>14</v>
      </c>
      <c r="E909" s="6" t="s">
        <v>1312</v>
      </c>
      <c r="F909" s="13" t="s">
        <v>1313</v>
      </c>
      <c r="G909" s="6" t="s">
        <v>386</v>
      </c>
      <c r="H909" s="7" t="str">
        <f t="shared" si="14"/>
        <v>EPC-EEE-C638-02OPERATIONAL</v>
      </c>
      <c r="I909" s="8" t="s">
        <v>56</v>
      </c>
      <c r="J909" s="8" t="s">
        <v>76</v>
      </c>
      <c r="K909" s="8" t="s">
        <v>76</v>
      </c>
      <c r="L909" s="9"/>
      <c r="M909" s="9"/>
      <c r="N909" s="9"/>
      <c r="O909" s="9"/>
      <c r="P909" s="9"/>
      <c r="Q909" s="9"/>
      <c r="R909" s="9"/>
      <c r="S909" s="9"/>
      <c r="T909" s="9"/>
      <c r="U909" s="9"/>
      <c r="V909" s="9"/>
      <c r="W909" s="9"/>
      <c r="X909" s="9">
        <v>0</v>
      </c>
      <c r="Y909" s="9">
        <v>40</v>
      </c>
      <c r="Z909" s="9"/>
      <c r="AA909" s="9"/>
      <c r="AB909" s="9"/>
      <c r="AC909" s="9"/>
      <c r="AD909" s="9"/>
      <c r="AE909" s="9"/>
      <c r="AF909" s="9"/>
      <c r="AG909" s="9"/>
      <c r="AH909" s="7">
        <v>0</v>
      </c>
      <c r="AI909" s="7">
        <v>40</v>
      </c>
    </row>
    <row r="910" spans="2:35" x14ac:dyDescent="0.3">
      <c r="B910" s="5" t="s">
        <v>3061</v>
      </c>
      <c r="C910" s="5" t="s">
        <v>13</v>
      </c>
      <c r="D910" s="12" t="s">
        <v>1213</v>
      </c>
      <c r="E910" s="6" t="s">
        <v>1314</v>
      </c>
      <c r="F910" s="13" t="s">
        <v>1315</v>
      </c>
      <c r="G910" s="6" t="s">
        <v>543</v>
      </c>
      <c r="H910" s="7" t="str">
        <f t="shared" si="14"/>
        <v>EPC-IPU-F573-08Operation &amp; Maintenance</v>
      </c>
      <c r="I910" s="8" t="s">
        <v>18</v>
      </c>
      <c r="J910" s="8" t="s">
        <v>76</v>
      </c>
      <c r="K910" s="8" t="s">
        <v>76</v>
      </c>
      <c r="L910" s="9"/>
      <c r="M910" s="9"/>
      <c r="N910" s="9"/>
      <c r="O910" s="9"/>
      <c r="P910" s="9"/>
      <c r="Q910" s="9"/>
      <c r="R910" s="9"/>
      <c r="S910" s="9"/>
      <c r="T910" s="9"/>
      <c r="U910" s="9"/>
      <c r="V910" s="9"/>
      <c r="W910" s="9"/>
      <c r="X910" s="9">
        <v>1457.07</v>
      </c>
      <c r="Y910" s="9">
        <v>313.44</v>
      </c>
      <c r="Z910" s="9"/>
      <c r="AA910" s="9"/>
      <c r="AB910" s="9"/>
      <c r="AC910" s="9"/>
      <c r="AD910" s="9"/>
      <c r="AE910" s="9"/>
      <c r="AF910" s="9"/>
      <c r="AG910" s="9"/>
      <c r="AH910" s="7">
        <v>1457.07</v>
      </c>
      <c r="AI910" s="7">
        <v>313.44</v>
      </c>
    </row>
    <row r="911" spans="2:35" x14ac:dyDescent="0.3">
      <c r="B911" s="5" t="s">
        <v>3061</v>
      </c>
      <c r="C911" s="5" t="s">
        <v>13</v>
      </c>
      <c r="D911" s="12" t="s">
        <v>1213</v>
      </c>
      <c r="E911" s="6" t="s">
        <v>1316</v>
      </c>
      <c r="F911" s="13" t="s">
        <v>1317</v>
      </c>
      <c r="G911" s="6" t="s">
        <v>1318</v>
      </c>
      <c r="H911" s="7" t="str">
        <f t="shared" si="14"/>
        <v>EPC-EEE-B294-05Operation &amp; Maintenance</v>
      </c>
      <c r="I911" s="8" t="s">
        <v>24</v>
      </c>
      <c r="J911" s="8" t="s">
        <v>259</v>
      </c>
      <c r="K911" s="8" t="s">
        <v>259</v>
      </c>
      <c r="L911" s="9"/>
      <c r="M911" s="9"/>
      <c r="N911" s="9"/>
      <c r="O911" s="9"/>
      <c r="P911" s="9"/>
      <c r="Q911" s="9"/>
      <c r="R911" s="9"/>
      <c r="S911" s="9"/>
      <c r="T911" s="9"/>
      <c r="U911" s="9"/>
      <c r="V911" s="9"/>
      <c r="W911" s="9"/>
      <c r="X911" s="9">
        <v>2500</v>
      </c>
      <c r="Y911" s="9">
        <v>0</v>
      </c>
      <c r="Z911" s="9"/>
      <c r="AA911" s="9"/>
      <c r="AB911" s="9"/>
      <c r="AC911" s="9"/>
      <c r="AD911" s="9"/>
      <c r="AE911" s="9"/>
      <c r="AF911" s="9"/>
      <c r="AG911" s="9"/>
      <c r="AH911" s="7">
        <v>2500</v>
      </c>
      <c r="AI911" s="7">
        <v>0</v>
      </c>
    </row>
    <row r="912" spans="2:35" x14ac:dyDescent="0.3">
      <c r="B912" s="5" t="s">
        <v>3061</v>
      </c>
      <c r="C912" s="5" t="s">
        <v>13</v>
      </c>
      <c r="D912" s="12" t="s">
        <v>72</v>
      </c>
      <c r="E912" s="6" t="s">
        <v>1319</v>
      </c>
      <c r="F912" s="13" t="s">
        <v>1320</v>
      </c>
      <c r="G912" s="6" t="s">
        <v>611</v>
      </c>
      <c r="H912" s="7" t="str">
        <f t="shared" si="14"/>
        <v>EPC-IPU-C717-04EXTRA LAVORI</v>
      </c>
      <c r="I912" s="8" t="s">
        <v>18</v>
      </c>
      <c r="J912" s="8" t="s">
        <v>76</v>
      </c>
      <c r="K912" s="8" t="s">
        <v>76</v>
      </c>
      <c r="L912" s="9"/>
      <c r="M912" s="9"/>
      <c r="N912" s="9"/>
      <c r="O912" s="9"/>
      <c r="P912" s="9"/>
      <c r="Q912" s="9"/>
      <c r="R912" s="9"/>
      <c r="S912" s="9"/>
      <c r="T912" s="9"/>
      <c r="U912" s="9"/>
      <c r="V912" s="9"/>
      <c r="W912" s="9"/>
      <c r="X912" s="9">
        <v>2530.3200000000002</v>
      </c>
      <c r="Y912" s="9">
        <v>0</v>
      </c>
      <c r="Z912" s="9"/>
      <c r="AA912" s="9"/>
      <c r="AB912" s="9"/>
      <c r="AC912" s="9"/>
      <c r="AD912" s="9"/>
      <c r="AE912" s="9"/>
      <c r="AF912" s="9"/>
      <c r="AG912" s="9"/>
      <c r="AH912" s="7">
        <v>2530.3200000000002</v>
      </c>
      <c r="AI912" s="7">
        <v>0</v>
      </c>
    </row>
    <row r="913" spans="2:35" x14ac:dyDescent="0.3">
      <c r="B913" s="5" t="s">
        <v>3061</v>
      </c>
      <c r="C913" s="5" t="s">
        <v>13</v>
      </c>
      <c r="D913" s="12" t="s">
        <v>72</v>
      </c>
      <c r="E913" s="6" t="s">
        <v>1321</v>
      </c>
      <c r="F913" s="13" t="s">
        <v>1322</v>
      </c>
      <c r="G913" s="6" t="s">
        <v>822</v>
      </c>
      <c r="H913" s="7" t="str">
        <f t="shared" si="14"/>
        <v>EPC-IPU-F704-05EXTRA LAVORI</v>
      </c>
      <c r="I913" s="8" t="s">
        <v>49</v>
      </c>
      <c r="J913" s="8" t="s">
        <v>259</v>
      </c>
      <c r="K913" s="8" t="s">
        <v>259</v>
      </c>
      <c r="L913" s="9"/>
      <c r="M913" s="9"/>
      <c r="N913" s="9"/>
      <c r="O913" s="9"/>
      <c r="P913" s="9"/>
      <c r="Q913" s="9"/>
      <c r="R913" s="9"/>
      <c r="S913" s="9"/>
      <c r="T913" s="9"/>
      <c r="U913" s="9"/>
      <c r="V913" s="9"/>
      <c r="W913" s="9"/>
      <c r="X913" s="9">
        <v>0</v>
      </c>
      <c r="Y913" s="9">
        <v>40</v>
      </c>
      <c r="Z913" s="9"/>
      <c r="AA913" s="9"/>
      <c r="AB913" s="9"/>
      <c r="AC913" s="9"/>
      <c r="AD913" s="9"/>
      <c r="AE913" s="9"/>
      <c r="AF913" s="9"/>
      <c r="AG913" s="9"/>
      <c r="AH913" s="7">
        <v>0</v>
      </c>
      <c r="AI913" s="7">
        <v>40</v>
      </c>
    </row>
    <row r="914" spans="2:35" x14ac:dyDescent="0.3">
      <c r="B914" s="5" t="s">
        <v>3061</v>
      </c>
      <c r="C914" s="5" t="s">
        <v>13</v>
      </c>
      <c r="D914" s="12" t="s">
        <v>72</v>
      </c>
      <c r="E914" s="6" t="s">
        <v>1323</v>
      </c>
      <c r="F914" s="13" t="s">
        <v>1324</v>
      </c>
      <c r="G914" s="6" t="s">
        <v>1184</v>
      </c>
      <c r="H914" s="7" t="str">
        <f t="shared" si="14"/>
        <v>EPC-IPU-I457-06EXTRA LAVORI</v>
      </c>
      <c r="I914" s="8" t="s">
        <v>18</v>
      </c>
      <c r="J914" s="8" t="s">
        <v>76</v>
      </c>
      <c r="K914" s="8" t="s">
        <v>76</v>
      </c>
      <c r="L914" s="9"/>
      <c r="M914" s="9"/>
      <c r="N914" s="9"/>
      <c r="O914" s="9"/>
      <c r="P914" s="9"/>
      <c r="Q914" s="9"/>
      <c r="R914" s="9"/>
      <c r="S914" s="9"/>
      <c r="T914" s="9"/>
      <c r="U914" s="9"/>
      <c r="V914" s="9"/>
      <c r="W914" s="9"/>
      <c r="X914" s="9">
        <v>2415.38</v>
      </c>
      <c r="Y914" s="9">
        <v>0</v>
      </c>
      <c r="Z914" s="9"/>
      <c r="AA914" s="9"/>
      <c r="AB914" s="9"/>
      <c r="AC914" s="9"/>
      <c r="AD914" s="9"/>
      <c r="AE914" s="9"/>
      <c r="AF914" s="9"/>
      <c r="AG914" s="9"/>
      <c r="AH914" s="7">
        <v>2415.38</v>
      </c>
      <c r="AI914" s="7">
        <v>0</v>
      </c>
    </row>
    <row r="915" spans="2:35" x14ac:dyDescent="0.3">
      <c r="B915" s="5" t="s">
        <v>3061</v>
      </c>
      <c r="C915" s="5" t="s">
        <v>13</v>
      </c>
      <c r="D915" s="12" t="s">
        <v>1213</v>
      </c>
      <c r="E915" s="6" t="s">
        <v>1323</v>
      </c>
      <c r="F915" s="13" t="s">
        <v>1324</v>
      </c>
      <c r="G915" s="6" t="s">
        <v>1184</v>
      </c>
      <c r="H915" s="7" t="str">
        <f t="shared" si="14"/>
        <v>EPC-IPU-I457-06Operation &amp; Maintenance</v>
      </c>
      <c r="I915" s="8" t="s">
        <v>18</v>
      </c>
      <c r="J915" s="8" t="s">
        <v>76</v>
      </c>
      <c r="K915" s="8" t="s">
        <v>76</v>
      </c>
      <c r="L915" s="9"/>
      <c r="M915" s="9"/>
      <c r="N915" s="9"/>
      <c r="O915" s="9"/>
      <c r="P915" s="9"/>
      <c r="Q915" s="9"/>
      <c r="R915" s="9"/>
      <c r="S915" s="9"/>
      <c r="T915" s="9"/>
      <c r="U915" s="9"/>
      <c r="V915" s="9"/>
      <c r="W915" s="9"/>
      <c r="X915" s="9">
        <v>0</v>
      </c>
      <c r="Y915" s="9">
        <v>903.8</v>
      </c>
      <c r="Z915" s="9"/>
      <c r="AA915" s="9"/>
      <c r="AB915" s="9"/>
      <c r="AC915" s="9"/>
      <c r="AD915" s="9"/>
      <c r="AE915" s="9"/>
      <c r="AF915" s="9"/>
      <c r="AG915" s="9"/>
      <c r="AH915" s="7">
        <v>0</v>
      </c>
      <c r="AI915" s="7">
        <v>903.8</v>
      </c>
    </row>
    <row r="916" spans="2:35" x14ac:dyDescent="0.3">
      <c r="B916" s="5" t="s">
        <v>3061</v>
      </c>
      <c r="C916" s="5" t="s">
        <v>1218</v>
      </c>
      <c r="D916" s="12" t="s">
        <v>1213</v>
      </c>
      <c r="E916" s="6" t="s">
        <v>1325</v>
      </c>
      <c r="F916" s="13" t="s">
        <v>1326</v>
      </c>
      <c r="G916" s="6" t="s">
        <v>1327</v>
      </c>
      <c r="H916" s="7" t="str">
        <f t="shared" si="14"/>
        <v>PPP-IPU-L269-01Operation &amp; Maintenance</v>
      </c>
      <c r="I916" s="8" t="s">
        <v>49</v>
      </c>
      <c r="J916" s="8" t="s">
        <v>19</v>
      </c>
      <c r="K916" s="8" t="s">
        <v>20</v>
      </c>
      <c r="L916" s="9"/>
      <c r="M916" s="9"/>
      <c r="N916" s="9"/>
      <c r="O916" s="9"/>
      <c r="P916" s="9"/>
      <c r="Q916" s="9"/>
      <c r="R916" s="9"/>
      <c r="S916" s="9"/>
      <c r="T916" s="9"/>
      <c r="U916" s="9"/>
      <c r="V916" s="9"/>
      <c r="W916" s="9"/>
      <c r="X916" s="9">
        <v>0</v>
      </c>
      <c r="Y916" s="9">
        <v>12182.2</v>
      </c>
      <c r="Z916" s="9"/>
      <c r="AA916" s="9"/>
      <c r="AB916" s="9"/>
      <c r="AC916" s="9"/>
      <c r="AD916" s="9"/>
      <c r="AE916" s="9"/>
      <c r="AF916" s="9"/>
      <c r="AG916" s="9"/>
      <c r="AH916" s="7">
        <v>0</v>
      </c>
      <c r="AI916" s="7">
        <v>12182.2</v>
      </c>
    </row>
    <row r="917" spans="2:35" x14ac:dyDescent="0.3">
      <c r="B917" s="5" t="s">
        <v>3061</v>
      </c>
      <c r="C917" s="5" t="s">
        <v>13</v>
      </c>
      <c r="D917" s="12" t="s">
        <v>1213</v>
      </c>
      <c r="E917" s="6" t="s">
        <v>1328</v>
      </c>
      <c r="F917" s="13" t="s">
        <v>1329</v>
      </c>
      <c r="G917" s="6" t="s">
        <v>354</v>
      </c>
      <c r="H917" s="7" t="str">
        <f t="shared" si="14"/>
        <v>EPC-IPU-I608-08Operation &amp; Maintenance</v>
      </c>
      <c r="I917" s="8" t="s">
        <v>24</v>
      </c>
      <c r="J917" s="8" t="s">
        <v>76</v>
      </c>
      <c r="K917" s="8" t="s">
        <v>76</v>
      </c>
      <c r="L917" s="9"/>
      <c r="M917" s="9"/>
      <c r="N917" s="9"/>
      <c r="O917" s="9"/>
      <c r="P917" s="9"/>
      <c r="Q917" s="9"/>
      <c r="R917" s="9"/>
      <c r="S917" s="9"/>
      <c r="T917" s="9"/>
      <c r="U917" s="9"/>
      <c r="V917" s="9"/>
      <c r="W917" s="9"/>
      <c r="X917" s="9">
        <v>1050.71</v>
      </c>
      <c r="Y917" s="9">
        <v>0</v>
      </c>
      <c r="Z917" s="9"/>
      <c r="AA917" s="9"/>
      <c r="AB917" s="9"/>
      <c r="AC917" s="9"/>
      <c r="AD917" s="9"/>
      <c r="AE917" s="9"/>
      <c r="AF917" s="9"/>
      <c r="AG917" s="9"/>
      <c r="AH917" s="7">
        <v>1050.71</v>
      </c>
      <c r="AI917" s="7">
        <v>0</v>
      </c>
    </row>
    <row r="918" spans="2:35" x14ac:dyDescent="0.3">
      <c r="B918" s="5" t="s">
        <v>3061</v>
      </c>
      <c r="C918" s="5" t="s">
        <v>13</v>
      </c>
      <c r="D918" s="12" t="s">
        <v>1213</v>
      </c>
      <c r="E918" s="6" t="s">
        <v>1330</v>
      </c>
      <c r="F918" s="13" t="s">
        <v>1331</v>
      </c>
      <c r="G918" s="6" t="s">
        <v>1332</v>
      </c>
      <c r="H918" s="7" t="str">
        <f t="shared" si="14"/>
        <v>EPC-IPU-G674-02Operation &amp; Maintenance</v>
      </c>
      <c r="I918" s="8" t="s">
        <v>49</v>
      </c>
      <c r="J918" s="8" t="s">
        <v>259</v>
      </c>
      <c r="K918" s="8" t="s">
        <v>259</v>
      </c>
      <c r="L918" s="9"/>
      <c r="M918" s="9"/>
      <c r="N918" s="9"/>
      <c r="O918" s="9"/>
      <c r="P918" s="9"/>
      <c r="Q918" s="9"/>
      <c r="R918" s="9"/>
      <c r="S918" s="9"/>
      <c r="T918" s="9"/>
      <c r="U918" s="9"/>
      <c r="V918" s="9"/>
      <c r="W918" s="9"/>
      <c r="X918" s="9">
        <v>5721.76</v>
      </c>
      <c r="Y918" s="9">
        <v>0</v>
      </c>
      <c r="Z918" s="9"/>
      <c r="AA918" s="9"/>
      <c r="AB918" s="9"/>
      <c r="AC918" s="9"/>
      <c r="AD918" s="9"/>
      <c r="AE918" s="9"/>
      <c r="AF918" s="9"/>
      <c r="AG918" s="9"/>
      <c r="AH918" s="7">
        <v>5721.76</v>
      </c>
      <c r="AI918" s="7">
        <v>0</v>
      </c>
    </row>
    <row r="919" spans="2:35" x14ac:dyDescent="0.3">
      <c r="B919" s="5" t="s">
        <v>3061</v>
      </c>
      <c r="C919" s="5" t="s">
        <v>13</v>
      </c>
      <c r="D919" s="12" t="s">
        <v>1213</v>
      </c>
      <c r="E919" s="6" t="s">
        <v>1333</v>
      </c>
      <c r="F919" s="13" t="s">
        <v>1334</v>
      </c>
      <c r="G919" s="6" t="s">
        <v>1335</v>
      </c>
      <c r="H919" s="7" t="str">
        <f t="shared" si="14"/>
        <v>EPC-IPU-H307-01Operation &amp; Maintenance</v>
      </c>
      <c r="I919" s="8" t="s">
        <v>18</v>
      </c>
      <c r="J919" s="8" t="s">
        <v>76</v>
      </c>
      <c r="K919" s="8" t="s">
        <v>76</v>
      </c>
      <c r="L919" s="9"/>
      <c r="M919" s="9"/>
      <c r="N919" s="9"/>
      <c r="O919" s="9"/>
      <c r="P919" s="9"/>
      <c r="Q919" s="9"/>
      <c r="R919" s="9"/>
      <c r="S919" s="9"/>
      <c r="T919" s="9"/>
      <c r="U919" s="9"/>
      <c r="V919" s="9"/>
      <c r="W919" s="9"/>
      <c r="X919" s="9">
        <v>0</v>
      </c>
      <c r="Y919" s="9">
        <v>3435.81</v>
      </c>
      <c r="Z919" s="9"/>
      <c r="AA919" s="9"/>
      <c r="AB919" s="9"/>
      <c r="AC919" s="9"/>
      <c r="AD919" s="9"/>
      <c r="AE919" s="9"/>
      <c r="AF919" s="9"/>
      <c r="AG919" s="9"/>
      <c r="AH919" s="7">
        <v>0</v>
      </c>
      <c r="AI919" s="7">
        <v>3435.81</v>
      </c>
    </row>
    <row r="920" spans="2:35" x14ac:dyDescent="0.3">
      <c r="B920" s="5" t="s">
        <v>3061</v>
      </c>
      <c r="C920" s="5" t="s">
        <v>1336</v>
      </c>
      <c r="D920" s="12" t="s">
        <v>1213</v>
      </c>
      <c r="E920" s="6" t="s">
        <v>1337</v>
      </c>
      <c r="F920" s="13" t="s">
        <v>1338</v>
      </c>
      <c r="G920" s="6" t="s">
        <v>1339</v>
      </c>
      <c r="H920" s="7" t="str">
        <f t="shared" si="14"/>
        <v>EPC-IPU-I820-01Operation &amp; Maintenance</v>
      </c>
      <c r="I920" s="8" t="s">
        <v>18</v>
      </c>
      <c r="J920" s="8" t="s">
        <v>76</v>
      </c>
      <c r="K920" s="8" t="s">
        <v>76</v>
      </c>
      <c r="L920" s="9"/>
      <c r="M920" s="9"/>
      <c r="N920" s="9"/>
      <c r="O920" s="9"/>
      <c r="P920" s="9"/>
      <c r="Q920" s="9"/>
      <c r="R920" s="9"/>
      <c r="S920" s="9"/>
      <c r="T920" s="9"/>
      <c r="U920" s="9"/>
      <c r="V920" s="9"/>
      <c r="W920" s="9"/>
      <c r="X920" s="9">
        <v>0</v>
      </c>
      <c r="Y920" s="9">
        <v>1600</v>
      </c>
      <c r="Z920" s="9"/>
      <c r="AA920" s="9"/>
      <c r="AB920" s="9"/>
      <c r="AC920" s="9"/>
      <c r="AD920" s="9"/>
      <c r="AE920" s="9"/>
      <c r="AF920" s="9"/>
      <c r="AG920" s="9"/>
      <c r="AH920" s="7">
        <v>0</v>
      </c>
      <c r="AI920" s="7">
        <v>1600</v>
      </c>
    </row>
    <row r="921" spans="2:35" x14ac:dyDescent="0.3">
      <c r="B921" s="5" t="s">
        <v>3061</v>
      </c>
      <c r="C921" s="5" t="s">
        <v>13</v>
      </c>
      <c r="D921" s="12" t="s">
        <v>1213</v>
      </c>
      <c r="E921" s="6" t="s">
        <v>1340</v>
      </c>
      <c r="F921" s="13" t="s">
        <v>1341</v>
      </c>
      <c r="G921" s="6" t="s">
        <v>1342</v>
      </c>
      <c r="H921" s="7" t="str">
        <f t="shared" si="14"/>
        <v>EPC-IPU-A017-02Operation &amp; Maintenance</v>
      </c>
      <c r="I921" s="8" t="s">
        <v>18</v>
      </c>
      <c r="J921" s="8" t="s">
        <v>259</v>
      </c>
      <c r="K921" s="8" t="s">
        <v>259</v>
      </c>
      <c r="L921" s="9"/>
      <c r="M921" s="9"/>
      <c r="N921" s="9"/>
      <c r="O921" s="9"/>
      <c r="P921" s="9"/>
      <c r="Q921" s="9"/>
      <c r="R921" s="9"/>
      <c r="S921" s="9"/>
      <c r="T921" s="9"/>
      <c r="U921" s="9"/>
      <c r="V921" s="9"/>
      <c r="W921" s="9"/>
      <c r="X921" s="9">
        <v>3488.7</v>
      </c>
      <c r="Y921" s="9">
        <v>0</v>
      </c>
      <c r="Z921" s="9"/>
      <c r="AA921" s="9"/>
      <c r="AB921" s="9"/>
      <c r="AC921" s="9"/>
      <c r="AD921" s="9"/>
      <c r="AE921" s="9"/>
      <c r="AF921" s="9"/>
      <c r="AG921" s="9"/>
      <c r="AH921" s="7">
        <v>3488.7</v>
      </c>
      <c r="AI921" s="7">
        <v>0</v>
      </c>
    </row>
    <row r="922" spans="2:35" x14ac:dyDescent="0.3">
      <c r="B922" s="5" t="s">
        <v>3061</v>
      </c>
      <c r="C922" s="5" t="s">
        <v>13</v>
      </c>
      <c r="D922" s="12" t="s">
        <v>1213</v>
      </c>
      <c r="E922" s="6" t="s">
        <v>1343</v>
      </c>
      <c r="F922" s="13" t="s">
        <v>1344</v>
      </c>
      <c r="G922" s="6" t="s">
        <v>354</v>
      </c>
      <c r="H922" s="7" t="str">
        <f t="shared" si="14"/>
        <v>EPC-IPU-I608-07Operation &amp; Maintenance</v>
      </c>
      <c r="I922" s="8" t="s">
        <v>24</v>
      </c>
      <c r="J922" s="8" t="s">
        <v>76</v>
      </c>
      <c r="K922" s="8" t="s">
        <v>76</v>
      </c>
      <c r="L922" s="9"/>
      <c r="M922" s="9"/>
      <c r="N922" s="9"/>
      <c r="O922" s="9"/>
      <c r="P922" s="9"/>
      <c r="Q922" s="9"/>
      <c r="R922" s="9"/>
      <c r="S922" s="9"/>
      <c r="T922" s="9"/>
      <c r="U922" s="9"/>
      <c r="V922" s="9"/>
      <c r="W922" s="9"/>
      <c r="X922" s="9">
        <v>2389.29</v>
      </c>
      <c r="Y922" s="9">
        <v>0</v>
      </c>
      <c r="Z922" s="9"/>
      <c r="AA922" s="9"/>
      <c r="AB922" s="9"/>
      <c r="AC922" s="9"/>
      <c r="AD922" s="9"/>
      <c r="AE922" s="9"/>
      <c r="AF922" s="9"/>
      <c r="AG922" s="9"/>
      <c r="AH922" s="7">
        <v>2389.29</v>
      </c>
      <c r="AI922" s="7">
        <v>0</v>
      </c>
    </row>
    <row r="923" spans="2:35" x14ac:dyDescent="0.3">
      <c r="B923" s="5" t="s">
        <v>3061</v>
      </c>
      <c r="C923" s="5" t="s">
        <v>13</v>
      </c>
      <c r="D923" s="12" t="s">
        <v>1213</v>
      </c>
      <c r="E923" s="6" t="s">
        <v>1345</v>
      </c>
      <c r="F923" s="13" t="s">
        <v>1346</v>
      </c>
      <c r="G923" s="6" t="s">
        <v>1347</v>
      </c>
      <c r="H923" s="7" t="str">
        <f t="shared" si="14"/>
        <v>EPC-IPU-A047-01Operation &amp; Maintenance</v>
      </c>
      <c r="I923" s="8" t="s">
        <v>24</v>
      </c>
      <c r="J923" s="8" t="s">
        <v>259</v>
      </c>
      <c r="K923" s="8" t="s">
        <v>259</v>
      </c>
      <c r="L923" s="9"/>
      <c r="M923" s="9"/>
      <c r="N923" s="9"/>
      <c r="O923" s="9"/>
      <c r="P923" s="9"/>
      <c r="Q923" s="9"/>
      <c r="R923" s="9"/>
      <c r="S923" s="9"/>
      <c r="T923" s="9"/>
      <c r="U923" s="9"/>
      <c r="V923" s="9"/>
      <c r="W923" s="9"/>
      <c r="X923" s="9">
        <v>0</v>
      </c>
      <c r="Y923" s="9">
        <v>389</v>
      </c>
      <c r="Z923" s="9"/>
      <c r="AA923" s="9"/>
      <c r="AB923" s="9"/>
      <c r="AC923" s="9"/>
      <c r="AD923" s="9"/>
      <c r="AE923" s="9"/>
      <c r="AF923" s="9"/>
      <c r="AG923" s="9"/>
      <c r="AH923" s="7">
        <v>0</v>
      </c>
      <c r="AI923" s="7">
        <v>389</v>
      </c>
    </row>
    <row r="924" spans="2:35" x14ac:dyDescent="0.3">
      <c r="B924" s="5" t="s">
        <v>3061</v>
      </c>
      <c r="C924" s="5" t="s">
        <v>13</v>
      </c>
      <c r="D924" s="12" t="s">
        <v>1213</v>
      </c>
      <c r="E924" s="6" t="s">
        <v>1348</v>
      </c>
      <c r="F924" s="13" t="s">
        <v>1349</v>
      </c>
      <c r="G924" s="6" t="s">
        <v>1249</v>
      </c>
      <c r="H924" s="7" t="str">
        <f t="shared" si="14"/>
        <v>EPC-IPU-I307-02Operation &amp; Maintenance</v>
      </c>
      <c r="I924" s="8" t="s">
        <v>18</v>
      </c>
      <c r="J924" s="8" t="s">
        <v>76</v>
      </c>
      <c r="K924" s="8" t="s">
        <v>76</v>
      </c>
      <c r="L924" s="9"/>
      <c r="M924" s="9"/>
      <c r="N924" s="9"/>
      <c r="O924" s="9"/>
      <c r="P924" s="9"/>
      <c r="Q924" s="9"/>
      <c r="R924" s="9"/>
      <c r="S924" s="9"/>
      <c r="T924" s="9"/>
      <c r="U924" s="9"/>
      <c r="V924" s="9"/>
      <c r="W924" s="9"/>
      <c r="X924" s="9">
        <v>0</v>
      </c>
      <c r="Y924" s="9">
        <v>429.87</v>
      </c>
      <c r="Z924" s="9"/>
      <c r="AA924" s="9"/>
      <c r="AB924" s="9"/>
      <c r="AC924" s="9"/>
      <c r="AD924" s="9"/>
      <c r="AE924" s="9"/>
      <c r="AF924" s="9"/>
      <c r="AG924" s="9"/>
      <c r="AH924" s="7">
        <v>0</v>
      </c>
      <c r="AI924" s="7">
        <v>429.87</v>
      </c>
    </row>
    <row r="925" spans="2:35" x14ac:dyDescent="0.3">
      <c r="B925" s="5" t="s">
        <v>3061</v>
      </c>
      <c r="C925" s="5" t="s">
        <v>1218</v>
      </c>
      <c r="D925" s="12" t="s">
        <v>1213</v>
      </c>
      <c r="E925" s="6" t="s">
        <v>1350</v>
      </c>
      <c r="F925" s="13" t="s">
        <v>1351</v>
      </c>
      <c r="G925" s="6" t="s">
        <v>1352</v>
      </c>
      <c r="H925" s="7" t="str">
        <f t="shared" si="14"/>
        <v>PPP-IPU-F028-01Operation &amp; Maintenance</v>
      </c>
      <c r="I925" s="8" t="s">
        <v>49</v>
      </c>
      <c r="J925" s="8" t="s">
        <v>19</v>
      </c>
      <c r="K925" s="8" t="s">
        <v>20</v>
      </c>
      <c r="L925" s="9"/>
      <c r="M925" s="9"/>
      <c r="N925" s="9"/>
      <c r="O925" s="9"/>
      <c r="P925" s="9"/>
      <c r="Q925" s="9"/>
      <c r="R925" s="9"/>
      <c r="S925" s="9"/>
      <c r="T925" s="9"/>
      <c r="U925" s="9"/>
      <c r="V925" s="9"/>
      <c r="W925" s="9"/>
      <c r="X925" s="9">
        <v>0</v>
      </c>
      <c r="Y925" s="9">
        <v>10651.27</v>
      </c>
      <c r="Z925" s="9"/>
      <c r="AA925" s="9"/>
      <c r="AB925" s="9"/>
      <c r="AC925" s="9"/>
      <c r="AD925" s="9"/>
      <c r="AE925" s="9"/>
      <c r="AF925" s="9"/>
      <c r="AG925" s="9"/>
      <c r="AH925" s="7">
        <v>0</v>
      </c>
      <c r="AI925" s="7">
        <v>10651.27</v>
      </c>
    </row>
    <row r="926" spans="2:35" x14ac:dyDescent="0.3">
      <c r="B926" s="5" t="s">
        <v>3061</v>
      </c>
      <c r="C926" s="5" t="s">
        <v>13</v>
      </c>
      <c r="D926" s="12" t="s">
        <v>619</v>
      </c>
      <c r="E926" s="6" t="s">
        <v>1207</v>
      </c>
      <c r="F926" s="13" t="s">
        <v>1208</v>
      </c>
      <c r="G926" s="6" t="s">
        <v>360</v>
      </c>
      <c r="H926" s="7" t="str">
        <f>+F926&amp;D926</f>
        <v>EPC-IPU-C888-01EXTRA LAVORI : Spot</v>
      </c>
      <c r="I926" s="8" t="s">
        <v>18</v>
      </c>
      <c r="J926" s="8" t="s">
        <v>76</v>
      </c>
      <c r="K926" s="8" t="s">
        <v>76</v>
      </c>
      <c r="L926" s="9"/>
      <c r="M926" s="9"/>
      <c r="N926" s="9"/>
      <c r="O926" s="9"/>
      <c r="P926" s="9"/>
      <c r="Q926" s="9"/>
      <c r="R926" s="9"/>
      <c r="S926" s="9"/>
      <c r="T926" s="9"/>
      <c r="U926" s="9"/>
      <c r="V926" s="9"/>
      <c r="W926" s="9"/>
      <c r="X926" s="9">
        <v>0</v>
      </c>
      <c r="Y926" s="9">
        <v>295.67</v>
      </c>
      <c r="Z926" s="9"/>
      <c r="AA926" s="9"/>
      <c r="AB926" s="9"/>
      <c r="AC926" s="9"/>
      <c r="AD926" s="9"/>
      <c r="AE926" s="9"/>
      <c r="AF926" s="9"/>
      <c r="AG926" s="9"/>
      <c r="AH926" s="7">
        <v>0</v>
      </c>
      <c r="AI926" s="7">
        <v>295.67</v>
      </c>
    </row>
    <row r="927" spans="2:35" x14ac:dyDescent="0.3">
      <c r="B927" s="5" t="s">
        <v>3061</v>
      </c>
      <c r="C927" s="5" t="s">
        <v>13</v>
      </c>
      <c r="D927" s="12" t="s">
        <v>619</v>
      </c>
      <c r="E927" s="6" t="s">
        <v>1210</v>
      </c>
      <c r="F927" s="13" t="s">
        <v>1211</v>
      </c>
      <c r="G927" s="6" t="s">
        <v>1184</v>
      </c>
      <c r="H927" s="7" t="str">
        <f t="shared" ref="H927:H932" si="15">+F927&amp;D927</f>
        <v>EPC-IPU-I457-02EXTRA LAVORI : Spot</v>
      </c>
      <c r="I927" s="8" t="s">
        <v>18</v>
      </c>
      <c r="J927" s="8" t="s">
        <v>76</v>
      </c>
      <c r="K927" s="8" t="s">
        <v>76</v>
      </c>
      <c r="L927" s="9"/>
      <c r="M927" s="9"/>
      <c r="N927" s="9"/>
      <c r="O927" s="9"/>
      <c r="P927" s="9"/>
      <c r="Q927" s="9"/>
      <c r="R927" s="9"/>
      <c r="S927" s="9"/>
      <c r="T927" s="9"/>
      <c r="U927" s="9"/>
      <c r="V927" s="9"/>
      <c r="W927" s="9"/>
      <c r="X927" s="9">
        <v>0</v>
      </c>
      <c r="Y927" s="9">
        <v>70.89</v>
      </c>
      <c r="Z927" s="9"/>
      <c r="AA927" s="9"/>
      <c r="AB927" s="9"/>
      <c r="AC927" s="9"/>
      <c r="AD927" s="9"/>
      <c r="AE927" s="9"/>
      <c r="AF927" s="9"/>
      <c r="AG927" s="9"/>
      <c r="AH927" s="7">
        <v>0</v>
      </c>
      <c r="AI927" s="7">
        <v>70.89</v>
      </c>
    </row>
    <row r="928" spans="2:35" x14ac:dyDescent="0.3">
      <c r="B928" s="5" t="s">
        <v>3061</v>
      </c>
      <c r="C928" s="5" t="s">
        <v>865</v>
      </c>
      <c r="D928" s="12" t="s">
        <v>1353</v>
      </c>
      <c r="E928" s="6" t="s">
        <v>932</v>
      </c>
      <c r="F928" s="13" t="s">
        <v>933</v>
      </c>
      <c r="G928" s="6" t="s">
        <v>934</v>
      </c>
      <c r="H928" s="7" t="str">
        <f t="shared" si="15"/>
        <v>PPP-IPU-C422-01Construction</v>
      </c>
      <c r="I928" s="8" t="s">
        <v>56</v>
      </c>
      <c r="J928" s="8" t="s">
        <v>19</v>
      </c>
      <c r="K928" s="8" t="s">
        <v>20</v>
      </c>
      <c r="L928" s="9"/>
      <c r="M928" s="9"/>
      <c r="N928" s="9"/>
      <c r="O928" s="9"/>
      <c r="P928" s="9"/>
      <c r="Q928" s="9"/>
      <c r="R928" s="9"/>
      <c r="S928" s="9"/>
      <c r="T928" s="9"/>
      <c r="U928" s="9"/>
      <c r="V928" s="9"/>
      <c r="W928" s="9"/>
      <c r="X928" s="9">
        <v>1065.56</v>
      </c>
      <c r="Y928" s="9">
        <v>0</v>
      </c>
      <c r="Z928" s="9"/>
      <c r="AA928" s="9"/>
      <c r="AB928" s="9"/>
      <c r="AC928" s="9"/>
      <c r="AD928" s="9"/>
      <c r="AE928" s="9"/>
      <c r="AF928" s="9"/>
      <c r="AG928" s="9"/>
      <c r="AH928" s="7">
        <v>1065.56</v>
      </c>
      <c r="AI928" s="7">
        <v>0</v>
      </c>
    </row>
    <row r="929" spans="2:35" x14ac:dyDescent="0.3">
      <c r="B929" s="5" t="s">
        <v>3061</v>
      </c>
      <c r="C929" s="5" t="s">
        <v>865</v>
      </c>
      <c r="D929" s="12" t="s">
        <v>1353</v>
      </c>
      <c r="E929" s="6" t="s">
        <v>920</v>
      </c>
      <c r="F929" s="13" t="s">
        <v>921</v>
      </c>
      <c r="G929" s="6" t="s">
        <v>922</v>
      </c>
      <c r="H929" s="7" t="str">
        <f t="shared" si="15"/>
        <v>PPP-IPU-H823-01Construction</v>
      </c>
      <c r="I929" s="8" t="s">
        <v>56</v>
      </c>
      <c r="J929" s="8" t="s">
        <v>19</v>
      </c>
      <c r="K929" s="8" t="s">
        <v>20</v>
      </c>
      <c r="L929" s="9"/>
      <c r="M929" s="9"/>
      <c r="N929" s="9"/>
      <c r="O929" s="9"/>
      <c r="P929" s="9"/>
      <c r="Q929" s="9"/>
      <c r="R929" s="9"/>
      <c r="S929" s="9"/>
      <c r="T929" s="9"/>
      <c r="U929" s="9"/>
      <c r="V929" s="9"/>
      <c r="W929" s="9"/>
      <c r="X929" s="9">
        <v>30120.28</v>
      </c>
      <c r="Y929" s="9">
        <v>0</v>
      </c>
      <c r="Z929" s="9"/>
      <c r="AA929" s="9"/>
      <c r="AB929" s="9"/>
      <c r="AC929" s="9"/>
      <c r="AD929" s="9"/>
      <c r="AE929" s="9"/>
      <c r="AF929" s="9"/>
      <c r="AG929" s="9"/>
      <c r="AH929" s="7">
        <v>30120.28</v>
      </c>
      <c r="AI929" s="7">
        <v>0</v>
      </c>
    </row>
    <row r="930" spans="2:35" x14ac:dyDescent="0.3">
      <c r="B930" s="5" t="s">
        <v>3061</v>
      </c>
      <c r="C930" s="5" t="s">
        <v>13</v>
      </c>
      <c r="D930" s="12" t="s">
        <v>1354</v>
      </c>
      <c r="E930" s="6" t="s">
        <v>585</v>
      </c>
      <c r="F930" s="13" t="s">
        <v>586</v>
      </c>
      <c r="G930" s="6" t="s">
        <v>587</v>
      </c>
      <c r="H930" s="7" t="str">
        <f t="shared" si="15"/>
        <v>PPP-IPU-L736-02Construction &amp; Operational</v>
      </c>
      <c r="I930" s="8" t="s">
        <v>56</v>
      </c>
      <c r="J930" s="8" t="s">
        <v>19</v>
      </c>
      <c r="K930" s="8" t="s">
        <v>20</v>
      </c>
      <c r="L930" s="9"/>
      <c r="M930" s="9"/>
      <c r="N930" s="9"/>
      <c r="O930" s="9"/>
      <c r="P930" s="9"/>
      <c r="Q930" s="9"/>
      <c r="R930" s="9"/>
      <c r="S930" s="9"/>
      <c r="T930" s="9"/>
      <c r="U930" s="9"/>
      <c r="V930" s="9"/>
      <c r="W930" s="9"/>
      <c r="X930" s="9">
        <v>45893.02</v>
      </c>
      <c r="Y930" s="9">
        <v>0</v>
      </c>
      <c r="Z930" s="9"/>
      <c r="AA930" s="9"/>
      <c r="AB930" s="9"/>
      <c r="AC930" s="9"/>
      <c r="AD930" s="9"/>
      <c r="AE930" s="9"/>
      <c r="AF930" s="9"/>
      <c r="AG930" s="9"/>
      <c r="AH930" s="7">
        <v>45893.02</v>
      </c>
      <c r="AI930" s="7">
        <v>0</v>
      </c>
    </row>
    <row r="931" spans="2:35" x14ac:dyDescent="0.3">
      <c r="B931" s="5" t="s">
        <v>3061</v>
      </c>
      <c r="C931" s="5" t="s">
        <v>865</v>
      </c>
      <c r="D931" s="12" t="s">
        <v>1353</v>
      </c>
      <c r="E931" s="6" t="s">
        <v>907</v>
      </c>
      <c r="F931" s="13" t="s">
        <v>908</v>
      </c>
      <c r="G931" s="6" t="s">
        <v>909</v>
      </c>
      <c r="H931" s="7" t="str">
        <f t="shared" si="15"/>
        <v>PPP-IPU-F130-01Construction</v>
      </c>
      <c r="I931" s="8" t="s">
        <v>56</v>
      </c>
      <c r="J931" s="8" t="s">
        <v>19</v>
      </c>
      <c r="K931" s="8" t="s">
        <v>20</v>
      </c>
      <c r="L931" s="9"/>
      <c r="M931" s="9"/>
      <c r="N931" s="9"/>
      <c r="O931" s="9"/>
      <c r="P931" s="9"/>
      <c r="Q931" s="9"/>
      <c r="R931" s="9"/>
      <c r="S931" s="9"/>
      <c r="T931" s="9"/>
      <c r="U931" s="9"/>
      <c r="V931" s="9"/>
      <c r="W931" s="9"/>
      <c r="X931" s="9">
        <v>3961.92</v>
      </c>
      <c r="Y931" s="9">
        <v>0</v>
      </c>
      <c r="Z931" s="9"/>
      <c r="AA931" s="9"/>
      <c r="AB931" s="9"/>
      <c r="AC931" s="9"/>
      <c r="AD931" s="9"/>
      <c r="AE931" s="9"/>
      <c r="AF931" s="9"/>
      <c r="AG931" s="9"/>
      <c r="AH931" s="7">
        <v>3961.92</v>
      </c>
      <c r="AI931" s="7">
        <v>0</v>
      </c>
    </row>
    <row r="932" spans="2:35" x14ac:dyDescent="0.3">
      <c r="B932" s="5" t="s">
        <v>3061</v>
      </c>
      <c r="C932" s="5" t="s">
        <v>865</v>
      </c>
      <c r="D932" s="12" t="s">
        <v>1353</v>
      </c>
      <c r="E932" s="6" t="s">
        <v>923</v>
      </c>
      <c r="F932" s="13" t="s">
        <v>924</v>
      </c>
      <c r="G932" s="6" t="s">
        <v>925</v>
      </c>
      <c r="H932" s="7" t="str">
        <f t="shared" si="15"/>
        <v>PPP-IPU-D740-01Construction</v>
      </c>
      <c r="I932" s="8" t="s">
        <v>56</v>
      </c>
      <c r="J932" s="8" t="s">
        <v>19</v>
      </c>
      <c r="K932" s="8" t="s">
        <v>20</v>
      </c>
      <c r="L932" s="9"/>
      <c r="M932" s="9"/>
      <c r="N932" s="9"/>
      <c r="O932" s="9"/>
      <c r="P932" s="9"/>
      <c r="Q932" s="9"/>
      <c r="R932" s="9"/>
      <c r="S932" s="9"/>
      <c r="T932" s="9"/>
      <c r="U932" s="9"/>
      <c r="V932" s="9"/>
      <c r="W932" s="9"/>
      <c r="X932" s="9">
        <v>3710.9599999859902</v>
      </c>
      <c r="Y932" s="9"/>
      <c r="Z932" s="9"/>
      <c r="AA932" s="9"/>
      <c r="AB932" s="9"/>
      <c r="AC932" s="9"/>
      <c r="AD932" s="9"/>
      <c r="AE932" s="9"/>
      <c r="AF932" s="9"/>
      <c r="AG932" s="9"/>
      <c r="AH932" s="7">
        <v>3710.9599999859902</v>
      </c>
      <c r="AI932" s="7">
        <v>0</v>
      </c>
    </row>
  </sheetData>
  <conditionalFormatting sqref="H3:H932">
    <cfRule type="duplicateValues" dxfId="28" priority="11"/>
    <cfRule type="cellIs" dxfId="27" priority="12" operator="between">
      <formula>0</formula>
      <formula>0</formula>
    </cfRule>
    <cfRule type="duplicateValues" dxfId="26" priority="13"/>
    <cfRule type="duplicateValues" dxfId="25" priority="14"/>
    <cfRule type="duplicateValues" dxfId="24" priority="15"/>
    <cfRule type="duplicateValues" dxfId="23" priority="16"/>
  </conditionalFormatting>
  <conditionalFormatting sqref="H5">
    <cfRule type="duplicateValues" dxfId="22" priority="1"/>
    <cfRule type="duplicateValues" dxfId="21" priority="2"/>
    <cfRule type="duplicateValues" dxfId="20" priority="3"/>
    <cfRule type="duplicateValues" dxfId="19" priority="4"/>
    <cfRule type="cellIs" dxfId="18" priority="5" operator="between">
      <formula>0</formula>
      <formula>0</formula>
    </cfRule>
    <cfRule type="duplicateValues" dxfId="17" priority="6"/>
    <cfRule type="duplicateValues" dxfId="16" priority="7"/>
  </conditionalFormatting>
  <conditionalFormatting sqref="R3:T51 V3:V932 X3:Z932 AB3:AB932 AD3:AD932 AF3:AF932 T52:T932">
    <cfRule type="duplicateValues" dxfId="15" priority="17"/>
  </conditionalFormatting>
  <conditionalFormatting sqref="R3:AG51 T52:AG932">
    <cfRule type="cellIs" dxfId="14" priority="10" operator="between">
      <formula>0</formula>
      <formula>0</formula>
    </cfRule>
  </conditionalFormatting>
  <conditionalFormatting sqref="S3:S51 W3:W932 Y3:Y932 AA3:AA932 AC3:AC932 AE3:AE932 AG3:AG932 U3:U932">
    <cfRule type="duplicateValues" dxfId="13" priority="18"/>
    <cfRule type="duplicateValues" dxfId="12" priority="19"/>
  </conditionalFormatting>
  <conditionalFormatting sqref="U3:U932">
    <cfRule type="duplicateValues" dxfId="11" priority="20"/>
  </conditionalFormatting>
  <conditionalFormatting sqref="W3 W5 W7 W9 W11 W13 W15 W17 W19 W21 W23 W25 W27 W29 W31 W33 W35 W37 W39 W41 W43 W45 W47 W49 W51 W53 W55 W57 W59 W61 W63 W65 W67 W69 W71 W73 W75 W77 W79 W81 W83 W85 W87 W89 W91 W93 W95 W97 W99 W101 W103 W105 W107 W109 W111 W113 W115 W117 W119 W121 W123 W125 W127 W129 W131 W133 W135 W137 W139 W141 W143 W145 W147 W149 W151 W153 W155 W158 W160 W162 W164 W166 W168 W170 W172 W174 W176 W178 W180 W182 W184 W186 W188 W190 W192 W194 W196 W198 W200 W202 W204 W206 W208 W210 W212 W214 W216 W218 W220 W222 W224 W226 W228 W230 W232 W234 W236 W238 W240 W242 W244 W246 W248 W250 W252 W254 W256 W258 W260 W262 W264 W266 W268 W270 W272 W274 W276 W278 W280 W282 W284 W286 W288 W290 W292 W294 W296 W298 W300 W302 W304 W306 W308 W310 Y3 Y5 Y7 Y9 Y11 Y13 Y15 Y17 Y19 Y21 Y23 Y25 Y27 Y29 Y31 Y33 Y35 Y37 Y39 Y41 Y43 Y45 Y47 Y49 Y51 Y53 Y55 Y57 Y59 Y61 Y63 Y65 Y67 Y69 Y71 Y73 Y75 Y77 Y79 Y81 Y83 Y85 Y87 Y89 Y91 Y93 Y95 Y97 Y99 Y101 Y103 Y105 Y107 Y109 Y111 Y113 Y115 Y117 Y119 Y121 Y123 Y125 Y127 Y129 Y131 Y133 Y135 Y137 Y139 Y141 Y143 Y145 Y147 Y149 Y151 Y153 Y155 Y158 Y160 Y162 Y164 Y166 Y168 Y170 Y172 Y174 Y176 Y178 Y180 Y182 Y184 Y186 Y188 Y190 Y192 Y194 Y196 Y198 Y200 Y202 Y204 Y206 Y208 Y210 Y212 Y214 Y216 Y218 Y220 Y222 Y224 Y226 Y228 Y230 Y232 Y234 Y236 Y238 Y240 Y242 Y244 Y246 Y248 Y250 Y252 Y254 Y256 Y258 Y260 Y262 Y264 Y266 Y268 Y270 Y272 Y274 Y276 Y278 Y280 Y282 Y284 Y286 Y288 Y290 Y292 Y294 Y296 Y298 Y300 Y302 Y304 Y306 Y308 Y310 AA3 AA5 AA7 AA9 AA11 AA13 AA15 AA17 AA19 AA21 AA23 AA25 AA27 AA29 AA31 AA33 AA35 AA37 AA39 AA41 AA43 AA45 AA47 AA49 AA51 AA53 AA55 AA57 AA59 AA61 AA63 AA65 AA67 AA69 AA71 AA73 AA75 AA77 AA79 AA81 AA83 AA85 AA87 AA89 AA91 AA93 AA95 AA97 AA99 AA101 AA103 AA105 AA107 AA109 AA111 AA113 AA115 AA117 AA119 AA121 AA123 AA125 AA127 AA129 AA131 AA133 AA135 AA137 AA139 AA141 AA143 AA145 AA147 AA149 AA151 AA153 AA155 AA158 AA160 AA162 AA164 AA166 AA168 AA170 AA172 AA174 AA176 AA178 AA180 AA182 AA184 AA186 AA188 AA190 AA192 AA194 AA196 AA198 AA200 AA202 AA204 AA206 AA208 AA210 AA212 AA214 AA216 AA218 AA220 AA222 AA224 AA226 AA228 AA230 AA232 AA234 AA236 AA238 AA240 AA242 AA244 AA246 AA248 AA250 AA252 AA254 AA256 AA258 AA260 AA262 AA264 AA266 AA268 AA270 AA272 AA274 AA276 AA278 AA280 AA282 AA284 AA286 AA288 AA290 AA292 AA294 AA296 AA298 AA300 AA302 AA304 AA306 AA308 AA310 AC3 AC5 AC7 AC9 AC11 AC13 AC15 AC17 AC19 AC21 AC23 AC25 AC27 AC29 AC31 AC33 AC35 AC37 AC39 AC41 AC43 AC45 AC47 AC49 AC51 AC53 AC55 AC57 AC59 AC61 AC63 AC65 AC67 AC69 AC71 AC73 AC75 AC77 AC79 AC81 AC83 AC85 AC87 AC89 AC91 AC93 AC95 AC97 AC99 AC101 AC103 AC105 AC107 AC109 AC111 AC113 AC115 AC117 AC119 AC121 AC123 AC125 AC127 AC129 AC131 AC133 AC135 AC137 AC139 AC141 AC143 AC145 AC147 AC149 AC151 AC153 AC155 AC158 AC160 AC162 AC164 AC166 AC168 AC170 AC172 AC174 AC176 AC178 AC180 AC182 AC184 AC186 AC188 AC190 AC192 AC194 AC196 AC198 AC200 AC202 AC204 AC206 AC208 AC210 AC212 AC214 AC216 AC218 AC220 AC222 AC224 AC226 AC228 AC230 AC232 AC234 AC236 AC238 AC240 AC242 AC244 AC246 AC248 AC250 AC252 AC254 AC256 AC258 AC260 AC262 AC264 AC266 AC268 AC270 AC272 AC274 AC276 AC278 AC280 AC282 AC284 AC286 AC288 AC290 AC292 AC294 AC296 AC298 AC300 AC302 AC304 AC306 AC308 AC310 AE3 AE5 AE7 AE9 AE11 AE13 AE15 AE17 AE19 AE21 AE23 AE25 AE27 AE29 AE31 AE33 AE35 AE37 AE39 AE41 AE43 AE45 AE47 AE49 AE51 AE53 AE55 AE57 AE59 AE61 AE63 AE65 AE67 AE69 AE71 AE73 AE75 AE77 AE79 AE81 AE83 AE85 AE87 AE89 AE91 AE93 AE95 AE97 AE99 AE101 AE103 AE105 AE107 AE109 AE111 AE113 AE115 AE117 AE119 AE121 AE123 AE125 AE127 AE129 AE131 AE133 AE135 AE137 AE139 AE141 AE143 AE145 AE147 AE149 AE151 AE153 AE155 AE158 AE160 AE162 AE164 AE166 AE168 AE170 AE172 AE174 AE176 AE178 AE180 AE182 AE184 AE186 AE188 AE190 AE192 AE194 AE196 AE198 AE200 AE202 AE204 AE206 AE208 AE210 AE212 AE214 AE216 AE218 AE220 AE222 AE224 AE226 AE228 AE230 AE232 AE234 AE236 AE238 AE240 AE242 AE244 AE246 AE248 AE250 AE252 AE254 AE256 AE258 AE260 AE262 AE264 AE266 AE268 AE270 AE272 AE274 AE276 AE278 AE280 AE282 AE284 AE286 AE288 AE290 AE292 AE294 AE296 AE298 AE300 AE302 AE304 AE306 AE308 AE310 W445 Y445 AA445 AC445 AE445 S3:S51 U3:U932">
    <cfRule type="duplicateValues" dxfId="10" priority="8"/>
    <cfRule type="duplicateValues" dxfId="9" priority="9"/>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FB7F2-D458-4D35-88E6-DAEB34001ADA}">
  <dimension ref="B2:T293"/>
  <sheetViews>
    <sheetView showGridLines="0" workbookViewId="0">
      <selection activeCell="B2" sqref="B2:T293"/>
    </sheetView>
  </sheetViews>
  <sheetFormatPr defaultRowHeight="14.4" x14ac:dyDescent="0.3"/>
  <sheetData>
    <row r="2" spans="2:20" ht="55.2" x14ac:dyDescent="0.3">
      <c r="B2" s="14" t="s">
        <v>1355</v>
      </c>
      <c r="C2" s="14" t="s">
        <v>6</v>
      </c>
      <c r="D2" s="14" t="s">
        <v>4</v>
      </c>
      <c r="E2" s="15" t="s">
        <v>5</v>
      </c>
      <c r="F2" s="16" t="s">
        <v>5</v>
      </c>
      <c r="G2" s="17" t="s">
        <v>7</v>
      </c>
      <c r="H2" s="17" t="s">
        <v>1356</v>
      </c>
      <c r="I2" s="17" t="s">
        <v>1357</v>
      </c>
      <c r="J2" s="15" t="s">
        <v>1358</v>
      </c>
      <c r="K2" s="15" t="s">
        <v>2</v>
      </c>
      <c r="L2" s="18" t="s">
        <v>1359</v>
      </c>
      <c r="M2" s="18" t="s">
        <v>1360</v>
      </c>
      <c r="N2" s="18" t="s">
        <v>1361</v>
      </c>
      <c r="O2" s="18" t="s">
        <v>1362</v>
      </c>
      <c r="P2" s="18" t="s">
        <v>1363</v>
      </c>
      <c r="Q2" s="19" t="s">
        <v>1364</v>
      </c>
      <c r="R2" s="20" t="s">
        <v>1365</v>
      </c>
      <c r="S2" s="20" t="s">
        <v>1366</v>
      </c>
      <c r="T2" s="21" t="s">
        <v>1367</v>
      </c>
    </row>
    <row r="3" spans="2:20" x14ac:dyDescent="0.3">
      <c r="B3" s="22" t="s">
        <v>1368</v>
      </c>
      <c r="C3" s="23"/>
      <c r="D3" s="24"/>
      <c r="E3" s="23"/>
      <c r="F3" s="25" t="s">
        <v>861</v>
      </c>
      <c r="G3" s="25" t="s">
        <v>18</v>
      </c>
      <c r="H3" s="26" t="s">
        <v>19</v>
      </c>
      <c r="I3" s="27" t="s">
        <v>20</v>
      </c>
      <c r="J3" s="23"/>
      <c r="K3" s="23"/>
      <c r="L3" s="28"/>
      <c r="M3" s="28"/>
      <c r="N3" s="28"/>
      <c r="O3" s="28"/>
      <c r="P3" s="28"/>
      <c r="Q3" s="23"/>
      <c r="R3" s="28"/>
      <c r="S3" s="29">
        <v>343310.38</v>
      </c>
      <c r="T3" s="23" t="s">
        <v>1369</v>
      </c>
    </row>
    <row r="4" spans="2:20" x14ac:dyDescent="0.3">
      <c r="B4" s="22" t="s">
        <v>1368</v>
      </c>
      <c r="C4" s="13" t="s">
        <v>1370</v>
      </c>
      <c r="D4" s="12" t="s">
        <v>1370</v>
      </c>
      <c r="E4" s="12" t="s">
        <v>1371</v>
      </c>
      <c r="F4" s="13" t="s">
        <v>1230</v>
      </c>
      <c r="G4" s="13" t="s">
        <v>24</v>
      </c>
      <c r="H4" s="30" t="s">
        <v>454</v>
      </c>
      <c r="I4" s="30" t="s">
        <v>454</v>
      </c>
      <c r="J4" s="30" t="s">
        <v>1372</v>
      </c>
      <c r="K4" s="13"/>
      <c r="L4" s="30"/>
      <c r="M4" s="30"/>
      <c r="N4" s="30"/>
      <c r="O4" s="30"/>
      <c r="P4" s="30"/>
      <c r="Q4" s="12"/>
      <c r="R4" s="30"/>
      <c r="S4" s="31">
        <v>759864.995</v>
      </c>
      <c r="T4" s="12" t="s">
        <v>1373</v>
      </c>
    </row>
    <row r="5" spans="2:20" x14ac:dyDescent="0.3">
      <c r="B5" s="22" t="s">
        <v>1368</v>
      </c>
      <c r="C5" s="13" t="s">
        <v>1229</v>
      </c>
      <c r="D5" s="12" t="s">
        <v>1229</v>
      </c>
      <c r="E5" s="12" t="s">
        <v>1371</v>
      </c>
      <c r="F5" s="13" t="s">
        <v>1230</v>
      </c>
      <c r="G5" s="13" t="s">
        <v>24</v>
      </c>
      <c r="H5" s="30" t="s">
        <v>454</v>
      </c>
      <c r="I5" s="30" t="s">
        <v>454</v>
      </c>
      <c r="J5" s="30" t="s">
        <v>1228</v>
      </c>
      <c r="K5" s="13"/>
      <c r="L5" s="30"/>
      <c r="M5" s="30"/>
      <c r="N5" s="30"/>
      <c r="O5" s="30"/>
      <c r="P5" s="30"/>
      <c r="Q5" s="12"/>
      <c r="R5" s="30"/>
      <c r="S5" s="31">
        <v>859692.26500000001</v>
      </c>
      <c r="T5" s="12" t="s">
        <v>1373</v>
      </c>
    </row>
    <row r="6" spans="2:20" x14ac:dyDescent="0.3">
      <c r="B6" s="22" t="s">
        <v>1368</v>
      </c>
      <c r="C6" s="13" t="s">
        <v>1374</v>
      </c>
      <c r="D6" s="12" t="s">
        <v>1374</v>
      </c>
      <c r="E6" s="12" t="s">
        <v>1371</v>
      </c>
      <c r="F6" s="13" t="s">
        <v>1230</v>
      </c>
      <c r="G6" s="13" t="s">
        <v>24</v>
      </c>
      <c r="H6" s="30" t="s">
        <v>454</v>
      </c>
      <c r="I6" s="30" t="s">
        <v>454</v>
      </c>
      <c r="J6" s="30" t="s">
        <v>1375</v>
      </c>
      <c r="K6" s="13"/>
      <c r="L6" s="30"/>
      <c r="M6" s="30"/>
      <c r="N6" s="30"/>
      <c r="O6" s="30"/>
      <c r="P6" s="30"/>
      <c r="Q6" s="12"/>
      <c r="R6" s="30"/>
      <c r="S6" s="31">
        <v>49844</v>
      </c>
      <c r="T6" s="12" t="s">
        <v>1373</v>
      </c>
    </row>
    <row r="7" spans="2:20" x14ac:dyDescent="0.3">
      <c r="B7" s="22" t="s">
        <v>1368</v>
      </c>
      <c r="C7" s="13" t="s">
        <v>1253</v>
      </c>
      <c r="D7" s="12" t="s">
        <v>1253</v>
      </c>
      <c r="E7" s="12" t="s">
        <v>1371</v>
      </c>
      <c r="F7" s="13" t="s">
        <v>1254</v>
      </c>
      <c r="G7" s="13" t="s">
        <v>24</v>
      </c>
      <c r="H7" s="30" t="s">
        <v>454</v>
      </c>
      <c r="I7" s="30" t="s">
        <v>454</v>
      </c>
      <c r="J7" s="30" t="s">
        <v>1252</v>
      </c>
      <c r="K7" s="13"/>
      <c r="L7" s="30"/>
      <c r="M7" s="30"/>
      <c r="N7" s="30"/>
      <c r="O7" s="30"/>
      <c r="P7" s="30"/>
      <c r="Q7" s="12"/>
      <c r="R7" s="30"/>
      <c r="S7" s="31">
        <v>632967.3550000001</v>
      </c>
      <c r="T7" s="12" t="s">
        <v>1373</v>
      </c>
    </row>
    <row r="8" spans="2:20" x14ac:dyDescent="0.3">
      <c r="B8" s="22" t="s">
        <v>1368</v>
      </c>
      <c r="C8" s="13" t="s">
        <v>1376</v>
      </c>
      <c r="D8" s="12" t="s">
        <v>1376</v>
      </c>
      <c r="E8" s="12" t="s">
        <v>1371</v>
      </c>
      <c r="F8" s="13" t="s">
        <v>39</v>
      </c>
      <c r="G8" s="13" t="s">
        <v>18</v>
      </c>
      <c r="H8" s="30" t="s">
        <v>454</v>
      </c>
      <c r="I8" s="30" t="s">
        <v>454</v>
      </c>
      <c r="J8" s="30" t="s">
        <v>1377</v>
      </c>
      <c r="K8" s="13"/>
      <c r="L8" s="30"/>
      <c r="M8" s="30"/>
      <c r="N8" s="30"/>
      <c r="O8" s="30"/>
      <c r="P8" s="30"/>
      <c r="Q8" s="12"/>
      <c r="R8" s="30"/>
      <c r="S8" s="31">
        <v>821138.5</v>
      </c>
      <c r="T8" s="12" t="s">
        <v>1373</v>
      </c>
    </row>
    <row r="9" spans="2:20" x14ac:dyDescent="0.3">
      <c r="B9" s="22" t="s">
        <v>1368</v>
      </c>
      <c r="C9" s="13" t="s">
        <v>1378</v>
      </c>
      <c r="D9" s="12" t="s">
        <v>1378</v>
      </c>
      <c r="E9" s="12" t="s">
        <v>1371</v>
      </c>
      <c r="F9" s="13" t="s">
        <v>1379</v>
      </c>
      <c r="G9" s="13" t="s">
        <v>18</v>
      </c>
      <c r="H9" s="30" t="s">
        <v>454</v>
      </c>
      <c r="I9" s="30" t="s">
        <v>454</v>
      </c>
      <c r="J9" s="30" t="s">
        <v>1380</v>
      </c>
      <c r="K9" s="13"/>
      <c r="L9" s="30"/>
      <c r="M9" s="30"/>
      <c r="N9" s="30"/>
      <c r="O9" s="30"/>
      <c r="P9" s="30"/>
      <c r="Q9" s="12"/>
      <c r="R9" s="30"/>
      <c r="S9" s="31">
        <v>234811.15</v>
      </c>
      <c r="T9" s="12" t="s">
        <v>1373</v>
      </c>
    </row>
    <row r="10" spans="2:20" x14ac:dyDescent="0.3">
      <c r="B10" s="22" t="s">
        <v>1368</v>
      </c>
      <c r="C10" s="13" t="s">
        <v>1381</v>
      </c>
      <c r="D10" s="12" t="s">
        <v>1381</v>
      </c>
      <c r="E10" s="12" t="s">
        <v>1371</v>
      </c>
      <c r="F10" s="13" t="s">
        <v>1382</v>
      </c>
      <c r="G10" s="13" t="s">
        <v>24</v>
      </c>
      <c r="H10" s="30" t="s">
        <v>454</v>
      </c>
      <c r="I10" s="30" t="s">
        <v>454</v>
      </c>
      <c r="J10" s="30" t="s">
        <v>1383</v>
      </c>
      <c r="K10" s="13"/>
      <c r="L10" s="30"/>
      <c r="M10" s="30"/>
      <c r="N10" s="30"/>
      <c r="O10" s="30"/>
      <c r="P10" s="30"/>
      <c r="Q10" s="12"/>
      <c r="R10" s="30"/>
      <c r="S10" s="31">
        <v>631220.76500000001</v>
      </c>
      <c r="T10" s="12" t="s">
        <v>1373</v>
      </c>
    </row>
    <row r="11" spans="2:20" x14ac:dyDescent="0.3">
      <c r="B11" s="22" t="s">
        <v>1368</v>
      </c>
      <c r="C11" s="13" t="s">
        <v>1135</v>
      </c>
      <c r="D11" s="12" t="s">
        <v>1135</v>
      </c>
      <c r="E11" s="12" t="s">
        <v>1371</v>
      </c>
      <c r="F11" s="13" t="s">
        <v>1384</v>
      </c>
      <c r="G11" s="13" t="s">
        <v>18</v>
      </c>
      <c r="H11" s="30" t="s">
        <v>454</v>
      </c>
      <c r="I11" s="30" t="s">
        <v>454</v>
      </c>
      <c r="J11" s="30" t="s">
        <v>1134</v>
      </c>
      <c r="K11" s="13"/>
      <c r="L11" s="30"/>
      <c r="M11" s="30"/>
      <c r="N11" s="30"/>
      <c r="O11" s="30"/>
      <c r="P11" s="30"/>
      <c r="Q11" s="12"/>
      <c r="R11" s="30"/>
      <c r="S11" s="31">
        <v>653864.04</v>
      </c>
      <c r="T11" s="12" t="s">
        <v>1373</v>
      </c>
    </row>
    <row r="12" spans="2:20" x14ac:dyDescent="0.3">
      <c r="B12" s="22" t="s">
        <v>1368</v>
      </c>
      <c r="C12" s="13" t="s">
        <v>1385</v>
      </c>
      <c r="D12" s="12" t="s">
        <v>1385</v>
      </c>
      <c r="E12" s="12" t="s">
        <v>1371</v>
      </c>
      <c r="F12" s="13" t="s">
        <v>1384</v>
      </c>
      <c r="G12" s="13" t="s">
        <v>18</v>
      </c>
      <c r="H12" s="30" t="s">
        <v>454</v>
      </c>
      <c r="I12" s="30" t="s">
        <v>454</v>
      </c>
      <c r="J12" s="30" t="s">
        <v>1386</v>
      </c>
      <c r="K12" s="13"/>
      <c r="L12" s="30"/>
      <c r="M12" s="30"/>
      <c r="N12" s="30"/>
      <c r="O12" s="30"/>
      <c r="P12" s="30"/>
      <c r="Q12" s="12"/>
      <c r="R12" s="30"/>
      <c r="S12" s="31">
        <v>412074.99</v>
      </c>
      <c r="T12" s="12" t="s">
        <v>1373</v>
      </c>
    </row>
    <row r="13" spans="2:20" x14ac:dyDescent="0.3">
      <c r="B13" s="22" t="s">
        <v>1368</v>
      </c>
      <c r="C13" s="13" t="s">
        <v>1387</v>
      </c>
      <c r="D13" s="12" t="s">
        <v>1387</v>
      </c>
      <c r="E13" s="12" t="s">
        <v>1371</v>
      </c>
      <c r="F13" s="13" t="s">
        <v>1388</v>
      </c>
      <c r="G13" s="13" t="s">
        <v>24</v>
      </c>
      <c r="H13" s="30" t="s">
        <v>454</v>
      </c>
      <c r="I13" s="30" t="s">
        <v>454</v>
      </c>
      <c r="J13" s="30" t="s">
        <v>1389</v>
      </c>
      <c r="K13" s="13"/>
      <c r="L13" s="30"/>
      <c r="M13" s="30"/>
      <c r="N13" s="30"/>
      <c r="O13" s="30"/>
      <c r="P13" s="30"/>
      <c r="Q13" s="12"/>
      <c r="R13" s="30"/>
      <c r="S13" s="31">
        <v>522263.96500000003</v>
      </c>
      <c r="T13" s="12" t="s">
        <v>1373</v>
      </c>
    </row>
    <row r="14" spans="2:20" x14ac:dyDescent="0.3">
      <c r="B14" s="22" t="s">
        <v>1368</v>
      </c>
      <c r="C14" s="13" t="s">
        <v>1390</v>
      </c>
      <c r="D14" s="12" t="s">
        <v>1390</v>
      </c>
      <c r="E14" s="12" t="s">
        <v>1371</v>
      </c>
      <c r="F14" s="13" t="s">
        <v>1391</v>
      </c>
      <c r="G14" s="13" t="s">
        <v>24</v>
      </c>
      <c r="H14" s="30" t="s">
        <v>454</v>
      </c>
      <c r="I14" s="30" t="s">
        <v>454</v>
      </c>
      <c r="J14" s="30" t="s">
        <v>1392</v>
      </c>
      <c r="K14" s="13"/>
      <c r="L14" s="30"/>
      <c r="M14" s="30"/>
      <c r="N14" s="30"/>
      <c r="O14" s="30"/>
      <c r="P14" s="30"/>
      <c r="Q14" s="12"/>
      <c r="R14" s="30"/>
      <c r="S14" s="31">
        <v>701108.48</v>
      </c>
      <c r="T14" s="12" t="s">
        <v>1373</v>
      </c>
    </row>
    <row r="15" spans="2:20" x14ac:dyDescent="0.3">
      <c r="B15" s="22" t="s">
        <v>1368</v>
      </c>
      <c r="C15" s="13" t="s">
        <v>1393</v>
      </c>
      <c r="D15" s="12" t="s">
        <v>1393</v>
      </c>
      <c r="E15" s="12" t="s">
        <v>1371</v>
      </c>
      <c r="F15" s="13" t="s">
        <v>1394</v>
      </c>
      <c r="G15" s="13" t="s">
        <v>24</v>
      </c>
      <c r="H15" s="30" t="s">
        <v>454</v>
      </c>
      <c r="I15" s="30" t="s">
        <v>454</v>
      </c>
      <c r="J15" s="30" t="s">
        <v>1395</v>
      </c>
      <c r="K15" s="13"/>
      <c r="L15" s="30"/>
      <c r="M15" s="30"/>
      <c r="N15" s="30"/>
      <c r="O15" s="30"/>
      <c r="P15" s="30"/>
      <c r="Q15" s="12"/>
      <c r="R15" s="30"/>
      <c r="S15" s="31">
        <v>1001426.7749999999</v>
      </c>
      <c r="T15" s="12" t="s">
        <v>1373</v>
      </c>
    </row>
    <row r="16" spans="2:20" x14ac:dyDescent="0.3">
      <c r="B16" s="22" t="s">
        <v>1368</v>
      </c>
      <c r="C16" s="13" t="s">
        <v>1148</v>
      </c>
      <c r="D16" s="12" t="s">
        <v>1148</v>
      </c>
      <c r="E16" s="12" t="s">
        <v>1371</v>
      </c>
      <c r="F16" s="13" t="s">
        <v>1394</v>
      </c>
      <c r="G16" s="13" t="s">
        <v>24</v>
      </c>
      <c r="H16" s="30" t="s">
        <v>454</v>
      </c>
      <c r="I16" s="30" t="s">
        <v>454</v>
      </c>
      <c r="J16" s="30" t="s">
        <v>1147</v>
      </c>
      <c r="K16" s="13"/>
      <c r="L16" s="30"/>
      <c r="M16" s="30"/>
      <c r="N16" s="30"/>
      <c r="O16" s="30"/>
      <c r="P16" s="30"/>
      <c r="Q16" s="12"/>
      <c r="R16" s="30"/>
      <c r="S16" s="31">
        <v>578017.44999999995</v>
      </c>
      <c r="T16" s="12" t="s">
        <v>1373</v>
      </c>
    </row>
    <row r="17" spans="2:20" x14ac:dyDescent="0.3">
      <c r="B17" s="22" t="s">
        <v>1368</v>
      </c>
      <c r="C17" s="13" t="s">
        <v>1396</v>
      </c>
      <c r="D17" s="12" t="s">
        <v>1396</v>
      </c>
      <c r="E17" s="12" t="s">
        <v>1371</v>
      </c>
      <c r="F17" s="13" t="s">
        <v>1394</v>
      </c>
      <c r="G17" s="13" t="s">
        <v>24</v>
      </c>
      <c r="H17" s="30" t="s">
        <v>454</v>
      </c>
      <c r="I17" s="30" t="s">
        <v>454</v>
      </c>
      <c r="J17" s="30" t="s">
        <v>1397</v>
      </c>
      <c r="K17" s="13"/>
      <c r="L17" s="30"/>
      <c r="M17" s="30"/>
      <c r="N17" s="30"/>
      <c r="O17" s="30"/>
      <c r="P17" s="30"/>
      <c r="Q17" s="12"/>
      <c r="R17" s="30"/>
      <c r="S17" s="31">
        <v>562401.27499999991</v>
      </c>
      <c r="T17" s="12" t="s">
        <v>1373</v>
      </c>
    </row>
    <row r="18" spans="2:20" x14ac:dyDescent="0.3">
      <c r="B18" s="22" t="s">
        <v>1368</v>
      </c>
      <c r="C18" s="13" t="s">
        <v>1398</v>
      </c>
      <c r="D18" s="12" t="s">
        <v>1398</v>
      </c>
      <c r="E18" s="12" t="s">
        <v>1371</v>
      </c>
      <c r="F18" s="13" t="s">
        <v>85</v>
      </c>
      <c r="G18" s="13" t="s">
        <v>18</v>
      </c>
      <c r="H18" s="30" t="s">
        <v>454</v>
      </c>
      <c r="I18" s="30" t="s">
        <v>454</v>
      </c>
      <c r="J18" s="30" t="s">
        <v>1399</v>
      </c>
      <c r="K18" s="13"/>
      <c r="L18" s="30"/>
      <c r="M18" s="30"/>
      <c r="N18" s="30"/>
      <c r="O18" s="30"/>
      <c r="P18" s="30"/>
      <c r="Q18" s="12"/>
      <c r="R18" s="30"/>
      <c r="S18" s="31">
        <v>95138.14</v>
      </c>
      <c r="T18" s="12" t="s">
        <v>1373</v>
      </c>
    </row>
    <row r="19" spans="2:20" x14ac:dyDescent="0.3">
      <c r="B19" s="22" t="s">
        <v>1368</v>
      </c>
      <c r="C19" s="13" t="s">
        <v>1400</v>
      </c>
      <c r="D19" s="12" t="s">
        <v>1400</v>
      </c>
      <c r="E19" s="12" t="s">
        <v>1371</v>
      </c>
      <c r="F19" s="13" t="s">
        <v>514</v>
      </c>
      <c r="G19" s="13" t="s">
        <v>18</v>
      </c>
      <c r="H19" s="30" t="s">
        <v>454</v>
      </c>
      <c r="I19" s="30" t="s">
        <v>454</v>
      </c>
      <c r="J19" s="30" t="s">
        <v>1401</v>
      </c>
      <c r="K19" s="13"/>
      <c r="L19" s="30"/>
      <c r="M19" s="30"/>
      <c r="N19" s="30"/>
      <c r="O19" s="30"/>
      <c r="P19" s="30"/>
      <c r="Q19" s="12"/>
      <c r="R19" s="30"/>
      <c r="S19" s="31">
        <v>357999.75</v>
      </c>
      <c r="T19" s="12" t="s">
        <v>1373</v>
      </c>
    </row>
    <row r="20" spans="2:20" x14ac:dyDescent="0.3">
      <c r="B20" s="22" t="s">
        <v>1368</v>
      </c>
      <c r="C20" s="13" t="s">
        <v>1402</v>
      </c>
      <c r="D20" s="12" t="s">
        <v>1402</v>
      </c>
      <c r="E20" s="12" t="s">
        <v>1371</v>
      </c>
      <c r="F20" s="13" t="s">
        <v>1403</v>
      </c>
      <c r="G20" s="13" t="s">
        <v>24</v>
      </c>
      <c r="H20" s="30" t="s">
        <v>454</v>
      </c>
      <c r="I20" s="30" t="s">
        <v>454</v>
      </c>
      <c r="J20" s="30" t="s">
        <v>1404</v>
      </c>
      <c r="K20" s="13"/>
      <c r="L20" s="30"/>
      <c r="M20" s="30"/>
      <c r="N20" s="30"/>
      <c r="O20" s="30"/>
      <c r="P20" s="30"/>
      <c r="Q20" s="12"/>
      <c r="R20" s="30"/>
      <c r="S20" s="31">
        <v>227577.2</v>
      </c>
      <c r="T20" s="12" t="s">
        <v>1373</v>
      </c>
    </row>
    <row r="21" spans="2:20" x14ac:dyDescent="0.3">
      <c r="B21" s="22" t="s">
        <v>1368</v>
      </c>
      <c r="C21" s="13" t="s">
        <v>1405</v>
      </c>
      <c r="D21" s="12" t="s">
        <v>1405</v>
      </c>
      <c r="E21" s="12" t="s">
        <v>1371</v>
      </c>
      <c r="F21" s="13" t="s">
        <v>1403</v>
      </c>
      <c r="G21" s="13" t="s">
        <v>24</v>
      </c>
      <c r="H21" s="30" t="s">
        <v>454</v>
      </c>
      <c r="I21" s="30" t="s">
        <v>454</v>
      </c>
      <c r="J21" s="30" t="s">
        <v>1406</v>
      </c>
      <c r="K21" s="13"/>
      <c r="L21" s="30"/>
      <c r="M21" s="30"/>
      <c r="N21" s="30"/>
      <c r="O21" s="30"/>
      <c r="P21" s="30"/>
      <c r="Q21" s="12"/>
      <c r="R21" s="30"/>
      <c r="S21" s="31">
        <v>287778.7</v>
      </c>
      <c r="T21" s="12" t="s">
        <v>1373</v>
      </c>
    </row>
    <row r="22" spans="2:20" x14ac:dyDescent="0.3">
      <c r="B22" s="22" t="s">
        <v>1368</v>
      </c>
      <c r="C22" s="13" t="s">
        <v>1407</v>
      </c>
      <c r="D22" s="12" t="s">
        <v>1407</v>
      </c>
      <c r="E22" s="12" t="s">
        <v>1371</v>
      </c>
      <c r="F22" s="13" t="s">
        <v>1408</v>
      </c>
      <c r="G22" s="13" t="s">
        <v>18</v>
      </c>
      <c r="H22" s="30" t="s">
        <v>454</v>
      </c>
      <c r="I22" s="30" t="s">
        <v>454</v>
      </c>
      <c r="J22" s="30" t="s">
        <v>1409</v>
      </c>
      <c r="K22" s="13"/>
      <c r="L22" s="30"/>
      <c r="M22" s="30"/>
      <c r="N22" s="30"/>
      <c r="O22" s="30"/>
      <c r="P22" s="30"/>
      <c r="Q22" s="12"/>
      <c r="R22" s="30"/>
      <c r="S22" s="31">
        <v>125311.22</v>
      </c>
      <c r="T22" s="12" t="s">
        <v>1373</v>
      </c>
    </row>
    <row r="23" spans="2:20" x14ac:dyDescent="0.3">
      <c r="B23" s="22" t="s">
        <v>1368</v>
      </c>
      <c r="C23" s="13" t="s">
        <v>726</v>
      </c>
      <c r="D23" s="12" t="s">
        <v>726</v>
      </c>
      <c r="E23" s="12" t="s">
        <v>1371</v>
      </c>
      <c r="F23" s="13" t="s">
        <v>727</v>
      </c>
      <c r="G23" s="13" t="s">
        <v>18</v>
      </c>
      <c r="H23" s="30" t="s">
        <v>454</v>
      </c>
      <c r="I23" s="30" t="s">
        <v>454</v>
      </c>
      <c r="J23" s="30" t="s">
        <v>725</v>
      </c>
      <c r="K23" s="13"/>
      <c r="L23" s="30"/>
      <c r="M23" s="30"/>
      <c r="N23" s="30"/>
      <c r="O23" s="30"/>
      <c r="P23" s="30"/>
      <c r="Q23" s="12"/>
      <c r="R23" s="30"/>
      <c r="S23" s="31">
        <v>0</v>
      </c>
      <c r="T23" s="12" t="s">
        <v>1373</v>
      </c>
    </row>
    <row r="24" spans="2:20" x14ac:dyDescent="0.3">
      <c r="B24" s="22" t="s">
        <v>1368</v>
      </c>
      <c r="C24" s="13" t="s">
        <v>715</v>
      </c>
      <c r="D24" s="12" t="s">
        <v>715</v>
      </c>
      <c r="E24" s="12" t="s">
        <v>1371</v>
      </c>
      <c r="F24" s="13" t="s">
        <v>716</v>
      </c>
      <c r="G24" s="13" t="s">
        <v>24</v>
      </c>
      <c r="H24" s="30" t="s">
        <v>454</v>
      </c>
      <c r="I24" s="30" t="s">
        <v>454</v>
      </c>
      <c r="J24" s="30" t="s">
        <v>714</v>
      </c>
      <c r="K24" s="13"/>
      <c r="L24" s="30"/>
      <c r="M24" s="30"/>
      <c r="N24" s="30"/>
      <c r="O24" s="30"/>
      <c r="P24" s="30"/>
      <c r="Q24" s="12"/>
      <c r="R24" s="30"/>
      <c r="S24" s="31">
        <v>0</v>
      </c>
      <c r="T24" s="12" t="s">
        <v>1373</v>
      </c>
    </row>
    <row r="25" spans="2:20" x14ac:dyDescent="0.3">
      <c r="B25" s="22" t="s">
        <v>1368</v>
      </c>
      <c r="C25" s="13" t="s">
        <v>1410</v>
      </c>
      <c r="D25" s="12" t="s">
        <v>1410</v>
      </c>
      <c r="E25" s="12" t="s">
        <v>1371</v>
      </c>
      <c r="F25" s="13" t="s">
        <v>1411</v>
      </c>
      <c r="G25" s="13" t="s">
        <v>18</v>
      </c>
      <c r="H25" s="30" t="s">
        <v>454</v>
      </c>
      <c r="I25" s="30" t="s">
        <v>454</v>
      </c>
      <c r="J25" s="30" t="s">
        <v>1412</v>
      </c>
      <c r="K25" s="13"/>
      <c r="L25" s="30"/>
      <c r="M25" s="30"/>
      <c r="N25" s="30"/>
      <c r="O25" s="30"/>
      <c r="P25" s="30"/>
      <c r="Q25" s="12"/>
      <c r="R25" s="30"/>
      <c r="S25" s="31">
        <v>26000</v>
      </c>
      <c r="T25" s="12" t="s">
        <v>1373</v>
      </c>
    </row>
    <row r="26" spans="2:20" x14ac:dyDescent="0.3">
      <c r="B26" s="22" t="s">
        <v>1368</v>
      </c>
      <c r="C26" s="13" t="s">
        <v>698</v>
      </c>
      <c r="D26" s="12" t="s">
        <v>698</v>
      </c>
      <c r="E26" s="12" t="s">
        <v>1371</v>
      </c>
      <c r="F26" s="13" t="s">
        <v>694</v>
      </c>
      <c r="G26" s="13" t="s">
        <v>18</v>
      </c>
      <c r="H26" s="30" t="s">
        <v>454</v>
      </c>
      <c r="I26" s="30" t="s">
        <v>454</v>
      </c>
      <c r="J26" s="30" t="s">
        <v>697</v>
      </c>
      <c r="K26" s="13"/>
      <c r="L26" s="30"/>
      <c r="M26" s="30"/>
      <c r="N26" s="30"/>
      <c r="O26" s="30"/>
      <c r="P26" s="30"/>
      <c r="Q26" s="12"/>
      <c r="R26" s="30"/>
      <c r="S26" s="31">
        <v>0</v>
      </c>
      <c r="T26" s="12" t="s">
        <v>1373</v>
      </c>
    </row>
    <row r="27" spans="2:20" x14ac:dyDescent="0.3">
      <c r="B27" s="22" t="s">
        <v>1368</v>
      </c>
      <c r="C27" s="13" t="s">
        <v>1413</v>
      </c>
      <c r="D27" s="12" t="s">
        <v>1413</v>
      </c>
      <c r="E27" s="12" t="s">
        <v>1371</v>
      </c>
      <c r="F27" s="13" t="s">
        <v>1414</v>
      </c>
      <c r="G27" s="13" t="s">
        <v>18</v>
      </c>
      <c r="H27" s="30" t="s">
        <v>454</v>
      </c>
      <c r="I27" s="30" t="s">
        <v>454</v>
      </c>
      <c r="J27" s="30" t="s">
        <v>1415</v>
      </c>
      <c r="K27" s="13"/>
      <c r="L27" s="30"/>
      <c r="M27" s="30"/>
      <c r="N27" s="30"/>
      <c r="O27" s="30"/>
      <c r="P27" s="30"/>
      <c r="Q27" s="12"/>
      <c r="R27" s="30"/>
      <c r="S27" s="31">
        <v>134001.07999999999</v>
      </c>
      <c r="T27" s="12" t="s">
        <v>1373</v>
      </c>
    </row>
    <row r="28" spans="2:20" x14ac:dyDescent="0.3">
      <c r="B28" s="22" t="s">
        <v>1368</v>
      </c>
      <c r="C28" s="13" t="s">
        <v>1416</v>
      </c>
      <c r="D28" s="12" t="s">
        <v>1416</v>
      </c>
      <c r="E28" s="12" t="s">
        <v>1371</v>
      </c>
      <c r="F28" s="13" t="s">
        <v>493</v>
      </c>
      <c r="G28" s="13" t="s">
        <v>18</v>
      </c>
      <c r="H28" s="30" t="s">
        <v>454</v>
      </c>
      <c r="I28" s="30" t="s">
        <v>454</v>
      </c>
      <c r="J28" s="30" t="s">
        <v>1417</v>
      </c>
      <c r="K28" s="13"/>
      <c r="L28" s="30"/>
      <c r="M28" s="30"/>
      <c r="N28" s="30"/>
      <c r="O28" s="30"/>
      <c r="P28" s="30"/>
      <c r="Q28" s="12"/>
      <c r="R28" s="30"/>
      <c r="S28" s="31">
        <v>0</v>
      </c>
      <c r="T28" s="12" t="s">
        <v>1373</v>
      </c>
    </row>
    <row r="29" spans="2:20" x14ac:dyDescent="0.3">
      <c r="B29" s="22" t="s">
        <v>1368</v>
      </c>
      <c r="C29" s="13" t="s">
        <v>718</v>
      </c>
      <c r="D29" s="12" t="s">
        <v>718</v>
      </c>
      <c r="E29" s="12" t="s">
        <v>1371</v>
      </c>
      <c r="F29" s="13" t="s">
        <v>719</v>
      </c>
      <c r="G29" s="13" t="s">
        <v>18</v>
      </c>
      <c r="H29" s="30" t="s">
        <v>454</v>
      </c>
      <c r="I29" s="30" t="s">
        <v>454</v>
      </c>
      <c r="J29" s="30" t="s">
        <v>717</v>
      </c>
      <c r="K29" s="13"/>
      <c r="L29" s="30"/>
      <c r="M29" s="30"/>
      <c r="N29" s="30"/>
      <c r="O29" s="30"/>
      <c r="P29" s="30"/>
      <c r="Q29" s="12"/>
      <c r="R29" s="30"/>
      <c r="S29" s="31">
        <v>0</v>
      </c>
      <c r="T29" s="12" t="s">
        <v>1373</v>
      </c>
    </row>
    <row r="30" spans="2:20" x14ac:dyDescent="0.3">
      <c r="B30" s="22" t="s">
        <v>1368</v>
      </c>
      <c r="C30" s="32" t="s">
        <v>1370</v>
      </c>
      <c r="D30" s="32" t="s">
        <v>1370</v>
      </c>
      <c r="E30" s="33" t="s">
        <v>1418</v>
      </c>
      <c r="F30" s="34" t="s">
        <v>1230</v>
      </c>
      <c r="G30" s="34" t="s">
        <v>24</v>
      </c>
      <c r="H30" s="35" t="s">
        <v>454</v>
      </c>
      <c r="I30" s="36" t="s">
        <v>454</v>
      </c>
      <c r="J30" s="35" t="s">
        <v>1372</v>
      </c>
      <c r="K30" s="34"/>
      <c r="L30" s="35"/>
      <c r="M30" s="35"/>
      <c r="N30" s="35"/>
      <c r="O30" s="35"/>
      <c r="P30" s="35"/>
      <c r="Q30" s="33"/>
      <c r="R30" s="35"/>
      <c r="S30" s="37">
        <v>113979.74924999999</v>
      </c>
      <c r="T30" s="33" t="s">
        <v>1373</v>
      </c>
    </row>
    <row r="31" spans="2:20" x14ac:dyDescent="0.3">
      <c r="B31" s="22" t="s">
        <v>1368</v>
      </c>
      <c r="C31" s="32" t="s">
        <v>1229</v>
      </c>
      <c r="D31" s="32" t="s">
        <v>1229</v>
      </c>
      <c r="E31" s="33" t="s">
        <v>1418</v>
      </c>
      <c r="F31" s="34" t="s">
        <v>1230</v>
      </c>
      <c r="G31" s="34" t="s">
        <v>24</v>
      </c>
      <c r="H31" s="35" t="s">
        <v>454</v>
      </c>
      <c r="I31" s="36" t="s">
        <v>454</v>
      </c>
      <c r="J31" s="35" t="s">
        <v>1228</v>
      </c>
      <c r="K31" s="34"/>
      <c r="L31" s="35"/>
      <c r="M31" s="35"/>
      <c r="N31" s="35"/>
      <c r="O31" s="35"/>
      <c r="P31" s="35"/>
      <c r="Q31" s="33"/>
      <c r="R31" s="35"/>
      <c r="S31" s="37">
        <v>128953.83975000006</v>
      </c>
      <c r="T31" s="33" t="s">
        <v>1373</v>
      </c>
    </row>
    <row r="32" spans="2:20" x14ac:dyDescent="0.3">
      <c r="B32" s="22" t="s">
        <v>1368</v>
      </c>
      <c r="C32" s="32" t="s">
        <v>1374</v>
      </c>
      <c r="D32" s="32" t="s">
        <v>1374</v>
      </c>
      <c r="E32" s="33" t="s">
        <v>1418</v>
      </c>
      <c r="F32" s="34" t="s">
        <v>1230</v>
      </c>
      <c r="G32" s="34" t="s">
        <v>24</v>
      </c>
      <c r="H32" s="35" t="s">
        <v>454</v>
      </c>
      <c r="I32" s="36" t="s">
        <v>454</v>
      </c>
      <c r="J32" s="35" t="s">
        <v>1375</v>
      </c>
      <c r="K32" s="34"/>
      <c r="L32" s="35"/>
      <c r="M32" s="35"/>
      <c r="N32" s="35"/>
      <c r="O32" s="35"/>
      <c r="P32" s="35"/>
      <c r="Q32" s="33"/>
      <c r="R32" s="35"/>
      <c r="S32" s="37">
        <v>7476.5999999999985</v>
      </c>
      <c r="T32" s="33" t="s">
        <v>1373</v>
      </c>
    </row>
    <row r="33" spans="2:20" x14ac:dyDescent="0.3">
      <c r="B33" s="22" t="s">
        <v>1368</v>
      </c>
      <c r="C33" s="32" t="s">
        <v>1253</v>
      </c>
      <c r="D33" s="32" t="s">
        <v>1253</v>
      </c>
      <c r="E33" s="33" t="s">
        <v>1418</v>
      </c>
      <c r="F33" s="34" t="s">
        <v>1254</v>
      </c>
      <c r="G33" s="34" t="s">
        <v>24</v>
      </c>
      <c r="H33" s="35" t="s">
        <v>454</v>
      </c>
      <c r="I33" s="36" t="s">
        <v>454</v>
      </c>
      <c r="J33" s="35" t="s">
        <v>1252</v>
      </c>
      <c r="K33" s="34"/>
      <c r="L33" s="35"/>
      <c r="M33" s="35"/>
      <c r="N33" s="35"/>
      <c r="O33" s="35"/>
      <c r="P33" s="35"/>
      <c r="Q33" s="33"/>
      <c r="R33" s="35"/>
      <c r="S33" s="37">
        <v>94945.103250000029</v>
      </c>
      <c r="T33" s="33" t="s">
        <v>1373</v>
      </c>
    </row>
    <row r="34" spans="2:20" x14ac:dyDescent="0.3">
      <c r="B34" s="22" t="s">
        <v>1368</v>
      </c>
      <c r="C34" s="32" t="s">
        <v>1376</v>
      </c>
      <c r="D34" s="32" t="s">
        <v>1376</v>
      </c>
      <c r="E34" s="33" t="s">
        <v>1418</v>
      </c>
      <c r="F34" s="34" t="s">
        <v>39</v>
      </c>
      <c r="G34" s="34" t="s">
        <v>18</v>
      </c>
      <c r="H34" s="35" t="s">
        <v>454</v>
      </c>
      <c r="I34" s="36" t="s">
        <v>454</v>
      </c>
      <c r="J34" s="35" t="s">
        <v>1377</v>
      </c>
      <c r="K34" s="34"/>
      <c r="L34" s="35"/>
      <c r="M34" s="35"/>
      <c r="N34" s="35"/>
      <c r="O34" s="35"/>
      <c r="P34" s="35"/>
      <c r="Q34" s="33"/>
      <c r="R34" s="35"/>
      <c r="S34" s="37">
        <v>123170.77500000002</v>
      </c>
      <c r="T34" s="33" t="s">
        <v>1373</v>
      </c>
    </row>
    <row r="35" spans="2:20" x14ac:dyDescent="0.3">
      <c r="B35" s="22" t="s">
        <v>1368</v>
      </c>
      <c r="C35" s="32" t="s">
        <v>1378</v>
      </c>
      <c r="D35" s="32" t="s">
        <v>1378</v>
      </c>
      <c r="E35" s="33" t="s">
        <v>1418</v>
      </c>
      <c r="F35" s="34" t="s">
        <v>1379</v>
      </c>
      <c r="G35" s="34" t="s">
        <v>18</v>
      </c>
      <c r="H35" s="35" t="s">
        <v>454</v>
      </c>
      <c r="I35" s="36" t="s">
        <v>454</v>
      </c>
      <c r="J35" s="35" t="s">
        <v>1380</v>
      </c>
      <c r="K35" s="34"/>
      <c r="L35" s="35"/>
      <c r="M35" s="35"/>
      <c r="N35" s="35"/>
      <c r="O35" s="35"/>
      <c r="P35" s="35"/>
      <c r="Q35" s="33"/>
      <c r="R35" s="35"/>
      <c r="S35" s="37">
        <v>35221.672499999986</v>
      </c>
      <c r="T35" s="33" t="s">
        <v>1373</v>
      </c>
    </row>
    <row r="36" spans="2:20" x14ac:dyDescent="0.3">
      <c r="B36" s="22" t="s">
        <v>1368</v>
      </c>
      <c r="C36" s="32" t="s">
        <v>1381</v>
      </c>
      <c r="D36" s="32" t="s">
        <v>1381</v>
      </c>
      <c r="E36" s="33" t="s">
        <v>1418</v>
      </c>
      <c r="F36" s="34" t="s">
        <v>1382</v>
      </c>
      <c r="G36" s="34" t="s">
        <v>24</v>
      </c>
      <c r="H36" s="35" t="s">
        <v>454</v>
      </c>
      <c r="I36" s="36" t="s">
        <v>454</v>
      </c>
      <c r="J36" s="35" t="s">
        <v>1383</v>
      </c>
      <c r="K36" s="34"/>
      <c r="L36" s="35"/>
      <c r="M36" s="35"/>
      <c r="N36" s="35"/>
      <c r="O36" s="35"/>
      <c r="P36" s="35"/>
      <c r="Q36" s="33"/>
      <c r="R36" s="35"/>
      <c r="S36" s="37">
        <v>94683.114750000008</v>
      </c>
      <c r="T36" s="33" t="s">
        <v>1373</v>
      </c>
    </row>
    <row r="37" spans="2:20" x14ac:dyDescent="0.3">
      <c r="B37" s="22" t="s">
        <v>1368</v>
      </c>
      <c r="C37" s="32" t="s">
        <v>1135</v>
      </c>
      <c r="D37" s="32" t="s">
        <v>1135</v>
      </c>
      <c r="E37" s="33" t="s">
        <v>1418</v>
      </c>
      <c r="F37" s="34" t="s">
        <v>1384</v>
      </c>
      <c r="G37" s="34" t="s">
        <v>18</v>
      </c>
      <c r="H37" s="35" t="s">
        <v>454</v>
      </c>
      <c r="I37" s="36" t="s">
        <v>454</v>
      </c>
      <c r="J37" s="35" t="s">
        <v>1134</v>
      </c>
      <c r="K37" s="34"/>
      <c r="L37" s="35"/>
      <c r="M37" s="35"/>
      <c r="N37" s="35"/>
      <c r="O37" s="35"/>
      <c r="P37" s="35"/>
      <c r="Q37" s="33"/>
      <c r="R37" s="35"/>
      <c r="S37" s="37">
        <v>98079.605999999956</v>
      </c>
      <c r="T37" s="33" t="s">
        <v>1373</v>
      </c>
    </row>
    <row r="38" spans="2:20" x14ac:dyDescent="0.3">
      <c r="B38" s="22" t="s">
        <v>1368</v>
      </c>
      <c r="C38" s="32" t="s">
        <v>1385</v>
      </c>
      <c r="D38" s="32" t="s">
        <v>1385</v>
      </c>
      <c r="E38" s="33" t="s">
        <v>1418</v>
      </c>
      <c r="F38" s="34" t="s">
        <v>1384</v>
      </c>
      <c r="G38" s="34" t="s">
        <v>18</v>
      </c>
      <c r="H38" s="35" t="s">
        <v>454</v>
      </c>
      <c r="I38" s="36" t="s">
        <v>454</v>
      </c>
      <c r="J38" s="35" t="s">
        <v>1386</v>
      </c>
      <c r="K38" s="34"/>
      <c r="L38" s="35"/>
      <c r="M38" s="35"/>
      <c r="N38" s="35"/>
      <c r="O38" s="35"/>
      <c r="P38" s="35"/>
      <c r="Q38" s="33"/>
      <c r="R38" s="35"/>
      <c r="S38" s="37">
        <v>61811.248500000016</v>
      </c>
      <c r="T38" s="33" t="s">
        <v>1373</v>
      </c>
    </row>
    <row r="39" spans="2:20" x14ac:dyDescent="0.3">
      <c r="B39" s="22" t="s">
        <v>1368</v>
      </c>
      <c r="C39" s="32" t="s">
        <v>1387</v>
      </c>
      <c r="D39" s="32" t="s">
        <v>1387</v>
      </c>
      <c r="E39" s="33" t="s">
        <v>1418</v>
      </c>
      <c r="F39" s="34" t="s">
        <v>1388</v>
      </c>
      <c r="G39" s="34" t="s">
        <v>24</v>
      </c>
      <c r="H39" s="35" t="s">
        <v>454</v>
      </c>
      <c r="I39" s="36" t="s">
        <v>454</v>
      </c>
      <c r="J39" s="35" t="s">
        <v>1389</v>
      </c>
      <c r="K39" s="34"/>
      <c r="L39" s="35"/>
      <c r="M39" s="35"/>
      <c r="N39" s="35"/>
      <c r="O39" s="35"/>
      <c r="P39" s="35"/>
      <c r="Q39" s="33"/>
      <c r="R39" s="35"/>
      <c r="S39" s="37">
        <v>78339.594750000018</v>
      </c>
      <c r="T39" s="33" t="s">
        <v>1373</v>
      </c>
    </row>
    <row r="40" spans="2:20" x14ac:dyDescent="0.3">
      <c r="B40" s="22" t="s">
        <v>1368</v>
      </c>
      <c r="C40" s="32" t="s">
        <v>1390</v>
      </c>
      <c r="D40" s="32" t="s">
        <v>1390</v>
      </c>
      <c r="E40" s="33" t="s">
        <v>1418</v>
      </c>
      <c r="F40" s="34" t="s">
        <v>1391</v>
      </c>
      <c r="G40" s="34" t="s">
        <v>24</v>
      </c>
      <c r="H40" s="35" t="s">
        <v>454</v>
      </c>
      <c r="I40" s="36" t="s">
        <v>454</v>
      </c>
      <c r="J40" s="35" t="s">
        <v>1392</v>
      </c>
      <c r="K40" s="34"/>
      <c r="L40" s="35"/>
      <c r="M40" s="35"/>
      <c r="N40" s="35"/>
      <c r="O40" s="35"/>
      <c r="P40" s="35"/>
      <c r="Q40" s="33"/>
      <c r="R40" s="35"/>
      <c r="S40" s="37">
        <v>105166.27199999998</v>
      </c>
      <c r="T40" s="33" t="s">
        <v>1373</v>
      </c>
    </row>
    <row r="41" spans="2:20" x14ac:dyDescent="0.3">
      <c r="B41" s="22" t="s">
        <v>1368</v>
      </c>
      <c r="C41" s="32" t="s">
        <v>1393</v>
      </c>
      <c r="D41" s="32" t="s">
        <v>1393</v>
      </c>
      <c r="E41" s="33" t="s">
        <v>1418</v>
      </c>
      <c r="F41" s="34" t="s">
        <v>1394</v>
      </c>
      <c r="G41" s="34" t="s">
        <v>24</v>
      </c>
      <c r="H41" s="35" t="s">
        <v>454</v>
      </c>
      <c r="I41" s="36" t="s">
        <v>454</v>
      </c>
      <c r="J41" s="35" t="s">
        <v>1395</v>
      </c>
      <c r="K41" s="34"/>
      <c r="L41" s="35"/>
      <c r="M41" s="35"/>
      <c r="N41" s="35"/>
      <c r="O41" s="35"/>
      <c r="P41" s="35"/>
      <c r="Q41" s="33"/>
      <c r="R41" s="35"/>
      <c r="S41" s="37">
        <v>150214.01625000002</v>
      </c>
      <c r="T41" s="33" t="s">
        <v>1373</v>
      </c>
    </row>
    <row r="42" spans="2:20" x14ac:dyDescent="0.3">
      <c r="B42" s="22" t="s">
        <v>1368</v>
      </c>
      <c r="C42" s="32" t="s">
        <v>1148</v>
      </c>
      <c r="D42" s="32" t="s">
        <v>1148</v>
      </c>
      <c r="E42" s="33" t="s">
        <v>1418</v>
      </c>
      <c r="F42" s="34" t="s">
        <v>1394</v>
      </c>
      <c r="G42" s="34" t="s">
        <v>24</v>
      </c>
      <c r="H42" s="35" t="s">
        <v>454</v>
      </c>
      <c r="I42" s="36" t="s">
        <v>454</v>
      </c>
      <c r="J42" s="35" t="s">
        <v>1147</v>
      </c>
      <c r="K42" s="34"/>
      <c r="L42" s="35"/>
      <c r="M42" s="35"/>
      <c r="N42" s="35"/>
      <c r="O42" s="35"/>
      <c r="P42" s="35"/>
      <c r="Q42" s="33"/>
      <c r="R42" s="35"/>
      <c r="S42" s="37">
        <v>86702.617500000022</v>
      </c>
      <c r="T42" s="33" t="s">
        <v>1373</v>
      </c>
    </row>
    <row r="43" spans="2:20" x14ac:dyDescent="0.3">
      <c r="B43" s="22" t="s">
        <v>1368</v>
      </c>
      <c r="C43" s="32" t="s">
        <v>1396</v>
      </c>
      <c r="D43" s="32" t="s">
        <v>1396</v>
      </c>
      <c r="E43" s="33" t="s">
        <v>1418</v>
      </c>
      <c r="F43" s="34" t="s">
        <v>1394</v>
      </c>
      <c r="G43" s="34" t="s">
        <v>24</v>
      </c>
      <c r="H43" s="35" t="s">
        <v>454</v>
      </c>
      <c r="I43" s="36" t="s">
        <v>454</v>
      </c>
      <c r="J43" s="35" t="s">
        <v>1397</v>
      </c>
      <c r="K43" s="34"/>
      <c r="L43" s="35"/>
      <c r="M43" s="35"/>
      <c r="N43" s="35"/>
      <c r="O43" s="35"/>
      <c r="P43" s="35"/>
      <c r="Q43" s="33"/>
      <c r="R43" s="35"/>
      <c r="S43" s="37">
        <v>84360.191250000003</v>
      </c>
      <c r="T43" s="33" t="s">
        <v>1373</v>
      </c>
    </row>
    <row r="44" spans="2:20" x14ac:dyDescent="0.3">
      <c r="B44" s="22" t="s">
        <v>1368</v>
      </c>
      <c r="C44" s="32" t="s">
        <v>1398</v>
      </c>
      <c r="D44" s="32" t="s">
        <v>1398</v>
      </c>
      <c r="E44" s="33" t="s">
        <v>1418</v>
      </c>
      <c r="F44" s="34" t="s">
        <v>85</v>
      </c>
      <c r="G44" s="34" t="s">
        <v>18</v>
      </c>
      <c r="H44" s="35" t="s">
        <v>454</v>
      </c>
      <c r="I44" s="36" t="s">
        <v>454</v>
      </c>
      <c r="J44" s="35" t="s">
        <v>1399</v>
      </c>
      <c r="K44" s="34"/>
      <c r="L44" s="35"/>
      <c r="M44" s="35"/>
      <c r="N44" s="35"/>
      <c r="O44" s="35"/>
      <c r="P44" s="35"/>
      <c r="Q44" s="33"/>
      <c r="R44" s="35"/>
      <c r="S44" s="37">
        <v>14270.721000000005</v>
      </c>
      <c r="T44" s="33" t="s">
        <v>1373</v>
      </c>
    </row>
    <row r="45" spans="2:20" x14ac:dyDescent="0.3">
      <c r="B45" s="22" t="s">
        <v>1368</v>
      </c>
      <c r="C45" s="32" t="s">
        <v>1400</v>
      </c>
      <c r="D45" s="32" t="s">
        <v>1400</v>
      </c>
      <c r="E45" s="33" t="s">
        <v>1418</v>
      </c>
      <c r="F45" s="34" t="s">
        <v>514</v>
      </c>
      <c r="G45" s="34" t="s">
        <v>18</v>
      </c>
      <c r="H45" s="35" t="s">
        <v>454</v>
      </c>
      <c r="I45" s="36" t="s">
        <v>454</v>
      </c>
      <c r="J45" s="35" t="s">
        <v>1401</v>
      </c>
      <c r="K45" s="34"/>
      <c r="L45" s="35"/>
      <c r="M45" s="35"/>
      <c r="N45" s="35"/>
      <c r="O45" s="35"/>
      <c r="P45" s="35"/>
      <c r="Q45" s="33"/>
      <c r="R45" s="35"/>
      <c r="S45" s="37">
        <v>53699.962499999994</v>
      </c>
      <c r="T45" s="33" t="s">
        <v>1373</v>
      </c>
    </row>
    <row r="46" spans="2:20" x14ac:dyDescent="0.3">
      <c r="B46" s="22" t="s">
        <v>1368</v>
      </c>
      <c r="C46" s="32" t="s">
        <v>1402</v>
      </c>
      <c r="D46" s="32" t="s">
        <v>1402</v>
      </c>
      <c r="E46" s="33" t="s">
        <v>1418</v>
      </c>
      <c r="F46" s="34" t="s">
        <v>1403</v>
      </c>
      <c r="G46" s="34" t="s">
        <v>24</v>
      </c>
      <c r="H46" s="35" t="s">
        <v>454</v>
      </c>
      <c r="I46" s="36" t="s">
        <v>454</v>
      </c>
      <c r="J46" s="35" t="s">
        <v>1404</v>
      </c>
      <c r="K46" s="34"/>
      <c r="L46" s="35"/>
      <c r="M46" s="35"/>
      <c r="N46" s="35"/>
      <c r="O46" s="35"/>
      <c r="P46" s="35"/>
      <c r="Q46" s="33"/>
      <c r="R46" s="35"/>
      <c r="S46" s="37">
        <v>34136.580000000016</v>
      </c>
      <c r="T46" s="33" t="s">
        <v>1373</v>
      </c>
    </row>
    <row r="47" spans="2:20" x14ac:dyDescent="0.3">
      <c r="B47" s="22" t="s">
        <v>1368</v>
      </c>
      <c r="C47" s="32" t="s">
        <v>1405</v>
      </c>
      <c r="D47" s="32" t="s">
        <v>1405</v>
      </c>
      <c r="E47" s="33" t="s">
        <v>1418</v>
      </c>
      <c r="F47" s="34" t="s">
        <v>1403</v>
      </c>
      <c r="G47" s="34" t="s">
        <v>24</v>
      </c>
      <c r="H47" s="35" t="s">
        <v>454</v>
      </c>
      <c r="I47" s="36" t="s">
        <v>454</v>
      </c>
      <c r="J47" s="35" t="s">
        <v>1406</v>
      </c>
      <c r="K47" s="34"/>
      <c r="L47" s="35"/>
      <c r="M47" s="35"/>
      <c r="N47" s="35"/>
      <c r="O47" s="35"/>
      <c r="P47" s="35"/>
      <c r="Q47" s="33"/>
      <c r="R47" s="35"/>
      <c r="S47" s="37">
        <v>43166.804999999993</v>
      </c>
      <c r="T47" s="33" t="s">
        <v>1373</v>
      </c>
    </row>
    <row r="48" spans="2:20" x14ac:dyDescent="0.3">
      <c r="B48" s="22" t="s">
        <v>1368</v>
      </c>
      <c r="C48" s="32" t="s">
        <v>1407</v>
      </c>
      <c r="D48" s="32" t="s">
        <v>1407</v>
      </c>
      <c r="E48" s="33" t="s">
        <v>1418</v>
      </c>
      <c r="F48" s="34" t="s">
        <v>1408</v>
      </c>
      <c r="G48" s="34" t="s">
        <v>18</v>
      </c>
      <c r="H48" s="35" t="s">
        <v>454</v>
      </c>
      <c r="I48" s="36" t="s">
        <v>454</v>
      </c>
      <c r="J48" s="35" t="s">
        <v>1409</v>
      </c>
      <c r="K48" s="34"/>
      <c r="L48" s="35"/>
      <c r="M48" s="35"/>
      <c r="N48" s="35"/>
      <c r="O48" s="35"/>
      <c r="P48" s="35"/>
      <c r="Q48" s="33"/>
      <c r="R48" s="35"/>
      <c r="S48" s="37">
        <v>18796.682999999997</v>
      </c>
      <c r="T48" s="33" t="s">
        <v>1373</v>
      </c>
    </row>
    <row r="49" spans="2:20" x14ac:dyDescent="0.3">
      <c r="B49" s="22" t="s">
        <v>1368</v>
      </c>
      <c r="C49" s="32" t="s">
        <v>726</v>
      </c>
      <c r="D49" s="32" t="s">
        <v>726</v>
      </c>
      <c r="E49" s="33" t="s">
        <v>1418</v>
      </c>
      <c r="F49" s="34" t="s">
        <v>727</v>
      </c>
      <c r="G49" s="34" t="s">
        <v>18</v>
      </c>
      <c r="H49" s="35" t="s">
        <v>454</v>
      </c>
      <c r="I49" s="36" t="s">
        <v>454</v>
      </c>
      <c r="J49" s="35" t="s">
        <v>725</v>
      </c>
      <c r="K49" s="34"/>
      <c r="L49" s="35"/>
      <c r="M49" s="35"/>
      <c r="N49" s="35"/>
      <c r="O49" s="35"/>
      <c r="P49" s="35"/>
      <c r="Q49" s="33"/>
      <c r="R49" s="35"/>
      <c r="S49" s="37">
        <v>0</v>
      </c>
      <c r="T49" s="33" t="s">
        <v>1373</v>
      </c>
    </row>
    <row r="50" spans="2:20" x14ac:dyDescent="0.3">
      <c r="B50" s="22" t="s">
        <v>1368</v>
      </c>
      <c r="C50" s="32" t="s">
        <v>715</v>
      </c>
      <c r="D50" s="32" t="s">
        <v>715</v>
      </c>
      <c r="E50" s="33" t="s">
        <v>1418</v>
      </c>
      <c r="F50" s="34" t="s">
        <v>716</v>
      </c>
      <c r="G50" s="34" t="s">
        <v>24</v>
      </c>
      <c r="H50" s="35" t="s">
        <v>454</v>
      </c>
      <c r="I50" s="36" t="s">
        <v>454</v>
      </c>
      <c r="J50" s="35" t="s">
        <v>714</v>
      </c>
      <c r="K50" s="34"/>
      <c r="L50" s="35"/>
      <c r="M50" s="35"/>
      <c r="N50" s="35"/>
      <c r="O50" s="35"/>
      <c r="P50" s="35"/>
      <c r="Q50" s="33"/>
      <c r="R50" s="35"/>
      <c r="S50" s="37">
        <v>0</v>
      </c>
      <c r="T50" s="33" t="s">
        <v>1373</v>
      </c>
    </row>
    <row r="51" spans="2:20" x14ac:dyDescent="0.3">
      <c r="B51" s="22" t="s">
        <v>1368</v>
      </c>
      <c r="C51" s="32" t="s">
        <v>1410</v>
      </c>
      <c r="D51" s="32" t="s">
        <v>1410</v>
      </c>
      <c r="E51" s="33" t="s">
        <v>1418</v>
      </c>
      <c r="F51" s="34" t="s">
        <v>1411</v>
      </c>
      <c r="G51" s="34" t="s">
        <v>18</v>
      </c>
      <c r="H51" s="35" t="s">
        <v>454</v>
      </c>
      <c r="I51" s="36" t="s">
        <v>454</v>
      </c>
      <c r="J51" s="35" t="s">
        <v>1412</v>
      </c>
      <c r="K51" s="34"/>
      <c r="L51" s="35"/>
      <c r="M51" s="35"/>
      <c r="N51" s="35"/>
      <c r="O51" s="35"/>
      <c r="P51" s="35"/>
      <c r="Q51" s="33"/>
      <c r="R51" s="35"/>
      <c r="S51" s="37">
        <v>3900</v>
      </c>
      <c r="T51" s="33" t="s">
        <v>1373</v>
      </c>
    </row>
    <row r="52" spans="2:20" x14ac:dyDescent="0.3">
      <c r="B52" s="22" t="s">
        <v>1368</v>
      </c>
      <c r="C52" s="32" t="s">
        <v>698</v>
      </c>
      <c r="D52" s="32" t="s">
        <v>698</v>
      </c>
      <c r="E52" s="33" t="s">
        <v>1418</v>
      </c>
      <c r="F52" s="34" t="s">
        <v>694</v>
      </c>
      <c r="G52" s="34" t="s">
        <v>18</v>
      </c>
      <c r="H52" s="35" t="s">
        <v>454</v>
      </c>
      <c r="I52" s="36" t="s">
        <v>454</v>
      </c>
      <c r="J52" s="35" t="s">
        <v>697</v>
      </c>
      <c r="K52" s="34"/>
      <c r="L52" s="35"/>
      <c r="M52" s="35"/>
      <c r="N52" s="35"/>
      <c r="O52" s="35"/>
      <c r="P52" s="35"/>
      <c r="Q52" s="33"/>
      <c r="R52" s="35"/>
      <c r="S52" s="37">
        <v>0</v>
      </c>
      <c r="T52" s="33" t="s">
        <v>1373</v>
      </c>
    </row>
    <row r="53" spans="2:20" x14ac:dyDescent="0.3">
      <c r="B53" s="22" t="s">
        <v>1368</v>
      </c>
      <c r="C53" s="32" t="s">
        <v>1413</v>
      </c>
      <c r="D53" s="32" t="s">
        <v>1413</v>
      </c>
      <c r="E53" s="33" t="s">
        <v>1418</v>
      </c>
      <c r="F53" s="34" t="s">
        <v>1414</v>
      </c>
      <c r="G53" s="34" t="s">
        <v>18</v>
      </c>
      <c r="H53" s="35" t="s">
        <v>454</v>
      </c>
      <c r="I53" s="36" t="s">
        <v>454</v>
      </c>
      <c r="J53" s="35" t="s">
        <v>1415</v>
      </c>
      <c r="K53" s="34"/>
      <c r="L53" s="35"/>
      <c r="M53" s="35"/>
      <c r="N53" s="35"/>
      <c r="O53" s="35"/>
      <c r="P53" s="35"/>
      <c r="Q53" s="33"/>
      <c r="R53" s="35"/>
      <c r="S53" s="37">
        <v>20100.161999999982</v>
      </c>
      <c r="T53" s="33" t="s">
        <v>1373</v>
      </c>
    </row>
    <row r="54" spans="2:20" x14ac:dyDescent="0.3">
      <c r="B54" s="22" t="s">
        <v>1368</v>
      </c>
      <c r="C54" s="32" t="s">
        <v>1416</v>
      </c>
      <c r="D54" s="32" t="s">
        <v>1416</v>
      </c>
      <c r="E54" s="33" t="s">
        <v>1418</v>
      </c>
      <c r="F54" s="34" t="s">
        <v>493</v>
      </c>
      <c r="G54" s="34" t="s">
        <v>18</v>
      </c>
      <c r="H54" s="35" t="s">
        <v>454</v>
      </c>
      <c r="I54" s="36" t="s">
        <v>454</v>
      </c>
      <c r="J54" s="35" t="s">
        <v>1417</v>
      </c>
      <c r="K54" s="34"/>
      <c r="L54" s="35"/>
      <c r="M54" s="35"/>
      <c r="N54" s="35"/>
      <c r="O54" s="35"/>
      <c r="P54" s="35"/>
      <c r="Q54" s="33"/>
      <c r="R54" s="35"/>
      <c r="S54" s="37">
        <v>0</v>
      </c>
      <c r="T54" s="33" t="s">
        <v>1373</v>
      </c>
    </row>
    <row r="55" spans="2:20" x14ac:dyDescent="0.3">
      <c r="B55" s="22" t="s">
        <v>1368</v>
      </c>
      <c r="C55" s="32" t="s">
        <v>718</v>
      </c>
      <c r="D55" s="32" t="s">
        <v>718</v>
      </c>
      <c r="E55" s="33" t="s">
        <v>1418</v>
      </c>
      <c r="F55" s="34" t="s">
        <v>719</v>
      </c>
      <c r="G55" s="34" t="s">
        <v>18</v>
      </c>
      <c r="H55" s="35" t="s">
        <v>454</v>
      </c>
      <c r="I55" s="36" t="s">
        <v>454</v>
      </c>
      <c r="J55" s="35" t="s">
        <v>717</v>
      </c>
      <c r="K55" s="34"/>
      <c r="L55" s="35"/>
      <c r="M55" s="35"/>
      <c r="N55" s="35"/>
      <c r="O55" s="35"/>
      <c r="P55" s="35"/>
      <c r="Q55" s="33"/>
      <c r="R55" s="35"/>
      <c r="S55" s="37">
        <v>0</v>
      </c>
      <c r="T55" s="33" t="s">
        <v>1373</v>
      </c>
    </row>
    <row r="56" spans="2:20" x14ac:dyDescent="0.3">
      <c r="B56" s="22" t="s">
        <v>1368</v>
      </c>
      <c r="C56" s="22" t="s">
        <v>1419</v>
      </c>
      <c r="D56" s="22" t="s">
        <v>1419</v>
      </c>
      <c r="E56" s="38" t="s">
        <v>1420</v>
      </c>
      <c r="F56" s="39" t="s">
        <v>1421</v>
      </c>
      <c r="G56" s="39" t="s">
        <v>24</v>
      </c>
      <c r="H56" s="39" t="s">
        <v>19</v>
      </c>
      <c r="I56" s="39" t="s">
        <v>20</v>
      </c>
      <c r="J56" s="38" t="s">
        <v>1422</v>
      </c>
      <c r="K56" s="40" t="s">
        <v>1423</v>
      </c>
      <c r="L56" s="39"/>
      <c r="M56" s="39"/>
      <c r="N56" s="39"/>
      <c r="O56" s="39"/>
      <c r="P56" s="39"/>
      <c r="Q56" s="39"/>
      <c r="R56" s="39"/>
      <c r="S56" s="7">
        <v>2033.7462499999999</v>
      </c>
      <c r="T56" s="39" t="s">
        <v>1424</v>
      </c>
    </row>
    <row r="57" spans="2:20" x14ac:dyDescent="0.3">
      <c r="B57" s="22" t="s">
        <v>1368</v>
      </c>
      <c r="C57" s="22" t="s">
        <v>1425</v>
      </c>
      <c r="D57" s="22" t="s">
        <v>1425</v>
      </c>
      <c r="E57" s="38" t="s">
        <v>1426</v>
      </c>
      <c r="F57" s="39" t="s">
        <v>1427</v>
      </c>
      <c r="G57" s="39" t="s">
        <v>49</v>
      </c>
      <c r="H57" s="39" t="s">
        <v>19</v>
      </c>
      <c r="I57" s="39" t="s">
        <v>20</v>
      </c>
      <c r="J57" s="38" t="s">
        <v>1428</v>
      </c>
      <c r="K57" s="40" t="s">
        <v>1423</v>
      </c>
      <c r="L57" s="39"/>
      <c r="M57" s="39"/>
      <c r="N57" s="39"/>
      <c r="O57" s="39"/>
      <c r="P57" s="39"/>
      <c r="Q57" s="39"/>
      <c r="R57" s="39"/>
      <c r="S57" s="7">
        <v>9645.6825000000008</v>
      </c>
      <c r="T57" s="39" t="s">
        <v>1424</v>
      </c>
    </row>
    <row r="58" spans="2:20" x14ac:dyDescent="0.3">
      <c r="B58" s="22" t="s">
        <v>1368</v>
      </c>
      <c r="C58" s="22" t="s">
        <v>350</v>
      </c>
      <c r="D58" s="22" t="s">
        <v>350</v>
      </c>
      <c r="E58" s="38" t="s">
        <v>1429</v>
      </c>
      <c r="F58" s="39" t="s">
        <v>351</v>
      </c>
      <c r="G58" s="39" t="s">
        <v>18</v>
      </c>
      <c r="H58" s="39" t="s">
        <v>19</v>
      </c>
      <c r="I58" s="39" t="s">
        <v>20</v>
      </c>
      <c r="J58" s="38" t="s">
        <v>1430</v>
      </c>
      <c r="K58" s="40" t="s">
        <v>1431</v>
      </c>
      <c r="L58" s="39"/>
      <c r="M58" s="39"/>
      <c r="N58" s="39"/>
      <c r="O58" s="39"/>
      <c r="P58" s="39"/>
      <c r="Q58" s="39"/>
      <c r="R58" s="39"/>
      <c r="S58" s="7">
        <v>54805.820250000004</v>
      </c>
      <c r="T58" s="39" t="s">
        <v>1432</v>
      </c>
    </row>
    <row r="59" spans="2:20" x14ac:dyDescent="0.3">
      <c r="B59" s="22" t="s">
        <v>1368</v>
      </c>
      <c r="C59" s="22" t="s">
        <v>422</v>
      </c>
      <c r="D59" s="22" t="s">
        <v>422</v>
      </c>
      <c r="E59" s="38" t="s">
        <v>1433</v>
      </c>
      <c r="F59" s="39" t="s">
        <v>423</v>
      </c>
      <c r="G59" s="39" t="s">
        <v>18</v>
      </c>
      <c r="H59" s="39" t="s">
        <v>19</v>
      </c>
      <c r="I59" s="39" t="s">
        <v>20</v>
      </c>
      <c r="J59" s="38" t="s">
        <v>1434</v>
      </c>
      <c r="K59" s="40" t="s">
        <v>1435</v>
      </c>
      <c r="L59" s="39"/>
      <c r="M59" s="39"/>
      <c r="N59" s="39"/>
      <c r="O59" s="39"/>
      <c r="P59" s="39"/>
      <c r="Q59" s="39"/>
      <c r="R59" s="39"/>
      <c r="S59" s="7">
        <v>21271.964</v>
      </c>
      <c r="T59" s="39" t="s">
        <v>1432</v>
      </c>
    </row>
    <row r="60" spans="2:20" x14ac:dyDescent="0.3">
      <c r="B60" s="22" t="s">
        <v>1368</v>
      </c>
      <c r="C60" s="22" t="s">
        <v>525</v>
      </c>
      <c r="D60" s="22" t="s">
        <v>525</v>
      </c>
      <c r="E60" s="38" t="s">
        <v>1436</v>
      </c>
      <c r="F60" s="39" t="s">
        <v>526</v>
      </c>
      <c r="G60" s="39" t="s">
        <v>24</v>
      </c>
      <c r="H60" s="39" t="s">
        <v>19</v>
      </c>
      <c r="I60" s="39" t="s">
        <v>20</v>
      </c>
      <c r="J60" s="38" t="s">
        <v>1437</v>
      </c>
      <c r="K60" s="40" t="s">
        <v>1431</v>
      </c>
      <c r="L60" s="39"/>
      <c r="M60" s="39"/>
      <c r="N60" s="39"/>
      <c r="O60" s="39"/>
      <c r="P60" s="39"/>
      <c r="Q60" s="39"/>
      <c r="R60" s="39"/>
      <c r="S60" s="7">
        <v>47529.580500000004</v>
      </c>
      <c r="T60" s="39" t="s">
        <v>1438</v>
      </c>
    </row>
    <row r="61" spans="2:20" x14ac:dyDescent="0.3">
      <c r="B61" s="22" t="s">
        <v>1368</v>
      </c>
      <c r="C61" s="22" t="s">
        <v>1439</v>
      </c>
      <c r="D61" s="22" t="s">
        <v>1439</v>
      </c>
      <c r="E61" s="38" t="s">
        <v>1440</v>
      </c>
      <c r="F61" s="39" t="s">
        <v>1441</v>
      </c>
      <c r="G61" s="39" t="s">
        <v>18</v>
      </c>
      <c r="H61" s="39" t="s">
        <v>19</v>
      </c>
      <c r="I61" s="39" t="s">
        <v>20</v>
      </c>
      <c r="J61" s="38" t="s">
        <v>1442</v>
      </c>
      <c r="K61" s="40" t="s">
        <v>1423</v>
      </c>
      <c r="L61" s="39"/>
      <c r="M61" s="39"/>
      <c r="N61" s="39"/>
      <c r="O61" s="39"/>
      <c r="P61" s="39"/>
      <c r="Q61" s="39"/>
      <c r="R61" s="39"/>
      <c r="S61" s="7">
        <v>16654.88075</v>
      </c>
      <c r="T61" s="39" t="s">
        <v>1424</v>
      </c>
    </row>
    <row r="62" spans="2:20" x14ac:dyDescent="0.3">
      <c r="B62" s="22" t="s">
        <v>1368</v>
      </c>
      <c r="C62" s="22" t="s">
        <v>1443</v>
      </c>
      <c r="D62" s="22" t="s">
        <v>1443</v>
      </c>
      <c r="E62" s="38" t="s">
        <v>1444</v>
      </c>
      <c r="F62" s="39" t="s">
        <v>1445</v>
      </c>
      <c r="G62" s="39" t="s">
        <v>18</v>
      </c>
      <c r="H62" s="39" t="s">
        <v>19</v>
      </c>
      <c r="I62" s="39" t="s">
        <v>20</v>
      </c>
      <c r="J62" s="38" t="s">
        <v>1446</v>
      </c>
      <c r="K62" s="40" t="s">
        <v>1423</v>
      </c>
      <c r="L62" s="39"/>
      <c r="M62" s="39"/>
      <c r="N62" s="39"/>
      <c r="O62" s="39"/>
      <c r="P62" s="39"/>
      <c r="Q62" s="39"/>
      <c r="R62" s="39"/>
      <c r="S62" s="7">
        <v>11960</v>
      </c>
      <c r="T62" s="39" t="s">
        <v>1424</v>
      </c>
    </row>
    <row r="63" spans="2:20" x14ac:dyDescent="0.3">
      <c r="B63" s="22" t="s">
        <v>1368</v>
      </c>
      <c r="C63" s="22" t="s">
        <v>1235</v>
      </c>
      <c r="D63" s="22" t="s">
        <v>1235</v>
      </c>
      <c r="E63" s="38" t="s">
        <v>1447</v>
      </c>
      <c r="F63" s="39" t="s">
        <v>1448</v>
      </c>
      <c r="G63" s="39" t="s">
        <v>18</v>
      </c>
      <c r="H63" s="39" t="s">
        <v>19</v>
      </c>
      <c r="I63" s="39" t="s">
        <v>20</v>
      </c>
      <c r="J63" s="38" t="s">
        <v>1449</v>
      </c>
      <c r="K63" s="40" t="s">
        <v>1423</v>
      </c>
      <c r="L63" s="39"/>
      <c r="M63" s="39"/>
      <c r="N63" s="39"/>
      <c r="O63" s="39"/>
      <c r="P63" s="39"/>
      <c r="Q63" s="39"/>
      <c r="R63" s="39"/>
      <c r="S63" s="7">
        <v>76524.047500000001</v>
      </c>
      <c r="T63" s="39" t="s">
        <v>1424</v>
      </c>
    </row>
    <row r="64" spans="2:20" x14ac:dyDescent="0.3">
      <c r="B64" s="22" t="s">
        <v>1368</v>
      </c>
      <c r="C64" s="22" t="s">
        <v>1450</v>
      </c>
      <c r="D64" s="22" t="s">
        <v>1450</v>
      </c>
      <c r="E64" s="38" t="s">
        <v>1451</v>
      </c>
      <c r="F64" s="39" t="s">
        <v>1452</v>
      </c>
      <c r="G64" s="39" t="s">
        <v>18</v>
      </c>
      <c r="H64" s="39" t="s">
        <v>202</v>
      </c>
      <c r="I64" s="39" t="s">
        <v>202</v>
      </c>
      <c r="J64" s="38" t="s">
        <v>1453</v>
      </c>
      <c r="K64" s="40" t="s">
        <v>1454</v>
      </c>
      <c r="L64" s="39"/>
      <c r="M64" s="39"/>
      <c r="N64" s="39"/>
      <c r="O64" s="39"/>
      <c r="P64" s="39"/>
      <c r="Q64" s="39"/>
      <c r="R64" s="39"/>
      <c r="S64" s="7">
        <v>236327.0815</v>
      </c>
      <c r="T64" s="39" t="s">
        <v>1432</v>
      </c>
    </row>
    <row r="65" spans="2:20" x14ac:dyDescent="0.3">
      <c r="B65" s="22" t="s">
        <v>1368</v>
      </c>
      <c r="C65" s="22" t="s">
        <v>38</v>
      </c>
      <c r="D65" s="22" t="s">
        <v>38</v>
      </c>
      <c r="E65" s="38" t="s">
        <v>1451</v>
      </c>
      <c r="F65" s="39" t="s">
        <v>1452</v>
      </c>
      <c r="G65" s="39" t="s">
        <v>18</v>
      </c>
      <c r="H65" s="39" t="s">
        <v>19</v>
      </c>
      <c r="I65" s="39" t="s">
        <v>20</v>
      </c>
      <c r="J65" s="38" t="s">
        <v>1455</v>
      </c>
      <c r="K65" s="40" t="s">
        <v>1454</v>
      </c>
      <c r="L65" s="39"/>
      <c r="M65" s="39"/>
      <c r="N65" s="39"/>
      <c r="O65" s="39"/>
      <c r="P65" s="39"/>
      <c r="Q65" s="39"/>
      <c r="R65" s="39"/>
      <c r="S65" s="7">
        <v>99263.813999999984</v>
      </c>
      <c r="T65" s="39" t="s">
        <v>1432</v>
      </c>
    </row>
    <row r="66" spans="2:20" x14ac:dyDescent="0.3">
      <c r="B66" s="22" t="s">
        <v>1368</v>
      </c>
      <c r="C66" s="22" t="s">
        <v>309</v>
      </c>
      <c r="D66" s="22" t="s">
        <v>309</v>
      </c>
      <c r="E66" s="38" t="s">
        <v>1451</v>
      </c>
      <c r="F66" s="39" t="s">
        <v>1452</v>
      </c>
      <c r="G66" s="39" t="s">
        <v>18</v>
      </c>
      <c r="H66" s="39" t="s">
        <v>202</v>
      </c>
      <c r="I66" s="39" t="s">
        <v>202</v>
      </c>
      <c r="J66" s="38" t="s">
        <v>1456</v>
      </c>
      <c r="K66" s="40" t="s">
        <v>1454</v>
      </c>
      <c r="L66" s="39"/>
      <c r="M66" s="39"/>
      <c r="N66" s="39"/>
      <c r="O66" s="39"/>
      <c r="P66" s="39"/>
      <c r="Q66" s="39"/>
      <c r="R66" s="39"/>
      <c r="S66" s="7">
        <v>125591.3965</v>
      </c>
      <c r="T66" s="39" t="s">
        <v>1432</v>
      </c>
    </row>
    <row r="67" spans="2:20" x14ac:dyDescent="0.3">
      <c r="B67" s="22" t="s">
        <v>1368</v>
      </c>
      <c r="C67" s="22" t="s">
        <v>1457</v>
      </c>
      <c r="D67" s="22" t="s">
        <v>1457</v>
      </c>
      <c r="E67" s="38" t="s">
        <v>1451</v>
      </c>
      <c r="F67" s="39" t="s">
        <v>1452</v>
      </c>
      <c r="G67" s="39" t="s">
        <v>18</v>
      </c>
      <c r="H67" s="39" t="s">
        <v>202</v>
      </c>
      <c r="I67" s="39" t="s">
        <v>202</v>
      </c>
      <c r="J67" s="38" t="s">
        <v>1458</v>
      </c>
      <c r="K67" s="40" t="s">
        <v>1454</v>
      </c>
      <c r="L67" s="39"/>
      <c r="M67" s="39"/>
      <c r="N67" s="39"/>
      <c r="O67" s="39"/>
      <c r="P67" s="39"/>
      <c r="Q67" s="39"/>
      <c r="R67" s="39"/>
      <c r="S67" s="7">
        <v>191810.35149999999</v>
      </c>
      <c r="T67" s="39" t="s">
        <v>1432</v>
      </c>
    </row>
    <row r="68" spans="2:20" x14ac:dyDescent="0.3">
      <c r="B68" s="22" t="s">
        <v>1368</v>
      </c>
      <c r="C68" s="22" t="s">
        <v>1000</v>
      </c>
      <c r="D68" s="22" t="s">
        <v>1000</v>
      </c>
      <c r="E68" s="38" t="s">
        <v>1451</v>
      </c>
      <c r="F68" s="39" t="s">
        <v>1452</v>
      </c>
      <c r="G68" s="39" t="s">
        <v>18</v>
      </c>
      <c r="H68" s="39" t="s">
        <v>202</v>
      </c>
      <c r="I68" s="39" t="s">
        <v>202</v>
      </c>
      <c r="J68" s="38" t="s">
        <v>1459</v>
      </c>
      <c r="K68" s="40" t="s">
        <v>1454</v>
      </c>
      <c r="L68" s="39"/>
      <c r="M68" s="39"/>
      <c r="N68" s="39"/>
      <c r="O68" s="39"/>
      <c r="P68" s="39"/>
      <c r="Q68" s="39"/>
      <c r="R68" s="39"/>
      <c r="S68" s="7">
        <v>266451.34299999999</v>
      </c>
      <c r="T68" s="39" t="s">
        <v>1432</v>
      </c>
    </row>
    <row r="69" spans="2:20" x14ac:dyDescent="0.3">
      <c r="B69" s="22" t="s">
        <v>1368</v>
      </c>
      <c r="C69" s="22" t="s">
        <v>1460</v>
      </c>
      <c r="D69" s="22" t="s">
        <v>1460</v>
      </c>
      <c r="E69" s="38" t="s">
        <v>1461</v>
      </c>
      <c r="F69" s="39" t="s">
        <v>1462</v>
      </c>
      <c r="G69" s="39" t="s">
        <v>18</v>
      </c>
      <c r="H69" s="39" t="s">
        <v>19</v>
      </c>
      <c r="I69" s="39" t="s">
        <v>20</v>
      </c>
      <c r="J69" s="38" t="s">
        <v>1463</v>
      </c>
      <c r="K69" s="40" t="s">
        <v>1423</v>
      </c>
      <c r="L69" s="39"/>
      <c r="M69" s="39"/>
      <c r="N69" s="39"/>
      <c r="O69" s="39"/>
      <c r="P69" s="39"/>
      <c r="Q69" s="39"/>
      <c r="R69" s="39"/>
      <c r="S69" s="7">
        <v>7708.3522499999999</v>
      </c>
      <c r="T69" s="39" t="s">
        <v>1424</v>
      </c>
    </row>
    <row r="70" spans="2:20" x14ac:dyDescent="0.3">
      <c r="B70" s="22" t="s">
        <v>1368</v>
      </c>
      <c r="C70" s="22" t="s">
        <v>919</v>
      </c>
      <c r="D70" s="22" t="s">
        <v>919</v>
      </c>
      <c r="E70" s="38" t="s">
        <v>1464</v>
      </c>
      <c r="F70" s="39" t="s">
        <v>107</v>
      </c>
      <c r="G70" s="39" t="s">
        <v>49</v>
      </c>
      <c r="H70" s="39" t="s">
        <v>19</v>
      </c>
      <c r="I70" s="39" t="s">
        <v>20</v>
      </c>
      <c r="J70" s="38" t="s">
        <v>1465</v>
      </c>
      <c r="K70" s="40" t="s">
        <v>1423</v>
      </c>
      <c r="L70" s="39"/>
      <c r="M70" s="39"/>
      <c r="N70" s="39"/>
      <c r="O70" s="39"/>
      <c r="P70" s="39"/>
      <c r="Q70" s="39"/>
      <c r="R70" s="39"/>
      <c r="S70" s="7">
        <v>19320</v>
      </c>
      <c r="T70" s="39" t="s">
        <v>1424</v>
      </c>
    </row>
    <row r="71" spans="2:20" x14ac:dyDescent="0.3">
      <c r="B71" s="22" t="s">
        <v>1368</v>
      </c>
      <c r="C71" s="22" t="s">
        <v>1466</v>
      </c>
      <c r="D71" s="22" t="s">
        <v>1466</v>
      </c>
      <c r="E71" s="38" t="s">
        <v>1467</v>
      </c>
      <c r="F71" s="39" t="s">
        <v>1468</v>
      </c>
      <c r="G71" s="39" t="s">
        <v>18</v>
      </c>
      <c r="H71" s="39" t="s">
        <v>19</v>
      </c>
      <c r="I71" s="39" t="s">
        <v>20</v>
      </c>
      <c r="J71" s="38" t="s">
        <v>1469</v>
      </c>
      <c r="K71" s="40" t="s">
        <v>1423</v>
      </c>
      <c r="L71" s="39"/>
      <c r="M71" s="39"/>
      <c r="N71" s="39"/>
      <c r="O71" s="39"/>
      <c r="P71" s="39"/>
      <c r="Q71" s="39"/>
      <c r="R71" s="39"/>
      <c r="S71" s="7">
        <v>52953.204749999997</v>
      </c>
      <c r="T71" s="39" t="s">
        <v>1424</v>
      </c>
    </row>
    <row r="72" spans="2:20" x14ac:dyDescent="0.3">
      <c r="B72" s="22" t="s">
        <v>1368</v>
      </c>
      <c r="C72" s="22" t="s">
        <v>121</v>
      </c>
      <c r="D72" s="22" t="s">
        <v>121</v>
      </c>
      <c r="E72" s="38" t="s">
        <v>1470</v>
      </c>
      <c r="F72" s="39" t="s">
        <v>122</v>
      </c>
      <c r="G72" s="39" t="s">
        <v>49</v>
      </c>
      <c r="H72" s="39" t="s">
        <v>19</v>
      </c>
      <c r="I72" s="39" t="s">
        <v>20</v>
      </c>
      <c r="J72" s="38" t="s">
        <v>1471</v>
      </c>
      <c r="K72" s="40" t="s">
        <v>1431</v>
      </c>
      <c r="L72" s="39"/>
      <c r="M72" s="39"/>
      <c r="N72" s="39"/>
      <c r="O72" s="39"/>
      <c r="P72" s="39"/>
      <c r="Q72" s="39"/>
      <c r="R72" s="39"/>
      <c r="S72" s="7">
        <v>10548.155924999999</v>
      </c>
      <c r="T72" s="39" t="s">
        <v>1432</v>
      </c>
    </row>
    <row r="73" spans="2:20" x14ac:dyDescent="0.3">
      <c r="B73" s="22" t="s">
        <v>1368</v>
      </c>
      <c r="C73" s="22" t="s">
        <v>393</v>
      </c>
      <c r="D73" s="22" t="s">
        <v>393</v>
      </c>
      <c r="E73" s="38" t="s">
        <v>1472</v>
      </c>
      <c r="F73" s="39" t="s">
        <v>394</v>
      </c>
      <c r="G73" s="39" t="s">
        <v>24</v>
      </c>
      <c r="H73" s="39" t="s">
        <v>19</v>
      </c>
      <c r="I73" s="39" t="s">
        <v>20</v>
      </c>
      <c r="J73" s="38" t="s">
        <v>1473</v>
      </c>
      <c r="K73" s="40" t="s">
        <v>1435</v>
      </c>
      <c r="L73" s="39"/>
      <c r="M73" s="39"/>
      <c r="N73" s="39"/>
      <c r="O73" s="39"/>
      <c r="P73" s="39"/>
      <c r="Q73" s="39"/>
      <c r="R73" s="39"/>
      <c r="S73" s="7">
        <v>690</v>
      </c>
      <c r="T73" s="39" t="s">
        <v>1438</v>
      </c>
    </row>
    <row r="74" spans="2:20" x14ac:dyDescent="0.3">
      <c r="B74" s="22" t="s">
        <v>1368</v>
      </c>
      <c r="C74" s="22" t="s">
        <v>320</v>
      </c>
      <c r="D74" s="22" t="s">
        <v>320</v>
      </c>
      <c r="E74" s="38" t="s">
        <v>1474</v>
      </c>
      <c r="F74" s="39" t="s">
        <v>1475</v>
      </c>
      <c r="G74" s="39" t="s">
        <v>18</v>
      </c>
      <c r="H74" s="39" t="s">
        <v>19</v>
      </c>
      <c r="I74" s="39" t="s">
        <v>20</v>
      </c>
      <c r="J74" s="38" t="s">
        <v>1476</v>
      </c>
      <c r="K74" s="40" t="s">
        <v>1454</v>
      </c>
      <c r="L74" s="39"/>
      <c r="M74" s="39"/>
      <c r="N74" s="39"/>
      <c r="O74" s="39"/>
      <c r="P74" s="39"/>
      <c r="Q74" s="39"/>
      <c r="R74" s="39"/>
      <c r="S74" s="7">
        <v>40383.624250000001</v>
      </c>
      <c r="T74" s="39" t="s">
        <v>1432</v>
      </c>
    </row>
    <row r="75" spans="2:20" x14ac:dyDescent="0.3">
      <c r="B75" s="22" t="s">
        <v>1368</v>
      </c>
      <c r="C75" s="22" t="s">
        <v>1477</v>
      </c>
      <c r="D75" s="22" t="s">
        <v>1477</v>
      </c>
      <c r="E75" s="38" t="s">
        <v>1478</v>
      </c>
      <c r="F75" s="39" t="s">
        <v>1479</v>
      </c>
      <c r="G75" s="39" t="s">
        <v>18</v>
      </c>
      <c r="H75" s="39" t="s">
        <v>19</v>
      </c>
      <c r="I75" s="39" t="s">
        <v>20</v>
      </c>
      <c r="J75" s="38" t="s">
        <v>1480</v>
      </c>
      <c r="K75" s="40" t="s">
        <v>1423</v>
      </c>
      <c r="L75" s="39"/>
      <c r="M75" s="39"/>
      <c r="N75" s="39"/>
      <c r="O75" s="39"/>
      <c r="P75" s="39"/>
      <c r="Q75" s="39"/>
      <c r="R75" s="39"/>
      <c r="S75" s="7">
        <v>575</v>
      </c>
      <c r="T75" s="39" t="s">
        <v>1424</v>
      </c>
    </row>
    <row r="76" spans="2:20" x14ac:dyDescent="0.3">
      <c r="B76" s="22" t="s">
        <v>1368</v>
      </c>
      <c r="C76" s="22" t="s">
        <v>182</v>
      </c>
      <c r="D76" s="22" t="s">
        <v>182</v>
      </c>
      <c r="E76" s="38" t="s">
        <v>1481</v>
      </c>
      <c r="F76" s="39" t="s">
        <v>183</v>
      </c>
      <c r="G76" s="39" t="s">
        <v>18</v>
      </c>
      <c r="H76" s="39" t="s">
        <v>19</v>
      </c>
      <c r="I76" s="39" t="s">
        <v>20</v>
      </c>
      <c r="J76" s="38" t="s">
        <v>1482</v>
      </c>
      <c r="K76" s="40" t="s">
        <v>1454</v>
      </c>
      <c r="L76" s="39"/>
      <c r="M76" s="39"/>
      <c r="N76" s="39"/>
      <c r="O76" s="39"/>
      <c r="P76" s="39"/>
      <c r="Q76" s="39"/>
      <c r="R76" s="39"/>
      <c r="S76" s="7">
        <v>59348.193750000006</v>
      </c>
      <c r="T76" s="39" t="s">
        <v>1432</v>
      </c>
    </row>
    <row r="77" spans="2:20" x14ac:dyDescent="0.3">
      <c r="B77" s="22" t="s">
        <v>1368</v>
      </c>
      <c r="C77" s="22" t="s">
        <v>531</v>
      </c>
      <c r="D77" s="22" t="s">
        <v>531</v>
      </c>
      <c r="E77" s="38" t="s">
        <v>1483</v>
      </c>
      <c r="F77" s="39" t="s">
        <v>532</v>
      </c>
      <c r="G77" s="39" t="s">
        <v>24</v>
      </c>
      <c r="H77" s="39" t="s">
        <v>19</v>
      </c>
      <c r="I77" s="39" t="s">
        <v>20</v>
      </c>
      <c r="J77" s="38" t="s">
        <v>1484</v>
      </c>
      <c r="K77" s="40" t="s">
        <v>1431</v>
      </c>
      <c r="L77" s="39"/>
      <c r="M77" s="39"/>
      <c r="N77" s="39"/>
      <c r="O77" s="39"/>
      <c r="P77" s="39"/>
      <c r="Q77" s="39"/>
      <c r="R77" s="39"/>
      <c r="S77" s="7">
        <v>32237.662499999999</v>
      </c>
      <c r="T77" s="39" t="s">
        <v>1438</v>
      </c>
    </row>
    <row r="78" spans="2:20" x14ac:dyDescent="0.3">
      <c r="B78" s="22" t="s">
        <v>1368</v>
      </c>
      <c r="C78" s="22" t="s">
        <v>504</v>
      </c>
      <c r="D78" s="22" t="s">
        <v>504</v>
      </c>
      <c r="E78" s="38" t="s">
        <v>1485</v>
      </c>
      <c r="F78" s="39" t="s">
        <v>505</v>
      </c>
      <c r="G78" s="39" t="s">
        <v>56</v>
      </c>
      <c r="H78" s="39" t="s">
        <v>19</v>
      </c>
      <c r="I78" s="39" t="s">
        <v>20</v>
      </c>
      <c r="J78" s="38" t="s">
        <v>1486</v>
      </c>
      <c r="K78" s="40" t="s">
        <v>1454</v>
      </c>
      <c r="L78" s="39"/>
      <c r="M78" s="39"/>
      <c r="N78" s="39"/>
      <c r="O78" s="39"/>
      <c r="P78" s="39"/>
      <c r="Q78" s="39"/>
      <c r="R78" s="39"/>
      <c r="S78" s="7">
        <v>770.5</v>
      </c>
      <c r="T78" s="39" t="s">
        <v>1424</v>
      </c>
    </row>
    <row r="79" spans="2:20" x14ac:dyDescent="0.3">
      <c r="B79" s="22" t="s">
        <v>1368</v>
      </c>
      <c r="C79" s="22" t="s">
        <v>347</v>
      </c>
      <c r="D79" s="22" t="s">
        <v>347</v>
      </c>
      <c r="E79" s="38" t="s">
        <v>1487</v>
      </c>
      <c r="F79" s="39" t="s">
        <v>348</v>
      </c>
      <c r="G79" s="39" t="s">
        <v>56</v>
      </c>
      <c r="H79" s="39" t="s">
        <v>19</v>
      </c>
      <c r="I79" s="39" t="s">
        <v>20</v>
      </c>
      <c r="J79" s="38" t="s">
        <v>1488</v>
      </c>
      <c r="K79" s="40" t="s">
        <v>1435</v>
      </c>
      <c r="L79" s="39"/>
      <c r="M79" s="39"/>
      <c r="N79" s="39"/>
      <c r="O79" s="39"/>
      <c r="P79" s="39"/>
      <c r="Q79" s="39"/>
      <c r="R79" s="39"/>
      <c r="S79" s="7">
        <v>9399.4675000000007</v>
      </c>
      <c r="T79" s="39" t="s">
        <v>171</v>
      </c>
    </row>
    <row r="80" spans="2:20" x14ac:dyDescent="0.3">
      <c r="B80" s="22" t="s">
        <v>1368</v>
      </c>
      <c r="C80" s="22" t="s">
        <v>176</v>
      </c>
      <c r="D80" s="22" t="s">
        <v>176</v>
      </c>
      <c r="E80" s="38" t="s">
        <v>1489</v>
      </c>
      <c r="F80" s="39" t="s">
        <v>177</v>
      </c>
      <c r="G80" s="39" t="s">
        <v>18</v>
      </c>
      <c r="H80" s="39" t="s">
        <v>19</v>
      </c>
      <c r="I80" s="39" t="s">
        <v>20</v>
      </c>
      <c r="J80" s="38" t="s">
        <v>1490</v>
      </c>
      <c r="K80" s="40" t="s">
        <v>1431</v>
      </c>
      <c r="L80" s="39"/>
      <c r="M80" s="39"/>
      <c r="N80" s="39"/>
      <c r="O80" s="39"/>
      <c r="P80" s="39"/>
      <c r="Q80" s="39"/>
      <c r="R80" s="39"/>
      <c r="S80" s="7">
        <v>10863.9465</v>
      </c>
      <c r="T80" s="39" t="s">
        <v>1432</v>
      </c>
    </row>
    <row r="81" spans="2:20" x14ac:dyDescent="0.3">
      <c r="B81" s="22" t="s">
        <v>1368</v>
      </c>
      <c r="C81" s="22" t="s">
        <v>1491</v>
      </c>
      <c r="D81" s="22" t="s">
        <v>1491</v>
      </c>
      <c r="E81" s="38" t="s">
        <v>1492</v>
      </c>
      <c r="F81" s="39" t="s">
        <v>1493</v>
      </c>
      <c r="G81" s="39" t="s">
        <v>18</v>
      </c>
      <c r="H81" s="39" t="s">
        <v>19</v>
      </c>
      <c r="I81" s="39" t="s">
        <v>20</v>
      </c>
      <c r="J81" s="38" t="s">
        <v>1494</v>
      </c>
      <c r="K81" s="40" t="s">
        <v>1423</v>
      </c>
      <c r="L81" s="39"/>
      <c r="M81" s="39"/>
      <c r="N81" s="39"/>
      <c r="O81" s="39"/>
      <c r="P81" s="39"/>
      <c r="Q81" s="39"/>
      <c r="R81" s="39"/>
      <c r="S81" s="7">
        <v>920</v>
      </c>
      <c r="T81" s="39" t="s">
        <v>1424</v>
      </c>
    </row>
    <row r="82" spans="2:20" x14ac:dyDescent="0.3">
      <c r="B82" s="22" t="s">
        <v>1368</v>
      </c>
      <c r="C82" s="22" t="s">
        <v>1495</v>
      </c>
      <c r="D82" s="22" t="s">
        <v>1495</v>
      </c>
      <c r="E82" s="38" t="s">
        <v>1496</v>
      </c>
      <c r="F82" s="39" t="s">
        <v>1497</v>
      </c>
      <c r="G82" s="39" t="s">
        <v>18</v>
      </c>
      <c r="H82" s="39" t="s">
        <v>19</v>
      </c>
      <c r="I82" s="39" t="s">
        <v>20</v>
      </c>
      <c r="J82" s="38" t="s">
        <v>1498</v>
      </c>
      <c r="K82" s="40" t="s">
        <v>1423</v>
      </c>
      <c r="L82" s="39"/>
      <c r="M82" s="39"/>
      <c r="N82" s="39"/>
      <c r="O82" s="39"/>
      <c r="P82" s="39"/>
      <c r="Q82" s="39"/>
      <c r="R82" s="39"/>
      <c r="S82" s="7">
        <v>23230.793500000003</v>
      </c>
      <c r="T82" s="39" t="s">
        <v>1424</v>
      </c>
    </row>
    <row r="83" spans="2:20" x14ac:dyDescent="0.3">
      <c r="B83" s="22" t="s">
        <v>1368</v>
      </c>
      <c r="C83" s="22" t="s">
        <v>356</v>
      </c>
      <c r="D83" s="22" t="s">
        <v>356</v>
      </c>
      <c r="E83" s="38" t="s">
        <v>1499</v>
      </c>
      <c r="F83" s="39" t="s">
        <v>357</v>
      </c>
      <c r="G83" s="39" t="s">
        <v>49</v>
      </c>
      <c r="H83" s="39" t="s">
        <v>19</v>
      </c>
      <c r="I83" s="39" t="s">
        <v>20</v>
      </c>
      <c r="J83" s="38" t="s">
        <v>1500</v>
      </c>
      <c r="K83" s="40" t="s">
        <v>1431</v>
      </c>
      <c r="L83" s="39"/>
      <c r="M83" s="39"/>
      <c r="N83" s="39"/>
      <c r="O83" s="39"/>
      <c r="P83" s="39"/>
      <c r="Q83" s="39"/>
      <c r="R83" s="39"/>
      <c r="S83" s="7">
        <v>41365.529325000003</v>
      </c>
      <c r="T83" s="39" t="s">
        <v>1432</v>
      </c>
    </row>
    <row r="84" spans="2:20" x14ac:dyDescent="0.3">
      <c r="B84" s="22" t="s">
        <v>1368</v>
      </c>
      <c r="C84" s="22" t="s">
        <v>1501</v>
      </c>
      <c r="D84" s="22" t="s">
        <v>1501</v>
      </c>
      <c r="E84" s="38" t="s">
        <v>1502</v>
      </c>
      <c r="F84" s="39" t="s">
        <v>1503</v>
      </c>
      <c r="G84" s="39" t="s">
        <v>24</v>
      </c>
      <c r="H84" s="39" t="s">
        <v>19</v>
      </c>
      <c r="I84" s="39" t="s">
        <v>20</v>
      </c>
      <c r="J84" s="38" t="s">
        <v>1504</v>
      </c>
      <c r="K84" s="40" t="s">
        <v>1423</v>
      </c>
      <c r="L84" s="39"/>
      <c r="M84" s="39"/>
      <c r="N84" s="39"/>
      <c r="O84" s="39"/>
      <c r="P84" s="39"/>
      <c r="Q84" s="39"/>
      <c r="R84" s="39"/>
      <c r="S84" s="7">
        <v>575</v>
      </c>
      <c r="T84" s="39" t="s">
        <v>1424</v>
      </c>
    </row>
    <row r="85" spans="2:20" x14ac:dyDescent="0.3">
      <c r="B85" s="22" t="s">
        <v>1368</v>
      </c>
      <c r="C85" s="22" t="s">
        <v>70</v>
      </c>
      <c r="D85" s="22" t="s">
        <v>70</v>
      </c>
      <c r="E85" s="38" t="s">
        <v>1505</v>
      </c>
      <c r="F85" s="39" t="s">
        <v>1506</v>
      </c>
      <c r="G85" s="39" t="s">
        <v>18</v>
      </c>
      <c r="H85" s="39" t="s">
        <v>19</v>
      </c>
      <c r="I85" s="39" t="s">
        <v>20</v>
      </c>
      <c r="J85" s="38" t="s">
        <v>1507</v>
      </c>
      <c r="K85" s="40" t="s">
        <v>1454</v>
      </c>
      <c r="L85" s="39"/>
      <c r="M85" s="39"/>
      <c r="N85" s="39"/>
      <c r="O85" s="39"/>
      <c r="P85" s="39"/>
      <c r="Q85" s="39"/>
      <c r="R85" s="39"/>
      <c r="S85" s="7">
        <v>126096.74674999999</v>
      </c>
      <c r="T85" s="39" t="s">
        <v>1432</v>
      </c>
    </row>
    <row r="86" spans="2:20" x14ac:dyDescent="0.3">
      <c r="B86" s="22" t="s">
        <v>1368</v>
      </c>
      <c r="C86" s="22" t="s">
        <v>589</v>
      </c>
      <c r="D86" s="22" t="s">
        <v>589</v>
      </c>
      <c r="E86" s="38" t="s">
        <v>1508</v>
      </c>
      <c r="F86" s="39" t="s">
        <v>590</v>
      </c>
      <c r="G86" s="39" t="s">
        <v>49</v>
      </c>
      <c r="H86" s="39" t="s">
        <v>19</v>
      </c>
      <c r="I86" s="39" t="s">
        <v>1509</v>
      </c>
      <c r="J86" s="38" t="s">
        <v>1510</v>
      </c>
      <c r="K86" s="40" t="s">
        <v>1431</v>
      </c>
      <c r="L86" s="39"/>
      <c r="M86" s="39"/>
      <c r="N86" s="39"/>
      <c r="O86" s="39"/>
      <c r="P86" s="39"/>
      <c r="Q86" s="39"/>
      <c r="R86" s="39"/>
      <c r="S86" s="7">
        <v>16597.650999999998</v>
      </c>
      <c r="T86" s="39" t="s">
        <v>1511</v>
      </c>
    </row>
    <row r="87" spans="2:20" x14ac:dyDescent="0.3">
      <c r="B87" s="22" t="s">
        <v>1368</v>
      </c>
      <c r="C87" s="22" t="s">
        <v>1512</v>
      </c>
      <c r="D87" s="22" t="s">
        <v>1512</v>
      </c>
      <c r="E87" s="38" t="s">
        <v>1513</v>
      </c>
      <c r="F87" s="39" t="s">
        <v>1514</v>
      </c>
      <c r="G87" s="39" t="s">
        <v>18</v>
      </c>
      <c r="H87" s="39" t="s">
        <v>19</v>
      </c>
      <c r="I87" s="39" t="s">
        <v>20</v>
      </c>
      <c r="J87" s="38" t="s">
        <v>1515</v>
      </c>
      <c r="K87" s="40" t="s">
        <v>1423</v>
      </c>
      <c r="L87" s="39"/>
      <c r="M87" s="39"/>
      <c r="N87" s="39"/>
      <c r="O87" s="39"/>
      <c r="P87" s="39"/>
      <c r="Q87" s="39"/>
      <c r="R87" s="39"/>
      <c r="S87" s="7">
        <v>20977.494999999999</v>
      </c>
      <c r="T87" s="39" t="s">
        <v>1424</v>
      </c>
    </row>
    <row r="88" spans="2:20" x14ac:dyDescent="0.3">
      <c r="B88" s="22" t="s">
        <v>1368</v>
      </c>
      <c r="C88" s="22" t="s">
        <v>300</v>
      </c>
      <c r="D88" s="22" t="s">
        <v>300</v>
      </c>
      <c r="E88" s="38" t="s">
        <v>1516</v>
      </c>
      <c r="F88" s="39" t="s">
        <v>301</v>
      </c>
      <c r="G88" s="39" t="s">
        <v>49</v>
      </c>
      <c r="H88" s="39" t="s">
        <v>19</v>
      </c>
      <c r="I88" s="39" t="s">
        <v>20</v>
      </c>
      <c r="J88" s="38" t="s">
        <v>1517</v>
      </c>
      <c r="K88" s="40" t="s">
        <v>1454</v>
      </c>
      <c r="L88" s="39"/>
      <c r="M88" s="39"/>
      <c r="N88" s="39"/>
      <c r="O88" s="39"/>
      <c r="P88" s="39"/>
      <c r="Q88" s="39"/>
      <c r="R88" s="39"/>
      <c r="S88" s="7">
        <v>22326.824499999999</v>
      </c>
      <c r="T88" s="39" t="s">
        <v>1438</v>
      </c>
    </row>
    <row r="89" spans="2:20" x14ac:dyDescent="0.3">
      <c r="B89" s="22" t="s">
        <v>1368</v>
      </c>
      <c r="C89" s="22" t="s">
        <v>1518</v>
      </c>
      <c r="D89" s="22" t="s">
        <v>1518</v>
      </c>
      <c r="E89" s="38" t="s">
        <v>1519</v>
      </c>
      <c r="F89" s="39" t="s">
        <v>1520</v>
      </c>
      <c r="G89" s="39" t="s">
        <v>18</v>
      </c>
      <c r="H89" s="39" t="s">
        <v>19</v>
      </c>
      <c r="I89" s="39" t="s">
        <v>20</v>
      </c>
      <c r="J89" s="38" t="s">
        <v>1521</v>
      </c>
      <c r="K89" s="40" t="s">
        <v>1423</v>
      </c>
      <c r="L89" s="39"/>
      <c r="M89" s="39"/>
      <c r="N89" s="39"/>
      <c r="O89" s="39"/>
      <c r="P89" s="39"/>
      <c r="Q89" s="39"/>
      <c r="R89" s="39"/>
      <c r="S89" s="7">
        <v>1389.26325</v>
      </c>
      <c r="T89" s="39" t="s">
        <v>1424</v>
      </c>
    </row>
    <row r="90" spans="2:20" x14ac:dyDescent="0.3">
      <c r="B90" s="22" t="s">
        <v>1368</v>
      </c>
      <c r="C90" s="22" t="s">
        <v>1522</v>
      </c>
      <c r="D90" s="22" t="s">
        <v>1522</v>
      </c>
      <c r="E90" s="38" t="s">
        <v>1523</v>
      </c>
      <c r="F90" s="39" t="s">
        <v>1160</v>
      </c>
      <c r="G90" s="39" t="s">
        <v>18</v>
      </c>
      <c r="H90" s="39" t="s">
        <v>19</v>
      </c>
      <c r="I90" s="39" t="s">
        <v>20</v>
      </c>
      <c r="J90" s="38" t="s">
        <v>1524</v>
      </c>
      <c r="K90" s="40" t="s">
        <v>1423</v>
      </c>
      <c r="L90" s="39"/>
      <c r="M90" s="39"/>
      <c r="N90" s="39"/>
      <c r="O90" s="39"/>
      <c r="P90" s="39"/>
      <c r="Q90" s="39"/>
      <c r="R90" s="39"/>
      <c r="S90" s="7">
        <v>495.69600000000003</v>
      </c>
      <c r="T90" s="39" t="s">
        <v>1424</v>
      </c>
    </row>
    <row r="91" spans="2:20" x14ac:dyDescent="0.3">
      <c r="B91" s="22" t="s">
        <v>1368</v>
      </c>
      <c r="C91" s="22" t="s">
        <v>1525</v>
      </c>
      <c r="D91" s="22" t="s">
        <v>1525</v>
      </c>
      <c r="E91" s="38" t="s">
        <v>1526</v>
      </c>
      <c r="F91" s="39" t="s">
        <v>1527</v>
      </c>
      <c r="G91" s="39" t="s">
        <v>18</v>
      </c>
      <c r="H91" s="39" t="s">
        <v>19</v>
      </c>
      <c r="I91" s="39" t="s">
        <v>20</v>
      </c>
      <c r="J91" s="38" t="s">
        <v>1528</v>
      </c>
      <c r="K91" s="40" t="s">
        <v>1423</v>
      </c>
      <c r="L91" s="39"/>
      <c r="M91" s="39"/>
      <c r="N91" s="39"/>
      <c r="O91" s="39"/>
      <c r="P91" s="39"/>
      <c r="Q91" s="39"/>
      <c r="R91" s="39"/>
      <c r="S91" s="7">
        <v>7954.1647499999999</v>
      </c>
      <c r="T91" s="39" t="s">
        <v>1424</v>
      </c>
    </row>
    <row r="92" spans="2:20" x14ac:dyDescent="0.3">
      <c r="B92" s="22" t="s">
        <v>1368</v>
      </c>
      <c r="C92" s="22" t="s">
        <v>550</v>
      </c>
      <c r="D92" s="22" t="s">
        <v>550</v>
      </c>
      <c r="E92" s="38" t="s">
        <v>1529</v>
      </c>
      <c r="F92" s="39" t="s">
        <v>551</v>
      </c>
      <c r="G92" s="39" t="s">
        <v>24</v>
      </c>
      <c r="H92" s="39" t="s">
        <v>19</v>
      </c>
      <c r="I92" s="39" t="s">
        <v>20</v>
      </c>
      <c r="J92" s="38" t="s">
        <v>1530</v>
      </c>
      <c r="K92" s="40" t="s">
        <v>1435</v>
      </c>
      <c r="L92" s="39"/>
      <c r="M92" s="39"/>
      <c r="N92" s="39"/>
      <c r="O92" s="39"/>
      <c r="P92" s="39"/>
      <c r="Q92" s="39"/>
      <c r="R92" s="39"/>
      <c r="S92" s="7">
        <v>19694.3135</v>
      </c>
      <c r="T92" s="39" t="s">
        <v>1438</v>
      </c>
    </row>
    <row r="93" spans="2:20" x14ac:dyDescent="0.3">
      <c r="B93" s="22" t="s">
        <v>1368</v>
      </c>
      <c r="C93" s="22" t="s">
        <v>1531</v>
      </c>
      <c r="D93" s="22" t="s">
        <v>1531</v>
      </c>
      <c r="E93" s="38" t="s">
        <v>1532</v>
      </c>
      <c r="F93" s="39" t="s">
        <v>1533</v>
      </c>
      <c r="G93" s="39" t="s">
        <v>18</v>
      </c>
      <c r="H93" s="39" t="s">
        <v>19</v>
      </c>
      <c r="I93" s="39" t="s">
        <v>20</v>
      </c>
      <c r="J93" s="38" t="s">
        <v>1534</v>
      </c>
      <c r="K93" s="40" t="s">
        <v>1423</v>
      </c>
      <c r="L93" s="39"/>
      <c r="M93" s="39"/>
      <c r="N93" s="39"/>
      <c r="O93" s="39"/>
      <c r="P93" s="39"/>
      <c r="Q93" s="39"/>
      <c r="R93" s="39"/>
      <c r="S93" s="7">
        <v>806.89750000000004</v>
      </c>
      <c r="T93" s="39" t="s">
        <v>1424</v>
      </c>
    </row>
    <row r="94" spans="2:20" x14ac:dyDescent="0.3">
      <c r="B94" s="22" t="s">
        <v>1368</v>
      </c>
      <c r="C94" s="22" t="s">
        <v>440</v>
      </c>
      <c r="D94" s="22" t="s">
        <v>440</v>
      </c>
      <c r="E94" s="38" t="s">
        <v>1535</v>
      </c>
      <c r="F94" s="39" t="s">
        <v>441</v>
      </c>
      <c r="G94" s="39" t="s">
        <v>24</v>
      </c>
      <c r="H94" s="39" t="s">
        <v>19</v>
      </c>
      <c r="I94" s="39" t="s">
        <v>20</v>
      </c>
      <c r="J94" s="38" t="s">
        <v>1536</v>
      </c>
      <c r="K94" s="40" t="s">
        <v>1435</v>
      </c>
      <c r="L94" s="39"/>
      <c r="M94" s="39"/>
      <c r="N94" s="39"/>
      <c r="O94" s="39"/>
      <c r="P94" s="39"/>
      <c r="Q94" s="39"/>
      <c r="R94" s="39"/>
      <c r="S94" s="7">
        <v>3647.9380000000001</v>
      </c>
      <c r="T94" s="39" t="s">
        <v>1424</v>
      </c>
    </row>
    <row r="95" spans="2:20" x14ac:dyDescent="0.3">
      <c r="B95" s="22" t="s">
        <v>1368</v>
      </c>
      <c r="C95" s="22" t="s">
        <v>47</v>
      </c>
      <c r="D95" s="22" t="s">
        <v>47</v>
      </c>
      <c r="E95" s="38" t="s">
        <v>1537</v>
      </c>
      <c r="F95" s="39" t="s">
        <v>48</v>
      </c>
      <c r="G95" s="39" t="s">
        <v>49</v>
      </c>
      <c r="H95" s="39" t="s">
        <v>19</v>
      </c>
      <c r="I95" s="39" t="s">
        <v>20</v>
      </c>
      <c r="J95" s="38" t="s">
        <v>1538</v>
      </c>
      <c r="K95" s="40" t="s">
        <v>1431</v>
      </c>
      <c r="L95" s="39"/>
      <c r="M95" s="39"/>
      <c r="N95" s="39"/>
      <c r="O95" s="39"/>
      <c r="P95" s="39"/>
      <c r="Q95" s="39"/>
      <c r="R95" s="39"/>
      <c r="S95" s="7">
        <v>1955</v>
      </c>
      <c r="T95" s="39" t="s">
        <v>1424</v>
      </c>
    </row>
    <row r="96" spans="2:20" x14ac:dyDescent="0.3">
      <c r="B96" s="22" t="s">
        <v>1368</v>
      </c>
      <c r="C96" s="22" t="s">
        <v>44</v>
      </c>
      <c r="D96" s="22" t="s">
        <v>44</v>
      </c>
      <c r="E96" s="38" t="s">
        <v>1539</v>
      </c>
      <c r="F96" s="39" t="s">
        <v>45</v>
      </c>
      <c r="G96" s="39" t="s">
        <v>18</v>
      </c>
      <c r="H96" s="39" t="s">
        <v>19</v>
      </c>
      <c r="I96" s="39" t="s">
        <v>20</v>
      </c>
      <c r="J96" s="38" t="s">
        <v>1540</v>
      </c>
      <c r="K96" s="40" t="s">
        <v>1431</v>
      </c>
      <c r="L96" s="39"/>
      <c r="M96" s="39"/>
      <c r="N96" s="39"/>
      <c r="O96" s="39"/>
      <c r="P96" s="39"/>
      <c r="Q96" s="39"/>
      <c r="R96" s="39"/>
      <c r="S96" s="7">
        <v>80712.226749999987</v>
      </c>
      <c r="T96" s="39" t="s">
        <v>1432</v>
      </c>
    </row>
    <row r="97" spans="2:20" x14ac:dyDescent="0.3">
      <c r="B97" s="22" t="s">
        <v>1368</v>
      </c>
      <c r="C97" s="22" t="s">
        <v>1541</v>
      </c>
      <c r="D97" s="22" t="s">
        <v>1541</v>
      </c>
      <c r="E97" s="38" t="s">
        <v>1542</v>
      </c>
      <c r="F97" s="39" t="s">
        <v>1543</v>
      </c>
      <c r="G97" s="39" t="s">
        <v>18</v>
      </c>
      <c r="H97" s="39" t="s">
        <v>19</v>
      </c>
      <c r="I97" s="39" t="s">
        <v>20</v>
      </c>
      <c r="J97" s="38" t="s">
        <v>1544</v>
      </c>
      <c r="K97" s="40" t="s">
        <v>1423</v>
      </c>
      <c r="L97" s="39"/>
      <c r="M97" s="39"/>
      <c r="N97" s="39"/>
      <c r="O97" s="39"/>
      <c r="P97" s="39"/>
      <c r="Q97" s="39"/>
      <c r="R97" s="39"/>
      <c r="S97" s="7">
        <v>21632.764999999999</v>
      </c>
      <c r="T97" s="39" t="s">
        <v>1424</v>
      </c>
    </row>
    <row r="98" spans="2:20" x14ac:dyDescent="0.3">
      <c r="B98" s="22" t="s">
        <v>1368</v>
      </c>
      <c r="C98" s="22" t="s">
        <v>35</v>
      </c>
      <c r="D98" s="22" t="s">
        <v>35</v>
      </c>
      <c r="E98" s="38" t="s">
        <v>1545</v>
      </c>
      <c r="F98" s="39" t="s">
        <v>36</v>
      </c>
      <c r="G98" s="39" t="s">
        <v>18</v>
      </c>
      <c r="H98" s="39" t="s">
        <v>19</v>
      </c>
      <c r="I98" s="39" t="s">
        <v>20</v>
      </c>
      <c r="J98" s="38" t="s">
        <v>1546</v>
      </c>
      <c r="K98" s="40" t="s">
        <v>1454</v>
      </c>
      <c r="L98" s="39"/>
      <c r="M98" s="39"/>
      <c r="N98" s="39"/>
      <c r="O98" s="39"/>
      <c r="P98" s="39"/>
      <c r="Q98" s="39"/>
      <c r="R98" s="39"/>
      <c r="S98" s="7">
        <v>158620.07500000001</v>
      </c>
      <c r="T98" s="39" t="s">
        <v>1424</v>
      </c>
    </row>
    <row r="99" spans="2:20" x14ac:dyDescent="0.3">
      <c r="B99" s="22" t="s">
        <v>1368</v>
      </c>
      <c r="C99" s="22" t="s">
        <v>133</v>
      </c>
      <c r="D99" s="22" t="s">
        <v>133</v>
      </c>
      <c r="E99" s="38" t="s">
        <v>1547</v>
      </c>
      <c r="F99" s="39" t="s">
        <v>134</v>
      </c>
      <c r="G99" s="39" t="s">
        <v>18</v>
      </c>
      <c r="H99" s="39" t="s">
        <v>19</v>
      </c>
      <c r="I99" s="39" t="s">
        <v>20</v>
      </c>
      <c r="J99" s="38" t="s">
        <v>1548</v>
      </c>
      <c r="K99" s="40" t="s">
        <v>1431</v>
      </c>
      <c r="L99" s="39"/>
      <c r="M99" s="39"/>
      <c r="N99" s="39"/>
      <c r="O99" s="39"/>
      <c r="P99" s="39"/>
      <c r="Q99" s="39"/>
      <c r="R99" s="39"/>
      <c r="S99" s="7">
        <v>10994.6785</v>
      </c>
      <c r="T99" s="39" t="s">
        <v>1432</v>
      </c>
    </row>
    <row r="100" spans="2:20" x14ac:dyDescent="0.3">
      <c r="B100" s="22" t="s">
        <v>1368</v>
      </c>
      <c r="C100" s="22" t="s">
        <v>1549</v>
      </c>
      <c r="D100" s="22" t="s">
        <v>1549</v>
      </c>
      <c r="E100" s="38" t="s">
        <v>1550</v>
      </c>
      <c r="F100" s="39" t="s">
        <v>1551</v>
      </c>
      <c r="G100" s="39" t="s">
        <v>18</v>
      </c>
      <c r="H100" s="39" t="s">
        <v>19</v>
      </c>
      <c r="I100" s="39" t="s">
        <v>20</v>
      </c>
      <c r="J100" s="38" t="s">
        <v>1552</v>
      </c>
      <c r="K100" s="40" t="s">
        <v>1423</v>
      </c>
      <c r="L100" s="39"/>
      <c r="M100" s="39"/>
      <c r="N100" s="39"/>
      <c r="O100" s="39"/>
      <c r="P100" s="39"/>
      <c r="Q100" s="39"/>
      <c r="R100" s="39"/>
      <c r="S100" s="7">
        <v>13731</v>
      </c>
      <c r="T100" s="39" t="s">
        <v>1424</v>
      </c>
    </row>
    <row r="101" spans="2:20" x14ac:dyDescent="0.3">
      <c r="B101" s="22" t="s">
        <v>1368</v>
      </c>
      <c r="C101" s="22" t="s">
        <v>1553</v>
      </c>
      <c r="D101" s="22" t="s">
        <v>1553</v>
      </c>
      <c r="E101" s="38" t="s">
        <v>1554</v>
      </c>
      <c r="F101" s="39" t="s">
        <v>1555</v>
      </c>
      <c r="G101" s="39" t="s">
        <v>18</v>
      </c>
      <c r="H101" s="39" t="s">
        <v>19</v>
      </c>
      <c r="I101" s="39" t="s">
        <v>20</v>
      </c>
      <c r="J101" s="38" t="s">
        <v>1556</v>
      </c>
      <c r="K101" s="40" t="s">
        <v>1423</v>
      </c>
      <c r="L101" s="39"/>
      <c r="M101" s="39"/>
      <c r="N101" s="39"/>
      <c r="O101" s="39"/>
      <c r="P101" s="39"/>
      <c r="Q101" s="39"/>
      <c r="R101" s="39"/>
      <c r="S101" s="7">
        <v>575</v>
      </c>
      <c r="T101" s="39" t="s">
        <v>1424</v>
      </c>
    </row>
    <row r="102" spans="2:20" x14ac:dyDescent="0.3">
      <c r="B102" s="22" t="s">
        <v>1368</v>
      </c>
      <c r="C102" s="22" t="s">
        <v>1557</v>
      </c>
      <c r="D102" s="22" t="s">
        <v>1557</v>
      </c>
      <c r="E102" s="38" t="s">
        <v>1558</v>
      </c>
      <c r="F102" s="39" t="s">
        <v>1411</v>
      </c>
      <c r="G102" s="39" t="s">
        <v>18</v>
      </c>
      <c r="H102" s="39" t="s">
        <v>19</v>
      </c>
      <c r="I102" s="39" t="s">
        <v>20</v>
      </c>
      <c r="J102" s="38" t="s">
        <v>1559</v>
      </c>
      <c r="K102" s="40" t="s">
        <v>1423</v>
      </c>
      <c r="L102" s="39"/>
      <c r="M102" s="39"/>
      <c r="N102" s="39"/>
      <c r="O102" s="39"/>
      <c r="P102" s="39"/>
      <c r="Q102" s="39"/>
      <c r="R102" s="39"/>
      <c r="S102" s="7">
        <v>1818.587</v>
      </c>
      <c r="T102" s="39" t="s">
        <v>1424</v>
      </c>
    </row>
    <row r="103" spans="2:20" x14ac:dyDescent="0.3">
      <c r="B103" s="22" t="s">
        <v>1368</v>
      </c>
      <c r="C103" s="22" t="s">
        <v>291</v>
      </c>
      <c r="D103" s="22" t="s">
        <v>291</v>
      </c>
      <c r="E103" s="38" t="s">
        <v>1560</v>
      </c>
      <c r="F103" s="39" t="s">
        <v>1561</v>
      </c>
      <c r="G103" s="39" t="s">
        <v>49</v>
      </c>
      <c r="H103" s="39" t="s">
        <v>19</v>
      </c>
      <c r="I103" s="39" t="s">
        <v>20</v>
      </c>
      <c r="J103" s="38" t="s">
        <v>1562</v>
      </c>
      <c r="K103" s="40" t="s">
        <v>1431</v>
      </c>
      <c r="L103" s="39"/>
      <c r="M103" s="39"/>
      <c r="N103" s="39"/>
      <c r="O103" s="39"/>
      <c r="P103" s="39"/>
      <c r="Q103" s="39"/>
      <c r="R103" s="39"/>
      <c r="S103" s="7">
        <v>261386.50149999998</v>
      </c>
      <c r="T103" s="39" t="s">
        <v>1438</v>
      </c>
    </row>
    <row r="104" spans="2:20" x14ac:dyDescent="0.3">
      <c r="B104" s="22" t="s">
        <v>1368</v>
      </c>
      <c r="C104" s="22" t="s">
        <v>1563</v>
      </c>
      <c r="D104" s="22" t="s">
        <v>1563</v>
      </c>
      <c r="E104" s="38" t="s">
        <v>1564</v>
      </c>
      <c r="F104" s="39" t="s">
        <v>641</v>
      </c>
      <c r="G104" s="39" t="s">
        <v>18</v>
      </c>
      <c r="H104" s="39" t="s">
        <v>202</v>
      </c>
      <c r="I104" s="39" t="s">
        <v>202</v>
      </c>
      <c r="J104" s="38" t="s">
        <v>1565</v>
      </c>
      <c r="K104" s="40" t="s">
        <v>1423</v>
      </c>
      <c r="L104" s="39"/>
      <c r="M104" s="39"/>
      <c r="N104" s="39"/>
      <c r="O104" s="39"/>
      <c r="P104" s="39"/>
      <c r="Q104" s="39"/>
      <c r="R104" s="39"/>
      <c r="S104" s="7">
        <v>1166.2092500000001</v>
      </c>
      <c r="T104" s="39" t="s">
        <v>1424</v>
      </c>
    </row>
    <row r="105" spans="2:20" x14ac:dyDescent="0.3">
      <c r="B105" s="22" t="s">
        <v>1368</v>
      </c>
      <c r="C105" s="22" t="s">
        <v>1566</v>
      </c>
      <c r="D105" s="22" t="s">
        <v>1566</v>
      </c>
      <c r="E105" s="38" t="s">
        <v>1567</v>
      </c>
      <c r="F105" s="39" t="s">
        <v>1568</v>
      </c>
      <c r="G105" s="39" t="s">
        <v>18</v>
      </c>
      <c r="H105" s="39" t="s">
        <v>19</v>
      </c>
      <c r="I105" s="39" t="s">
        <v>20</v>
      </c>
      <c r="J105" s="38" t="s">
        <v>1569</v>
      </c>
      <c r="K105" s="40" t="s">
        <v>1423</v>
      </c>
      <c r="L105" s="39"/>
      <c r="M105" s="39"/>
      <c r="N105" s="39"/>
      <c r="O105" s="39"/>
      <c r="P105" s="39"/>
      <c r="Q105" s="39"/>
      <c r="R105" s="39"/>
      <c r="S105" s="7">
        <v>20218.679</v>
      </c>
      <c r="T105" s="39" t="s">
        <v>1424</v>
      </c>
    </row>
    <row r="106" spans="2:20" x14ac:dyDescent="0.3">
      <c r="B106" s="22" t="s">
        <v>1368</v>
      </c>
      <c r="C106" s="22" t="s">
        <v>456</v>
      </c>
      <c r="D106" s="22" t="s">
        <v>456</v>
      </c>
      <c r="E106" s="38" t="s">
        <v>1570</v>
      </c>
      <c r="F106" s="39" t="s">
        <v>450</v>
      </c>
      <c r="G106" s="39" t="s">
        <v>24</v>
      </c>
      <c r="H106" s="39" t="s">
        <v>19</v>
      </c>
      <c r="I106" s="39" t="s">
        <v>20</v>
      </c>
      <c r="J106" s="38" t="s">
        <v>1571</v>
      </c>
      <c r="K106" s="40" t="s">
        <v>1423</v>
      </c>
      <c r="L106" s="39"/>
      <c r="M106" s="39"/>
      <c r="N106" s="39"/>
      <c r="O106" s="39"/>
      <c r="P106" s="39"/>
      <c r="Q106" s="39"/>
      <c r="R106" s="39"/>
      <c r="S106" s="7">
        <v>1472.7762499999999</v>
      </c>
      <c r="T106" s="39" t="s">
        <v>1424</v>
      </c>
    </row>
    <row r="107" spans="2:20" x14ac:dyDescent="0.3">
      <c r="B107" s="22" t="s">
        <v>1368</v>
      </c>
      <c r="C107" s="22" t="s">
        <v>425</v>
      </c>
      <c r="D107" s="22" t="s">
        <v>425</v>
      </c>
      <c r="E107" s="38" t="s">
        <v>1572</v>
      </c>
      <c r="F107" s="39" t="s">
        <v>426</v>
      </c>
      <c r="G107" s="39" t="s">
        <v>18</v>
      </c>
      <c r="H107" s="39" t="s">
        <v>19</v>
      </c>
      <c r="I107" s="39" t="s">
        <v>20</v>
      </c>
      <c r="J107" s="38" t="s">
        <v>1573</v>
      </c>
      <c r="K107" s="40" t="s">
        <v>1431</v>
      </c>
      <c r="L107" s="39"/>
      <c r="M107" s="39"/>
      <c r="N107" s="39"/>
      <c r="O107" s="39"/>
      <c r="P107" s="39"/>
      <c r="Q107" s="39"/>
      <c r="R107" s="39"/>
      <c r="S107" s="7">
        <v>48155.008000000002</v>
      </c>
      <c r="T107" s="39" t="s">
        <v>1432</v>
      </c>
    </row>
    <row r="108" spans="2:20" x14ac:dyDescent="0.3">
      <c r="B108" s="22" t="s">
        <v>1368</v>
      </c>
      <c r="C108" s="22" t="s">
        <v>405</v>
      </c>
      <c r="D108" s="22" t="s">
        <v>405</v>
      </c>
      <c r="E108" s="38" t="s">
        <v>1574</v>
      </c>
      <c r="F108" s="39" t="s">
        <v>1575</v>
      </c>
      <c r="G108" s="39" t="s">
        <v>18</v>
      </c>
      <c r="H108" s="39" t="s">
        <v>19</v>
      </c>
      <c r="I108" s="39" t="s">
        <v>20</v>
      </c>
      <c r="J108" s="38" t="s">
        <v>1576</v>
      </c>
      <c r="K108" s="40" t="s">
        <v>1431</v>
      </c>
      <c r="L108" s="39"/>
      <c r="M108" s="39"/>
      <c r="N108" s="39"/>
      <c r="O108" s="39"/>
      <c r="P108" s="39"/>
      <c r="Q108" s="39"/>
      <c r="R108" s="39"/>
      <c r="S108" s="7">
        <v>11714.265412499999</v>
      </c>
      <c r="T108" s="39" t="s">
        <v>1432</v>
      </c>
    </row>
    <row r="109" spans="2:20" x14ac:dyDescent="0.3">
      <c r="B109" s="22" t="s">
        <v>1368</v>
      </c>
      <c r="C109" s="22" t="s">
        <v>41</v>
      </c>
      <c r="D109" s="22" t="s">
        <v>41</v>
      </c>
      <c r="E109" s="38" t="s">
        <v>1577</v>
      </c>
      <c r="F109" s="39" t="s">
        <v>42</v>
      </c>
      <c r="G109" s="39" t="s">
        <v>18</v>
      </c>
      <c r="H109" s="39" t="s">
        <v>19</v>
      </c>
      <c r="I109" s="39" t="s">
        <v>20</v>
      </c>
      <c r="J109" s="38" t="s">
        <v>1578</v>
      </c>
      <c r="K109" s="40" t="s">
        <v>1431</v>
      </c>
      <c r="L109" s="39"/>
      <c r="M109" s="39"/>
      <c r="N109" s="39"/>
      <c r="O109" s="39"/>
      <c r="P109" s="39"/>
      <c r="Q109" s="39"/>
      <c r="R109" s="39"/>
      <c r="S109" s="7">
        <v>85916.31025000001</v>
      </c>
      <c r="T109" s="39" t="s">
        <v>1424</v>
      </c>
    </row>
    <row r="110" spans="2:20" x14ac:dyDescent="0.3">
      <c r="B110" s="22" t="s">
        <v>1368</v>
      </c>
      <c r="C110" s="22" t="s">
        <v>222</v>
      </c>
      <c r="D110" s="22" t="s">
        <v>222</v>
      </c>
      <c r="E110" s="38" t="s">
        <v>1579</v>
      </c>
      <c r="F110" s="39" t="s">
        <v>1580</v>
      </c>
      <c r="G110" s="39" t="s">
        <v>49</v>
      </c>
      <c r="H110" s="39" t="s">
        <v>19</v>
      </c>
      <c r="I110" s="39" t="s">
        <v>20</v>
      </c>
      <c r="J110" s="38" t="s">
        <v>1581</v>
      </c>
      <c r="K110" s="40" t="s">
        <v>1431</v>
      </c>
      <c r="L110" s="39"/>
      <c r="M110" s="39"/>
      <c r="N110" s="39"/>
      <c r="O110" s="39"/>
      <c r="P110" s="39"/>
      <c r="Q110" s="39"/>
      <c r="R110" s="39"/>
      <c r="S110" s="7">
        <v>16400.541000000001</v>
      </c>
      <c r="T110" s="39" t="s">
        <v>1438</v>
      </c>
    </row>
    <row r="111" spans="2:20" x14ac:dyDescent="0.3">
      <c r="B111" s="22" t="s">
        <v>1368</v>
      </c>
      <c r="C111" s="22" t="s">
        <v>1079</v>
      </c>
      <c r="D111" s="22" t="s">
        <v>1079</v>
      </c>
      <c r="E111" s="38" t="s">
        <v>1582</v>
      </c>
      <c r="F111" s="39" t="s">
        <v>1583</v>
      </c>
      <c r="G111" s="39" t="s">
        <v>56</v>
      </c>
      <c r="H111" s="39" t="s">
        <v>19</v>
      </c>
      <c r="I111" s="39" t="s">
        <v>20</v>
      </c>
      <c r="J111" s="38" t="s">
        <v>1584</v>
      </c>
      <c r="K111" s="40" t="s">
        <v>1454</v>
      </c>
      <c r="L111" s="39"/>
      <c r="M111" s="39"/>
      <c r="N111" s="39"/>
      <c r="O111" s="39"/>
      <c r="P111" s="39"/>
      <c r="Q111" s="39"/>
      <c r="R111" s="39"/>
      <c r="S111" s="7">
        <v>197910</v>
      </c>
      <c r="T111" s="39" t="e">
        <v>#N/A</v>
      </c>
    </row>
    <row r="112" spans="2:20" x14ac:dyDescent="0.3">
      <c r="B112" s="22" t="s">
        <v>1368</v>
      </c>
      <c r="C112" s="22" t="s">
        <v>29</v>
      </c>
      <c r="D112" s="22" t="s">
        <v>29</v>
      </c>
      <c r="E112" s="38" t="s">
        <v>1585</v>
      </c>
      <c r="F112" s="39" t="s">
        <v>30</v>
      </c>
      <c r="G112" s="39" t="s">
        <v>18</v>
      </c>
      <c r="H112" s="39" t="s">
        <v>19</v>
      </c>
      <c r="I112" s="39" t="s">
        <v>20</v>
      </c>
      <c r="J112" s="38" t="s">
        <v>1586</v>
      </c>
      <c r="K112" s="40" t="s">
        <v>1431</v>
      </c>
      <c r="L112" s="39"/>
      <c r="M112" s="39"/>
      <c r="N112" s="39"/>
      <c r="O112" s="39"/>
      <c r="P112" s="39"/>
      <c r="Q112" s="39"/>
      <c r="R112" s="39"/>
      <c r="S112" s="7">
        <v>35361.050999999999</v>
      </c>
      <c r="T112" s="39" t="s">
        <v>1432</v>
      </c>
    </row>
    <row r="113" spans="2:20" x14ac:dyDescent="0.3">
      <c r="B113" s="22" t="s">
        <v>1368</v>
      </c>
      <c r="C113" s="22" t="s">
        <v>553</v>
      </c>
      <c r="D113" s="22" t="s">
        <v>553</v>
      </c>
      <c r="E113" s="38" t="s">
        <v>1587</v>
      </c>
      <c r="F113" s="39" t="s">
        <v>1588</v>
      </c>
      <c r="G113" s="39" t="s">
        <v>18</v>
      </c>
      <c r="H113" s="39" t="s">
        <v>19</v>
      </c>
      <c r="I113" s="39" t="s">
        <v>20</v>
      </c>
      <c r="J113" s="38" t="s">
        <v>1589</v>
      </c>
      <c r="K113" s="40" t="s">
        <v>1454</v>
      </c>
      <c r="L113" s="39"/>
      <c r="M113" s="39"/>
      <c r="N113" s="39"/>
      <c r="O113" s="39"/>
      <c r="P113" s="39"/>
      <c r="Q113" s="39"/>
      <c r="R113" s="39"/>
      <c r="S113" s="7">
        <v>48265.005499999999</v>
      </c>
      <c r="T113" s="39" t="s">
        <v>1424</v>
      </c>
    </row>
    <row r="114" spans="2:20" x14ac:dyDescent="0.3">
      <c r="B114" s="22" t="s">
        <v>1368</v>
      </c>
      <c r="C114" s="22" t="s">
        <v>191</v>
      </c>
      <c r="D114" s="22" t="s">
        <v>191</v>
      </c>
      <c r="E114" s="38" t="s">
        <v>1590</v>
      </c>
      <c r="F114" s="39" t="s">
        <v>192</v>
      </c>
      <c r="G114" s="39" t="s">
        <v>18</v>
      </c>
      <c r="H114" s="39" t="s">
        <v>19</v>
      </c>
      <c r="I114" s="39" t="s">
        <v>20</v>
      </c>
      <c r="J114" s="38" t="s">
        <v>1591</v>
      </c>
      <c r="K114" s="40" t="s">
        <v>1431</v>
      </c>
      <c r="L114" s="39"/>
      <c r="M114" s="39"/>
      <c r="N114" s="39"/>
      <c r="O114" s="39"/>
      <c r="P114" s="39"/>
      <c r="Q114" s="39"/>
      <c r="R114" s="39"/>
      <c r="S114" s="7">
        <v>128677.32949999999</v>
      </c>
      <c r="T114" s="39" t="s">
        <v>1432</v>
      </c>
    </row>
    <row r="115" spans="2:20" x14ac:dyDescent="0.3">
      <c r="B115" s="22" t="s">
        <v>1368</v>
      </c>
      <c r="C115" s="22" t="s">
        <v>179</v>
      </c>
      <c r="D115" s="22" t="s">
        <v>179</v>
      </c>
      <c r="E115" s="38" t="s">
        <v>1592</v>
      </c>
      <c r="F115" s="39" t="s">
        <v>180</v>
      </c>
      <c r="G115" s="39" t="s">
        <v>18</v>
      </c>
      <c r="H115" s="39" t="s">
        <v>19</v>
      </c>
      <c r="I115" s="39" t="s">
        <v>20</v>
      </c>
      <c r="J115" s="38" t="s">
        <v>1593</v>
      </c>
      <c r="K115" s="40" t="s">
        <v>1431</v>
      </c>
      <c r="L115" s="39"/>
      <c r="M115" s="39"/>
      <c r="N115" s="39"/>
      <c r="O115" s="39"/>
      <c r="P115" s="39"/>
      <c r="Q115" s="39"/>
      <c r="R115" s="39"/>
      <c r="S115" s="7">
        <v>2344.5037350000002</v>
      </c>
      <c r="T115" s="39" t="s">
        <v>1432</v>
      </c>
    </row>
    <row r="116" spans="2:20" x14ac:dyDescent="0.3">
      <c r="B116" s="22" t="s">
        <v>1368</v>
      </c>
      <c r="C116" s="22" t="s">
        <v>1286</v>
      </c>
      <c r="D116" s="22" t="s">
        <v>1286</v>
      </c>
      <c r="E116" s="38" t="s">
        <v>1594</v>
      </c>
      <c r="F116" s="39" t="s">
        <v>813</v>
      </c>
      <c r="G116" s="39" t="s">
        <v>18</v>
      </c>
      <c r="H116" s="39" t="s">
        <v>19</v>
      </c>
      <c r="I116" s="39" t="s">
        <v>20</v>
      </c>
      <c r="J116" s="38" t="s">
        <v>1595</v>
      </c>
      <c r="K116" s="40" t="s">
        <v>1431</v>
      </c>
      <c r="L116" s="39"/>
      <c r="M116" s="39"/>
      <c r="N116" s="39"/>
      <c r="O116" s="39"/>
      <c r="P116" s="39"/>
      <c r="Q116" s="39"/>
      <c r="R116" s="39"/>
      <c r="S116" s="7">
        <v>0</v>
      </c>
      <c r="T116" s="39" t="e">
        <v>#N/A</v>
      </c>
    </row>
    <row r="117" spans="2:20" x14ac:dyDescent="0.3">
      <c r="B117" s="22" t="s">
        <v>1368</v>
      </c>
      <c r="C117" s="22" t="s">
        <v>1596</v>
      </c>
      <c r="D117" s="22" t="s">
        <v>1596</v>
      </c>
      <c r="E117" s="38" t="s">
        <v>1597</v>
      </c>
      <c r="F117" s="39" t="s">
        <v>1598</v>
      </c>
      <c r="G117" s="39" t="s">
        <v>24</v>
      </c>
      <c r="H117" s="39" t="s">
        <v>19</v>
      </c>
      <c r="I117" s="39" t="s">
        <v>20</v>
      </c>
      <c r="J117" s="38" t="s">
        <v>1599</v>
      </c>
      <c r="K117" s="40" t="s">
        <v>1423</v>
      </c>
      <c r="L117" s="39"/>
      <c r="M117" s="39"/>
      <c r="N117" s="39"/>
      <c r="O117" s="39"/>
      <c r="P117" s="39"/>
      <c r="Q117" s="39"/>
      <c r="R117" s="39"/>
      <c r="S117" s="7">
        <v>575</v>
      </c>
      <c r="T117" s="39" t="s">
        <v>1424</v>
      </c>
    </row>
    <row r="118" spans="2:20" x14ac:dyDescent="0.3">
      <c r="B118" s="22" t="s">
        <v>1368</v>
      </c>
      <c r="C118" s="22" t="s">
        <v>1600</v>
      </c>
      <c r="D118" s="22" t="s">
        <v>1600</v>
      </c>
      <c r="E118" s="38" t="s">
        <v>1601</v>
      </c>
      <c r="F118" s="39" t="s">
        <v>298</v>
      </c>
      <c r="G118" s="39" t="s">
        <v>18</v>
      </c>
      <c r="H118" s="39" t="s">
        <v>202</v>
      </c>
      <c r="I118" s="39" t="s">
        <v>202</v>
      </c>
      <c r="J118" s="38" t="s">
        <v>1602</v>
      </c>
      <c r="K118" s="40" t="s">
        <v>1423</v>
      </c>
      <c r="L118" s="39"/>
      <c r="M118" s="39"/>
      <c r="N118" s="39"/>
      <c r="O118" s="39"/>
      <c r="P118" s="39"/>
      <c r="Q118" s="39"/>
      <c r="R118" s="39"/>
      <c r="S118" s="7">
        <v>11822</v>
      </c>
      <c r="T118" s="39" t="s">
        <v>1424</v>
      </c>
    </row>
    <row r="119" spans="2:20" x14ac:dyDescent="0.3">
      <c r="B119" s="22" t="s">
        <v>1368</v>
      </c>
      <c r="C119" s="22" t="s">
        <v>489</v>
      </c>
      <c r="D119" s="22" t="s">
        <v>489</v>
      </c>
      <c r="E119" s="38" t="s">
        <v>1603</v>
      </c>
      <c r="F119" s="39" t="s">
        <v>1604</v>
      </c>
      <c r="G119" s="39" t="s">
        <v>18</v>
      </c>
      <c r="H119" s="39" t="s">
        <v>19</v>
      </c>
      <c r="I119" s="39" t="s">
        <v>20</v>
      </c>
      <c r="J119" s="38" t="s">
        <v>1605</v>
      </c>
      <c r="K119" s="40" t="s">
        <v>1423</v>
      </c>
      <c r="L119" s="39"/>
      <c r="M119" s="39"/>
      <c r="N119" s="39"/>
      <c r="O119" s="39"/>
      <c r="P119" s="39"/>
      <c r="Q119" s="39"/>
      <c r="R119" s="39"/>
      <c r="S119" s="7">
        <v>1048.5929999999998</v>
      </c>
      <c r="T119" s="39" t="s">
        <v>1424</v>
      </c>
    </row>
    <row r="120" spans="2:20" x14ac:dyDescent="0.3">
      <c r="B120" s="22" t="s">
        <v>1368</v>
      </c>
      <c r="C120" s="22" t="s">
        <v>1606</v>
      </c>
      <c r="D120" s="22" t="s">
        <v>1606</v>
      </c>
      <c r="E120" s="38" t="s">
        <v>1607</v>
      </c>
      <c r="F120" s="39" t="s">
        <v>1608</v>
      </c>
      <c r="G120" s="39" t="s">
        <v>18</v>
      </c>
      <c r="H120" s="39" t="s">
        <v>19</v>
      </c>
      <c r="I120" s="39" t="s">
        <v>20</v>
      </c>
      <c r="J120" s="38" t="s">
        <v>1609</v>
      </c>
      <c r="K120" s="40" t="s">
        <v>1423</v>
      </c>
      <c r="L120" s="39"/>
      <c r="M120" s="39"/>
      <c r="N120" s="39"/>
      <c r="O120" s="39"/>
      <c r="P120" s="39"/>
      <c r="Q120" s="39"/>
      <c r="R120" s="39"/>
      <c r="S120" s="7">
        <v>2613.0242500000004</v>
      </c>
      <c r="T120" s="39" t="s">
        <v>1424</v>
      </c>
    </row>
    <row r="121" spans="2:20" x14ac:dyDescent="0.3">
      <c r="B121" s="22" t="s">
        <v>1368</v>
      </c>
      <c r="C121" s="22" t="s">
        <v>78</v>
      </c>
      <c r="D121" s="22" t="s">
        <v>78</v>
      </c>
      <c r="E121" s="38" t="s">
        <v>1610</v>
      </c>
      <c r="F121" s="39" t="s">
        <v>79</v>
      </c>
      <c r="G121" s="39" t="s">
        <v>24</v>
      </c>
      <c r="H121" s="39" t="s">
        <v>19</v>
      </c>
      <c r="I121" s="39" t="s">
        <v>20</v>
      </c>
      <c r="J121" s="38" t="s">
        <v>1611</v>
      </c>
      <c r="K121" s="40" t="s">
        <v>1435</v>
      </c>
      <c r="L121" s="39"/>
      <c r="M121" s="39"/>
      <c r="N121" s="39"/>
      <c r="O121" s="39"/>
      <c r="P121" s="39"/>
      <c r="Q121" s="39"/>
      <c r="R121" s="39"/>
      <c r="S121" s="7">
        <v>2699.9814999999999</v>
      </c>
      <c r="T121" s="39" t="s">
        <v>1424</v>
      </c>
    </row>
    <row r="122" spans="2:20" x14ac:dyDescent="0.3">
      <c r="B122" s="22" t="s">
        <v>1368</v>
      </c>
      <c r="C122" s="22" t="s">
        <v>895</v>
      </c>
      <c r="D122" s="22" t="s">
        <v>895</v>
      </c>
      <c r="E122" s="38" t="s">
        <v>1612</v>
      </c>
      <c r="F122" s="39" t="s">
        <v>459</v>
      </c>
      <c r="G122" s="39" t="s">
        <v>18</v>
      </c>
      <c r="H122" s="39" t="s">
        <v>19</v>
      </c>
      <c r="I122" s="39" t="s">
        <v>20</v>
      </c>
      <c r="J122" s="38" t="s">
        <v>1613</v>
      </c>
      <c r="K122" s="40" t="s">
        <v>1423</v>
      </c>
      <c r="L122" s="39"/>
      <c r="M122" s="39"/>
      <c r="N122" s="39"/>
      <c r="O122" s="39"/>
      <c r="P122" s="39"/>
      <c r="Q122" s="39"/>
      <c r="R122" s="39"/>
      <c r="S122" s="7">
        <v>1419.7727500000001</v>
      </c>
      <c r="T122" s="39" t="s">
        <v>1424</v>
      </c>
    </row>
    <row r="123" spans="2:20" x14ac:dyDescent="0.3">
      <c r="B123" s="22" t="s">
        <v>1368</v>
      </c>
      <c r="C123" s="22" t="s">
        <v>1614</v>
      </c>
      <c r="D123" s="22" t="s">
        <v>1614</v>
      </c>
      <c r="E123" s="38" t="s">
        <v>1615</v>
      </c>
      <c r="F123" s="39" t="s">
        <v>1616</v>
      </c>
      <c r="G123" s="39" t="s">
        <v>18</v>
      </c>
      <c r="H123" s="39" t="s">
        <v>19</v>
      </c>
      <c r="I123" s="39" t="s">
        <v>20</v>
      </c>
      <c r="J123" s="38" t="s">
        <v>1617</v>
      </c>
      <c r="K123" s="40" t="s">
        <v>1423</v>
      </c>
      <c r="L123" s="39"/>
      <c r="M123" s="39"/>
      <c r="N123" s="39"/>
      <c r="O123" s="39"/>
      <c r="P123" s="39"/>
      <c r="Q123" s="39"/>
      <c r="R123" s="39"/>
      <c r="S123" s="7">
        <v>12635.458250000001</v>
      </c>
      <c r="T123" s="39" t="s">
        <v>1424</v>
      </c>
    </row>
    <row r="124" spans="2:20" x14ac:dyDescent="0.3">
      <c r="B124" s="22" t="s">
        <v>1368</v>
      </c>
      <c r="C124" s="22" t="s">
        <v>1618</v>
      </c>
      <c r="D124" s="22" t="s">
        <v>1618</v>
      </c>
      <c r="E124" s="38" t="s">
        <v>1619</v>
      </c>
      <c r="F124" s="39" t="s">
        <v>1620</v>
      </c>
      <c r="G124" s="39" t="s">
        <v>18</v>
      </c>
      <c r="H124" s="39" t="s">
        <v>19</v>
      </c>
      <c r="I124" s="39" t="s">
        <v>20</v>
      </c>
      <c r="J124" s="38" t="s">
        <v>1621</v>
      </c>
      <c r="K124" s="40" t="s">
        <v>1423</v>
      </c>
      <c r="L124" s="39"/>
      <c r="M124" s="39"/>
      <c r="N124" s="39"/>
      <c r="O124" s="39"/>
      <c r="P124" s="39"/>
      <c r="Q124" s="39"/>
      <c r="R124" s="39"/>
      <c r="S124" s="7">
        <v>753.73299999999995</v>
      </c>
      <c r="T124" s="39" t="s">
        <v>1424</v>
      </c>
    </row>
    <row r="125" spans="2:20" x14ac:dyDescent="0.3">
      <c r="B125" s="22" t="s">
        <v>1368</v>
      </c>
      <c r="C125" s="22" t="s">
        <v>118</v>
      </c>
      <c r="D125" s="22" t="s">
        <v>118</v>
      </c>
      <c r="E125" s="38" t="s">
        <v>1622</v>
      </c>
      <c r="F125" s="39" t="s">
        <v>119</v>
      </c>
      <c r="G125" s="39" t="s">
        <v>49</v>
      </c>
      <c r="H125" s="39" t="s">
        <v>19</v>
      </c>
      <c r="I125" s="39" t="s">
        <v>20</v>
      </c>
      <c r="J125" s="38" t="s">
        <v>1623</v>
      </c>
      <c r="K125" s="40" t="s">
        <v>1431</v>
      </c>
      <c r="L125" s="39"/>
      <c r="M125" s="39"/>
      <c r="N125" s="39"/>
      <c r="O125" s="39"/>
      <c r="P125" s="39"/>
      <c r="Q125" s="39"/>
      <c r="R125" s="39"/>
      <c r="S125" s="7">
        <v>547831.9169999999</v>
      </c>
      <c r="T125" s="39" t="s">
        <v>1432</v>
      </c>
    </row>
    <row r="126" spans="2:20" x14ac:dyDescent="0.3">
      <c r="B126" s="22" t="s">
        <v>1368</v>
      </c>
      <c r="C126" s="22" t="s">
        <v>51</v>
      </c>
      <c r="D126" s="22" t="s">
        <v>51</v>
      </c>
      <c r="E126" s="38" t="s">
        <v>1624</v>
      </c>
      <c r="F126" s="39" t="s">
        <v>1625</v>
      </c>
      <c r="G126" s="39" t="s">
        <v>18</v>
      </c>
      <c r="H126" s="39" t="s">
        <v>19</v>
      </c>
      <c r="I126" s="39" t="s">
        <v>20</v>
      </c>
      <c r="J126" s="38" t="s">
        <v>1626</v>
      </c>
      <c r="K126" s="40" t="s">
        <v>1435</v>
      </c>
      <c r="L126" s="39"/>
      <c r="M126" s="39"/>
      <c r="N126" s="39"/>
      <c r="O126" s="39"/>
      <c r="P126" s="39"/>
      <c r="Q126" s="39"/>
      <c r="R126" s="39"/>
      <c r="S126" s="7">
        <v>761.20799999999997</v>
      </c>
      <c r="T126" s="39" t="s">
        <v>1424</v>
      </c>
    </row>
    <row r="127" spans="2:20" x14ac:dyDescent="0.3">
      <c r="B127" s="22" t="s">
        <v>1368</v>
      </c>
      <c r="C127" s="22" t="s">
        <v>261</v>
      </c>
      <c r="D127" s="22" t="s">
        <v>261</v>
      </c>
      <c r="E127" s="38" t="s">
        <v>1627</v>
      </c>
      <c r="F127" s="39" t="s">
        <v>1628</v>
      </c>
      <c r="G127" s="39" t="s">
        <v>49</v>
      </c>
      <c r="H127" s="39" t="s">
        <v>19</v>
      </c>
      <c r="I127" s="39" t="s">
        <v>20</v>
      </c>
      <c r="J127" s="38" t="s">
        <v>1629</v>
      </c>
      <c r="K127" s="40" t="s">
        <v>1431</v>
      </c>
      <c r="L127" s="39"/>
      <c r="M127" s="39"/>
      <c r="N127" s="39"/>
      <c r="O127" s="39"/>
      <c r="P127" s="39"/>
      <c r="Q127" s="39"/>
      <c r="R127" s="39"/>
      <c r="S127" s="7">
        <v>185339.9455</v>
      </c>
      <c r="T127" s="39" t="s">
        <v>1438</v>
      </c>
    </row>
    <row r="128" spans="2:20" x14ac:dyDescent="0.3">
      <c r="B128" s="22" t="s">
        <v>1368</v>
      </c>
      <c r="C128" s="22" t="s">
        <v>270</v>
      </c>
      <c r="D128" s="22" t="s">
        <v>270</v>
      </c>
      <c r="E128" s="38" t="s">
        <v>1630</v>
      </c>
      <c r="F128" s="39" t="s">
        <v>271</v>
      </c>
      <c r="G128" s="39" t="s">
        <v>24</v>
      </c>
      <c r="H128" s="39" t="s">
        <v>19</v>
      </c>
      <c r="I128" s="39" t="s">
        <v>20</v>
      </c>
      <c r="J128" s="38" t="s">
        <v>1631</v>
      </c>
      <c r="K128" s="40" t="s">
        <v>1431</v>
      </c>
      <c r="L128" s="39"/>
      <c r="M128" s="39"/>
      <c r="N128" s="39"/>
      <c r="O128" s="39"/>
      <c r="P128" s="39"/>
      <c r="Q128" s="39"/>
      <c r="R128" s="39"/>
      <c r="S128" s="7">
        <v>36541.939999999995</v>
      </c>
      <c r="T128" s="39" t="s">
        <v>1438</v>
      </c>
    </row>
    <row r="129" spans="2:20" x14ac:dyDescent="0.3">
      <c r="B129" s="22" t="s">
        <v>1368</v>
      </c>
      <c r="C129" s="22" t="s">
        <v>507</v>
      </c>
      <c r="D129" s="22" t="s">
        <v>507</v>
      </c>
      <c r="E129" s="38" t="s">
        <v>1632</v>
      </c>
      <c r="F129" s="39" t="s">
        <v>508</v>
      </c>
      <c r="G129" s="39" t="s">
        <v>24</v>
      </c>
      <c r="H129" s="39" t="s">
        <v>19</v>
      </c>
      <c r="I129" s="39" t="s">
        <v>20</v>
      </c>
      <c r="J129" s="38" t="s">
        <v>1633</v>
      </c>
      <c r="K129" s="40" t="s">
        <v>1435</v>
      </c>
      <c r="L129" s="39"/>
      <c r="M129" s="39"/>
      <c r="N129" s="39"/>
      <c r="O129" s="39"/>
      <c r="P129" s="39"/>
      <c r="Q129" s="39"/>
      <c r="R129" s="39"/>
      <c r="S129" s="7">
        <v>5027.4089999999997</v>
      </c>
      <c r="T129" s="39" t="s">
        <v>1424</v>
      </c>
    </row>
    <row r="130" spans="2:20" x14ac:dyDescent="0.3">
      <c r="B130" s="22" t="s">
        <v>1368</v>
      </c>
      <c r="C130" s="22" t="s">
        <v>335</v>
      </c>
      <c r="D130" s="22" t="s">
        <v>335</v>
      </c>
      <c r="E130" s="38" t="s">
        <v>1634</v>
      </c>
      <c r="F130" s="39" t="s">
        <v>336</v>
      </c>
      <c r="G130" s="39" t="s">
        <v>18</v>
      </c>
      <c r="H130" s="39" t="s">
        <v>19</v>
      </c>
      <c r="I130" s="39" t="s">
        <v>20</v>
      </c>
      <c r="J130" s="38" t="s">
        <v>1635</v>
      </c>
      <c r="K130" s="40" t="s">
        <v>1431</v>
      </c>
      <c r="L130" s="39"/>
      <c r="M130" s="39"/>
      <c r="N130" s="39"/>
      <c r="O130" s="39"/>
      <c r="P130" s="39"/>
      <c r="Q130" s="39"/>
      <c r="R130" s="39"/>
      <c r="S130" s="7">
        <v>66172.391499999998</v>
      </c>
      <c r="T130" s="39" t="s">
        <v>1432</v>
      </c>
    </row>
    <row r="131" spans="2:20" x14ac:dyDescent="0.3">
      <c r="B131" s="22" t="s">
        <v>1368</v>
      </c>
      <c r="C131" s="22" t="s">
        <v>1636</v>
      </c>
      <c r="D131" s="22" t="s">
        <v>1636</v>
      </c>
      <c r="E131" s="38" t="s">
        <v>1637</v>
      </c>
      <c r="F131" s="39" t="s">
        <v>1638</v>
      </c>
      <c r="G131" s="39" t="s">
        <v>18</v>
      </c>
      <c r="H131" s="39" t="s">
        <v>19</v>
      </c>
      <c r="I131" s="39" t="s">
        <v>20</v>
      </c>
      <c r="J131" s="38" t="s">
        <v>1639</v>
      </c>
      <c r="K131" s="40" t="s">
        <v>1423</v>
      </c>
      <c r="L131" s="39"/>
      <c r="M131" s="39"/>
      <c r="N131" s="39"/>
      <c r="O131" s="39"/>
      <c r="P131" s="39"/>
      <c r="Q131" s="39"/>
      <c r="R131" s="39"/>
      <c r="S131" s="7">
        <v>5956.6205</v>
      </c>
      <c r="T131" s="39" t="s">
        <v>1424</v>
      </c>
    </row>
    <row r="132" spans="2:20" x14ac:dyDescent="0.3">
      <c r="B132" s="22" t="s">
        <v>1368</v>
      </c>
      <c r="C132" s="22" t="s">
        <v>1640</v>
      </c>
      <c r="D132" s="22" t="s">
        <v>1640</v>
      </c>
      <c r="E132" s="38" t="s">
        <v>1641</v>
      </c>
      <c r="F132" s="39" t="s">
        <v>1642</v>
      </c>
      <c r="G132" s="39" t="s">
        <v>18</v>
      </c>
      <c r="H132" s="39" t="s">
        <v>19</v>
      </c>
      <c r="I132" s="39" t="s">
        <v>20</v>
      </c>
      <c r="J132" s="38" t="s">
        <v>1643</v>
      </c>
      <c r="K132" s="40" t="s">
        <v>1423</v>
      </c>
      <c r="L132" s="39"/>
      <c r="M132" s="39"/>
      <c r="N132" s="39"/>
      <c r="O132" s="39"/>
      <c r="P132" s="39"/>
      <c r="Q132" s="39"/>
      <c r="R132" s="39"/>
      <c r="S132" s="7">
        <v>1315.6</v>
      </c>
      <c r="T132" s="39" t="s">
        <v>1424</v>
      </c>
    </row>
    <row r="133" spans="2:20" x14ac:dyDescent="0.3">
      <c r="B133" s="22" t="s">
        <v>1368</v>
      </c>
      <c r="C133" s="22" t="s">
        <v>112</v>
      </c>
      <c r="D133" s="22" t="s">
        <v>112</v>
      </c>
      <c r="E133" s="38" t="s">
        <v>1644</v>
      </c>
      <c r="F133" s="39" t="s">
        <v>113</v>
      </c>
      <c r="G133" s="39" t="s">
        <v>18</v>
      </c>
      <c r="H133" s="39" t="s">
        <v>19</v>
      </c>
      <c r="I133" s="39" t="s">
        <v>20</v>
      </c>
      <c r="J133" s="38" t="s">
        <v>1645</v>
      </c>
      <c r="K133" s="40" t="s">
        <v>1431</v>
      </c>
      <c r="L133" s="39"/>
      <c r="M133" s="39"/>
      <c r="N133" s="39"/>
      <c r="O133" s="39"/>
      <c r="P133" s="39"/>
      <c r="Q133" s="39"/>
      <c r="R133" s="39"/>
      <c r="S133" s="7">
        <v>34951.846499999992</v>
      </c>
      <c r="T133" s="39" t="s">
        <v>1424</v>
      </c>
    </row>
    <row r="134" spans="2:20" x14ac:dyDescent="0.3">
      <c r="B134" s="22" t="s">
        <v>1368</v>
      </c>
      <c r="C134" s="22" t="s">
        <v>1646</v>
      </c>
      <c r="D134" s="22" t="s">
        <v>1646</v>
      </c>
      <c r="E134" s="38" t="s">
        <v>1647</v>
      </c>
      <c r="F134" s="39" t="s">
        <v>1648</v>
      </c>
      <c r="G134" s="39" t="s">
        <v>18</v>
      </c>
      <c r="H134" s="39" t="s">
        <v>19</v>
      </c>
      <c r="I134" s="39" t="s">
        <v>20</v>
      </c>
      <c r="J134" s="38" t="s">
        <v>1649</v>
      </c>
      <c r="K134" s="40" t="s">
        <v>1423</v>
      </c>
      <c r="L134" s="39"/>
      <c r="M134" s="39"/>
      <c r="N134" s="39"/>
      <c r="O134" s="39"/>
      <c r="P134" s="39"/>
      <c r="Q134" s="39"/>
      <c r="R134" s="39"/>
      <c r="S134" s="7">
        <v>18348.526000000002</v>
      </c>
      <c r="T134" s="39" t="s">
        <v>1424</v>
      </c>
    </row>
    <row r="135" spans="2:20" x14ac:dyDescent="0.3">
      <c r="B135" s="22" t="s">
        <v>1368</v>
      </c>
      <c r="C135" s="22" t="s">
        <v>248</v>
      </c>
      <c r="D135" s="22" t="s">
        <v>248</v>
      </c>
      <c r="E135" s="38" t="s">
        <v>1650</v>
      </c>
      <c r="F135" s="39" t="s">
        <v>249</v>
      </c>
      <c r="G135" s="39" t="s">
        <v>49</v>
      </c>
      <c r="H135" s="39" t="s">
        <v>19</v>
      </c>
      <c r="I135" s="39" t="s">
        <v>20</v>
      </c>
      <c r="J135" s="38" t="s">
        <v>1651</v>
      </c>
      <c r="K135" s="40" t="s">
        <v>1431</v>
      </c>
      <c r="L135" s="39"/>
      <c r="M135" s="39"/>
      <c r="N135" s="39"/>
      <c r="O135" s="39"/>
      <c r="P135" s="39"/>
      <c r="Q135" s="39"/>
      <c r="R135" s="39"/>
      <c r="S135" s="7">
        <v>27528.795449999998</v>
      </c>
      <c r="T135" s="39" t="s">
        <v>1432</v>
      </c>
    </row>
    <row r="136" spans="2:20" x14ac:dyDescent="0.3">
      <c r="B136" s="22" t="s">
        <v>1368</v>
      </c>
      <c r="C136" s="22" t="s">
        <v>516</v>
      </c>
      <c r="D136" s="22" t="s">
        <v>516</v>
      </c>
      <c r="E136" s="38" t="s">
        <v>1652</v>
      </c>
      <c r="F136" s="39" t="s">
        <v>517</v>
      </c>
      <c r="G136" s="39" t="s">
        <v>56</v>
      </c>
      <c r="H136" s="39" t="s">
        <v>19</v>
      </c>
      <c r="I136" s="39" t="s">
        <v>20</v>
      </c>
      <c r="J136" s="38" t="s">
        <v>1653</v>
      </c>
      <c r="K136" s="40" t="s">
        <v>1435</v>
      </c>
      <c r="L136" s="39"/>
      <c r="M136" s="39"/>
      <c r="N136" s="39"/>
      <c r="O136" s="39"/>
      <c r="P136" s="39"/>
      <c r="Q136" s="39"/>
      <c r="R136" s="39"/>
      <c r="S136" s="7">
        <v>11711.726500000001</v>
      </c>
      <c r="T136" s="39" t="s">
        <v>1432</v>
      </c>
    </row>
    <row r="137" spans="2:20" x14ac:dyDescent="0.3">
      <c r="B137" s="22" t="s">
        <v>1368</v>
      </c>
      <c r="C137" s="22" t="s">
        <v>1654</v>
      </c>
      <c r="D137" s="22" t="s">
        <v>1654</v>
      </c>
      <c r="E137" s="38" t="s">
        <v>1655</v>
      </c>
      <c r="F137" s="39" t="s">
        <v>1656</v>
      </c>
      <c r="G137" s="39" t="s">
        <v>18</v>
      </c>
      <c r="H137" s="39" t="s">
        <v>202</v>
      </c>
      <c r="I137" s="39" t="s">
        <v>202</v>
      </c>
      <c r="J137" s="38" t="s">
        <v>1657</v>
      </c>
      <c r="K137" s="40" t="s">
        <v>1423</v>
      </c>
      <c r="L137" s="39"/>
      <c r="M137" s="39"/>
      <c r="N137" s="39"/>
      <c r="O137" s="39"/>
      <c r="P137" s="39"/>
      <c r="Q137" s="39"/>
      <c r="R137" s="39"/>
      <c r="S137" s="7">
        <v>17250</v>
      </c>
      <c r="T137" s="39" t="s">
        <v>1424</v>
      </c>
    </row>
    <row r="138" spans="2:20" x14ac:dyDescent="0.3">
      <c r="B138" s="22" t="s">
        <v>1368</v>
      </c>
      <c r="C138" s="22" t="s">
        <v>501</v>
      </c>
      <c r="D138" s="22" t="s">
        <v>501</v>
      </c>
      <c r="E138" s="38" t="s">
        <v>1658</v>
      </c>
      <c r="F138" s="39" t="s">
        <v>1659</v>
      </c>
      <c r="G138" s="39" t="s">
        <v>18</v>
      </c>
      <c r="H138" s="39" t="s">
        <v>19</v>
      </c>
      <c r="I138" s="39" t="s">
        <v>20</v>
      </c>
      <c r="J138" s="38" t="s">
        <v>1660</v>
      </c>
      <c r="K138" s="40" t="s">
        <v>1454</v>
      </c>
      <c r="L138" s="39"/>
      <c r="M138" s="39"/>
      <c r="N138" s="39"/>
      <c r="O138" s="39"/>
      <c r="P138" s="39"/>
      <c r="Q138" s="39"/>
      <c r="R138" s="39"/>
      <c r="S138" s="7">
        <v>60824.281999999992</v>
      </c>
      <c r="T138" s="39" t="s">
        <v>1432</v>
      </c>
    </row>
    <row r="139" spans="2:20" x14ac:dyDescent="0.3">
      <c r="B139" s="22" t="s">
        <v>1368</v>
      </c>
      <c r="C139" s="22" t="s">
        <v>729</v>
      </c>
      <c r="D139" s="22" t="s">
        <v>729</v>
      </c>
      <c r="E139" s="38" t="s">
        <v>1661</v>
      </c>
      <c r="F139" s="39" t="s">
        <v>1662</v>
      </c>
      <c r="G139" s="39" t="s">
        <v>18</v>
      </c>
      <c r="H139" s="39" t="s">
        <v>19</v>
      </c>
      <c r="I139" s="39" t="s">
        <v>20</v>
      </c>
      <c r="J139" s="38" t="s">
        <v>1663</v>
      </c>
      <c r="K139" s="40" t="s">
        <v>1423</v>
      </c>
      <c r="L139" s="39"/>
      <c r="M139" s="39"/>
      <c r="N139" s="39"/>
      <c r="O139" s="39"/>
      <c r="P139" s="39"/>
      <c r="Q139" s="39"/>
      <c r="R139" s="39"/>
      <c r="S139" s="7">
        <v>3150.5054999999998</v>
      </c>
      <c r="T139" s="39" t="s">
        <v>1424</v>
      </c>
    </row>
    <row r="140" spans="2:20" x14ac:dyDescent="0.3">
      <c r="B140" s="22" t="s">
        <v>1368</v>
      </c>
      <c r="C140" s="22" t="s">
        <v>906</v>
      </c>
      <c r="D140" s="22" t="s">
        <v>906</v>
      </c>
      <c r="E140" s="38" t="s">
        <v>1664</v>
      </c>
      <c r="F140" s="39" t="s">
        <v>1665</v>
      </c>
      <c r="G140" s="39" t="s">
        <v>49</v>
      </c>
      <c r="H140" s="39" t="s">
        <v>19</v>
      </c>
      <c r="I140" s="39" t="s">
        <v>20</v>
      </c>
      <c r="J140" s="38" t="s">
        <v>1666</v>
      </c>
      <c r="K140" s="40" t="s">
        <v>1423</v>
      </c>
      <c r="L140" s="39"/>
      <c r="M140" s="39"/>
      <c r="N140" s="39"/>
      <c r="O140" s="39"/>
      <c r="P140" s="39"/>
      <c r="Q140" s="39"/>
      <c r="R140" s="39"/>
      <c r="S140" s="7">
        <v>2088.17</v>
      </c>
      <c r="T140" s="39" t="s">
        <v>1424</v>
      </c>
    </row>
    <row r="141" spans="2:20" x14ac:dyDescent="0.3">
      <c r="B141" s="22" t="s">
        <v>1368</v>
      </c>
      <c r="C141" s="22" t="s">
        <v>1667</v>
      </c>
      <c r="D141" s="22" t="s">
        <v>1667</v>
      </c>
      <c r="E141" s="38" t="s">
        <v>1668</v>
      </c>
      <c r="F141" s="39" t="s">
        <v>1669</v>
      </c>
      <c r="G141" s="39" t="s">
        <v>18</v>
      </c>
      <c r="H141" s="39" t="s">
        <v>19</v>
      </c>
      <c r="I141" s="39" t="s">
        <v>20</v>
      </c>
      <c r="J141" s="38" t="s">
        <v>1670</v>
      </c>
      <c r="K141" s="40" t="s">
        <v>1423</v>
      </c>
      <c r="L141" s="39"/>
      <c r="M141" s="39"/>
      <c r="N141" s="39"/>
      <c r="O141" s="39"/>
      <c r="P141" s="39"/>
      <c r="Q141" s="39"/>
      <c r="R141" s="39"/>
      <c r="S141" s="7">
        <v>1076.4000000000001</v>
      </c>
      <c r="T141" s="39" t="s">
        <v>1424</v>
      </c>
    </row>
    <row r="142" spans="2:20" x14ac:dyDescent="0.3">
      <c r="B142" s="22" t="s">
        <v>1368</v>
      </c>
      <c r="C142" s="22" t="s">
        <v>1129</v>
      </c>
      <c r="D142" s="22" t="s">
        <v>1129</v>
      </c>
      <c r="E142" s="38" t="s">
        <v>1671</v>
      </c>
      <c r="F142" s="39" t="s">
        <v>1672</v>
      </c>
      <c r="G142" s="39" t="s">
        <v>18</v>
      </c>
      <c r="H142" s="39" t="s">
        <v>19</v>
      </c>
      <c r="I142" s="39" t="s">
        <v>20</v>
      </c>
      <c r="J142" s="38" t="s">
        <v>1673</v>
      </c>
      <c r="K142" s="40" t="s">
        <v>1423</v>
      </c>
      <c r="L142" s="39"/>
      <c r="M142" s="39"/>
      <c r="N142" s="39"/>
      <c r="O142" s="39"/>
      <c r="P142" s="39"/>
      <c r="Q142" s="39"/>
      <c r="R142" s="39"/>
      <c r="S142" s="7">
        <v>758.37900000000002</v>
      </c>
      <c r="T142" s="39" t="s">
        <v>1424</v>
      </c>
    </row>
    <row r="143" spans="2:20" x14ac:dyDescent="0.3">
      <c r="B143" s="22" t="s">
        <v>1368</v>
      </c>
      <c r="C143" s="22" t="s">
        <v>1674</v>
      </c>
      <c r="D143" s="22" t="s">
        <v>1674</v>
      </c>
      <c r="E143" s="38" t="s">
        <v>1675</v>
      </c>
      <c r="F143" s="39" t="s">
        <v>1676</v>
      </c>
      <c r="G143" s="39" t="s">
        <v>18</v>
      </c>
      <c r="H143" s="39" t="s">
        <v>19</v>
      </c>
      <c r="I143" s="39" t="s">
        <v>20</v>
      </c>
      <c r="J143" s="38" t="s">
        <v>1677</v>
      </c>
      <c r="K143" s="40" t="s">
        <v>1423</v>
      </c>
      <c r="L143" s="39"/>
      <c r="M143" s="39"/>
      <c r="N143" s="39"/>
      <c r="O143" s="39"/>
      <c r="P143" s="39"/>
      <c r="Q143" s="39"/>
      <c r="R143" s="39"/>
      <c r="S143" s="7">
        <v>787.54299999999989</v>
      </c>
      <c r="T143" s="39" t="s">
        <v>1424</v>
      </c>
    </row>
    <row r="144" spans="2:20" x14ac:dyDescent="0.3">
      <c r="B144" s="22" t="s">
        <v>1368</v>
      </c>
      <c r="C144" s="22" t="s">
        <v>1678</v>
      </c>
      <c r="D144" s="22" t="s">
        <v>1678</v>
      </c>
      <c r="E144" s="38" t="s">
        <v>1679</v>
      </c>
      <c r="F144" s="39" t="s">
        <v>1680</v>
      </c>
      <c r="G144" s="39" t="s">
        <v>24</v>
      </c>
      <c r="H144" s="39" t="s">
        <v>19</v>
      </c>
      <c r="I144" s="39" t="s">
        <v>20</v>
      </c>
      <c r="J144" s="38" t="s">
        <v>1681</v>
      </c>
      <c r="K144" s="40" t="s">
        <v>1423</v>
      </c>
      <c r="L144" s="39"/>
      <c r="M144" s="39"/>
      <c r="N144" s="39"/>
      <c r="O144" s="39"/>
      <c r="P144" s="39"/>
      <c r="Q144" s="39"/>
      <c r="R144" s="39"/>
      <c r="S144" s="7">
        <v>42286.672999999995</v>
      </c>
      <c r="T144" s="39" t="s">
        <v>1424</v>
      </c>
    </row>
    <row r="145" spans="2:20" x14ac:dyDescent="0.3">
      <c r="B145" s="22" t="s">
        <v>1368</v>
      </c>
      <c r="C145" s="22" t="s">
        <v>100</v>
      </c>
      <c r="D145" s="22" t="s">
        <v>100</v>
      </c>
      <c r="E145" s="38" t="s">
        <v>1682</v>
      </c>
      <c r="F145" s="39" t="s">
        <v>101</v>
      </c>
      <c r="G145" s="39" t="s">
        <v>24</v>
      </c>
      <c r="H145" s="39" t="s">
        <v>19</v>
      </c>
      <c r="I145" s="39" t="s">
        <v>20</v>
      </c>
      <c r="J145" s="38" t="s">
        <v>1683</v>
      </c>
      <c r="K145" s="40" t="s">
        <v>1435</v>
      </c>
      <c r="L145" s="39"/>
      <c r="M145" s="39"/>
      <c r="N145" s="39"/>
      <c r="O145" s="39"/>
      <c r="P145" s="39"/>
      <c r="Q145" s="39"/>
      <c r="R145" s="39"/>
      <c r="S145" s="7">
        <v>36284.800000000003</v>
      </c>
      <c r="T145" s="39" t="s">
        <v>1424</v>
      </c>
    </row>
    <row r="146" spans="2:20" x14ac:dyDescent="0.3">
      <c r="B146" s="22" t="s">
        <v>1368</v>
      </c>
      <c r="C146" s="22" t="s">
        <v>1684</v>
      </c>
      <c r="D146" s="22" t="s">
        <v>1684</v>
      </c>
      <c r="E146" s="38" t="s">
        <v>1685</v>
      </c>
      <c r="F146" s="39" t="s">
        <v>1686</v>
      </c>
      <c r="G146" s="39" t="s">
        <v>18</v>
      </c>
      <c r="H146" s="39" t="s">
        <v>19</v>
      </c>
      <c r="I146" s="39" t="s">
        <v>20</v>
      </c>
      <c r="J146" s="38" t="s">
        <v>1687</v>
      </c>
      <c r="K146" s="40" t="s">
        <v>1423</v>
      </c>
      <c r="L146" s="39"/>
      <c r="M146" s="39"/>
      <c r="N146" s="39"/>
      <c r="O146" s="39"/>
      <c r="P146" s="39"/>
      <c r="Q146" s="39"/>
      <c r="R146" s="39"/>
      <c r="S146" s="7">
        <v>16450.456750000001</v>
      </c>
      <c r="T146" s="39" t="s">
        <v>1424</v>
      </c>
    </row>
    <row r="147" spans="2:20" x14ac:dyDescent="0.3">
      <c r="B147" s="22" t="s">
        <v>1368</v>
      </c>
      <c r="C147" s="22" t="s">
        <v>1688</v>
      </c>
      <c r="D147" s="22" t="s">
        <v>1688</v>
      </c>
      <c r="E147" s="38" t="s">
        <v>1689</v>
      </c>
      <c r="F147" s="39" t="s">
        <v>1690</v>
      </c>
      <c r="G147" s="39" t="s">
        <v>18</v>
      </c>
      <c r="H147" s="39" t="s">
        <v>19</v>
      </c>
      <c r="I147" s="39" t="s">
        <v>20</v>
      </c>
      <c r="J147" s="38" t="s">
        <v>1691</v>
      </c>
      <c r="K147" s="40" t="s">
        <v>1423</v>
      </c>
      <c r="L147" s="39"/>
      <c r="M147" s="39"/>
      <c r="N147" s="39"/>
      <c r="O147" s="39"/>
      <c r="P147" s="39"/>
      <c r="Q147" s="39"/>
      <c r="R147" s="39"/>
      <c r="S147" s="7">
        <v>1411.1592499999999</v>
      </c>
      <c r="T147" s="39" t="s">
        <v>1424</v>
      </c>
    </row>
    <row r="148" spans="2:20" x14ac:dyDescent="0.3">
      <c r="B148" s="22" t="s">
        <v>1368</v>
      </c>
      <c r="C148" s="22" t="s">
        <v>396</v>
      </c>
      <c r="D148" s="22" t="s">
        <v>396</v>
      </c>
      <c r="E148" s="38" t="s">
        <v>1692</v>
      </c>
      <c r="F148" s="39" t="s">
        <v>1693</v>
      </c>
      <c r="G148" s="39" t="s">
        <v>18</v>
      </c>
      <c r="H148" s="39" t="s">
        <v>19</v>
      </c>
      <c r="I148" s="39" t="s">
        <v>20</v>
      </c>
      <c r="J148" s="38" t="s">
        <v>1694</v>
      </c>
      <c r="K148" s="40" t="s">
        <v>1431</v>
      </c>
      <c r="L148" s="39"/>
      <c r="M148" s="39"/>
      <c r="N148" s="39"/>
      <c r="O148" s="39"/>
      <c r="P148" s="39"/>
      <c r="Q148" s="39"/>
      <c r="R148" s="39"/>
      <c r="S148" s="7">
        <v>149.66721000000001</v>
      </c>
      <c r="T148" s="39" t="s">
        <v>1424</v>
      </c>
    </row>
    <row r="149" spans="2:20" x14ac:dyDescent="0.3">
      <c r="B149" s="22" t="s">
        <v>1368</v>
      </c>
      <c r="C149" s="22" t="s">
        <v>225</v>
      </c>
      <c r="D149" s="22" t="s">
        <v>225</v>
      </c>
      <c r="E149" s="38" t="s">
        <v>1695</v>
      </c>
      <c r="F149" s="39" t="s">
        <v>1696</v>
      </c>
      <c r="G149" s="39" t="s">
        <v>24</v>
      </c>
      <c r="H149" s="39" t="s">
        <v>19</v>
      </c>
      <c r="I149" s="39" t="s">
        <v>20</v>
      </c>
      <c r="J149" s="38" t="s">
        <v>1697</v>
      </c>
      <c r="K149" s="40" t="s">
        <v>1435</v>
      </c>
      <c r="L149" s="39"/>
      <c r="M149" s="39"/>
      <c r="N149" s="39"/>
      <c r="O149" s="39"/>
      <c r="P149" s="39"/>
      <c r="Q149" s="39"/>
      <c r="R149" s="39"/>
      <c r="S149" s="7">
        <v>690</v>
      </c>
      <c r="T149" s="39" t="s">
        <v>1438</v>
      </c>
    </row>
    <row r="150" spans="2:20" x14ac:dyDescent="0.3">
      <c r="B150" s="22" t="s">
        <v>1368</v>
      </c>
      <c r="C150" s="22" t="s">
        <v>303</v>
      </c>
      <c r="D150" s="22" t="s">
        <v>303</v>
      </c>
      <c r="E150" s="38" t="s">
        <v>1698</v>
      </c>
      <c r="F150" s="39" t="s">
        <v>304</v>
      </c>
      <c r="G150" s="39" t="s">
        <v>49</v>
      </c>
      <c r="H150" s="39" t="s">
        <v>19</v>
      </c>
      <c r="I150" s="39" t="s">
        <v>20</v>
      </c>
      <c r="J150" s="38" t="s">
        <v>1699</v>
      </c>
      <c r="K150" s="40" t="s">
        <v>1700</v>
      </c>
      <c r="L150" s="39"/>
      <c r="M150" s="39"/>
      <c r="N150" s="39"/>
      <c r="O150" s="39"/>
      <c r="P150" s="39"/>
      <c r="Q150" s="39"/>
      <c r="R150" s="39"/>
      <c r="S150" s="7">
        <v>2477664.70175</v>
      </c>
      <c r="T150" s="39" t="s">
        <v>1438</v>
      </c>
    </row>
    <row r="151" spans="2:20" x14ac:dyDescent="0.3">
      <c r="B151" s="22" t="s">
        <v>1368</v>
      </c>
      <c r="C151" s="22" t="s">
        <v>1701</v>
      </c>
      <c r="D151" s="22" t="s">
        <v>1701</v>
      </c>
      <c r="E151" s="38" t="s">
        <v>1702</v>
      </c>
      <c r="F151" s="39" t="s">
        <v>1703</v>
      </c>
      <c r="G151" s="39" t="s">
        <v>18</v>
      </c>
      <c r="H151" s="39" t="s">
        <v>19</v>
      </c>
      <c r="I151" s="39" t="s">
        <v>20</v>
      </c>
      <c r="J151" s="38" t="s">
        <v>1704</v>
      </c>
      <c r="K151" s="40" t="s">
        <v>1423</v>
      </c>
      <c r="L151" s="39"/>
      <c r="M151" s="39"/>
      <c r="N151" s="39"/>
      <c r="O151" s="39"/>
      <c r="P151" s="39"/>
      <c r="Q151" s="39"/>
      <c r="R151" s="39"/>
      <c r="S151" s="7">
        <v>640.31999999999994</v>
      </c>
      <c r="T151" s="39" t="s">
        <v>1424</v>
      </c>
    </row>
    <row r="152" spans="2:20" x14ac:dyDescent="0.3">
      <c r="B152" s="22" t="s">
        <v>1368</v>
      </c>
      <c r="C152" s="22" t="s">
        <v>1705</v>
      </c>
      <c r="D152" s="22" t="s">
        <v>1705</v>
      </c>
      <c r="E152" s="38" t="s">
        <v>1706</v>
      </c>
      <c r="F152" s="39" t="s">
        <v>1707</v>
      </c>
      <c r="G152" s="39" t="s">
        <v>18</v>
      </c>
      <c r="H152" s="39" t="s">
        <v>19</v>
      </c>
      <c r="I152" s="39" t="s">
        <v>20</v>
      </c>
      <c r="J152" s="38" t="s">
        <v>1708</v>
      </c>
      <c r="K152" s="40" t="s">
        <v>1423</v>
      </c>
      <c r="L152" s="39"/>
      <c r="M152" s="39"/>
      <c r="N152" s="39"/>
      <c r="O152" s="39"/>
      <c r="P152" s="39"/>
      <c r="Q152" s="39"/>
      <c r="R152" s="39"/>
      <c r="S152" s="7">
        <v>505.0455</v>
      </c>
      <c r="T152" s="39" t="s">
        <v>1424</v>
      </c>
    </row>
    <row r="153" spans="2:20" x14ac:dyDescent="0.3">
      <c r="B153" s="22" t="s">
        <v>1368</v>
      </c>
      <c r="C153" s="22" t="s">
        <v>84</v>
      </c>
      <c r="D153" s="22" t="s">
        <v>84</v>
      </c>
      <c r="E153" s="38" t="s">
        <v>1709</v>
      </c>
      <c r="F153" s="39" t="s">
        <v>85</v>
      </c>
      <c r="G153" s="39" t="s">
        <v>24</v>
      </c>
      <c r="H153" s="39" t="s">
        <v>19</v>
      </c>
      <c r="I153" s="39" t="s">
        <v>20</v>
      </c>
      <c r="J153" s="38" t="s">
        <v>1710</v>
      </c>
      <c r="K153" s="40" t="s">
        <v>1431</v>
      </c>
      <c r="L153" s="39"/>
      <c r="M153" s="39"/>
      <c r="N153" s="39"/>
      <c r="O153" s="39"/>
      <c r="P153" s="39"/>
      <c r="Q153" s="39"/>
      <c r="R153" s="39"/>
      <c r="S153" s="7">
        <v>37058.669499999996</v>
      </c>
      <c r="T153" s="39" t="s">
        <v>1432</v>
      </c>
    </row>
    <row r="154" spans="2:20" x14ac:dyDescent="0.3">
      <c r="B154" s="22" t="s">
        <v>1368</v>
      </c>
      <c r="C154" s="22" t="s">
        <v>1711</v>
      </c>
      <c r="D154" s="22" t="s">
        <v>1711</v>
      </c>
      <c r="E154" s="38" t="s">
        <v>1712</v>
      </c>
      <c r="F154" s="39" t="s">
        <v>1713</v>
      </c>
      <c r="G154" s="39" t="s">
        <v>18</v>
      </c>
      <c r="H154" s="39" t="s">
        <v>19</v>
      </c>
      <c r="I154" s="39" t="s">
        <v>20</v>
      </c>
      <c r="J154" s="38" t="s">
        <v>1714</v>
      </c>
      <c r="K154" s="40" t="s">
        <v>1423</v>
      </c>
      <c r="L154" s="39"/>
      <c r="M154" s="39"/>
      <c r="N154" s="39"/>
      <c r="O154" s="39"/>
      <c r="P154" s="39"/>
      <c r="Q154" s="39"/>
      <c r="R154" s="39"/>
      <c r="S154" s="7">
        <v>3251.8032499999999</v>
      </c>
      <c r="T154" s="39" t="s">
        <v>1424</v>
      </c>
    </row>
    <row r="155" spans="2:20" x14ac:dyDescent="0.3">
      <c r="B155" s="22" t="s">
        <v>1368</v>
      </c>
      <c r="C155" s="22" t="s">
        <v>219</v>
      </c>
      <c r="D155" s="22" t="s">
        <v>219</v>
      </c>
      <c r="E155" s="38" t="s">
        <v>1715</v>
      </c>
      <c r="F155" s="39" t="s">
        <v>220</v>
      </c>
      <c r="G155" s="39" t="s">
        <v>18</v>
      </c>
      <c r="H155" s="39" t="s">
        <v>19</v>
      </c>
      <c r="I155" s="39" t="s">
        <v>20</v>
      </c>
      <c r="J155" s="38" t="s">
        <v>1716</v>
      </c>
      <c r="K155" s="40" t="s">
        <v>1431</v>
      </c>
      <c r="L155" s="39"/>
      <c r="M155" s="39"/>
      <c r="N155" s="39"/>
      <c r="O155" s="39"/>
      <c r="P155" s="39"/>
      <c r="Q155" s="39"/>
      <c r="R155" s="39"/>
      <c r="S155" s="7">
        <v>3572.3254999999999</v>
      </c>
      <c r="T155" s="39" t="s">
        <v>1432</v>
      </c>
    </row>
    <row r="156" spans="2:20" x14ac:dyDescent="0.3">
      <c r="B156" s="22" t="s">
        <v>1368</v>
      </c>
      <c r="C156" s="22" t="s">
        <v>1279</v>
      </c>
      <c r="D156" s="22" t="s">
        <v>1279</v>
      </c>
      <c r="E156" s="38" t="s">
        <v>1717</v>
      </c>
      <c r="F156" s="39" t="s">
        <v>1280</v>
      </c>
      <c r="G156" s="39" t="s">
        <v>49</v>
      </c>
      <c r="H156" s="39" t="s">
        <v>19</v>
      </c>
      <c r="I156" s="39" t="s">
        <v>20</v>
      </c>
      <c r="J156" s="38" t="s">
        <v>1718</v>
      </c>
      <c r="K156" s="40" t="s">
        <v>1431</v>
      </c>
      <c r="L156" s="39"/>
      <c r="M156" s="39"/>
      <c r="N156" s="39"/>
      <c r="O156" s="39"/>
      <c r="P156" s="39"/>
      <c r="Q156" s="39"/>
      <c r="R156" s="39"/>
      <c r="S156" s="7">
        <v>161273.05599999998</v>
      </c>
      <c r="T156" s="39" t="s">
        <v>1438</v>
      </c>
    </row>
    <row r="157" spans="2:20" x14ac:dyDescent="0.3">
      <c r="B157" s="22" t="s">
        <v>1368</v>
      </c>
      <c r="C157" s="22" t="s">
        <v>145</v>
      </c>
      <c r="D157" s="22" t="s">
        <v>145</v>
      </c>
      <c r="E157" s="38" t="s">
        <v>1719</v>
      </c>
      <c r="F157" s="39" t="s">
        <v>1720</v>
      </c>
      <c r="G157" s="39" t="s">
        <v>18</v>
      </c>
      <c r="H157" s="39" t="s">
        <v>19</v>
      </c>
      <c r="I157" s="39" t="s">
        <v>20</v>
      </c>
      <c r="J157" s="38" t="s">
        <v>1721</v>
      </c>
      <c r="K157" s="40" t="s">
        <v>1431</v>
      </c>
      <c r="L157" s="39"/>
      <c r="M157" s="39"/>
      <c r="N157" s="39"/>
      <c r="O157" s="39"/>
      <c r="P157" s="39"/>
      <c r="Q157" s="39"/>
      <c r="R157" s="39"/>
      <c r="S157" s="7">
        <v>76476.403000000006</v>
      </c>
      <c r="T157" s="39" t="s">
        <v>1432</v>
      </c>
    </row>
    <row r="158" spans="2:20" x14ac:dyDescent="0.3">
      <c r="B158" s="22" t="s">
        <v>1368</v>
      </c>
      <c r="C158" s="22" t="s">
        <v>434</v>
      </c>
      <c r="D158" s="22" t="s">
        <v>434</v>
      </c>
      <c r="E158" s="38" t="s">
        <v>1722</v>
      </c>
      <c r="F158" s="39" t="s">
        <v>435</v>
      </c>
      <c r="G158" s="39" t="s">
        <v>18</v>
      </c>
      <c r="H158" s="39" t="s">
        <v>19</v>
      </c>
      <c r="I158" s="39" t="s">
        <v>20</v>
      </c>
      <c r="J158" s="38" t="s">
        <v>1723</v>
      </c>
      <c r="K158" s="40" t="s">
        <v>1454</v>
      </c>
      <c r="L158" s="39"/>
      <c r="M158" s="39"/>
      <c r="N158" s="39"/>
      <c r="O158" s="39"/>
      <c r="P158" s="39"/>
      <c r="Q158" s="39"/>
      <c r="R158" s="39"/>
      <c r="S158" s="7">
        <v>179425.82325000002</v>
      </c>
      <c r="T158" s="39" t="s">
        <v>1432</v>
      </c>
    </row>
    <row r="159" spans="2:20" x14ac:dyDescent="0.3">
      <c r="B159" s="22" t="s">
        <v>1368</v>
      </c>
      <c r="C159" s="22" t="s">
        <v>323</v>
      </c>
      <c r="D159" s="22" t="s">
        <v>323</v>
      </c>
      <c r="E159" s="38" t="s">
        <v>1724</v>
      </c>
      <c r="F159" s="39" t="s">
        <v>324</v>
      </c>
      <c r="G159" s="39" t="s">
        <v>18</v>
      </c>
      <c r="H159" s="39" t="s">
        <v>19</v>
      </c>
      <c r="I159" s="39" t="s">
        <v>20</v>
      </c>
      <c r="J159" s="38" t="s">
        <v>1725</v>
      </c>
      <c r="K159" s="40" t="s">
        <v>1435</v>
      </c>
      <c r="L159" s="39"/>
      <c r="M159" s="39"/>
      <c r="N159" s="39"/>
      <c r="O159" s="39"/>
      <c r="P159" s="39"/>
      <c r="Q159" s="39"/>
      <c r="R159" s="39"/>
      <c r="S159" s="7">
        <v>0</v>
      </c>
      <c r="T159" s="39" t="e">
        <v>#N/A</v>
      </c>
    </row>
    <row r="160" spans="2:20" x14ac:dyDescent="0.3">
      <c r="B160" s="22" t="s">
        <v>1368</v>
      </c>
      <c r="C160" s="22" t="s">
        <v>326</v>
      </c>
      <c r="D160" s="22" t="s">
        <v>326</v>
      </c>
      <c r="E160" s="38" t="s">
        <v>1726</v>
      </c>
      <c r="F160" s="39" t="s">
        <v>327</v>
      </c>
      <c r="G160" s="39" t="s">
        <v>18</v>
      </c>
      <c r="H160" s="39" t="s">
        <v>19</v>
      </c>
      <c r="I160" s="39" t="s">
        <v>20</v>
      </c>
      <c r="J160" s="38" t="s">
        <v>1727</v>
      </c>
      <c r="K160" s="40" t="s">
        <v>1431</v>
      </c>
      <c r="L160" s="39"/>
      <c r="M160" s="39"/>
      <c r="N160" s="39"/>
      <c r="O160" s="39"/>
      <c r="P160" s="39"/>
      <c r="Q160" s="39"/>
      <c r="R160" s="39"/>
      <c r="S160" s="7">
        <v>56873.669750000001</v>
      </c>
      <c r="T160" s="39" t="s">
        <v>1432</v>
      </c>
    </row>
    <row r="161" spans="2:20" x14ac:dyDescent="0.3">
      <c r="B161" s="22" t="s">
        <v>1368</v>
      </c>
      <c r="C161" s="22" t="s">
        <v>58</v>
      </c>
      <c r="D161" s="22" t="s">
        <v>58</v>
      </c>
      <c r="E161" s="38" t="s">
        <v>1728</v>
      </c>
      <c r="F161" s="39" t="s">
        <v>59</v>
      </c>
      <c r="G161" s="39" t="s">
        <v>24</v>
      </c>
      <c r="H161" s="39" t="s">
        <v>19</v>
      </c>
      <c r="I161" s="39" t="s">
        <v>20</v>
      </c>
      <c r="J161" s="38" t="s">
        <v>1729</v>
      </c>
      <c r="K161" s="40" t="s">
        <v>1435</v>
      </c>
      <c r="L161" s="39"/>
      <c r="M161" s="39"/>
      <c r="N161" s="39"/>
      <c r="O161" s="39"/>
      <c r="P161" s="39"/>
      <c r="Q161" s="39"/>
      <c r="R161" s="39"/>
      <c r="S161" s="7">
        <v>21576.587499999998</v>
      </c>
      <c r="T161" s="39" t="s">
        <v>1438</v>
      </c>
    </row>
    <row r="162" spans="2:20" x14ac:dyDescent="0.3">
      <c r="B162" s="22" t="s">
        <v>1368</v>
      </c>
      <c r="C162" s="22" t="s">
        <v>279</v>
      </c>
      <c r="D162" s="22" t="s">
        <v>279</v>
      </c>
      <c r="E162" s="38" t="s">
        <v>1730</v>
      </c>
      <c r="F162" s="39" t="s">
        <v>280</v>
      </c>
      <c r="G162" s="39" t="s">
        <v>49</v>
      </c>
      <c r="H162" s="39" t="s">
        <v>19</v>
      </c>
      <c r="I162" s="39" t="s">
        <v>20</v>
      </c>
      <c r="J162" s="38" t="s">
        <v>1731</v>
      </c>
      <c r="K162" s="40" t="s">
        <v>1431</v>
      </c>
      <c r="L162" s="39"/>
      <c r="M162" s="39"/>
      <c r="N162" s="39"/>
      <c r="O162" s="39"/>
      <c r="P162" s="39"/>
      <c r="Q162" s="39"/>
      <c r="R162" s="39"/>
      <c r="S162" s="7">
        <v>0</v>
      </c>
      <c r="T162" s="39" t="e">
        <v>#N/A</v>
      </c>
    </row>
    <row r="163" spans="2:20" x14ac:dyDescent="0.3">
      <c r="B163" s="22" t="s">
        <v>1368</v>
      </c>
      <c r="C163" s="22" t="s">
        <v>109</v>
      </c>
      <c r="D163" s="22" t="s">
        <v>109</v>
      </c>
      <c r="E163" s="38" t="s">
        <v>1732</v>
      </c>
      <c r="F163" s="39" t="s">
        <v>1732</v>
      </c>
      <c r="G163" s="39" t="s">
        <v>24</v>
      </c>
      <c r="H163" s="39" t="s">
        <v>19</v>
      </c>
      <c r="I163" s="39" t="s">
        <v>20</v>
      </c>
      <c r="J163" s="38" t="s">
        <v>1733</v>
      </c>
      <c r="K163" s="40" t="s">
        <v>1435</v>
      </c>
      <c r="L163" s="39"/>
      <c r="M163" s="39"/>
      <c r="N163" s="39"/>
      <c r="O163" s="39"/>
      <c r="P163" s="39"/>
      <c r="Q163" s="39"/>
      <c r="R163" s="39"/>
      <c r="S163" s="7">
        <v>6198.1894999999995</v>
      </c>
      <c r="T163" s="39" t="s">
        <v>1424</v>
      </c>
    </row>
    <row r="164" spans="2:20" x14ac:dyDescent="0.3">
      <c r="B164" s="22" t="s">
        <v>1368</v>
      </c>
      <c r="C164" s="22" t="s">
        <v>1734</v>
      </c>
      <c r="D164" s="22" t="s">
        <v>1734</v>
      </c>
      <c r="E164" s="38" t="s">
        <v>1735</v>
      </c>
      <c r="F164" s="39" t="s">
        <v>1736</v>
      </c>
      <c r="G164" s="39" t="s">
        <v>18</v>
      </c>
      <c r="H164" s="39" t="s">
        <v>19</v>
      </c>
      <c r="I164" s="39" t="s">
        <v>20</v>
      </c>
      <c r="J164" s="38" t="s">
        <v>1737</v>
      </c>
      <c r="K164" s="40" t="s">
        <v>1423</v>
      </c>
      <c r="L164" s="39"/>
      <c r="M164" s="39"/>
      <c r="N164" s="39"/>
      <c r="O164" s="39"/>
      <c r="P164" s="39"/>
      <c r="Q164" s="39"/>
      <c r="R164" s="39"/>
      <c r="S164" s="7">
        <v>5680.08</v>
      </c>
      <c r="T164" s="39" t="s">
        <v>1424</v>
      </c>
    </row>
    <row r="165" spans="2:20" x14ac:dyDescent="0.3">
      <c r="B165" s="22" t="s">
        <v>1368</v>
      </c>
      <c r="C165" s="22" t="s">
        <v>513</v>
      </c>
      <c r="D165" s="22" t="s">
        <v>513</v>
      </c>
      <c r="E165" s="38" t="s">
        <v>1738</v>
      </c>
      <c r="F165" s="39" t="s">
        <v>514</v>
      </c>
      <c r="G165" s="39" t="s">
        <v>18</v>
      </c>
      <c r="H165" s="39" t="s">
        <v>19</v>
      </c>
      <c r="I165" s="39" t="s">
        <v>20</v>
      </c>
      <c r="J165" s="38" t="s">
        <v>1739</v>
      </c>
      <c r="K165" s="40" t="s">
        <v>1435</v>
      </c>
      <c r="L165" s="39"/>
      <c r="M165" s="39"/>
      <c r="N165" s="39"/>
      <c r="O165" s="39"/>
      <c r="P165" s="39"/>
      <c r="Q165" s="39"/>
      <c r="R165" s="39"/>
      <c r="S165" s="7">
        <v>248011.21000000002</v>
      </c>
      <c r="T165" s="39" t="e">
        <v>#N/A</v>
      </c>
    </row>
    <row r="166" spans="2:20" x14ac:dyDescent="0.3">
      <c r="B166" s="22" t="s">
        <v>1368</v>
      </c>
      <c r="C166" s="22" t="s">
        <v>90</v>
      </c>
      <c r="D166" s="22" t="s">
        <v>90</v>
      </c>
      <c r="E166" s="38" t="s">
        <v>1740</v>
      </c>
      <c r="F166" s="39" t="s">
        <v>91</v>
      </c>
      <c r="G166" s="39" t="s">
        <v>18</v>
      </c>
      <c r="H166" s="39" t="s">
        <v>19</v>
      </c>
      <c r="I166" s="39" t="s">
        <v>20</v>
      </c>
      <c r="J166" s="38" t="s">
        <v>1741</v>
      </c>
      <c r="K166" s="40" t="s">
        <v>1454</v>
      </c>
      <c r="L166" s="39"/>
      <c r="M166" s="39"/>
      <c r="N166" s="39"/>
      <c r="O166" s="39"/>
      <c r="P166" s="39"/>
      <c r="Q166" s="39"/>
      <c r="R166" s="39"/>
      <c r="S166" s="7">
        <v>138139.19</v>
      </c>
      <c r="T166" s="39" t="e">
        <v>#N/A</v>
      </c>
    </row>
    <row r="167" spans="2:20" x14ac:dyDescent="0.3">
      <c r="B167" s="22" t="s">
        <v>1368</v>
      </c>
      <c r="C167" s="22" t="s">
        <v>87</v>
      </c>
      <c r="D167" s="22" t="s">
        <v>87</v>
      </c>
      <c r="E167" s="38" t="s">
        <v>1742</v>
      </c>
      <c r="F167" s="39" t="s">
        <v>88</v>
      </c>
      <c r="G167" s="39" t="s">
        <v>56</v>
      </c>
      <c r="H167" s="39" t="s">
        <v>19</v>
      </c>
      <c r="I167" s="39" t="s">
        <v>20</v>
      </c>
      <c r="J167" s="38" t="s">
        <v>1743</v>
      </c>
      <c r="K167" s="40" t="s">
        <v>1454</v>
      </c>
      <c r="L167" s="39"/>
      <c r="M167" s="39"/>
      <c r="N167" s="39"/>
      <c r="O167" s="39"/>
      <c r="P167" s="39"/>
      <c r="Q167" s="39"/>
      <c r="R167" s="39"/>
      <c r="S167" s="7">
        <v>61609.53</v>
      </c>
      <c r="T167" s="39" t="e">
        <v>#N/A</v>
      </c>
    </row>
    <row r="168" spans="2:20" x14ac:dyDescent="0.3">
      <c r="B168" s="22" t="s">
        <v>1368</v>
      </c>
      <c r="C168" s="22" t="s">
        <v>897</v>
      </c>
      <c r="D168" s="22" t="s">
        <v>897</v>
      </c>
      <c r="E168" s="38" t="s">
        <v>1744</v>
      </c>
      <c r="F168" s="39" t="s">
        <v>137</v>
      </c>
      <c r="G168" s="39" t="s">
        <v>18</v>
      </c>
      <c r="H168" s="39" t="s">
        <v>19</v>
      </c>
      <c r="I168" s="39" t="s">
        <v>20</v>
      </c>
      <c r="J168" s="38" t="s">
        <v>1745</v>
      </c>
      <c r="K168" s="40" t="s">
        <v>1423</v>
      </c>
      <c r="L168" s="39"/>
      <c r="M168" s="39"/>
      <c r="N168" s="39"/>
      <c r="O168" s="39"/>
      <c r="P168" s="39"/>
      <c r="Q168" s="39"/>
      <c r="R168" s="39"/>
      <c r="S168" s="7">
        <v>0</v>
      </c>
      <c r="T168" s="39" t="e">
        <v>#N/A</v>
      </c>
    </row>
    <row r="169" spans="2:20" x14ac:dyDescent="0.3">
      <c r="B169" s="22" t="s">
        <v>1368</v>
      </c>
      <c r="C169" s="22" t="s">
        <v>931</v>
      </c>
      <c r="D169" s="22" t="s">
        <v>931</v>
      </c>
      <c r="E169" s="38" t="s">
        <v>1746</v>
      </c>
      <c r="F169" s="39" t="s">
        <v>62</v>
      </c>
      <c r="G169" s="39" t="s">
        <v>18</v>
      </c>
      <c r="H169" s="39" t="s">
        <v>202</v>
      </c>
      <c r="I169" s="39" t="s">
        <v>202</v>
      </c>
      <c r="J169" s="38" t="s">
        <v>1747</v>
      </c>
      <c r="K169" s="40" t="s">
        <v>1423</v>
      </c>
      <c r="L169" s="39"/>
      <c r="M169" s="39"/>
      <c r="N169" s="39"/>
      <c r="O169" s="39"/>
      <c r="P169" s="39"/>
      <c r="Q169" s="39"/>
      <c r="R169" s="39"/>
      <c r="S169" s="7">
        <v>5520</v>
      </c>
      <c r="T169" s="39" t="s">
        <v>1424</v>
      </c>
    </row>
    <row r="170" spans="2:20" x14ac:dyDescent="0.3">
      <c r="B170" s="22" t="s">
        <v>1368</v>
      </c>
      <c r="C170" s="22" t="s">
        <v>1748</v>
      </c>
      <c r="D170" s="22" t="s">
        <v>1748</v>
      </c>
      <c r="E170" s="38" t="s">
        <v>1749</v>
      </c>
      <c r="F170" s="39" t="s">
        <v>1750</v>
      </c>
      <c r="G170" s="39" t="s">
        <v>49</v>
      </c>
      <c r="H170" s="39" t="s">
        <v>19</v>
      </c>
      <c r="I170" s="39" t="s">
        <v>20</v>
      </c>
      <c r="J170" s="38" t="s">
        <v>1751</v>
      </c>
      <c r="K170" s="40" t="s">
        <v>1423</v>
      </c>
      <c r="L170" s="39"/>
      <c r="M170" s="39"/>
      <c r="N170" s="39"/>
      <c r="O170" s="39"/>
      <c r="P170" s="39"/>
      <c r="Q170" s="39"/>
      <c r="R170" s="39"/>
      <c r="S170" s="7">
        <v>609.68399999999997</v>
      </c>
      <c r="T170" s="39" t="s">
        <v>1424</v>
      </c>
    </row>
    <row r="171" spans="2:20" x14ac:dyDescent="0.3">
      <c r="B171" s="22" t="s">
        <v>1368</v>
      </c>
      <c r="C171" s="22" t="s">
        <v>1752</v>
      </c>
      <c r="D171" s="22" t="s">
        <v>1752</v>
      </c>
      <c r="E171" s="38" t="s">
        <v>1753</v>
      </c>
      <c r="F171" s="39" t="s">
        <v>1754</v>
      </c>
      <c r="G171" s="39" t="s">
        <v>18</v>
      </c>
      <c r="H171" s="39" t="s">
        <v>19</v>
      </c>
      <c r="I171" s="39" t="s">
        <v>20</v>
      </c>
      <c r="J171" s="38" t="s">
        <v>1755</v>
      </c>
      <c r="K171" s="40" t="s">
        <v>1423</v>
      </c>
      <c r="L171" s="39"/>
      <c r="M171" s="39"/>
      <c r="N171" s="39"/>
      <c r="O171" s="39"/>
      <c r="P171" s="39"/>
      <c r="Q171" s="39"/>
      <c r="R171" s="39"/>
      <c r="S171" s="7">
        <v>2784.6790000000001</v>
      </c>
      <c r="T171" s="39" t="s">
        <v>1424</v>
      </c>
    </row>
    <row r="172" spans="2:20" x14ac:dyDescent="0.3">
      <c r="B172" s="22" t="s">
        <v>1368</v>
      </c>
      <c r="C172" s="22" t="s">
        <v>197</v>
      </c>
      <c r="D172" s="22" t="s">
        <v>197</v>
      </c>
      <c r="E172" s="38" t="s">
        <v>1756</v>
      </c>
      <c r="F172" s="39" t="s">
        <v>1757</v>
      </c>
      <c r="G172" s="39" t="s">
        <v>49</v>
      </c>
      <c r="H172" s="39" t="s">
        <v>19</v>
      </c>
      <c r="I172" s="39" t="s">
        <v>20</v>
      </c>
      <c r="J172" s="38" t="s">
        <v>1758</v>
      </c>
      <c r="K172" s="40" t="s">
        <v>1435</v>
      </c>
      <c r="L172" s="39"/>
      <c r="M172" s="39"/>
      <c r="N172" s="39"/>
      <c r="O172" s="39"/>
      <c r="P172" s="39"/>
      <c r="Q172" s="39"/>
      <c r="R172" s="39"/>
      <c r="S172" s="7">
        <v>920</v>
      </c>
      <c r="T172" s="39" t="s">
        <v>1424</v>
      </c>
    </row>
    <row r="173" spans="2:20" x14ac:dyDescent="0.3">
      <c r="B173" s="22" t="s">
        <v>1368</v>
      </c>
      <c r="C173" s="22" t="s">
        <v>1759</v>
      </c>
      <c r="D173" s="22" t="s">
        <v>1759</v>
      </c>
      <c r="E173" s="38" t="s">
        <v>1760</v>
      </c>
      <c r="F173" s="39" t="s">
        <v>1761</v>
      </c>
      <c r="G173" s="39" t="s">
        <v>18</v>
      </c>
      <c r="H173" s="39" t="s">
        <v>19</v>
      </c>
      <c r="I173" s="39" t="s">
        <v>20</v>
      </c>
      <c r="J173" s="38" t="s">
        <v>1762</v>
      </c>
      <c r="K173" s="40" t="s">
        <v>1423</v>
      </c>
      <c r="L173" s="39"/>
      <c r="M173" s="39"/>
      <c r="N173" s="39"/>
      <c r="O173" s="39"/>
      <c r="P173" s="39"/>
      <c r="Q173" s="39"/>
      <c r="R173" s="39"/>
      <c r="S173" s="7">
        <v>2044.0732499999999</v>
      </c>
      <c r="T173" s="39" t="s">
        <v>1424</v>
      </c>
    </row>
    <row r="174" spans="2:20" x14ac:dyDescent="0.3">
      <c r="B174" s="22" t="s">
        <v>1368</v>
      </c>
      <c r="C174" s="22" t="s">
        <v>1763</v>
      </c>
      <c r="D174" s="22" t="s">
        <v>1763</v>
      </c>
      <c r="E174" s="38" t="s">
        <v>1764</v>
      </c>
      <c r="F174" s="39" t="s">
        <v>1765</v>
      </c>
      <c r="G174" s="39" t="s">
        <v>24</v>
      </c>
      <c r="H174" s="39" t="s">
        <v>19</v>
      </c>
      <c r="I174" s="39" t="s">
        <v>20</v>
      </c>
      <c r="J174" s="38" t="s">
        <v>1766</v>
      </c>
      <c r="K174" s="40" t="s">
        <v>1423</v>
      </c>
      <c r="L174" s="39"/>
      <c r="M174" s="39"/>
      <c r="N174" s="39"/>
      <c r="O174" s="39"/>
      <c r="P174" s="39"/>
      <c r="Q174" s="39"/>
      <c r="R174" s="39"/>
      <c r="S174" s="7">
        <v>3923.6849999999999</v>
      </c>
      <c r="T174" s="39" t="s">
        <v>1424</v>
      </c>
    </row>
    <row r="175" spans="2:20" x14ac:dyDescent="0.3">
      <c r="B175" s="22" t="s">
        <v>1368</v>
      </c>
      <c r="C175" s="22" t="s">
        <v>1767</v>
      </c>
      <c r="D175" s="22" t="s">
        <v>1767</v>
      </c>
      <c r="E175" s="38" t="s">
        <v>1768</v>
      </c>
      <c r="F175" s="39" t="s">
        <v>1769</v>
      </c>
      <c r="G175" s="39" t="s">
        <v>49</v>
      </c>
      <c r="H175" s="39" t="s">
        <v>19</v>
      </c>
      <c r="I175" s="39" t="s">
        <v>20</v>
      </c>
      <c r="J175" s="38" t="s">
        <v>1770</v>
      </c>
      <c r="K175" s="40" t="s">
        <v>1423</v>
      </c>
      <c r="L175" s="39"/>
      <c r="M175" s="39"/>
      <c r="N175" s="39"/>
      <c r="O175" s="39"/>
      <c r="P175" s="39"/>
      <c r="Q175" s="39"/>
      <c r="R175" s="39"/>
      <c r="S175" s="7">
        <v>121495.38400000001</v>
      </c>
      <c r="T175" s="39" t="s">
        <v>1424</v>
      </c>
    </row>
    <row r="176" spans="2:20" x14ac:dyDescent="0.3">
      <c r="B176" s="22" t="s">
        <v>1368</v>
      </c>
      <c r="C176" s="22" t="s">
        <v>1771</v>
      </c>
      <c r="D176" s="22" t="s">
        <v>1771</v>
      </c>
      <c r="E176" s="38" t="s">
        <v>1772</v>
      </c>
      <c r="F176" s="39" t="s">
        <v>1773</v>
      </c>
      <c r="G176" s="39" t="s">
        <v>18</v>
      </c>
      <c r="H176" s="39" t="s">
        <v>19</v>
      </c>
      <c r="I176" s="39" t="s">
        <v>20</v>
      </c>
      <c r="J176" s="38" t="s">
        <v>1774</v>
      </c>
      <c r="K176" s="40" t="s">
        <v>1423</v>
      </c>
      <c r="L176" s="39"/>
      <c r="M176" s="39"/>
      <c r="N176" s="39"/>
      <c r="O176" s="39"/>
      <c r="P176" s="39"/>
      <c r="Q176" s="39"/>
      <c r="R176" s="39"/>
      <c r="S176" s="7">
        <v>10408.310750000001</v>
      </c>
      <c r="T176" s="39" t="s">
        <v>1424</v>
      </c>
    </row>
    <row r="177" spans="2:20" x14ac:dyDescent="0.3">
      <c r="B177" s="22" t="s">
        <v>1368</v>
      </c>
      <c r="C177" s="22" t="s">
        <v>1775</v>
      </c>
      <c r="D177" s="22" t="s">
        <v>1775</v>
      </c>
      <c r="E177" s="38" t="s">
        <v>1776</v>
      </c>
      <c r="F177" s="39" t="s">
        <v>1777</v>
      </c>
      <c r="G177" s="39" t="s">
        <v>18</v>
      </c>
      <c r="H177" s="39" t="s">
        <v>19</v>
      </c>
      <c r="I177" s="39" t="s">
        <v>20</v>
      </c>
      <c r="J177" s="38" t="s">
        <v>1778</v>
      </c>
      <c r="K177" s="40" t="s">
        <v>1423</v>
      </c>
      <c r="L177" s="39"/>
      <c r="M177" s="39"/>
      <c r="N177" s="39"/>
      <c r="O177" s="39"/>
      <c r="P177" s="39"/>
      <c r="Q177" s="39"/>
      <c r="R177" s="39"/>
      <c r="S177" s="7">
        <v>43929.654999999999</v>
      </c>
      <c r="T177" s="39" t="s">
        <v>1424</v>
      </c>
    </row>
    <row r="178" spans="2:20" x14ac:dyDescent="0.3">
      <c r="B178" s="22" t="s">
        <v>1368</v>
      </c>
      <c r="C178" s="22" t="s">
        <v>1779</v>
      </c>
      <c r="D178" s="22" t="s">
        <v>1779</v>
      </c>
      <c r="E178" s="38" t="s">
        <v>1780</v>
      </c>
      <c r="F178" s="39" t="s">
        <v>1781</v>
      </c>
      <c r="G178" s="39" t="s">
        <v>18</v>
      </c>
      <c r="H178" s="39" t="s">
        <v>19</v>
      </c>
      <c r="I178" s="39" t="s">
        <v>20</v>
      </c>
      <c r="J178" s="38" t="s">
        <v>1782</v>
      </c>
      <c r="K178" s="40" t="s">
        <v>1423</v>
      </c>
      <c r="L178" s="39"/>
      <c r="M178" s="39"/>
      <c r="N178" s="39"/>
      <c r="O178" s="39"/>
      <c r="P178" s="39"/>
      <c r="Q178" s="39"/>
      <c r="R178" s="39"/>
      <c r="S178" s="7">
        <v>23467.659</v>
      </c>
      <c r="T178" s="39" t="s">
        <v>1424</v>
      </c>
    </row>
    <row r="179" spans="2:20" x14ac:dyDescent="0.3">
      <c r="B179" s="22" t="s">
        <v>1368</v>
      </c>
      <c r="C179" s="22" t="s">
        <v>1132</v>
      </c>
      <c r="D179" s="22" t="s">
        <v>1132</v>
      </c>
      <c r="E179" s="38" t="s">
        <v>1783</v>
      </c>
      <c r="F179" s="39" t="s">
        <v>1133</v>
      </c>
      <c r="G179" s="39" t="s">
        <v>24</v>
      </c>
      <c r="H179" s="39" t="s">
        <v>19</v>
      </c>
      <c r="I179" s="39" t="s">
        <v>20</v>
      </c>
      <c r="J179" s="38" t="s">
        <v>1784</v>
      </c>
      <c r="K179" s="40" t="s">
        <v>1423</v>
      </c>
      <c r="L179" s="39"/>
      <c r="M179" s="39"/>
      <c r="N179" s="39"/>
      <c r="O179" s="39"/>
      <c r="P179" s="39"/>
      <c r="Q179" s="39"/>
      <c r="R179" s="39"/>
      <c r="S179" s="7">
        <v>72017.209000000003</v>
      </c>
      <c r="T179" s="39" t="s">
        <v>1424</v>
      </c>
    </row>
    <row r="180" spans="2:20" x14ac:dyDescent="0.3">
      <c r="B180" s="22" t="s">
        <v>1368</v>
      </c>
      <c r="C180" s="22" t="s">
        <v>1785</v>
      </c>
      <c r="D180" s="22" t="s">
        <v>1785</v>
      </c>
      <c r="E180" s="38" t="s">
        <v>1786</v>
      </c>
      <c r="F180" s="39" t="s">
        <v>1787</v>
      </c>
      <c r="G180" s="39" t="s">
        <v>18</v>
      </c>
      <c r="H180" s="39" t="s">
        <v>19</v>
      </c>
      <c r="I180" s="39" t="s">
        <v>20</v>
      </c>
      <c r="J180" s="38" t="s">
        <v>1788</v>
      </c>
      <c r="K180" s="40" t="s">
        <v>1423</v>
      </c>
      <c r="L180" s="39"/>
      <c r="M180" s="39"/>
      <c r="N180" s="39"/>
      <c r="O180" s="39"/>
      <c r="P180" s="39"/>
      <c r="Q180" s="39"/>
      <c r="R180" s="39"/>
      <c r="S180" s="7">
        <v>16190.689</v>
      </c>
      <c r="T180" s="39" t="s">
        <v>1424</v>
      </c>
    </row>
    <row r="181" spans="2:20" x14ac:dyDescent="0.3">
      <c r="B181" s="22" t="s">
        <v>1368</v>
      </c>
      <c r="C181" s="22" t="s">
        <v>1789</v>
      </c>
      <c r="D181" s="22" t="s">
        <v>1789</v>
      </c>
      <c r="E181" s="38" t="s">
        <v>1790</v>
      </c>
      <c r="F181" s="39" t="s">
        <v>1791</v>
      </c>
      <c r="G181" s="39" t="s">
        <v>56</v>
      </c>
      <c r="H181" s="39" t="s">
        <v>19</v>
      </c>
      <c r="I181" s="39" t="s">
        <v>20</v>
      </c>
      <c r="J181" s="38" t="s">
        <v>1792</v>
      </c>
      <c r="K181" s="40" t="s">
        <v>1423</v>
      </c>
      <c r="L181" s="39"/>
      <c r="M181" s="39"/>
      <c r="N181" s="39"/>
      <c r="O181" s="39"/>
      <c r="P181" s="39"/>
      <c r="Q181" s="39"/>
      <c r="R181" s="39"/>
      <c r="S181" s="7">
        <v>40327.188000000002</v>
      </c>
      <c r="T181" s="39" t="s">
        <v>1424</v>
      </c>
    </row>
    <row r="182" spans="2:20" x14ac:dyDescent="0.3">
      <c r="B182" s="22" t="s">
        <v>1368</v>
      </c>
      <c r="C182" s="22" t="s">
        <v>1793</v>
      </c>
      <c r="D182" s="22" t="s">
        <v>1793</v>
      </c>
      <c r="E182" s="38" t="s">
        <v>1794</v>
      </c>
      <c r="F182" s="39" t="s">
        <v>1795</v>
      </c>
      <c r="G182" s="39" t="s">
        <v>18</v>
      </c>
      <c r="H182" s="39" t="s">
        <v>19</v>
      </c>
      <c r="I182" s="39" t="s">
        <v>20</v>
      </c>
      <c r="J182" s="38" t="s">
        <v>1796</v>
      </c>
      <c r="K182" s="40" t="s">
        <v>1423</v>
      </c>
      <c r="L182" s="39"/>
      <c r="M182" s="39"/>
      <c r="N182" s="39"/>
      <c r="O182" s="39"/>
      <c r="P182" s="39"/>
      <c r="Q182" s="39"/>
      <c r="R182" s="39"/>
      <c r="S182" s="7">
        <v>5069.0849999999991</v>
      </c>
      <c r="T182" s="39" t="s">
        <v>1424</v>
      </c>
    </row>
    <row r="183" spans="2:20" x14ac:dyDescent="0.3">
      <c r="B183" s="22" t="s">
        <v>1368</v>
      </c>
      <c r="C183" s="22" t="s">
        <v>1138</v>
      </c>
      <c r="D183" s="22" t="s">
        <v>1138</v>
      </c>
      <c r="E183" s="38" t="s">
        <v>1797</v>
      </c>
      <c r="F183" s="39" t="s">
        <v>576</v>
      </c>
      <c r="G183" s="39" t="s">
        <v>49</v>
      </c>
      <c r="H183" s="39" t="s">
        <v>19</v>
      </c>
      <c r="I183" s="39" t="s">
        <v>20</v>
      </c>
      <c r="J183" s="38" t="s">
        <v>1798</v>
      </c>
      <c r="K183" s="40" t="s">
        <v>1423</v>
      </c>
      <c r="L183" s="39"/>
      <c r="M183" s="39"/>
      <c r="N183" s="39"/>
      <c r="O183" s="39"/>
      <c r="P183" s="39"/>
      <c r="Q183" s="39"/>
      <c r="R183" s="39"/>
      <c r="S183" s="7">
        <v>3622.5</v>
      </c>
      <c r="T183" s="39" t="s">
        <v>1424</v>
      </c>
    </row>
    <row r="184" spans="2:20" x14ac:dyDescent="0.3">
      <c r="B184" s="22" t="s">
        <v>1368</v>
      </c>
      <c r="C184" s="22" t="s">
        <v>1799</v>
      </c>
      <c r="D184" s="22" t="s">
        <v>1799</v>
      </c>
      <c r="E184" s="38" t="s">
        <v>1800</v>
      </c>
      <c r="F184" s="39" t="s">
        <v>1801</v>
      </c>
      <c r="G184" s="39" t="s">
        <v>18</v>
      </c>
      <c r="H184" s="39" t="s">
        <v>19</v>
      </c>
      <c r="I184" s="39" t="s">
        <v>20</v>
      </c>
      <c r="J184" s="38" t="s">
        <v>1802</v>
      </c>
      <c r="K184" s="40" t="s">
        <v>1423</v>
      </c>
      <c r="L184" s="39"/>
      <c r="M184" s="39"/>
      <c r="N184" s="39"/>
      <c r="O184" s="39"/>
      <c r="P184" s="39"/>
      <c r="Q184" s="39"/>
      <c r="R184" s="39"/>
      <c r="S184" s="7">
        <v>13137.83575</v>
      </c>
      <c r="T184" s="39" t="s">
        <v>1424</v>
      </c>
    </row>
    <row r="185" spans="2:20" x14ac:dyDescent="0.3">
      <c r="B185" s="22" t="s">
        <v>1368</v>
      </c>
      <c r="C185" s="22" t="s">
        <v>583</v>
      </c>
      <c r="D185" s="22" t="s">
        <v>583</v>
      </c>
      <c r="E185" s="38" t="s">
        <v>1803</v>
      </c>
      <c r="F185" s="39" t="s">
        <v>584</v>
      </c>
      <c r="G185" s="39" t="s">
        <v>56</v>
      </c>
      <c r="H185" s="39" t="s">
        <v>19</v>
      </c>
      <c r="I185" s="39" t="s">
        <v>20</v>
      </c>
      <c r="J185" s="38" t="s">
        <v>1804</v>
      </c>
      <c r="K185" s="40" t="s">
        <v>1435</v>
      </c>
      <c r="L185" s="39"/>
      <c r="M185" s="39"/>
      <c r="N185" s="39"/>
      <c r="O185" s="39"/>
      <c r="P185" s="39"/>
      <c r="Q185" s="39"/>
      <c r="R185" s="39"/>
      <c r="S185" s="7">
        <v>118833.32950000001</v>
      </c>
      <c r="T185" s="39" t="s">
        <v>1424</v>
      </c>
    </row>
    <row r="186" spans="2:20" x14ac:dyDescent="0.3">
      <c r="B186" s="22" t="s">
        <v>1368</v>
      </c>
      <c r="C186" s="22" t="s">
        <v>22</v>
      </c>
      <c r="D186" s="22" t="s">
        <v>22</v>
      </c>
      <c r="E186" s="38" t="s">
        <v>1805</v>
      </c>
      <c r="F186" s="39" t="s">
        <v>23</v>
      </c>
      <c r="G186" s="39" t="s">
        <v>24</v>
      </c>
      <c r="H186" s="39" t="s">
        <v>19</v>
      </c>
      <c r="I186" s="39" t="s">
        <v>20</v>
      </c>
      <c r="J186" s="38" t="s">
        <v>1806</v>
      </c>
      <c r="K186" s="40" t="s">
        <v>1435</v>
      </c>
      <c r="L186" s="39"/>
      <c r="M186" s="39"/>
      <c r="N186" s="39"/>
      <c r="O186" s="39"/>
      <c r="P186" s="39"/>
      <c r="Q186" s="39"/>
      <c r="R186" s="39"/>
      <c r="S186" s="7">
        <v>5750</v>
      </c>
      <c r="T186" s="39" t="s">
        <v>1424</v>
      </c>
    </row>
    <row r="187" spans="2:20" x14ac:dyDescent="0.3">
      <c r="B187" s="22" t="s">
        <v>1368</v>
      </c>
      <c r="C187" s="22" t="s">
        <v>1807</v>
      </c>
      <c r="D187" s="22" t="s">
        <v>1807</v>
      </c>
      <c r="E187" s="38" t="s">
        <v>1808</v>
      </c>
      <c r="F187" s="39" t="s">
        <v>1809</v>
      </c>
      <c r="G187" s="39" t="s">
        <v>18</v>
      </c>
      <c r="H187" s="39" t="s">
        <v>19</v>
      </c>
      <c r="I187" s="39" t="s">
        <v>20</v>
      </c>
      <c r="J187" s="38" t="s">
        <v>1810</v>
      </c>
      <c r="K187" s="40" t="s">
        <v>1423</v>
      </c>
      <c r="L187" s="39"/>
      <c r="M187" s="39"/>
      <c r="N187" s="39"/>
      <c r="O187" s="39"/>
      <c r="P187" s="39"/>
      <c r="Q187" s="39"/>
      <c r="R187" s="39"/>
      <c r="S187" s="7">
        <v>18495.702999999998</v>
      </c>
      <c r="T187" s="39" t="s">
        <v>1424</v>
      </c>
    </row>
    <row r="188" spans="2:20" x14ac:dyDescent="0.3">
      <c r="B188" s="22" t="s">
        <v>1368</v>
      </c>
      <c r="C188" s="22" t="s">
        <v>586</v>
      </c>
      <c r="D188" s="22" t="s">
        <v>586</v>
      </c>
      <c r="E188" s="38" t="s">
        <v>1811</v>
      </c>
      <c r="F188" s="39" t="s">
        <v>597</v>
      </c>
      <c r="G188" s="39" t="s">
        <v>56</v>
      </c>
      <c r="H188" s="39" t="s">
        <v>19</v>
      </c>
      <c r="I188" s="39" t="s">
        <v>20</v>
      </c>
      <c r="J188" s="38" t="s">
        <v>1812</v>
      </c>
      <c r="K188" s="40" t="s">
        <v>1435</v>
      </c>
      <c r="L188" s="39"/>
      <c r="M188" s="39"/>
      <c r="N188" s="39"/>
      <c r="O188" s="39"/>
      <c r="P188" s="39"/>
      <c r="Q188" s="39"/>
      <c r="R188" s="39"/>
      <c r="S188" s="7">
        <v>102597.62949999998</v>
      </c>
      <c r="T188" s="39" t="s">
        <v>1424</v>
      </c>
    </row>
    <row r="189" spans="2:20" x14ac:dyDescent="0.3">
      <c r="B189" s="22" t="s">
        <v>1368</v>
      </c>
      <c r="C189" s="22" t="s">
        <v>578</v>
      </c>
      <c r="D189" s="22" t="s">
        <v>578</v>
      </c>
      <c r="E189" s="38" t="s">
        <v>1811</v>
      </c>
      <c r="F189" s="39" t="s">
        <v>597</v>
      </c>
      <c r="G189" s="39" t="s">
        <v>56</v>
      </c>
      <c r="H189" s="39" t="s">
        <v>202</v>
      </c>
      <c r="I189" s="39" t="s">
        <v>202</v>
      </c>
      <c r="J189" s="38" t="s">
        <v>1813</v>
      </c>
      <c r="K189" s="40" t="s">
        <v>1431</v>
      </c>
      <c r="L189" s="39"/>
      <c r="M189" s="39"/>
      <c r="N189" s="39"/>
      <c r="O189" s="39"/>
      <c r="P189" s="39"/>
      <c r="Q189" s="39"/>
      <c r="R189" s="39"/>
      <c r="S189" s="7">
        <v>323811.88250000001</v>
      </c>
      <c r="T189" s="39" t="s">
        <v>1424</v>
      </c>
    </row>
    <row r="190" spans="2:20" x14ac:dyDescent="0.3">
      <c r="B190" s="22" t="s">
        <v>1368</v>
      </c>
      <c r="C190" s="22" t="s">
        <v>1814</v>
      </c>
      <c r="D190" s="22" t="s">
        <v>1814</v>
      </c>
      <c r="E190" s="38" t="s">
        <v>1815</v>
      </c>
      <c r="F190" s="39" t="s">
        <v>1816</v>
      </c>
      <c r="G190" s="39" t="s">
        <v>24</v>
      </c>
      <c r="H190" s="39" t="s">
        <v>202</v>
      </c>
      <c r="I190" s="39" t="s">
        <v>202</v>
      </c>
      <c r="J190" s="38" t="s">
        <v>1817</v>
      </c>
      <c r="K190" s="40" t="s">
        <v>1423</v>
      </c>
      <c r="L190" s="39"/>
      <c r="M190" s="39"/>
      <c r="N190" s="39"/>
      <c r="O190" s="39"/>
      <c r="P190" s="39"/>
      <c r="Q190" s="39"/>
      <c r="R190" s="39"/>
      <c r="S190" s="7">
        <v>575</v>
      </c>
      <c r="T190" s="39" t="s">
        <v>1424</v>
      </c>
    </row>
    <row r="191" spans="2:20" x14ac:dyDescent="0.3">
      <c r="B191" s="22" t="s">
        <v>1368</v>
      </c>
      <c r="C191" s="22" t="s">
        <v>888</v>
      </c>
      <c r="D191" s="22" t="s">
        <v>888</v>
      </c>
      <c r="E191" s="38" t="s">
        <v>1818</v>
      </c>
      <c r="F191" s="39" t="s">
        <v>889</v>
      </c>
      <c r="G191" s="39" t="s">
        <v>18</v>
      </c>
      <c r="H191" s="39" t="s">
        <v>19</v>
      </c>
      <c r="I191" s="39" t="s">
        <v>20</v>
      </c>
      <c r="J191" s="38" t="s">
        <v>1819</v>
      </c>
      <c r="K191" s="40" t="s">
        <v>1435</v>
      </c>
      <c r="L191" s="39"/>
      <c r="M191" s="39"/>
      <c r="N191" s="39"/>
      <c r="O191" s="39"/>
      <c r="P191" s="39"/>
      <c r="Q191" s="39"/>
      <c r="R191" s="39"/>
      <c r="S191" s="7">
        <v>280145.42</v>
      </c>
      <c r="T191" s="39" t="e">
        <v>#N/A</v>
      </c>
    </row>
    <row r="192" spans="2:20" x14ac:dyDescent="0.3">
      <c r="B192" s="22" t="s">
        <v>1368</v>
      </c>
      <c r="C192" s="22" t="s">
        <v>884</v>
      </c>
      <c r="D192" s="22" t="s">
        <v>884</v>
      </c>
      <c r="E192" s="38" t="s">
        <v>1820</v>
      </c>
      <c r="F192" s="39" t="s">
        <v>885</v>
      </c>
      <c r="G192" s="39" t="s">
        <v>49</v>
      </c>
      <c r="H192" s="39" t="s">
        <v>19</v>
      </c>
      <c r="I192" s="39" t="s">
        <v>20</v>
      </c>
      <c r="J192" s="38" t="s">
        <v>1821</v>
      </c>
      <c r="K192" s="40" t="s">
        <v>1435</v>
      </c>
      <c r="L192" s="39"/>
      <c r="M192" s="39"/>
      <c r="N192" s="39"/>
      <c r="O192" s="39"/>
      <c r="P192" s="39"/>
      <c r="Q192" s="39"/>
      <c r="R192" s="39"/>
      <c r="S192" s="7">
        <v>6784.95</v>
      </c>
      <c r="T192" s="39" t="e">
        <v>#N/A</v>
      </c>
    </row>
    <row r="193" spans="2:20" x14ac:dyDescent="0.3">
      <c r="B193" s="22" t="s">
        <v>1368</v>
      </c>
      <c r="C193" s="22" t="s">
        <v>200</v>
      </c>
      <c r="D193" s="22" t="s">
        <v>200</v>
      </c>
      <c r="E193" s="38" t="s">
        <v>1756</v>
      </c>
      <c r="F193" s="39" t="s">
        <v>1822</v>
      </c>
      <c r="G193" s="39" t="s">
        <v>1823</v>
      </c>
      <c r="H193" s="39" t="s">
        <v>202</v>
      </c>
      <c r="I193" s="39" t="s">
        <v>202</v>
      </c>
      <c r="J193" s="38" t="s">
        <v>1824</v>
      </c>
      <c r="K193" s="40" t="s">
        <v>1454</v>
      </c>
      <c r="L193" s="39"/>
      <c r="M193" s="39"/>
      <c r="N193" s="39"/>
      <c r="O193" s="39"/>
      <c r="P193" s="39"/>
      <c r="Q193" s="39"/>
      <c r="R193" s="39"/>
      <c r="S193" s="7">
        <v>53568.380000000005</v>
      </c>
      <c r="T193" s="39" t="e">
        <v>#N/A</v>
      </c>
    </row>
    <row r="194" spans="2:20" x14ac:dyDescent="0.3">
      <c r="B194" s="22" t="s">
        <v>1368</v>
      </c>
      <c r="C194" s="22" t="s">
        <v>568</v>
      </c>
      <c r="D194" s="22" t="s">
        <v>568</v>
      </c>
      <c r="E194" s="38" t="s">
        <v>1825</v>
      </c>
      <c r="F194" s="39" t="s">
        <v>569</v>
      </c>
      <c r="G194" s="39" t="s">
        <v>49</v>
      </c>
      <c r="H194" s="39" t="s">
        <v>19</v>
      </c>
      <c r="I194" s="39" t="s">
        <v>1509</v>
      </c>
      <c r="J194" s="38" t="s">
        <v>1826</v>
      </c>
      <c r="K194" s="40" t="s">
        <v>1435</v>
      </c>
      <c r="L194" s="39"/>
      <c r="M194" s="39"/>
      <c r="N194" s="39"/>
      <c r="O194" s="39"/>
      <c r="P194" s="39"/>
      <c r="Q194" s="39"/>
      <c r="R194" s="39"/>
      <c r="S194" s="7">
        <v>9221.1139999999996</v>
      </c>
      <c r="T194" s="39" t="s">
        <v>1511</v>
      </c>
    </row>
    <row r="195" spans="2:20" x14ac:dyDescent="0.3">
      <c r="B195" s="22" t="s">
        <v>1368</v>
      </c>
      <c r="C195" s="22" t="s">
        <v>1827</v>
      </c>
      <c r="D195" s="22" t="s">
        <v>1827</v>
      </c>
      <c r="E195" s="38" t="s">
        <v>1828</v>
      </c>
      <c r="F195" s="39" t="s">
        <v>1829</v>
      </c>
      <c r="G195" s="39" t="s">
        <v>24</v>
      </c>
      <c r="H195" s="39" t="s">
        <v>19</v>
      </c>
      <c r="I195" s="39" t="s">
        <v>20</v>
      </c>
      <c r="J195" s="38" t="s">
        <v>1830</v>
      </c>
      <c r="K195" s="40" t="s">
        <v>1423</v>
      </c>
      <c r="L195" s="39"/>
      <c r="M195" s="39"/>
      <c r="N195" s="39"/>
      <c r="O195" s="39"/>
      <c r="P195" s="39"/>
      <c r="Q195" s="39"/>
      <c r="R195" s="39"/>
      <c r="S195" s="7">
        <v>70.103999999999999</v>
      </c>
      <c r="T195" s="39" t="s">
        <v>1438</v>
      </c>
    </row>
    <row r="196" spans="2:20" x14ac:dyDescent="0.3">
      <c r="B196" s="22" t="s">
        <v>1368</v>
      </c>
      <c r="C196" s="22" t="s">
        <v>408</v>
      </c>
      <c r="D196" s="22" t="s">
        <v>408</v>
      </c>
      <c r="E196" s="38" t="s">
        <v>1831</v>
      </c>
      <c r="F196" s="39" t="s">
        <v>409</v>
      </c>
      <c r="G196" s="39" t="s">
        <v>24</v>
      </c>
      <c r="H196" s="39" t="s">
        <v>19</v>
      </c>
      <c r="I196" s="39" t="s">
        <v>20</v>
      </c>
      <c r="J196" s="38" t="s">
        <v>1832</v>
      </c>
      <c r="K196" s="40" t="s">
        <v>1431</v>
      </c>
      <c r="L196" s="39"/>
      <c r="M196" s="39"/>
      <c r="N196" s="39"/>
      <c r="O196" s="39"/>
      <c r="P196" s="39"/>
      <c r="Q196" s="39"/>
      <c r="R196" s="39"/>
      <c r="S196" s="7">
        <v>44015.226499999997</v>
      </c>
      <c r="T196" s="39" t="s">
        <v>1438</v>
      </c>
    </row>
    <row r="197" spans="2:20" x14ac:dyDescent="0.3">
      <c r="B197" s="22" t="s">
        <v>1368</v>
      </c>
      <c r="C197" s="22" t="s">
        <v>446</v>
      </c>
      <c r="D197" s="22" t="s">
        <v>446</v>
      </c>
      <c r="E197" s="38" t="s">
        <v>1833</v>
      </c>
      <c r="F197" s="39" t="s">
        <v>447</v>
      </c>
      <c r="G197" s="39" t="s">
        <v>49</v>
      </c>
      <c r="H197" s="39" t="s">
        <v>19</v>
      </c>
      <c r="I197" s="39" t="s">
        <v>20</v>
      </c>
      <c r="J197" s="38" t="s">
        <v>1834</v>
      </c>
      <c r="K197" s="40" t="s">
        <v>1431</v>
      </c>
      <c r="L197" s="39"/>
      <c r="M197" s="39"/>
      <c r="N197" s="39"/>
      <c r="O197" s="39"/>
      <c r="P197" s="39"/>
      <c r="Q197" s="39"/>
      <c r="R197" s="39"/>
      <c r="S197" s="7">
        <v>34844.0455</v>
      </c>
      <c r="T197" s="39" t="s">
        <v>1424</v>
      </c>
    </row>
    <row r="198" spans="2:20" x14ac:dyDescent="0.3">
      <c r="B198" s="22" t="s">
        <v>1368</v>
      </c>
      <c r="C198" s="22" t="s">
        <v>67</v>
      </c>
      <c r="D198" s="22" t="s">
        <v>67</v>
      </c>
      <c r="E198" s="38" t="s">
        <v>1835</v>
      </c>
      <c r="F198" s="39" t="s">
        <v>68</v>
      </c>
      <c r="G198" s="39" t="s">
        <v>18</v>
      </c>
      <c r="H198" s="39" t="s">
        <v>19</v>
      </c>
      <c r="I198" s="39" t="s">
        <v>20</v>
      </c>
      <c r="J198" s="38" t="s">
        <v>1836</v>
      </c>
      <c r="K198" s="40" t="s">
        <v>1431</v>
      </c>
      <c r="L198" s="39"/>
      <c r="M198" s="39"/>
      <c r="N198" s="39"/>
      <c r="O198" s="39"/>
      <c r="P198" s="39"/>
      <c r="Q198" s="39"/>
      <c r="R198" s="39"/>
      <c r="S198" s="7">
        <v>7089.8879999999999</v>
      </c>
      <c r="T198" s="39" t="s">
        <v>1438</v>
      </c>
    </row>
    <row r="199" spans="2:20" x14ac:dyDescent="0.3">
      <c r="B199" s="22" t="s">
        <v>1368</v>
      </c>
      <c r="C199" s="22" t="s">
        <v>297</v>
      </c>
      <c r="D199" s="22" t="s">
        <v>297</v>
      </c>
      <c r="E199" s="38" t="s">
        <v>1601</v>
      </c>
      <c r="F199" s="39" t="s">
        <v>298</v>
      </c>
      <c r="G199" s="39" t="s">
        <v>49</v>
      </c>
      <c r="H199" s="39" t="s">
        <v>19</v>
      </c>
      <c r="I199" s="39" t="s">
        <v>20</v>
      </c>
      <c r="J199" s="38" t="s">
        <v>1837</v>
      </c>
      <c r="K199" s="40" t="s">
        <v>1431</v>
      </c>
      <c r="L199" s="39"/>
      <c r="M199" s="39"/>
      <c r="N199" s="39"/>
      <c r="O199" s="39"/>
      <c r="P199" s="39"/>
      <c r="Q199" s="39"/>
      <c r="R199" s="39"/>
      <c r="S199" s="7">
        <v>6387.3644999999997</v>
      </c>
      <c r="T199" s="39" t="s">
        <v>1424</v>
      </c>
    </row>
    <row r="200" spans="2:20" x14ac:dyDescent="0.3">
      <c r="B200" s="22" t="s">
        <v>1368</v>
      </c>
      <c r="C200" s="22" t="s">
        <v>213</v>
      </c>
      <c r="D200" s="22" t="s">
        <v>213</v>
      </c>
      <c r="E200" s="38" t="s">
        <v>1838</v>
      </c>
      <c r="F200" s="39" t="s">
        <v>214</v>
      </c>
      <c r="G200" s="39" t="s">
        <v>49</v>
      </c>
      <c r="H200" s="39" t="s">
        <v>19</v>
      </c>
      <c r="I200" s="39" t="s">
        <v>20</v>
      </c>
      <c r="J200" s="38" t="s">
        <v>1839</v>
      </c>
      <c r="K200" s="40" t="s">
        <v>1435</v>
      </c>
      <c r="L200" s="39"/>
      <c r="M200" s="39"/>
      <c r="N200" s="39"/>
      <c r="O200" s="39"/>
      <c r="P200" s="39"/>
      <c r="Q200" s="39"/>
      <c r="R200" s="39"/>
      <c r="S200" s="7">
        <v>4541.4879999999994</v>
      </c>
      <c r="T200" s="39" t="s">
        <v>1424</v>
      </c>
    </row>
    <row r="201" spans="2:20" x14ac:dyDescent="0.3">
      <c r="B201" s="22" t="s">
        <v>1368</v>
      </c>
      <c r="C201" s="22" t="s">
        <v>273</v>
      </c>
      <c r="D201" s="22" t="s">
        <v>273</v>
      </c>
      <c r="E201" s="38" t="s">
        <v>1840</v>
      </c>
      <c r="F201" s="39" t="s">
        <v>274</v>
      </c>
      <c r="G201" s="39" t="s">
        <v>49</v>
      </c>
      <c r="H201" s="39" t="s">
        <v>19</v>
      </c>
      <c r="I201" s="39" t="s">
        <v>20</v>
      </c>
      <c r="J201" s="38" t="s">
        <v>1841</v>
      </c>
      <c r="K201" s="40" t="s">
        <v>1431</v>
      </c>
      <c r="L201" s="39"/>
      <c r="M201" s="39"/>
      <c r="N201" s="39"/>
      <c r="O201" s="39"/>
      <c r="P201" s="39"/>
      <c r="Q201" s="39"/>
      <c r="R201" s="39"/>
      <c r="S201" s="7">
        <v>9760.7342500000013</v>
      </c>
      <c r="T201" s="39" t="s">
        <v>1432</v>
      </c>
    </row>
    <row r="202" spans="2:20" x14ac:dyDescent="0.3">
      <c r="B202" s="22" t="s">
        <v>1368</v>
      </c>
      <c r="C202" s="22" t="s">
        <v>210</v>
      </c>
      <c r="D202" s="22" t="s">
        <v>210</v>
      </c>
      <c r="E202" s="38" t="s">
        <v>1842</v>
      </c>
      <c r="F202" s="39" t="s">
        <v>1843</v>
      </c>
      <c r="G202" s="39" t="s">
        <v>49</v>
      </c>
      <c r="H202" s="39" t="s">
        <v>19</v>
      </c>
      <c r="I202" s="39" t="s">
        <v>20</v>
      </c>
      <c r="J202" s="38" t="s">
        <v>1844</v>
      </c>
      <c r="K202" s="40" t="s">
        <v>1423</v>
      </c>
      <c r="L202" s="39"/>
      <c r="M202" s="39"/>
      <c r="N202" s="39"/>
      <c r="O202" s="39"/>
      <c r="P202" s="39"/>
      <c r="Q202" s="39"/>
      <c r="R202" s="39"/>
      <c r="S202" s="7">
        <v>8154.9892499999996</v>
      </c>
      <c r="T202" s="39" t="s">
        <v>1432</v>
      </c>
    </row>
    <row r="203" spans="2:20" x14ac:dyDescent="0.3">
      <c r="B203" s="22" t="s">
        <v>1368</v>
      </c>
      <c r="C203" s="22" t="s">
        <v>581</v>
      </c>
      <c r="D203" s="22" t="s">
        <v>581</v>
      </c>
      <c r="E203" s="38" t="s">
        <v>1845</v>
      </c>
      <c r="F203" s="39" t="s">
        <v>566</v>
      </c>
      <c r="G203" s="39" t="s">
        <v>24</v>
      </c>
      <c r="H203" s="39" t="s">
        <v>19</v>
      </c>
      <c r="I203" s="39" t="s">
        <v>1509</v>
      </c>
      <c r="J203" s="38" t="s">
        <v>1846</v>
      </c>
      <c r="K203" s="40" t="s">
        <v>1435</v>
      </c>
      <c r="L203" s="39"/>
      <c r="M203" s="39"/>
      <c r="N203" s="39"/>
      <c r="O203" s="39"/>
      <c r="P203" s="39"/>
      <c r="Q203" s="39"/>
      <c r="R203" s="39"/>
      <c r="S203" s="7">
        <v>13582.684499999999</v>
      </c>
      <c r="T203" s="39" t="s">
        <v>1424</v>
      </c>
    </row>
    <row r="204" spans="2:20" x14ac:dyDescent="0.3">
      <c r="B204" s="22" t="s">
        <v>1368</v>
      </c>
      <c r="C204" s="22" t="s">
        <v>32</v>
      </c>
      <c r="D204" s="22" t="s">
        <v>32</v>
      </c>
      <c r="E204" s="38" t="s">
        <v>1847</v>
      </c>
      <c r="F204" s="39" t="s">
        <v>1848</v>
      </c>
      <c r="G204" s="39" t="s">
        <v>18</v>
      </c>
      <c r="H204" s="39" t="s">
        <v>19</v>
      </c>
      <c r="I204" s="39" t="s">
        <v>20</v>
      </c>
      <c r="J204" s="38" t="s">
        <v>1849</v>
      </c>
      <c r="K204" s="40" t="s">
        <v>1431</v>
      </c>
      <c r="L204" s="39"/>
      <c r="M204" s="39"/>
      <c r="N204" s="39"/>
      <c r="O204" s="39"/>
      <c r="P204" s="39"/>
      <c r="Q204" s="39"/>
      <c r="R204" s="39"/>
      <c r="S204" s="7">
        <v>243.70799999999997</v>
      </c>
      <c r="T204" s="39" t="s">
        <v>1432</v>
      </c>
    </row>
    <row r="205" spans="2:20" x14ac:dyDescent="0.3">
      <c r="B205" s="22" t="s">
        <v>1368</v>
      </c>
      <c r="C205" s="22" t="s">
        <v>377</v>
      </c>
      <c r="D205" s="22" t="s">
        <v>377</v>
      </c>
      <c r="E205" s="38" t="s">
        <v>1850</v>
      </c>
      <c r="F205" s="39" t="s">
        <v>378</v>
      </c>
      <c r="G205" s="39" t="s">
        <v>56</v>
      </c>
      <c r="H205" s="39" t="s">
        <v>19</v>
      </c>
      <c r="I205" s="39" t="s">
        <v>20</v>
      </c>
      <c r="J205" s="38" t="s">
        <v>1851</v>
      </c>
      <c r="K205" s="40" t="s">
        <v>1700</v>
      </c>
      <c r="L205" s="39"/>
      <c r="M205" s="39"/>
      <c r="N205" s="39"/>
      <c r="O205" s="39"/>
      <c r="P205" s="39"/>
      <c r="Q205" s="39"/>
      <c r="R205" s="39"/>
      <c r="S205" s="7">
        <v>341297.47</v>
      </c>
      <c r="T205" s="39" t="e">
        <v>#N/A</v>
      </c>
    </row>
    <row r="206" spans="2:20" x14ac:dyDescent="0.3">
      <c r="B206" s="22" t="s">
        <v>1368</v>
      </c>
      <c r="C206" s="22" t="s">
        <v>332</v>
      </c>
      <c r="D206" s="22" t="s">
        <v>332</v>
      </c>
      <c r="E206" s="38" t="s">
        <v>1852</v>
      </c>
      <c r="F206" s="39" t="s">
        <v>333</v>
      </c>
      <c r="G206" s="39" t="s">
        <v>56</v>
      </c>
      <c r="H206" s="39" t="s">
        <v>19</v>
      </c>
      <c r="I206" s="39" t="s">
        <v>20</v>
      </c>
      <c r="J206" s="38" t="s">
        <v>1853</v>
      </c>
      <c r="K206" s="40" t="s">
        <v>1700</v>
      </c>
      <c r="L206" s="39"/>
      <c r="M206" s="39"/>
      <c r="N206" s="39"/>
      <c r="O206" s="39"/>
      <c r="P206" s="39"/>
      <c r="Q206" s="39"/>
      <c r="R206" s="39"/>
      <c r="S206" s="7">
        <v>295883.13000000006</v>
      </c>
      <c r="T206" s="39" t="e">
        <v>#N/A</v>
      </c>
    </row>
    <row r="207" spans="2:20" x14ac:dyDescent="0.3">
      <c r="B207" s="22" t="s">
        <v>1368</v>
      </c>
      <c r="C207" s="22" t="s">
        <v>1854</v>
      </c>
      <c r="D207" s="22" t="s">
        <v>1854</v>
      </c>
      <c r="E207" s="38" t="s">
        <v>1855</v>
      </c>
      <c r="F207" s="39" t="s">
        <v>1856</v>
      </c>
      <c r="G207" s="39" t="s">
        <v>18</v>
      </c>
      <c r="H207" s="39" t="s">
        <v>19</v>
      </c>
      <c r="I207" s="39" t="s">
        <v>20</v>
      </c>
      <c r="J207" s="38" t="s">
        <v>1857</v>
      </c>
      <c r="K207" s="40" t="s">
        <v>1423</v>
      </c>
      <c r="L207" s="39"/>
      <c r="M207" s="39"/>
      <c r="N207" s="39"/>
      <c r="O207" s="39"/>
      <c r="P207" s="39"/>
      <c r="Q207" s="39"/>
      <c r="R207" s="39"/>
      <c r="S207" s="7">
        <v>26632.763749999998</v>
      </c>
      <c r="T207" s="39" t="s">
        <v>1424</v>
      </c>
    </row>
    <row r="208" spans="2:20" x14ac:dyDescent="0.3">
      <c r="B208" s="22" t="s">
        <v>1368</v>
      </c>
      <c r="C208" s="22" t="s">
        <v>1858</v>
      </c>
      <c r="D208" s="22" t="s">
        <v>1858</v>
      </c>
      <c r="E208" s="38" t="s">
        <v>1859</v>
      </c>
      <c r="F208" s="39" t="s">
        <v>1860</v>
      </c>
      <c r="G208" s="39" t="s">
        <v>24</v>
      </c>
      <c r="H208" s="39" t="s">
        <v>19</v>
      </c>
      <c r="I208" s="39" t="s">
        <v>20</v>
      </c>
      <c r="J208" s="38" t="s">
        <v>1861</v>
      </c>
      <c r="K208" s="40" t="s">
        <v>1423</v>
      </c>
      <c r="L208" s="39"/>
      <c r="M208" s="39"/>
      <c r="N208" s="39"/>
      <c r="O208" s="39"/>
      <c r="P208" s="39"/>
      <c r="Q208" s="39"/>
      <c r="R208" s="39"/>
      <c r="S208" s="7">
        <v>3938.1750000000002</v>
      </c>
      <c r="T208" s="39" t="s">
        <v>1424</v>
      </c>
    </row>
    <row r="209" spans="2:20" x14ac:dyDescent="0.3">
      <c r="B209" s="22" t="s">
        <v>1368</v>
      </c>
      <c r="C209" s="22" t="s">
        <v>317</v>
      </c>
      <c r="D209" s="22" t="s">
        <v>317</v>
      </c>
      <c r="E209" s="38" t="s">
        <v>1862</v>
      </c>
      <c r="F209" s="39" t="s">
        <v>318</v>
      </c>
      <c r="G209" s="39" t="s">
        <v>18</v>
      </c>
      <c r="H209" s="39" t="s">
        <v>19</v>
      </c>
      <c r="I209" s="39" t="s">
        <v>20</v>
      </c>
      <c r="J209" s="38" t="s">
        <v>1863</v>
      </c>
      <c r="K209" s="40" t="s">
        <v>1435</v>
      </c>
      <c r="L209" s="39"/>
      <c r="M209" s="39"/>
      <c r="N209" s="39"/>
      <c r="O209" s="39"/>
      <c r="P209" s="39"/>
      <c r="Q209" s="39"/>
      <c r="R209" s="39"/>
      <c r="S209" s="7">
        <v>68144.014750000002</v>
      </c>
      <c r="T209" s="39" t="s">
        <v>1424</v>
      </c>
    </row>
    <row r="210" spans="2:20" x14ac:dyDescent="0.3">
      <c r="B210" s="22" t="s">
        <v>1368</v>
      </c>
      <c r="C210" s="22" t="s">
        <v>1864</v>
      </c>
      <c r="D210" s="22" t="s">
        <v>1864</v>
      </c>
      <c r="E210" s="38" t="s">
        <v>1436</v>
      </c>
      <c r="F210" s="39" t="s">
        <v>526</v>
      </c>
      <c r="G210" s="39" t="s">
        <v>24</v>
      </c>
      <c r="H210" s="39" t="s">
        <v>19</v>
      </c>
      <c r="I210" s="39" t="s">
        <v>20</v>
      </c>
      <c r="J210" s="38" t="s">
        <v>1865</v>
      </c>
      <c r="K210" s="40" t="s">
        <v>1423</v>
      </c>
      <c r="L210" s="39"/>
      <c r="M210" s="39"/>
      <c r="N210" s="39"/>
      <c r="O210" s="39"/>
      <c r="P210" s="39"/>
      <c r="Q210" s="39"/>
      <c r="R210" s="39"/>
      <c r="S210" s="7">
        <v>1495</v>
      </c>
      <c r="T210" s="39" t="s">
        <v>1424</v>
      </c>
    </row>
    <row r="211" spans="2:20" x14ac:dyDescent="0.3">
      <c r="B211" s="22" t="s">
        <v>1368</v>
      </c>
      <c r="C211" s="22" t="s">
        <v>1866</v>
      </c>
      <c r="D211" s="22" t="s">
        <v>1866</v>
      </c>
      <c r="E211" s="38" t="s">
        <v>1867</v>
      </c>
      <c r="F211" s="39" t="s">
        <v>1868</v>
      </c>
      <c r="G211" s="39" t="s">
        <v>18</v>
      </c>
      <c r="H211" s="39" t="s">
        <v>19</v>
      </c>
      <c r="I211" s="39" t="s">
        <v>20</v>
      </c>
      <c r="J211" s="38" t="s">
        <v>1869</v>
      </c>
      <c r="K211" s="40" t="s">
        <v>1423</v>
      </c>
      <c r="L211" s="39"/>
      <c r="M211" s="39"/>
      <c r="N211" s="39"/>
      <c r="O211" s="39"/>
      <c r="P211" s="39"/>
      <c r="Q211" s="39"/>
      <c r="R211" s="39"/>
      <c r="S211" s="7">
        <v>11020.0245</v>
      </c>
      <c r="T211" s="39" t="s">
        <v>1424</v>
      </c>
    </row>
    <row r="212" spans="2:20" x14ac:dyDescent="0.3">
      <c r="B212" s="22" t="s">
        <v>1368</v>
      </c>
      <c r="C212" s="22" t="s">
        <v>782</v>
      </c>
      <c r="D212" s="22" t="s">
        <v>782</v>
      </c>
      <c r="E212" s="38" t="s">
        <v>1870</v>
      </c>
      <c r="F212" s="39" t="s">
        <v>783</v>
      </c>
      <c r="G212" s="39" t="s">
        <v>18</v>
      </c>
      <c r="H212" s="39" t="s">
        <v>19</v>
      </c>
      <c r="I212" s="39" t="s">
        <v>20</v>
      </c>
      <c r="J212" s="38" t="s">
        <v>1871</v>
      </c>
      <c r="K212" s="40" t="s">
        <v>1435</v>
      </c>
      <c r="L212" s="39"/>
      <c r="M212" s="39"/>
      <c r="N212" s="39"/>
      <c r="O212" s="39"/>
      <c r="P212" s="39"/>
      <c r="Q212" s="39"/>
      <c r="R212" s="39"/>
      <c r="S212" s="7">
        <v>15872.0355</v>
      </c>
      <c r="T212" s="39" t="s">
        <v>1424</v>
      </c>
    </row>
    <row r="213" spans="2:20" x14ac:dyDescent="0.3">
      <c r="B213" s="22" t="s">
        <v>1368</v>
      </c>
      <c r="C213" s="22" t="s">
        <v>486</v>
      </c>
      <c r="D213" s="22" t="s">
        <v>486</v>
      </c>
      <c r="E213" s="38" t="s">
        <v>1872</v>
      </c>
      <c r="F213" s="39" t="s">
        <v>487</v>
      </c>
      <c r="G213" s="39" t="s">
        <v>18</v>
      </c>
      <c r="H213" s="39" t="s">
        <v>19</v>
      </c>
      <c r="I213" s="39" t="s">
        <v>20</v>
      </c>
      <c r="J213" s="38" t="s">
        <v>1873</v>
      </c>
      <c r="K213" s="40" t="s">
        <v>1874</v>
      </c>
      <c r="L213" s="39"/>
      <c r="M213" s="39"/>
      <c r="N213" s="39"/>
      <c r="O213" s="39"/>
      <c r="P213" s="39"/>
      <c r="Q213" s="39"/>
      <c r="R213" s="39"/>
      <c r="S213" s="7">
        <v>18463.911250000005</v>
      </c>
      <c r="T213" s="39" t="s">
        <v>1432</v>
      </c>
    </row>
    <row r="214" spans="2:20" x14ac:dyDescent="0.3">
      <c r="B214" s="22" t="s">
        <v>1368</v>
      </c>
      <c r="C214" s="22" t="s">
        <v>1875</v>
      </c>
      <c r="D214" s="22" t="s">
        <v>1875</v>
      </c>
      <c r="E214" s="38" t="s">
        <v>1876</v>
      </c>
      <c r="F214" s="39" t="s">
        <v>1877</v>
      </c>
      <c r="G214" s="39" t="s">
        <v>24</v>
      </c>
      <c r="H214" s="39" t="s">
        <v>19</v>
      </c>
      <c r="I214" s="39" t="s">
        <v>20</v>
      </c>
      <c r="J214" s="38" t="s">
        <v>1878</v>
      </c>
      <c r="K214" s="40" t="s">
        <v>1423</v>
      </c>
      <c r="L214" s="39"/>
      <c r="M214" s="39"/>
      <c r="N214" s="39"/>
      <c r="O214" s="39"/>
      <c r="P214" s="39"/>
      <c r="Q214" s="39"/>
      <c r="R214" s="39"/>
      <c r="S214" s="7">
        <v>3193.596</v>
      </c>
      <c r="T214" s="39" t="s">
        <v>1424</v>
      </c>
    </row>
    <row r="215" spans="2:20" x14ac:dyDescent="0.3">
      <c r="B215" s="22" t="s">
        <v>1368</v>
      </c>
      <c r="C215" s="22" t="s">
        <v>419</v>
      </c>
      <c r="D215" s="22" t="s">
        <v>419</v>
      </c>
      <c r="E215" s="38" t="s">
        <v>1879</v>
      </c>
      <c r="F215" s="39" t="s">
        <v>420</v>
      </c>
      <c r="G215" s="39" t="s">
        <v>49</v>
      </c>
      <c r="H215" s="39" t="s">
        <v>19</v>
      </c>
      <c r="I215" s="39" t="s">
        <v>20</v>
      </c>
      <c r="J215" s="38" t="s">
        <v>1880</v>
      </c>
      <c r="K215" s="40" t="s">
        <v>1435</v>
      </c>
      <c r="L215" s="39"/>
      <c r="M215" s="39"/>
      <c r="N215" s="39"/>
      <c r="O215" s="39"/>
      <c r="P215" s="39"/>
      <c r="Q215" s="39"/>
      <c r="R215" s="39"/>
      <c r="S215" s="7">
        <v>2300</v>
      </c>
      <c r="T215" s="39" t="s">
        <v>1424</v>
      </c>
    </row>
    <row r="216" spans="2:20" x14ac:dyDescent="0.3">
      <c r="B216" s="22" t="s">
        <v>1368</v>
      </c>
      <c r="C216" s="22" t="s">
        <v>1143</v>
      </c>
      <c r="D216" s="22" t="s">
        <v>1143</v>
      </c>
      <c r="E216" s="38" t="s">
        <v>1881</v>
      </c>
      <c r="F216" s="39" t="s">
        <v>1144</v>
      </c>
      <c r="G216" s="39" t="s">
        <v>24</v>
      </c>
      <c r="H216" s="39" t="s">
        <v>19</v>
      </c>
      <c r="I216" s="39" t="s">
        <v>20</v>
      </c>
      <c r="J216" s="38" t="s">
        <v>1882</v>
      </c>
      <c r="K216" s="40" t="s">
        <v>1423</v>
      </c>
      <c r="L216" s="39"/>
      <c r="M216" s="39"/>
      <c r="N216" s="39"/>
      <c r="O216" s="39"/>
      <c r="P216" s="39"/>
      <c r="Q216" s="39"/>
      <c r="R216" s="39"/>
      <c r="S216" s="7">
        <v>21822.394250000001</v>
      </c>
      <c r="T216" s="39" t="s">
        <v>1424</v>
      </c>
    </row>
    <row r="217" spans="2:20" x14ac:dyDescent="0.3">
      <c r="B217" s="22" t="s">
        <v>1368</v>
      </c>
      <c r="C217" s="22" t="s">
        <v>1883</v>
      </c>
      <c r="D217" s="22" t="s">
        <v>1883</v>
      </c>
      <c r="E217" s="38" t="s">
        <v>1884</v>
      </c>
      <c r="F217" s="39" t="s">
        <v>1885</v>
      </c>
      <c r="G217" s="39" t="s">
        <v>24</v>
      </c>
      <c r="H217" s="39" t="s">
        <v>19</v>
      </c>
      <c r="I217" s="39" t="s">
        <v>20</v>
      </c>
      <c r="J217" s="38" t="s">
        <v>1886</v>
      </c>
      <c r="K217" s="40" t="s">
        <v>1423</v>
      </c>
      <c r="L217" s="39"/>
      <c r="M217" s="39"/>
      <c r="N217" s="39"/>
      <c r="O217" s="39"/>
      <c r="P217" s="39"/>
      <c r="Q217" s="39"/>
      <c r="R217" s="39"/>
      <c r="S217" s="7">
        <v>39632.864000000001</v>
      </c>
      <c r="T217" s="39" t="s">
        <v>1424</v>
      </c>
    </row>
    <row r="218" spans="2:20" x14ac:dyDescent="0.3">
      <c r="B218" s="22" t="s">
        <v>1368</v>
      </c>
      <c r="C218" s="22" t="s">
        <v>1887</v>
      </c>
      <c r="D218" s="22" t="s">
        <v>1887</v>
      </c>
      <c r="E218" s="38" t="s">
        <v>1888</v>
      </c>
      <c r="F218" s="39" t="s">
        <v>1889</v>
      </c>
      <c r="G218" s="39" t="s">
        <v>24</v>
      </c>
      <c r="H218" s="39" t="s">
        <v>19</v>
      </c>
      <c r="I218" s="39" t="s">
        <v>20</v>
      </c>
      <c r="J218" s="38" t="s">
        <v>1890</v>
      </c>
      <c r="K218" s="40" t="s">
        <v>1423</v>
      </c>
      <c r="L218" s="39"/>
      <c r="M218" s="39"/>
      <c r="N218" s="39"/>
      <c r="O218" s="39"/>
      <c r="P218" s="39"/>
      <c r="Q218" s="39"/>
      <c r="R218" s="39"/>
      <c r="S218" s="7">
        <v>1783.65</v>
      </c>
      <c r="T218" s="39" t="s">
        <v>1424</v>
      </c>
    </row>
    <row r="219" spans="2:20" x14ac:dyDescent="0.3">
      <c r="B219" s="22" t="s">
        <v>1368</v>
      </c>
      <c r="C219" s="22" t="s">
        <v>169</v>
      </c>
      <c r="D219" s="22" t="s">
        <v>169</v>
      </c>
      <c r="E219" s="38" t="s">
        <v>1891</v>
      </c>
      <c r="F219" s="39" t="s">
        <v>170</v>
      </c>
      <c r="G219" s="39" t="s">
        <v>24</v>
      </c>
      <c r="H219" s="39" t="s">
        <v>19</v>
      </c>
      <c r="I219" s="39" t="s">
        <v>20</v>
      </c>
      <c r="J219" s="38" t="s">
        <v>1892</v>
      </c>
      <c r="K219" s="40" t="s">
        <v>1874</v>
      </c>
      <c r="L219" s="39"/>
      <c r="M219" s="39"/>
      <c r="N219" s="39"/>
      <c r="O219" s="39"/>
      <c r="P219" s="39"/>
      <c r="Q219" s="39"/>
      <c r="R219" s="39"/>
      <c r="S219" s="7">
        <v>110059.577</v>
      </c>
      <c r="T219" s="39" t="s">
        <v>1424</v>
      </c>
    </row>
    <row r="220" spans="2:20" x14ac:dyDescent="0.3">
      <c r="B220" s="22" t="s">
        <v>1368</v>
      </c>
      <c r="C220" s="22" t="s">
        <v>1893</v>
      </c>
      <c r="D220" s="22" t="s">
        <v>1893</v>
      </c>
      <c r="E220" s="38" t="s">
        <v>1894</v>
      </c>
      <c r="F220" s="39" t="s">
        <v>1895</v>
      </c>
      <c r="G220" s="39" t="s">
        <v>18</v>
      </c>
      <c r="H220" s="39" t="s">
        <v>19</v>
      </c>
      <c r="I220" s="39" t="s">
        <v>20</v>
      </c>
      <c r="J220" s="38" t="s">
        <v>1896</v>
      </c>
      <c r="K220" s="40" t="s">
        <v>1423</v>
      </c>
      <c r="L220" s="39"/>
      <c r="M220" s="39"/>
      <c r="N220" s="39"/>
      <c r="O220" s="39"/>
      <c r="P220" s="39"/>
      <c r="Q220" s="39"/>
      <c r="R220" s="39"/>
      <c r="S220" s="7">
        <v>8766.3235000000004</v>
      </c>
      <c r="T220" s="39" t="s">
        <v>1424</v>
      </c>
    </row>
    <row r="221" spans="2:20" x14ac:dyDescent="0.3">
      <c r="B221" s="22" t="s">
        <v>1368</v>
      </c>
      <c r="C221" s="22" t="s">
        <v>1897</v>
      </c>
      <c r="D221" s="22" t="s">
        <v>1897</v>
      </c>
      <c r="E221" s="38" t="s">
        <v>1898</v>
      </c>
      <c r="F221" s="39" t="s">
        <v>1899</v>
      </c>
      <c r="G221" s="39" t="s">
        <v>18</v>
      </c>
      <c r="H221" s="39" t="s">
        <v>19</v>
      </c>
      <c r="I221" s="39" t="s">
        <v>20</v>
      </c>
      <c r="J221" s="38" t="s">
        <v>1900</v>
      </c>
      <c r="K221" s="40" t="s">
        <v>1423</v>
      </c>
      <c r="L221" s="39"/>
      <c r="M221" s="39"/>
      <c r="N221" s="39"/>
      <c r="O221" s="39"/>
      <c r="P221" s="39"/>
      <c r="Q221" s="39"/>
      <c r="R221" s="39"/>
      <c r="S221" s="7">
        <v>11887.687999999998</v>
      </c>
      <c r="T221" s="39" t="s">
        <v>1424</v>
      </c>
    </row>
    <row r="222" spans="2:20" x14ac:dyDescent="0.3">
      <c r="B222" s="22" t="s">
        <v>1368</v>
      </c>
      <c r="C222" s="22" t="s">
        <v>1901</v>
      </c>
      <c r="D222" s="22" t="s">
        <v>1901</v>
      </c>
      <c r="E222" s="38" t="s">
        <v>1902</v>
      </c>
      <c r="F222" s="39" t="s">
        <v>1414</v>
      </c>
      <c r="G222" s="39" t="s">
        <v>18</v>
      </c>
      <c r="H222" s="39" t="s">
        <v>19</v>
      </c>
      <c r="I222" s="39" t="s">
        <v>20</v>
      </c>
      <c r="J222" s="38" t="s">
        <v>1903</v>
      </c>
      <c r="K222" s="40" t="s">
        <v>1423</v>
      </c>
      <c r="L222" s="39"/>
      <c r="M222" s="39"/>
      <c r="N222" s="39"/>
      <c r="O222" s="39"/>
      <c r="P222" s="39"/>
      <c r="Q222" s="39"/>
      <c r="R222" s="39"/>
      <c r="S222" s="7">
        <v>16077.540499999999</v>
      </c>
      <c r="T222" s="39" t="s">
        <v>1424</v>
      </c>
    </row>
    <row r="223" spans="2:20" x14ac:dyDescent="0.3">
      <c r="B223" s="22" t="s">
        <v>1368</v>
      </c>
      <c r="C223" s="22" t="s">
        <v>142</v>
      </c>
      <c r="D223" s="22" t="s">
        <v>142</v>
      </c>
      <c r="E223" s="38" t="s">
        <v>1904</v>
      </c>
      <c r="F223" s="39" t="s">
        <v>1184</v>
      </c>
      <c r="G223" s="39" t="s">
        <v>18</v>
      </c>
      <c r="H223" s="39" t="s">
        <v>19</v>
      </c>
      <c r="I223" s="39" t="s">
        <v>20</v>
      </c>
      <c r="J223" s="38" t="s">
        <v>1905</v>
      </c>
      <c r="K223" s="40" t="s">
        <v>1431</v>
      </c>
      <c r="L223" s="39"/>
      <c r="M223" s="39"/>
      <c r="N223" s="39"/>
      <c r="O223" s="39"/>
      <c r="P223" s="39"/>
      <c r="Q223" s="39"/>
      <c r="R223" s="39"/>
      <c r="S223" s="7">
        <v>1693.5130000000001</v>
      </c>
      <c r="T223" s="39" t="s">
        <v>1424</v>
      </c>
    </row>
    <row r="224" spans="2:20" x14ac:dyDescent="0.3">
      <c r="B224" s="22" t="s">
        <v>1368</v>
      </c>
      <c r="C224" s="22" t="s">
        <v>738</v>
      </c>
      <c r="D224" s="22" t="s">
        <v>738</v>
      </c>
      <c r="E224" s="38" t="s">
        <v>1906</v>
      </c>
      <c r="F224" s="39" t="s">
        <v>354</v>
      </c>
      <c r="G224" s="39" t="s">
        <v>24</v>
      </c>
      <c r="H224" s="39" t="s">
        <v>19</v>
      </c>
      <c r="I224" s="39" t="s">
        <v>20</v>
      </c>
      <c r="J224" s="38" t="s">
        <v>1907</v>
      </c>
      <c r="K224" s="40" t="s">
        <v>1423</v>
      </c>
      <c r="L224" s="39"/>
      <c r="M224" s="39"/>
      <c r="N224" s="39"/>
      <c r="O224" s="39"/>
      <c r="P224" s="39"/>
      <c r="Q224" s="39"/>
      <c r="R224" s="39"/>
      <c r="S224" s="7">
        <v>118411.32550000002</v>
      </c>
      <c r="T224" s="39" t="s">
        <v>1511</v>
      </c>
    </row>
    <row r="225" spans="2:20" x14ac:dyDescent="0.3">
      <c r="B225" s="22" t="s">
        <v>1368</v>
      </c>
      <c r="C225" s="22" t="s">
        <v>1908</v>
      </c>
      <c r="D225" s="22" t="s">
        <v>1908</v>
      </c>
      <c r="E225" s="38" t="s">
        <v>1909</v>
      </c>
      <c r="F225" s="39" t="s">
        <v>1910</v>
      </c>
      <c r="G225" s="39" t="s">
        <v>24</v>
      </c>
      <c r="H225" s="39" t="s">
        <v>19</v>
      </c>
      <c r="I225" s="39" t="s">
        <v>20</v>
      </c>
      <c r="J225" s="38" t="s">
        <v>1911</v>
      </c>
      <c r="K225" s="40" t="s">
        <v>1423</v>
      </c>
      <c r="L225" s="39"/>
      <c r="M225" s="39"/>
      <c r="N225" s="39"/>
      <c r="O225" s="39"/>
      <c r="P225" s="39"/>
      <c r="Q225" s="39"/>
      <c r="R225" s="39"/>
      <c r="S225" s="7">
        <v>5852.9250000000002</v>
      </c>
      <c r="T225" s="39" t="s">
        <v>1424</v>
      </c>
    </row>
    <row r="226" spans="2:20" x14ac:dyDescent="0.3">
      <c r="B226" s="22" t="s">
        <v>1368</v>
      </c>
      <c r="C226" s="22" t="s">
        <v>1912</v>
      </c>
      <c r="D226" s="22" t="s">
        <v>1912</v>
      </c>
      <c r="E226" s="38" t="s">
        <v>1913</v>
      </c>
      <c r="F226" s="39" t="s">
        <v>1914</v>
      </c>
      <c r="G226" s="39" t="s">
        <v>49</v>
      </c>
      <c r="H226" s="39" t="s">
        <v>19</v>
      </c>
      <c r="I226" s="39" t="s">
        <v>20</v>
      </c>
      <c r="J226" s="38" t="s">
        <v>1915</v>
      </c>
      <c r="K226" s="40" t="s">
        <v>1423</v>
      </c>
      <c r="L226" s="39"/>
      <c r="M226" s="39"/>
      <c r="N226" s="39"/>
      <c r="O226" s="39"/>
      <c r="P226" s="39"/>
      <c r="Q226" s="39"/>
      <c r="R226" s="39"/>
      <c r="S226" s="7">
        <v>842.88100000000009</v>
      </c>
      <c r="T226" s="39" t="s">
        <v>1424</v>
      </c>
    </row>
    <row r="227" spans="2:20" x14ac:dyDescent="0.3">
      <c r="B227" s="22" t="s">
        <v>1368</v>
      </c>
      <c r="C227" s="22" t="s">
        <v>1916</v>
      </c>
      <c r="D227" s="22" t="s">
        <v>1916</v>
      </c>
      <c r="E227" s="38" t="s">
        <v>1917</v>
      </c>
      <c r="F227" s="39" t="s">
        <v>1918</v>
      </c>
      <c r="G227" s="39" t="s">
        <v>18</v>
      </c>
      <c r="H227" s="39" t="s">
        <v>19</v>
      </c>
      <c r="I227" s="39" t="s">
        <v>20</v>
      </c>
      <c r="J227" s="38" t="s">
        <v>1919</v>
      </c>
      <c r="K227" s="40" t="s">
        <v>1423</v>
      </c>
      <c r="L227" s="39"/>
      <c r="M227" s="39"/>
      <c r="N227" s="39"/>
      <c r="O227" s="39"/>
      <c r="P227" s="39"/>
      <c r="Q227" s="39"/>
      <c r="R227" s="39"/>
      <c r="S227" s="7">
        <v>22699.482</v>
      </c>
      <c r="T227" s="39" t="s">
        <v>1424</v>
      </c>
    </row>
    <row r="228" spans="2:20" x14ac:dyDescent="0.3">
      <c r="B228" s="22" t="s">
        <v>1368</v>
      </c>
      <c r="C228" s="22" t="s">
        <v>1920</v>
      </c>
      <c r="D228" s="22" t="s">
        <v>1920</v>
      </c>
      <c r="E228" s="38" t="s">
        <v>1921</v>
      </c>
      <c r="F228" s="39" t="s">
        <v>1922</v>
      </c>
      <c r="G228" s="39" t="s">
        <v>18</v>
      </c>
      <c r="H228" s="39" t="s">
        <v>19</v>
      </c>
      <c r="I228" s="39" t="s">
        <v>20</v>
      </c>
      <c r="J228" s="38" t="s">
        <v>1923</v>
      </c>
      <c r="K228" s="40" t="s">
        <v>1423</v>
      </c>
      <c r="L228" s="39"/>
      <c r="M228" s="39"/>
      <c r="N228" s="39"/>
      <c r="O228" s="39"/>
      <c r="P228" s="39"/>
      <c r="Q228" s="39"/>
      <c r="R228" s="39"/>
      <c r="S228" s="7">
        <v>6533.7365</v>
      </c>
      <c r="T228" s="39" t="s">
        <v>1424</v>
      </c>
    </row>
    <row r="229" spans="2:20" x14ac:dyDescent="0.3">
      <c r="B229" s="22" t="s">
        <v>1368</v>
      </c>
      <c r="C229" s="22" t="s">
        <v>1924</v>
      </c>
      <c r="D229" s="22" t="s">
        <v>1924</v>
      </c>
      <c r="E229" s="38" t="s">
        <v>1925</v>
      </c>
      <c r="F229" s="39" t="s">
        <v>1926</v>
      </c>
      <c r="G229" s="39" t="s">
        <v>18</v>
      </c>
      <c r="H229" s="39" t="s">
        <v>19</v>
      </c>
      <c r="I229" s="39" t="s">
        <v>20</v>
      </c>
      <c r="J229" s="38" t="s">
        <v>1927</v>
      </c>
      <c r="K229" s="40" t="s">
        <v>1423</v>
      </c>
      <c r="L229" s="39"/>
      <c r="M229" s="39"/>
      <c r="N229" s="39"/>
      <c r="O229" s="39"/>
      <c r="P229" s="39"/>
      <c r="Q229" s="39"/>
      <c r="R229" s="39"/>
      <c r="S229" s="7">
        <v>17970.107</v>
      </c>
      <c r="T229" s="39" t="s">
        <v>1424</v>
      </c>
    </row>
    <row r="230" spans="2:20" x14ac:dyDescent="0.3">
      <c r="B230" s="22" t="s">
        <v>1368</v>
      </c>
      <c r="C230" s="22" t="s">
        <v>473</v>
      </c>
      <c r="D230" s="22" t="s">
        <v>473</v>
      </c>
      <c r="E230" s="38" t="s">
        <v>472</v>
      </c>
      <c r="F230" s="39" t="s">
        <v>474</v>
      </c>
      <c r="G230" s="39" t="s">
        <v>24</v>
      </c>
      <c r="H230" s="39" t="s">
        <v>19</v>
      </c>
      <c r="I230" s="39" t="s">
        <v>1509</v>
      </c>
      <c r="J230" s="38" t="s">
        <v>472</v>
      </c>
      <c r="K230" s="40" t="s">
        <v>1431</v>
      </c>
      <c r="L230" s="39"/>
      <c r="M230" s="39"/>
      <c r="N230" s="39"/>
      <c r="O230" s="39"/>
      <c r="P230" s="39"/>
      <c r="Q230" s="39"/>
      <c r="R230" s="39"/>
      <c r="S230" s="7">
        <v>11838.8015</v>
      </c>
      <c r="T230" s="39" t="s">
        <v>1424</v>
      </c>
    </row>
    <row r="231" spans="2:20" x14ac:dyDescent="0.3">
      <c r="B231" s="22" t="s">
        <v>1368</v>
      </c>
      <c r="C231" s="22" t="s">
        <v>882</v>
      </c>
      <c r="D231" s="22" t="s">
        <v>882</v>
      </c>
      <c r="E231" s="38" t="s">
        <v>1928</v>
      </c>
      <c r="F231" s="39" t="s">
        <v>868</v>
      </c>
      <c r="G231" s="39" t="s">
        <v>18</v>
      </c>
      <c r="H231" s="39" t="s">
        <v>19</v>
      </c>
      <c r="I231" s="39" t="s">
        <v>20</v>
      </c>
      <c r="J231" s="38" t="s">
        <v>1929</v>
      </c>
      <c r="K231" s="40" t="s">
        <v>1435</v>
      </c>
      <c r="L231" s="39"/>
      <c r="M231" s="39"/>
      <c r="N231" s="39"/>
      <c r="O231" s="39"/>
      <c r="P231" s="39"/>
      <c r="Q231" s="39"/>
      <c r="R231" s="39"/>
      <c r="S231" s="7">
        <v>7571.58</v>
      </c>
      <c r="T231" s="39" t="e">
        <v>#N/A</v>
      </c>
    </row>
    <row r="232" spans="2:20" x14ac:dyDescent="0.3">
      <c r="B232" s="22" t="s">
        <v>1368</v>
      </c>
      <c r="C232" s="22" t="s">
        <v>428</v>
      </c>
      <c r="D232" s="22" t="s">
        <v>428</v>
      </c>
      <c r="E232" s="38" t="s">
        <v>1930</v>
      </c>
      <c r="F232" s="39" t="s">
        <v>429</v>
      </c>
      <c r="G232" s="39" t="s">
        <v>49</v>
      </c>
      <c r="H232" s="39" t="s">
        <v>19</v>
      </c>
      <c r="I232" s="39" t="s">
        <v>20</v>
      </c>
      <c r="J232" s="38" t="s">
        <v>1931</v>
      </c>
      <c r="K232" s="40" t="s">
        <v>1700</v>
      </c>
      <c r="L232" s="39"/>
      <c r="M232" s="39"/>
      <c r="N232" s="39"/>
      <c r="O232" s="39"/>
      <c r="P232" s="39"/>
      <c r="Q232" s="39"/>
      <c r="R232" s="39"/>
      <c r="S232" s="7">
        <v>367183.34</v>
      </c>
      <c r="T232" s="39" t="e">
        <v>#N/A</v>
      </c>
    </row>
    <row r="233" spans="2:20" x14ac:dyDescent="0.3">
      <c r="B233" s="22" t="s">
        <v>1368</v>
      </c>
      <c r="C233" s="22" t="s">
        <v>921</v>
      </c>
      <c r="D233" s="22" t="s">
        <v>921</v>
      </c>
      <c r="E233" s="38" t="s">
        <v>1932</v>
      </c>
      <c r="F233" s="39" t="s">
        <v>922</v>
      </c>
      <c r="G233" s="39" t="s">
        <v>56</v>
      </c>
      <c r="H233" s="39" t="s">
        <v>19</v>
      </c>
      <c r="I233" s="39" t="s">
        <v>20</v>
      </c>
      <c r="J233" s="38" t="s">
        <v>920</v>
      </c>
      <c r="K233" s="40" t="s">
        <v>1435</v>
      </c>
      <c r="L233" s="39"/>
      <c r="M233" s="39"/>
      <c r="N233" s="39"/>
      <c r="O233" s="39"/>
      <c r="P233" s="39"/>
      <c r="Q233" s="39"/>
      <c r="R233" s="39"/>
      <c r="S233" s="7">
        <v>6900</v>
      </c>
      <c r="T233" s="39" t="e">
        <v>#N/A</v>
      </c>
    </row>
    <row r="234" spans="2:20" x14ac:dyDescent="0.3">
      <c r="B234" s="22" t="s">
        <v>1368</v>
      </c>
      <c r="C234" s="22" t="s">
        <v>1933</v>
      </c>
      <c r="D234" s="22" t="s">
        <v>1933</v>
      </c>
      <c r="E234" s="38" t="s">
        <v>1934</v>
      </c>
      <c r="F234" s="39" t="s">
        <v>1935</v>
      </c>
      <c r="G234" s="39" t="s">
        <v>56</v>
      </c>
      <c r="H234" s="39" t="s">
        <v>19</v>
      </c>
      <c r="I234" s="39" t="s">
        <v>20</v>
      </c>
      <c r="J234" s="38" t="s">
        <v>1936</v>
      </c>
      <c r="K234" s="40" t="s">
        <v>1435</v>
      </c>
      <c r="L234" s="39"/>
      <c r="M234" s="39"/>
      <c r="N234" s="39"/>
      <c r="O234" s="39"/>
      <c r="P234" s="39"/>
      <c r="Q234" s="39"/>
      <c r="R234" s="39"/>
      <c r="S234" s="7">
        <v>303</v>
      </c>
      <c r="T234" s="39" t="e">
        <v>#N/A</v>
      </c>
    </row>
    <row r="235" spans="2:20" x14ac:dyDescent="0.3">
      <c r="B235" s="22" t="s">
        <v>1368</v>
      </c>
      <c r="C235" s="22" t="s">
        <v>1937</v>
      </c>
      <c r="D235" s="22" t="s">
        <v>1937</v>
      </c>
      <c r="E235" s="38" t="s">
        <v>1938</v>
      </c>
      <c r="F235" s="39" t="s">
        <v>1939</v>
      </c>
      <c r="G235" s="39" t="s">
        <v>56</v>
      </c>
      <c r="H235" s="39" t="s">
        <v>19</v>
      </c>
      <c r="I235" s="39" t="s">
        <v>20</v>
      </c>
      <c r="J235" s="38" t="s">
        <v>1940</v>
      </c>
      <c r="K235" s="40" t="s">
        <v>1435</v>
      </c>
      <c r="L235" s="39"/>
      <c r="M235" s="39"/>
      <c r="N235" s="39"/>
      <c r="O235" s="39"/>
      <c r="P235" s="39"/>
      <c r="Q235" s="39"/>
      <c r="R235" s="39"/>
      <c r="S235" s="7">
        <v>33626.03</v>
      </c>
      <c r="T235" s="39" t="e">
        <v>#N/A</v>
      </c>
    </row>
    <row r="236" spans="2:20" x14ac:dyDescent="0.3">
      <c r="B236" s="22" t="s">
        <v>1368</v>
      </c>
      <c r="C236" s="22" t="s">
        <v>362</v>
      </c>
      <c r="D236" s="22" t="s">
        <v>362</v>
      </c>
      <c r="E236" s="38" t="s">
        <v>1941</v>
      </c>
      <c r="F236" s="39" t="s">
        <v>363</v>
      </c>
      <c r="G236" s="39" t="s">
        <v>18</v>
      </c>
      <c r="H236" s="39" t="s">
        <v>19</v>
      </c>
      <c r="I236" s="39" t="s">
        <v>20</v>
      </c>
      <c r="J236" s="38" t="s">
        <v>361</v>
      </c>
      <c r="K236" s="40" t="s">
        <v>1435</v>
      </c>
      <c r="L236" s="39"/>
      <c r="M236" s="39"/>
      <c r="N236" s="39"/>
      <c r="O236" s="39"/>
      <c r="P236" s="39"/>
      <c r="Q236" s="39"/>
      <c r="R236" s="39"/>
      <c r="S236" s="7">
        <v>1725</v>
      </c>
      <c r="T236" s="39" t="s">
        <v>1424</v>
      </c>
    </row>
    <row r="237" spans="2:20" x14ac:dyDescent="0.3">
      <c r="B237" s="22" t="s">
        <v>1368</v>
      </c>
      <c r="C237" s="22" t="s">
        <v>338</v>
      </c>
      <c r="D237" s="22" t="s">
        <v>338</v>
      </c>
      <c r="E237" s="38" t="s">
        <v>1942</v>
      </c>
      <c r="F237" s="39" t="s">
        <v>1163</v>
      </c>
      <c r="G237" s="39" t="s">
        <v>18</v>
      </c>
      <c r="H237" s="39" t="s">
        <v>19</v>
      </c>
      <c r="I237" s="39" t="s">
        <v>20</v>
      </c>
      <c r="J237" s="38" t="s">
        <v>337</v>
      </c>
      <c r="K237" s="40" t="s">
        <v>1435</v>
      </c>
      <c r="L237" s="39"/>
      <c r="M237" s="39"/>
      <c r="N237" s="39"/>
      <c r="O237" s="39"/>
      <c r="P237" s="39"/>
      <c r="Q237" s="39"/>
      <c r="R237" s="39"/>
      <c r="S237" s="7">
        <v>713.23</v>
      </c>
      <c r="T237" s="39" t="s">
        <v>1424</v>
      </c>
    </row>
    <row r="238" spans="2:20" x14ac:dyDescent="0.3">
      <c r="B238" s="22" t="s">
        <v>1368</v>
      </c>
      <c r="C238" s="22" t="s">
        <v>391</v>
      </c>
      <c r="D238" s="22" t="s">
        <v>391</v>
      </c>
      <c r="E238" s="38" t="s">
        <v>1943</v>
      </c>
      <c r="F238" s="39" t="s">
        <v>611</v>
      </c>
      <c r="G238" s="39" t="s">
        <v>18</v>
      </c>
      <c r="H238" s="39" t="s">
        <v>19</v>
      </c>
      <c r="I238" s="39" t="s">
        <v>20</v>
      </c>
      <c r="J238" s="38" t="s">
        <v>390</v>
      </c>
      <c r="K238" s="40" t="s">
        <v>1435</v>
      </c>
      <c r="L238" s="39"/>
      <c r="M238" s="39"/>
      <c r="N238" s="39"/>
      <c r="O238" s="39"/>
      <c r="P238" s="39"/>
      <c r="Q238" s="39"/>
      <c r="R238" s="39"/>
      <c r="S238" s="7">
        <v>8624.3790000000008</v>
      </c>
      <c r="T238" s="39" t="s">
        <v>1424</v>
      </c>
    </row>
    <row r="239" spans="2:20" x14ac:dyDescent="0.3">
      <c r="B239" s="22" t="s">
        <v>1368</v>
      </c>
      <c r="C239" s="22" t="s">
        <v>139</v>
      </c>
      <c r="D239" s="22" t="s">
        <v>139</v>
      </c>
      <c r="E239" s="38" t="s">
        <v>1944</v>
      </c>
      <c r="F239" s="39" t="s">
        <v>140</v>
      </c>
      <c r="G239" s="39" t="s">
        <v>18</v>
      </c>
      <c r="H239" s="39" t="s">
        <v>19</v>
      </c>
      <c r="I239" s="39" t="s">
        <v>20</v>
      </c>
      <c r="J239" s="38" t="s">
        <v>138</v>
      </c>
      <c r="K239" s="40" t="s">
        <v>1435</v>
      </c>
      <c r="L239" s="39"/>
      <c r="M239" s="39"/>
      <c r="N239" s="39"/>
      <c r="O239" s="39"/>
      <c r="P239" s="39"/>
      <c r="Q239" s="39"/>
      <c r="R239" s="39"/>
      <c r="S239" s="7">
        <v>19401.489000000001</v>
      </c>
      <c r="T239" s="39" t="s">
        <v>1432</v>
      </c>
    </row>
    <row r="240" spans="2:20" x14ac:dyDescent="0.3">
      <c r="B240" s="22" t="s">
        <v>1368</v>
      </c>
      <c r="C240" s="22" t="s">
        <v>1945</v>
      </c>
      <c r="D240" s="22" t="s">
        <v>1945</v>
      </c>
      <c r="E240" s="38" t="s">
        <v>1946</v>
      </c>
      <c r="F240" s="39" t="s">
        <v>459</v>
      </c>
      <c r="G240" s="39" t="s">
        <v>18</v>
      </c>
      <c r="H240" s="39" t="s">
        <v>202</v>
      </c>
      <c r="I240" s="39" t="s">
        <v>202</v>
      </c>
      <c r="J240" s="38" t="s">
        <v>1947</v>
      </c>
      <c r="K240" s="40" t="s">
        <v>1423</v>
      </c>
      <c r="L240" s="39"/>
      <c r="M240" s="39"/>
      <c r="N240" s="39"/>
      <c r="O240" s="39"/>
      <c r="P240" s="39"/>
      <c r="Q240" s="39"/>
      <c r="R240" s="39"/>
      <c r="S240" s="7">
        <v>2990</v>
      </c>
      <c r="T240" s="39" t="s">
        <v>1424</v>
      </c>
    </row>
    <row r="241" spans="2:20" x14ac:dyDescent="0.3">
      <c r="B241" s="22" t="s">
        <v>1368</v>
      </c>
      <c r="C241" s="22" t="s">
        <v>1948</v>
      </c>
      <c r="D241" s="22" t="s">
        <v>1948</v>
      </c>
      <c r="E241" s="38" t="s">
        <v>1949</v>
      </c>
      <c r="F241" s="39" t="s">
        <v>1950</v>
      </c>
      <c r="G241" s="39" t="s">
        <v>24</v>
      </c>
      <c r="H241" s="39" t="s">
        <v>19</v>
      </c>
      <c r="I241" s="39" t="s">
        <v>20</v>
      </c>
      <c r="J241" s="38" t="s">
        <v>1951</v>
      </c>
      <c r="K241" s="40" t="s">
        <v>1423</v>
      </c>
      <c r="L241" s="39"/>
      <c r="M241" s="39"/>
      <c r="N241" s="39"/>
      <c r="O241" s="39"/>
      <c r="P241" s="39"/>
      <c r="Q241" s="39"/>
      <c r="R241" s="39"/>
      <c r="S241" s="7">
        <v>15231.083000000001</v>
      </c>
      <c r="T241" s="39" t="s">
        <v>1424</v>
      </c>
    </row>
    <row r="242" spans="2:20" x14ac:dyDescent="0.3">
      <c r="B242" s="22" t="s">
        <v>1368</v>
      </c>
      <c r="C242" s="22" t="s">
        <v>1952</v>
      </c>
      <c r="D242" s="22" t="s">
        <v>1952</v>
      </c>
      <c r="E242" s="38" t="s">
        <v>1953</v>
      </c>
      <c r="F242" s="39" t="s">
        <v>1954</v>
      </c>
      <c r="G242" s="39" t="s">
        <v>18</v>
      </c>
      <c r="H242" s="39" t="s">
        <v>19</v>
      </c>
      <c r="I242" s="39" t="s">
        <v>20</v>
      </c>
      <c r="J242" s="38" t="s">
        <v>1955</v>
      </c>
      <c r="K242" s="40" t="s">
        <v>1423</v>
      </c>
      <c r="L242" s="39"/>
      <c r="M242" s="39"/>
      <c r="N242" s="39"/>
      <c r="O242" s="39"/>
      <c r="P242" s="39"/>
      <c r="Q242" s="39"/>
      <c r="R242" s="39"/>
      <c r="S242" s="7">
        <v>4682.6045000000004</v>
      </c>
      <c r="T242" s="39" t="s">
        <v>1424</v>
      </c>
    </row>
    <row r="243" spans="2:20" x14ac:dyDescent="0.3">
      <c r="B243" s="22" t="s">
        <v>1368</v>
      </c>
      <c r="C243" s="22" t="s">
        <v>1956</v>
      </c>
      <c r="D243" s="22" t="s">
        <v>1956</v>
      </c>
      <c r="E243" s="38" t="s">
        <v>1957</v>
      </c>
      <c r="F243" s="39" t="s">
        <v>1958</v>
      </c>
      <c r="G243" s="39" t="s">
        <v>18</v>
      </c>
      <c r="H243" s="39" t="s">
        <v>19</v>
      </c>
      <c r="I243" s="39" t="s">
        <v>20</v>
      </c>
      <c r="J243" s="38" t="s">
        <v>1959</v>
      </c>
      <c r="K243" s="40" t="s">
        <v>1423</v>
      </c>
      <c r="L243" s="39"/>
      <c r="M243" s="39"/>
      <c r="N243" s="39"/>
      <c r="O243" s="39"/>
      <c r="P243" s="39"/>
      <c r="Q243" s="39"/>
      <c r="R243" s="39"/>
      <c r="S243" s="7">
        <v>5880.8125</v>
      </c>
      <c r="T243" s="39" t="s">
        <v>1424</v>
      </c>
    </row>
    <row r="244" spans="2:20" x14ac:dyDescent="0.3">
      <c r="B244" s="22" t="s">
        <v>1368</v>
      </c>
      <c r="C244" s="22" t="s">
        <v>1960</v>
      </c>
      <c r="D244" s="22" t="s">
        <v>1960</v>
      </c>
      <c r="E244" s="38" t="s">
        <v>1961</v>
      </c>
      <c r="F244" s="39" t="s">
        <v>1962</v>
      </c>
      <c r="G244" s="39" t="s">
        <v>18</v>
      </c>
      <c r="H244" s="39" t="s">
        <v>19</v>
      </c>
      <c r="I244" s="39" t="s">
        <v>20</v>
      </c>
      <c r="J244" s="38" t="s">
        <v>1963</v>
      </c>
      <c r="K244" s="40" t="s">
        <v>1423</v>
      </c>
      <c r="L244" s="39"/>
      <c r="M244" s="39"/>
      <c r="N244" s="39"/>
      <c r="O244" s="39"/>
      <c r="P244" s="39"/>
      <c r="Q244" s="39"/>
      <c r="R244" s="39"/>
      <c r="S244" s="7">
        <v>22233.685999999998</v>
      </c>
      <c r="T244" s="39" t="s">
        <v>1424</v>
      </c>
    </row>
    <row r="245" spans="2:20" x14ac:dyDescent="0.3">
      <c r="B245" s="22" t="s">
        <v>1368</v>
      </c>
      <c r="C245" s="22" t="s">
        <v>519</v>
      </c>
      <c r="D245" s="22" t="s">
        <v>519</v>
      </c>
      <c r="E245" s="38" t="s">
        <v>1964</v>
      </c>
      <c r="F245" s="39" t="s">
        <v>520</v>
      </c>
      <c r="G245" s="39" t="s">
        <v>24</v>
      </c>
      <c r="H245" s="39" t="s">
        <v>19</v>
      </c>
      <c r="I245" s="39" t="s">
        <v>20</v>
      </c>
      <c r="J245" s="38" t="s">
        <v>518</v>
      </c>
      <c r="K245" s="40" t="s">
        <v>1423</v>
      </c>
      <c r="L245" s="39"/>
      <c r="M245" s="39"/>
      <c r="N245" s="39"/>
      <c r="O245" s="39"/>
      <c r="P245" s="39"/>
      <c r="Q245" s="39"/>
      <c r="R245" s="39"/>
      <c r="S245" s="7">
        <v>31982.816749999998</v>
      </c>
      <c r="T245" s="39" t="s">
        <v>1432</v>
      </c>
    </row>
    <row r="246" spans="2:20" x14ac:dyDescent="0.3">
      <c r="B246" s="22" t="s">
        <v>1368</v>
      </c>
      <c r="C246" s="22" t="s">
        <v>1965</v>
      </c>
      <c r="D246" s="22" t="s">
        <v>1965</v>
      </c>
      <c r="E246" s="38" t="s">
        <v>1966</v>
      </c>
      <c r="F246" s="39" t="s">
        <v>1967</v>
      </c>
      <c r="G246" s="39" t="s">
        <v>18</v>
      </c>
      <c r="H246" s="39" t="s">
        <v>19</v>
      </c>
      <c r="I246" s="39" t="s">
        <v>20</v>
      </c>
      <c r="J246" s="38" t="s">
        <v>1968</v>
      </c>
      <c r="K246" s="40" t="s">
        <v>1423</v>
      </c>
      <c r="L246" s="39"/>
      <c r="M246" s="39"/>
      <c r="N246" s="39"/>
      <c r="O246" s="39"/>
      <c r="P246" s="39"/>
      <c r="Q246" s="39"/>
      <c r="R246" s="39"/>
      <c r="S246" s="7">
        <v>2445.1875</v>
      </c>
      <c r="T246" s="39" t="s">
        <v>1424</v>
      </c>
    </row>
    <row r="247" spans="2:20" x14ac:dyDescent="0.3">
      <c r="B247" s="22" t="s">
        <v>1368</v>
      </c>
      <c r="C247" s="22" t="s">
        <v>1969</v>
      </c>
      <c r="D247" s="22" t="s">
        <v>1969</v>
      </c>
      <c r="E247" s="38" t="s">
        <v>1970</v>
      </c>
      <c r="F247" s="39" t="s">
        <v>1580</v>
      </c>
      <c r="G247" s="39" t="s">
        <v>49</v>
      </c>
      <c r="H247" s="39" t="s">
        <v>19</v>
      </c>
      <c r="I247" s="39" t="s">
        <v>20</v>
      </c>
      <c r="J247" s="38" t="s">
        <v>1971</v>
      </c>
      <c r="K247" s="40" t="s">
        <v>1423</v>
      </c>
      <c r="L247" s="39"/>
      <c r="M247" s="39"/>
      <c r="N247" s="39"/>
      <c r="O247" s="39"/>
      <c r="P247" s="39"/>
      <c r="Q247" s="39"/>
      <c r="R247" s="39"/>
      <c r="S247" s="7">
        <v>21974.2</v>
      </c>
      <c r="T247" s="39" t="s">
        <v>1424</v>
      </c>
    </row>
    <row r="248" spans="2:20" x14ac:dyDescent="0.3">
      <c r="B248" s="22" t="s">
        <v>1368</v>
      </c>
      <c r="C248" s="22" t="s">
        <v>1972</v>
      </c>
      <c r="D248" s="22" t="s">
        <v>1972</v>
      </c>
      <c r="E248" s="38" t="s">
        <v>1973</v>
      </c>
      <c r="F248" s="39" t="s">
        <v>1974</v>
      </c>
      <c r="G248" s="39" t="s">
        <v>49</v>
      </c>
      <c r="H248" s="39" t="s">
        <v>19</v>
      </c>
      <c r="I248" s="39" t="s">
        <v>20</v>
      </c>
      <c r="J248" s="38" t="s">
        <v>1975</v>
      </c>
      <c r="K248" s="40" t="s">
        <v>1423</v>
      </c>
      <c r="L248" s="39"/>
      <c r="M248" s="39"/>
      <c r="N248" s="39"/>
      <c r="O248" s="39"/>
      <c r="P248" s="39"/>
      <c r="Q248" s="39"/>
      <c r="R248" s="39"/>
      <c r="S248" s="7">
        <v>23000</v>
      </c>
      <c r="T248" s="39" t="s">
        <v>1424</v>
      </c>
    </row>
    <row r="249" spans="2:20" x14ac:dyDescent="0.3">
      <c r="B249" s="22" t="s">
        <v>1368</v>
      </c>
      <c r="C249" s="22" t="s">
        <v>1976</v>
      </c>
      <c r="D249" s="22" t="s">
        <v>1976</v>
      </c>
      <c r="E249" s="38" t="s">
        <v>1977</v>
      </c>
      <c r="F249" s="39" t="s">
        <v>1978</v>
      </c>
      <c r="G249" s="39" t="s">
        <v>18</v>
      </c>
      <c r="H249" s="39" t="s">
        <v>202</v>
      </c>
      <c r="I249" s="39" t="s">
        <v>202</v>
      </c>
      <c r="J249" s="38" t="s">
        <v>1979</v>
      </c>
      <c r="K249" s="40" t="s">
        <v>1423</v>
      </c>
      <c r="L249" s="39"/>
      <c r="M249" s="39"/>
      <c r="N249" s="39"/>
      <c r="O249" s="39"/>
      <c r="P249" s="39"/>
      <c r="Q249" s="39"/>
      <c r="R249" s="39"/>
      <c r="S249" s="7">
        <v>38272</v>
      </c>
      <c r="T249" s="39" t="s">
        <v>1424</v>
      </c>
    </row>
    <row r="250" spans="2:20" x14ac:dyDescent="0.3">
      <c r="B250" s="22" t="s">
        <v>1368</v>
      </c>
      <c r="C250" s="22" t="s">
        <v>1980</v>
      </c>
      <c r="D250" s="22" t="s">
        <v>1980</v>
      </c>
      <c r="E250" s="38" t="s">
        <v>1981</v>
      </c>
      <c r="F250" s="39" t="s">
        <v>810</v>
      </c>
      <c r="G250" s="39" t="s">
        <v>18</v>
      </c>
      <c r="H250" s="39" t="s">
        <v>19</v>
      </c>
      <c r="I250" s="39" t="s">
        <v>20</v>
      </c>
      <c r="J250" s="38" t="s">
        <v>1982</v>
      </c>
      <c r="K250" s="40" t="s">
        <v>1423</v>
      </c>
      <c r="L250" s="39"/>
      <c r="M250" s="39"/>
      <c r="N250" s="39"/>
      <c r="O250" s="39"/>
      <c r="P250" s="39"/>
      <c r="Q250" s="39"/>
      <c r="R250" s="39"/>
      <c r="S250" s="7">
        <v>2337.8005000000003</v>
      </c>
      <c r="T250" s="39" t="s">
        <v>1424</v>
      </c>
    </row>
    <row r="251" spans="2:20" x14ac:dyDescent="0.3">
      <c r="B251" s="22" t="s">
        <v>1368</v>
      </c>
      <c r="C251" s="22" t="s">
        <v>1983</v>
      </c>
      <c r="D251" s="22" t="s">
        <v>1983</v>
      </c>
      <c r="E251" s="38" t="s">
        <v>1984</v>
      </c>
      <c r="F251" s="39" t="s">
        <v>1985</v>
      </c>
      <c r="G251" s="39" t="s">
        <v>18</v>
      </c>
      <c r="H251" s="39" t="s">
        <v>19</v>
      </c>
      <c r="I251" s="39" t="s">
        <v>20</v>
      </c>
      <c r="J251" s="38" t="s">
        <v>1986</v>
      </c>
      <c r="K251" s="40" t="s">
        <v>1423</v>
      </c>
      <c r="L251" s="39"/>
      <c r="M251" s="39"/>
      <c r="N251" s="39"/>
      <c r="O251" s="39"/>
      <c r="P251" s="39"/>
      <c r="Q251" s="39"/>
      <c r="R251" s="39"/>
      <c r="S251" s="7">
        <v>8083.7870000000003</v>
      </c>
      <c r="T251" s="39" t="s">
        <v>1424</v>
      </c>
    </row>
    <row r="252" spans="2:20" x14ac:dyDescent="0.3">
      <c r="B252" s="22" t="s">
        <v>1368</v>
      </c>
      <c r="C252" s="22" t="s">
        <v>1987</v>
      </c>
      <c r="D252" s="22" t="s">
        <v>1987</v>
      </c>
      <c r="E252" s="38" t="s">
        <v>1988</v>
      </c>
      <c r="F252" s="39" t="s">
        <v>1989</v>
      </c>
      <c r="G252" s="39" t="s">
        <v>18</v>
      </c>
      <c r="H252" s="39" t="s">
        <v>19</v>
      </c>
      <c r="I252" s="39" t="s">
        <v>20</v>
      </c>
      <c r="J252" s="38" t="s">
        <v>1990</v>
      </c>
      <c r="K252" s="40" t="s">
        <v>1423</v>
      </c>
      <c r="L252" s="39"/>
      <c r="M252" s="39"/>
      <c r="N252" s="39"/>
      <c r="O252" s="39"/>
      <c r="P252" s="39"/>
      <c r="Q252" s="39"/>
      <c r="R252" s="39"/>
      <c r="S252" s="7">
        <v>31619.917000000001</v>
      </c>
      <c r="T252" s="39" t="s">
        <v>1424</v>
      </c>
    </row>
    <row r="253" spans="2:20" x14ac:dyDescent="0.3">
      <c r="B253" s="22" t="s">
        <v>1368</v>
      </c>
      <c r="C253" s="22" t="s">
        <v>495</v>
      </c>
      <c r="D253" s="22" t="s">
        <v>495</v>
      </c>
      <c r="E253" s="38" t="s">
        <v>1991</v>
      </c>
      <c r="F253" s="39" t="s">
        <v>496</v>
      </c>
      <c r="G253" s="39" t="s">
        <v>18</v>
      </c>
      <c r="H253" s="39" t="s">
        <v>19</v>
      </c>
      <c r="I253" s="39" t="s">
        <v>20</v>
      </c>
      <c r="J253" s="38" t="s">
        <v>494</v>
      </c>
      <c r="K253" s="40" t="s">
        <v>1431</v>
      </c>
      <c r="L253" s="39"/>
      <c r="M253" s="39"/>
      <c r="N253" s="39"/>
      <c r="O253" s="39"/>
      <c r="P253" s="39"/>
      <c r="Q253" s="39"/>
      <c r="R253" s="39"/>
      <c r="S253" s="7">
        <v>338.15750000000003</v>
      </c>
      <c r="T253" s="39" t="s">
        <v>1424</v>
      </c>
    </row>
    <row r="254" spans="2:20" x14ac:dyDescent="0.3">
      <c r="B254" s="22" t="s">
        <v>1368</v>
      </c>
      <c r="C254" s="22" t="s">
        <v>374</v>
      </c>
      <c r="D254" s="22" t="s">
        <v>374</v>
      </c>
      <c r="E254" s="38" t="s">
        <v>1992</v>
      </c>
      <c r="F254" s="39" t="s">
        <v>375</v>
      </c>
      <c r="G254" s="39" t="s">
        <v>49</v>
      </c>
      <c r="H254" s="39" t="s">
        <v>19</v>
      </c>
      <c r="I254" s="39" t="s">
        <v>1993</v>
      </c>
      <c r="J254" s="38" t="s">
        <v>373</v>
      </c>
      <c r="K254" s="40" t="s">
        <v>1431</v>
      </c>
      <c r="L254" s="39"/>
      <c r="M254" s="39"/>
      <c r="N254" s="39"/>
      <c r="O254" s="39"/>
      <c r="P254" s="39"/>
      <c r="Q254" s="39"/>
      <c r="R254" s="39"/>
      <c r="S254" s="7">
        <v>0</v>
      </c>
      <c r="T254" s="39" t="e">
        <v>#N/A</v>
      </c>
    </row>
    <row r="255" spans="2:20" x14ac:dyDescent="0.3">
      <c r="B255" s="22" t="s">
        <v>1368</v>
      </c>
      <c r="C255" s="22" t="s">
        <v>483</v>
      </c>
      <c r="D255" s="22" t="s">
        <v>483</v>
      </c>
      <c r="E255" s="38" t="s">
        <v>1994</v>
      </c>
      <c r="F255" s="39" t="s">
        <v>484</v>
      </c>
      <c r="G255" s="39" t="s">
        <v>18</v>
      </c>
      <c r="H255" s="39" t="s">
        <v>19</v>
      </c>
      <c r="I255" s="39" t="s">
        <v>20</v>
      </c>
      <c r="J255" s="38" t="s">
        <v>482</v>
      </c>
      <c r="K255" s="40" t="s">
        <v>1431</v>
      </c>
      <c r="L255" s="39"/>
      <c r="M255" s="39"/>
      <c r="N255" s="39"/>
      <c r="O255" s="39"/>
      <c r="P255" s="39"/>
      <c r="Q255" s="39"/>
      <c r="R255" s="39"/>
      <c r="S255" s="7">
        <v>4375.5257499999998</v>
      </c>
      <c r="T255" s="39" t="s">
        <v>1424</v>
      </c>
    </row>
    <row r="256" spans="2:20" x14ac:dyDescent="0.3">
      <c r="B256" s="22" t="s">
        <v>1368</v>
      </c>
      <c r="C256" s="22" t="s">
        <v>61</v>
      </c>
      <c r="D256" s="22" t="s">
        <v>61</v>
      </c>
      <c r="E256" s="38" t="s">
        <v>1995</v>
      </c>
      <c r="F256" s="39" t="s">
        <v>62</v>
      </c>
      <c r="G256" s="39" t="s">
        <v>18</v>
      </c>
      <c r="H256" s="39" t="s">
        <v>19</v>
      </c>
      <c r="I256" s="39" t="s">
        <v>20</v>
      </c>
      <c r="J256" s="38" t="s">
        <v>60</v>
      </c>
      <c r="K256" s="40" t="s">
        <v>1431</v>
      </c>
      <c r="L256" s="39"/>
      <c r="M256" s="39"/>
      <c r="N256" s="39"/>
      <c r="O256" s="39"/>
      <c r="P256" s="39"/>
      <c r="Q256" s="39"/>
      <c r="R256" s="39"/>
      <c r="S256" s="7">
        <v>22814.5625</v>
      </c>
      <c r="T256" s="39" t="s">
        <v>1424</v>
      </c>
    </row>
    <row r="257" spans="2:20" x14ac:dyDescent="0.3">
      <c r="B257" s="22" t="s">
        <v>1368</v>
      </c>
      <c r="C257" s="22" t="s">
        <v>136</v>
      </c>
      <c r="D257" s="22" t="s">
        <v>136</v>
      </c>
      <c r="E257" s="38" t="s">
        <v>1996</v>
      </c>
      <c r="F257" s="39" t="s">
        <v>1997</v>
      </c>
      <c r="G257" s="39" t="s">
        <v>18</v>
      </c>
      <c r="H257" s="39" t="s">
        <v>19</v>
      </c>
      <c r="I257" s="39" t="s">
        <v>20</v>
      </c>
      <c r="J257" s="38" t="s">
        <v>135</v>
      </c>
      <c r="K257" s="40" t="s">
        <v>1431</v>
      </c>
      <c r="L257" s="39"/>
      <c r="M257" s="39"/>
      <c r="N257" s="39"/>
      <c r="O257" s="39"/>
      <c r="P257" s="39"/>
      <c r="Q257" s="39"/>
      <c r="R257" s="39"/>
      <c r="S257" s="7">
        <v>782205.33000000007</v>
      </c>
      <c r="T257" s="39" t="e">
        <v>#N/A</v>
      </c>
    </row>
    <row r="258" spans="2:20" x14ac:dyDescent="0.3">
      <c r="B258" s="22" t="s">
        <v>1368</v>
      </c>
      <c r="C258" s="22" t="s">
        <v>537</v>
      </c>
      <c r="D258" s="22" t="s">
        <v>537</v>
      </c>
      <c r="E258" s="38" t="s">
        <v>1998</v>
      </c>
      <c r="F258" s="39" t="s">
        <v>1170</v>
      </c>
      <c r="G258" s="39" t="s">
        <v>18</v>
      </c>
      <c r="H258" s="39" t="s">
        <v>19</v>
      </c>
      <c r="I258" s="39" t="s">
        <v>20</v>
      </c>
      <c r="J258" s="38" t="s">
        <v>536</v>
      </c>
      <c r="K258" s="40" t="s">
        <v>1431</v>
      </c>
      <c r="L258" s="39"/>
      <c r="M258" s="39"/>
      <c r="N258" s="39"/>
      <c r="O258" s="39"/>
      <c r="P258" s="39"/>
      <c r="Q258" s="39"/>
      <c r="R258" s="39"/>
      <c r="S258" s="7">
        <v>26654.976000000002</v>
      </c>
      <c r="T258" s="39" t="s">
        <v>1432</v>
      </c>
    </row>
    <row r="259" spans="2:20" x14ac:dyDescent="0.3">
      <c r="B259" s="22" t="s">
        <v>1368</v>
      </c>
      <c r="C259" s="22" t="s">
        <v>188</v>
      </c>
      <c r="D259" s="22" t="s">
        <v>188</v>
      </c>
      <c r="E259" s="38" t="s">
        <v>1999</v>
      </c>
      <c r="F259" s="39" t="s">
        <v>189</v>
      </c>
      <c r="G259" s="39" t="s">
        <v>49</v>
      </c>
      <c r="H259" s="39" t="s">
        <v>19</v>
      </c>
      <c r="I259" s="39" t="s">
        <v>20</v>
      </c>
      <c r="J259" s="38" t="s">
        <v>187</v>
      </c>
      <c r="K259" s="40" t="s">
        <v>1431</v>
      </c>
      <c r="L259" s="39"/>
      <c r="M259" s="39"/>
      <c r="N259" s="39"/>
      <c r="O259" s="39"/>
      <c r="P259" s="39"/>
      <c r="Q259" s="39"/>
      <c r="R259" s="39"/>
      <c r="S259" s="7">
        <v>162.10400000000001</v>
      </c>
      <c r="T259" s="39" t="s">
        <v>1424</v>
      </c>
    </row>
    <row r="260" spans="2:20" x14ac:dyDescent="0.3">
      <c r="B260" s="22" t="s">
        <v>1368</v>
      </c>
      <c r="C260" s="22" t="s">
        <v>2000</v>
      </c>
      <c r="D260" s="22" t="s">
        <v>2000</v>
      </c>
      <c r="E260" s="38" t="s">
        <v>2001</v>
      </c>
      <c r="F260" s="39" t="s">
        <v>2002</v>
      </c>
      <c r="G260" s="39" t="s">
        <v>18</v>
      </c>
      <c r="H260" s="39" t="s">
        <v>19</v>
      </c>
      <c r="I260" s="39" t="s">
        <v>20</v>
      </c>
      <c r="J260" s="38" t="s">
        <v>2003</v>
      </c>
      <c r="K260" s="40" t="s">
        <v>2004</v>
      </c>
      <c r="L260" s="39"/>
      <c r="M260" s="39"/>
      <c r="N260" s="39"/>
      <c r="O260" s="39"/>
      <c r="P260" s="39"/>
      <c r="Q260" s="39"/>
      <c r="R260" s="39"/>
      <c r="S260" s="7">
        <v>6403.1539999999995</v>
      </c>
      <c r="T260" s="39" t="s">
        <v>1424</v>
      </c>
    </row>
    <row r="261" spans="2:20" x14ac:dyDescent="0.3">
      <c r="B261" s="22" t="s">
        <v>1368</v>
      </c>
      <c r="C261" s="22" t="s">
        <v>2005</v>
      </c>
      <c r="D261" s="22" t="s">
        <v>2005</v>
      </c>
      <c r="E261" s="38" t="s">
        <v>2006</v>
      </c>
      <c r="F261" s="39" t="s">
        <v>2006</v>
      </c>
      <c r="G261" s="39" t="s">
        <v>49</v>
      </c>
      <c r="H261" s="39" t="s">
        <v>19</v>
      </c>
      <c r="I261" s="39" t="s">
        <v>20</v>
      </c>
      <c r="J261" s="38" t="s">
        <v>2007</v>
      </c>
      <c r="K261" s="40" t="s">
        <v>1431</v>
      </c>
      <c r="L261" s="39"/>
      <c r="M261" s="39"/>
      <c r="N261" s="39"/>
      <c r="O261" s="39"/>
      <c r="P261" s="39"/>
      <c r="Q261" s="39"/>
      <c r="R261" s="39"/>
      <c r="S261" s="7">
        <v>569.88250000000005</v>
      </c>
      <c r="T261" s="39" t="s">
        <v>1438</v>
      </c>
    </row>
    <row r="262" spans="2:20" x14ac:dyDescent="0.3">
      <c r="B262" s="22" t="s">
        <v>1368</v>
      </c>
      <c r="C262" s="22" t="s">
        <v>264</v>
      </c>
      <c r="D262" s="22" t="s">
        <v>264</v>
      </c>
      <c r="E262" s="38" t="s">
        <v>2008</v>
      </c>
      <c r="F262" s="39" t="s">
        <v>265</v>
      </c>
      <c r="G262" s="39" t="s">
        <v>18</v>
      </c>
      <c r="H262" s="39" t="s">
        <v>19</v>
      </c>
      <c r="I262" s="39" t="s">
        <v>20</v>
      </c>
      <c r="J262" s="38" t="s">
        <v>2009</v>
      </c>
      <c r="K262" s="40" t="s">
        <v>1353</v>
      </c>
      <c r="L262" s="39"/>
      <c r="M262" s="39"/>
      <c r="N262" s="39"/>
      <c r="O262" s="39"/>
      <c r="P262" s="39"/>
      <c r="Q262" s="39"/>
      <c r="R262" s="39"/>
      <c r="S262" s="7">
        <v>13173.399500000001</v>
      </c>
      <c r="T262" s="39" t="s">
        <v>1424</v>
      </c>
    </row>
    <row r="263" spans="2:20" x14ac:dyDescent="0.3">
      <c r="B263" s="22" t="s">
        <v>1368</v>
      </c>
      <c r="C263" s="22" t="s">
        <v>2010</v>
      </c>
      <c r="D263" s="22" t="s">
        <v>2010</v>
      </c>
      <c r="E263" s="38" t="s">
        <v>2011</v>
      </c>
      <c r="F263" s="39" t="s">
        <v>2012</v>
      </c>
      <c r="G263" s="39" t="s">
        <v>18</v>
      </c>
      <c r="H263" s="39" t="s">
        <v>19</v>
      </c>
      <c r="I263" s="39" t="s">
        <v>20</v>
      </c>
      <c r="J263" s="38" t="s">
        <v>2013</v>
      </c>
      <c r="K263" s="40" t="s">
        <v>2014</v>
      </c>
      <c r="L263" s="39"/>
      <c r="M263" s="39"/>
      <c r="N263" s="39"/>
      <c r="O263" s="39"/>
      <c r="P263" s="39"/>
      <c r="Q263" s="39"/>
      <c r="R263" s="39"/>
      <c r="S263" s="7">
        <v>137.90800000000002</v>
      </c>
      <c r="T263" s="39" t="s">
        <v>1424</v>
      </c>
    </row>
    <row r="264" spans="2:20" x14ac:dyDescent="0.3">
      <c r="B264" s="22" t="s">
        <v>1368</v>
      </c>
      <c r="C264" s="22" t="s">
        <v>902</v>
      </c>
      <c r="D264" s="22" t="s">
        <v>902</v>
      </c>
      <c r="E264" s="38" t="s">
        <v>2015</v>
      </c>
      <c r="F264" s="39" t="s">
        <v>587</v>
      </c>
      <c r="G264" s="39" t="s">
        <v>56</v>
      </c>
      <c r="H264" s="39" t="s">
        <v>19</v>
      </c>
      <c r="I264" s="39" t="s">
        <v>20</v>
      </c>
      <c r="J264" s="38" t="s">
        <v>2016</v>
      </c>
      <c r="K264" s="40" t="s">
        <v>1354</v>
      </c>
      <c r="L264" s="39"/>
      <c r="M264" s="39"/>
      <c r="N264" s="39"/>
      <c r="O264" s="39"/>
      <c r="P264" s="39"/>
      <c r="Q264" s="39"/>
      <c r="R264" s="39"/>
      <c r="S264" s="7">
        <v>0</v>
      </c>
      <c r="T264" s="39" t="e">
        <v>#N/A</v>
      </c>
    </row>
    <row r="265" spans="2:20" x14ac:dyDescent="0.3">
      <c r="B265" s="22" t="s">
        <v>1368</v>
      </c>
      <c r="C265" s="22" t="s">
        <v>294</v>
      </c>
      <c r="D265" s="22" t="s">
        <v>294</v>
      </c>
      <c r="E265" s="38" t="s">
        <v>2017</v>
      </c>
      <c r="F265" s="39" t="s">
        <v>295</v>
      </c>
      <c r="G265" s="39" t="s">
        <v>18</v>
      </c>
      <c r="H265" s="39" t="s">
        <v>19</v>
      </c>
      <c r="I265" s="39" t="s">
        <v>20</v>
      </c>
      <c r="J265" s="38" t="s">
        <v>2018</v>
      </c>
      <c r="K265" s="40" t="s">
        <v>1353</v>
      </c>
      <c r="L265" s="39"/>
      <c r="M265" s="39"/>
      <c r="N265" s="39"/>
      <c r="O265" s="39"/>
      <c r="P265" s="39"/>
      <c r="Q265" s="39"/>
      <c r="R265" s="39"/>
      <c r="S265" s="7">
        <v>3692.098</v>
      </c>
      <c r="T265" s="39" t="s">
        <v>1424</v>
      </c>
    </row>
    <row r="266" spans="2:20" x14ac:dyDescent="0.3">
      <c r="B266" s="22" t="s">
        <v>1368</v>
      </c>
      <c r="C266" s="22" t="s">
        <v>380</v>
      </c>
      <c r="D266" s="22" t="s">
        <v>380</v>
      </c>
      <c r="E266" s="38" t="s">
        <v>2019</v>
      </c>
      <c r="F266" s="39" t="s">
        <v>381</v>
      </c>
      <c r="G266" s="39" t="s">
        <v>24</v>
      </c>
      <c r="H266" s="39" t="s">
        <v>19</v>
      </c>
      <c r="I266" s="39" t="s">
        <v>20</v>
      </c>
      <c r="J266" s="38" t="s">
        <v>2020</v>
      </c>
      <c r="K266" s="40" t="s">
        <v>1353</v>
      </c>
      <c r="L266" s="39"/>
      <c r="M266" s="39"/>
      <c r="N266" s="39"/>
      <c r="O266" s="39"/>
      <c r="P266" s="39"/>
      <c r="Q266" s="39"/>
      <c r="R266" s="39"/>
      <c r="S266" s="7">
        <v>3394.5124999999998</v>
      </c>
      <c r="T266" s="39" t="s">
        <v>1424</v>
      </c>
    </row>
    <row r="267" spans="2:20" x14ac:dyDescent="0.3">
      <c r="B267" s="22" t="s">
        <v>1368</v>
      </c>
      <c r="C267" s="22" t="s">
        <v>1005</v>
      </c>
      <c r="D267" s="22" t="s">
        <v>1005</v>
      </c>
      <c r="E267" s="38" t="s">
        <v>2021</v>
      </c>
      <c r="F267" s="39" t="s">
        <v>386</v>
      </c>
      <c r="G267" s="39" t="s">
        <v>56</v>
      </c>
      <c r="H267" s="39" t="s">
        <v>19</v>
      </c>
      <c r="I267" s="39" t="s">
        <v>20</v>
      </c>
      <c r="J267" s="38" t="s">
        <v>2022</v>
      </c>
      <c r="K267" s="40" t="s">
        <v>1354</v>
      </c>
      <c r="L267" s="39"/>
      <c r="M267" s="39"/>
      <c r="N267" s="39"/>
      <c r="O267" s="39"/>
      <c r="P267" s="39"/>
      <c r="Q267" s="39"/>
      <c r="R267" s="39"/>
      <c r="S267" s="7">
        <v>0</v>
      </c>
      <c r="T267" s="39" t="e">
        <v>#N/A</v>
      </c>
    </row>
    <row r="268" spans="2:20" x14ac:dyDescent="0.3">
      <c r="B268" s="22" t="s">
        <v>1368</v>
      </c>
      <c r="C268" s="22" t="s">
        <v>2023</v>
      </c>
      <c r="D268" s="22" t="s">
        <v>2023</v>
      </c>
      <c r="E268" s="38" t="s">
        <v>2024</v>
      </c>
      <c r="F268" s="39" t="s">
        <v>2025</v>
      </c>
      <c r="G268" s="39" t="s">
        <v>56</v>
      </c>
      <c r="H268" s="39" t="s">
        <v>2026</v>
      </c>
      <c r="I268" s="39" t="s">
        <v>2026</v>
      </c>
      <c r="J268" s="38" t="s">
        <v>2027</v>
      </c>
      <c r="K268" s="40" t="s">
        <v>2014</v>
      </c>
      <c r="L268" s="39"/>
      <c r="M268" s="39"/>
      <c r="N268" s="39"/>
      <c r="O268" s="39"/>
      <c r="P268" s="39"/>
      <c r="Q268" s="39"/>
      <c r="R268" s="39"/>
      <c r="S268" s="7">
        <v>2875</v>
      </c>
      <c r="T268" s="39" t="s">
        <v>1424</v>
      </c>
    </row>
    <row r="269" spans="2:20" x14ac:dyDescent="0.3">
      <c r="B269" s="22" t="s">
        <v>1368</v>
      </c>
      <c r="C269" s="22" t="s">
        <v>2028</v>
      </c>
      <c r="D269" s="22" t="s">
        <v>2028</v>
      </c>
      <c r="E269" s="38" t="s">
        <v>2029</v>
      </c>
      <c r="F269" s="39" t="s">
        <v>2030</v>
      </c>
      <c r="G269" s="39" t="s">
        <v>24</v>
      </c>
      <c r="H269" s="39" t="s">
        <v>19</v>
      </c>
      <c r="I269" s="39" t="s">
        <v>20</v>
      </c>
      <c r="J269" s="38" t="s">
        <v>2031</v>
      </c>
      <c r="K269" s="40" t="s">
        <v>1423</v>
      </c>
      <c r="L269" s="39"/>
      <c r="M269" s="39"/>
      <c r="N269" s="39"/>
      <c r="O269" s="39"/>
      <c r="P269" s="39"/>
      <c r="Q269" s="39"/>
      <c r="R269" s="39"/>
      <c r="S269" s="7">
        <v>4799.9160000000002</v>
      </c>
      <c r="T269" s="39" t="s">
        <v>1424</v>
      </c>
    </row>
    <row r="270" spans="2:20" x14ac:dyDescent="0.3">
      <c r="B270" s="22" t="s">
        <v>1368</v>
      </c>
      <c r="C270" s="22" t="s">
        <v>185</v>
      </c>
      <c r="D270" s="22" t="s">
        <v>185</v>
      </c>
      <c r="E270" s="38" t="s">
        <v>2032</v>
      </c>
      <c r="F270" s="39" t="s">
        <v>186</v>
      </c>
      <c r="G270" s="39" t="s">
        <v>56</v>
      </c>
      <c r="H270" s="39" t="s">
        <v>19</v>
      </c>
      <c r="I270" s="39" t="s">
        <v>20</v>
      </c>
      <c r="J270" s="38" t="s">
        <v>2033</v>
      </c>
      <c r="K270" s="40" t="s">
        <v>1353</v>
      </c>
      <c r="L270" s="39"/>
      <c r="M270" s="39"/>
      <c r="N270" s="39"/>
      <c r="O270" s="39"/>
      <c r="P270" s="39"/>
      <c r="Q270" s="39"/>
      <c r="R270" s="39"/>
      <c r="S270" s="7">
        <v>1107.68</v>
      </c>
      <c r="T270" s="39" t="s">
        <v>1424</v>
      </c>
    </row>
    <row r="271" spans="2:20" x14ac:dyDescent="0.3">
      <c r="B271" s="22" t="s">
        <v>1368</v>
      </c>
      <c r="C271" s="22" t="s">
        <v>2034</v>
      </c>
      <c r="D271" s="22" t="s">
        <v>2034</v>
      </c>
      <c r="E271" s="38" t="s">
        <v>2035</v>
      </c>
      <c r="F271" s="39" t="s">
        <v>2036</v>
      </c>
      <c r="G271" s="39" t="s">
        <v>18</v>
      </c>
      <c r="H271" s="39" t="s">
        <v>19</v>
      </c>
      <c r="I271" s="39" t="s">
        <v>20</v>
      </c>
      <c r="J271" s="38" t="s">
        <v>2037</v>
      </c>
      <c r="K271" s="40" t="s">
        <v>2014</v>
      </c>
      <c r="L271" s="39"/>
      <c r="M271" s="39"/>
      <c r="N271" s="39"/>
      <c r="O271" s="39"/>
      <c r="P271" s="39"/>
      <c r="Q271" s="39"/>
      <c r="R271" s="39"/>
      <c r="S271" s="7">
        <v>1549.556</v>
      </c>
      <c r="T271" s="39" t="s">
        <v>1424</v>
      </c>
    </row>
    <row r="272" spans="2:20" x14ac:dyDescent="0.3">
      <c r="B272" s="22" t="s">
        <v>1368</v>
      </c>
      <c r="C272" s="22" t="s">
        <v>701</v>
      </c>
      <c r="D272" s="22" t="s">
        <v>701</v>
      </c>
      <c r="E272" s="38" t="s">
        <v>1429</v>
      </c>
      <c r="F272" s="39" t="s">
        <v>702</v>
      </c>
      <c r="G272" s="39" t="s">
        <v>18</v>
      </c>
      <c r="H272" s="39" t="s">
        <v>695</v>
      </c>
      <c r="I272" s="39" t="s">
        <v>695</v>
      </c>
      <c r="J272" s="38" t="s">
        <v>2038</v>
      </c>
      <c r="K272" s="40" t="s">
        <v>2039</v>
      </c>
      <c r="L272" s="39"/>
      <c r="M272" s="39"/>
      <c r="N272" s="39"/>
      <c r="O272" s="39"/>
      <c r="P272" s="39"/>
      <c r="Q272" s="39"/>
      <c r="R272" s="39"/>
      <c r="S272" s="7">
        <v>0</v>
      </c>
      <c r="T272" s="39" t="e">
        <v>#N/A</v>
      </c>
    </row>
    <row r="273" spans="2:20" x14ac:dyDescent="0.3">
      <c r="B273" s="22" t="s">
        <v>1368</v>
      </c>
      <c r="C273" s="22" t="s">
        <v>693</v>
      </c>
      <c r="D273" s="22" t="s">
        <v>693</v>
      </c>
      <c r="E273" s="38" t="s">
        <v>2040</v>
      </c>
      <c r="F273" s="39" t="s">
        <v>694</v>
      </c>
      <c r="G273" s="39" t="s">
        <v>18</v>
      </c>
      <c r="H273" s="39" t="s">
        <v>695</v>
      </c>
      <c r="I273" s="39" t="s">
        <v>695</v>
      </c>
      <c r="J273" s="38" t="s">
        <v>2041</v>
      </c>
      <c r="K273" s="40" t="s">
        <v>2039</v>
      </c>
      <c r="L273" s="39"/>
      <c r="M273" s="39"/>
      <c r="N273" s="39"/>
      <c r="O273" s="39"/>
      <c r="P273" s="39"/>
      <c r="Q273" s="39"/>
      <c r="R273" s="39"/>
      <c r="S273" s="7">
        <v>0</v>
      </c>
      <c r="T273" s="39" t="e">
        <v>#N/A</v>
      </c>
    </row>
    <row r="274" spans="2:20" x14ac:dyDescent="0.3">
      <c r="B274" s="22" t="s">
        <v>1368</v>
      </c>
      <c r="C274" s="22" t="s">
        <v>1256</v>
      </c>
      <c r="D274" s="22" t="s">
        <v>1256</v>
      </c>
      <c r="E274" s="38" t="s">
        <v>2042</v>
      </c>
      <c r="F274" s="39" t="s">
        <v>831</v>
      </c>
      <c r="G274" s="39" t="s">
        <v>18</v>
      </c>
      <c r="H274" s="39" t="s">
        <v>19</v>
      </c>
      <c r="I274" s="39" t="s">
        <v>20</v>
      </c>
      <c r="J274" s="38" t="s">
        <v>2043</v>
      </c>
      <c r="K274" s="40" t="s">
        <v>2014</v>
      </c>
      <c r="L274" s="39"/>
      <c r="M274" s="39"/>
      <c r="N274" s="39"/>
      <c r="O274" s="39"/>
      <c r="P274" s="39"/>
      <c r="Q274" s="39"/>
      <c r="R274" s="39"/>
      <c r="S274" s="7">
        <v>649.01400000000001</v>
      </c>
      <c r="T274" s="39" t="s">
        <v>1424</v>
      </c>
    </row>
    <row r="275" spans="2:20" x14ac:dyDescent="0.3">
      <c r="B275" s="22" t="s">
        <v>1368</v>
      </c>
      <c r="C275" s="22" t="s">
        <v>785</v>
      </c>
      <c r="D275" s="22" t="s">
        <v>785</v>
      </c>
      <c r="E275" s="38" t="s">
        <v>2044</v>
      </c>
      <c r="F275" s="39" t="s">
        <v>786</v>
      </c>
      <c r="G275" s="39" t="s">
        <v>18</v>
      </c>
      <c r="H275" s="39" t="s">
        <v>19</v>
      </c>
      <c r="I275" s="39" t="s">
        <v>2045</v>
      </c>
      <c r="J275" s="38" t="s">
        <v>2046</v>
      </c>
      <c r="K275" s="40" t="s">
        <v>1353</v>
      </c>
      <c r="L275" s="39"/>
      <c r="M275" s="39"/>
      <c r="N275" s="39"/>
      <c r="O275" s="39"/>
      <c r="P275" s="39"/>
      <c r="Q275" s="39"/>
      <c r="R275" s="39"/>
      <c r="S275" s="7">
        <v>0</v>
      </c>
      <c r="T275" s="39" t="e">
        <v>#N/A</v>
      </c>
    </row>
    <row r="276" spans="2:20" x14ac:dyDescent="0.3">
      <c r="B276" s="22" t="s">
        <v>1368</v>
      </c>
      <c r="C276" s="22" t="s">
        <v>2047</v>
      </c>
      <c r="D276" s="22" t="s">
        <v>2047</v>
      </c>
      <c r="E276" s="38" t="s">
        <v>2048</v>
      </c>
      <c r="F276" s="39" t="s">
        <v>2049</v>
      </c>
      <c r="G276" s="39" t="s">
        <v>18</v>
      </c>
      <c r="H276" s="39" t="s">
        <v>19</v>
      </c>
      <c r="I276" s="39" t="s">
        <v>20</v>
      </c>
      <c r="J276" s="38" t="s">
        <v>2050</v>
      </c>
      <c r="K276" s="40" t="s">
        <v>2014</v>
      </c>
      <c r="L276" s="39"/>
      <c r="M276" s="39"/>
      <c r="N276" s="39"/>
      <c r="O276" s="39"/>
      <c r="P276" s="39"/>
      <c r="Q276" s="39"/>
      <c r="R276" s="39"/>
      <c r="S276" s="7">
        <v>333.82199999999995</v>
      </c>
      <c r="T276" s="39" t="s">
        <v>1424</v>
      </c>
    </row>
    <row r="277" spans="2:20" x14ac:dyDescent="0.3">
      <c r="B277" s="22" t="s">
        <v>1368</v>
      </c>
      <c r="C277" s="22" t="s">
        <v>365</v>
      </c>
      <c r="D277" s="22" t="s">
        <v>365</v>
      </c>
      <c r="E277" s="38" t="s">
        <v>2051</v>
      </c>
      <c r="F277" s="39" t="s">
        <v>366</v>
      </c>
      <c r="G277" s="39" t="s">
        <v>49</v>
      </c>
      <c r="H277" s="39" t="s">
        <v>19</v>
      </c>
      <c r="I277" s="39" t="s">
        <v>20</v>
      </c>
      <c r="J277" s="38" t="s">
        <v>2052</v>
      </c>
      <c r="K277" s="40" t="s">
        <v>1353</v>
      </c>
      <c r="L277" s="39"/>
      <c r="M277" s="39"/>
      <c r="N277" s="39"/>
      <c r="O277" s="39"/>
      <c r="P277" s="39"/>
      <c r="Q277" s="39"/>
      <c r="R277" s="39"/>
      <c r="S277" s="7">
        <v>3585</v>
      </c>
      <c r="T277" s="39" t="e">
        <v>#N/A</v>
      </c>
    </row>
    <row r="278" spans="2:20" x14ac:dyDescent="0.3">
      <c r="B278" s="22" t="s">
        <v>1368</v>
      </c>
      <c r="C278" s="22" t="s">
        <v>876</v>
      </c>
      <c r="D278" s="22" t="s">
        <v>876</v>
      </c>
      <c r="E278" s="38" t="s">
        <v>2053</v>
      </c>
      <c r="F278" s="39" t="s">
        <v>877</v>
      </c>
      <c r="G278" s="39" t="s">
        <v>18</v>
      </c>
      <c r="H278" s="39" t="s">
        <v>19</v>
      </c>
      <c r="I278" s="39" t="s">
        <v>20</v>
      </c>
      <c r="J278" s="38" t="s">
        <v>2054</v>
      </c>
      <c r="K278" s="40" t="s">
        <v>1354</v>
      </c>
      <c r="L278" s="39"/>
      <c r="M278" s="39"/>
      <c r="N278" s="39"/>
      <c r="O278" s="39"/>
      <c r="P278" s="39"/>
      <c r="Q278" s="39"/>
      <c r="R278" s="39"/>
      <c r="S278" s="7">
        <v>22425</v>
      </c>
      <c r="T278" s="39" t="s">
        <v>1424</v>
      </c>
    </row>
    <row r="279" spans="2:20" x14ac:dyDescent="0.3">
      <c r="B279" s="22" t="s">
        <v>1368</v>
      </c>
      <c r="C279" s="22" t="s">
        <v>492</v>
      </c>
      <c r="D279" s="22" t="s">
        <v>492</v>
      </c>
      <c r="E279" s="38" t="s">
        <v>2040</v>
      </c>
      <c r="F279" s="39" t="s">
        <v>493</v>
      </c>
      <c r="G279" s="39" t="s">
        <v>18</v>
      </c>
      <c r="H279" s="39" t="s">
        <v>19</v>
      </c>
      <c r="I279" s="39" t="s">
        <v>20</v>
      </c>
      <c r="J279" s="38" t="s">
        <v>2055</v>
      </c>
      <c r="K279" s="40" t="s">
        <v>1354</v>
      </c>
      <c r="L279" s="39"/>
      <c r="M279" s="39"/>
      <c r="N279" s="39"/>
      <c r="O279" s="39"/>
      <c r="P279" s="39"/>
      <c r="Q279" s="39"/>
      <c r="R279" s="39"/>
      <c r="S279" s="7">
        <v>10350</v>
      </c>
      <c r="T279" s="39" t="s">
        <v>1424</v>
      </c>
    </row>
    <row r="280" spans="2:20" x14ac:dyDescent="0.3">
      <c r="B280" s="22" t="s">
        <v>1368</v>
      </c>
      <c r="C280" s="22" t="s">
        <v>2056</v>
      </c>
      <c r="D280" s="22" t="s">
        <v>2056</v>
      </c>
      <c r="E280" s="38" t="s">
        <v>2057</v>
      </c>
      <c r="F280" s="39" t="s">
        <v>2058</v>
      </c>
      <c r="G280" s="39" t="s">
        <v>18</v>
      </c>
      <c r="H280" s="39" t="s">
        <v>19</v>
      </c>
      <c r="I280" s="39" t="s">
        <v>20</v>
      </c>
      <c r="J280" s="38" t="s">
        <v>2059</v>
      </c>
      <c r="K280" s="40" t="s">
        <v>2014</v>
      </c>
      <c r="L280" s="39"/>
      <c r="M280" s="39"/>
      <c r="N280" s="39"/>
      <c r="O280" s="39"/>
      <c r="P280" s="39"/>
      <c r="Q280" s="39"/>
      <c r="R280" s="39"/>
      <c r="S280" s="7">
        <v>1094.6390000000001</v>
      </c>
      <c r="T280" s="39" t="s">
        <v>1424</v>
      </c>
    </row>
    <row r="281" spans="2:20" x14ac:dyDescent="0.3">
      <c r="B281" s="22" t="s">
        <v>1368</v>
      </c>
      <c r="C281" s="22" t="s">
        <v>359</v>
      </c>
      <c r="D281" s="22" t="s">
        <v>359</v>
      </c>
      <c r="E281" s="38" t="s">
        <v>2060</v>
      </c>
      <c r="F281" s="39" t="s">
        <v>360</v>
      </c>
      <c r="G281" s="39" t="s">
        <v>18</v>
      </c>
      <c r="H281" s="39" t="s">
        <v>19</v>
      </c>
      <c r="I281" s="39" t="s">
        <v>20</v>
      </c>
      <c r="J281" s="38" t="s">
        <v>2061</v>
      </c>
      <c r="K281" s="40" t="s">
        <v>1353</v>
      </c>
      <c r="L281" s="39"/>
      <c r="M281" s="39"/>
      <c r="N281" s="39"/>
      <c r="O281" s="39"/>
      <c r="P281" s="39"/>
      <c r="Q281" s="39"/>
      <c r="R281" s="39"/>
      <c r="S281" s="7">
        <v>863.33375000000001</v>
      </c>
      <c r="T281" s="39" t="s">
        <v>1424</v>
      </c>
    </row>
    <row r="282" spans="2:20" x14ac:dyDescent="0.3">
      <c r="B282" s="22" t="s">
        <v>1368</v>
      </c>
      <c r="C282" s="22" t="s">
        <v>2062</v>
      </c>
      <c r="D282" s="22" t="s">
        <v>2062</v>
      </c>
      <c r="E282" s="38" t="s">
        <v>2063</v>
      </c>
      <c r="F282" s="39" t="s">
        <v>2064</v>
      </c>
      <c r="G282" s="39" t="s">
        <v>18</v>
      </c>
      <c r="H282" s="39" t="s">
        <v>19</v>
      </c>
      <c r="I282" s="39" t="s">
        <v>20</v>
      </c>
      <c r="J282" s="38" t="s">
        <v>2065</v>
      </c>
      <c r="K282" s="40" t="s">
        <v>2039</v>
      </c>
      <c r="L282" s="39"/>
      <c r="M282" s="39"/>
      <c r="N282" s="39"/>
      <c r="O282" s="39"/>
      <c r="P282" s="39"/>
      <c r="Q282" s="39"/>
      <c r="R282" s="39"/>
      <c r="S282" s="7">
        <v>2646.4030000000002</v>
      </c>
      <c r="T282" s="39" t="s">
        <v>1424</v>
      </c>
    </row>
    <row r="283" spans="2:20" x14ac:dyDescent="0.3">
      <c r="B283" s="22" t="s">
        <v>1368</v>
      </c>
      <c r="C283" s="22" t="s">
        <v>353</v>
      </c>
      <c r="D283" s="22" t="s">
        <v>353</v>
      </c>
      <c r="E283" s="38" t="s">
        <v>1906</v>
      </c>
      <c r="F283" s="39" t="s">
        <v>354</v>
      </c>
      <c r="G283" s="39" t="s">
        <v>24</v>
      </c>
      <c r="H283" s="39" t="s">
        <v>19</v>
      </c>
      <c r="I283" s="39" t="s">
        <v>1993</v>
      </c>
      <c r="J283" s="38" t="s">
        <v>2066</v>
      </c>
      <c r="K283" s="40" t="s">
        <v>1353</v>
      </c>
      <c r="L283" s="39"/>
      <c r="M283" s="39"/>
      <c r="N283" s="39"/>
      <c r="O283" s="39"/>
      <c r="P283" s="39"/>
      <c r="Q283" s="39"/>
      <c r="R283" s="39"/>
      <c r="S283" s="7">
        <v>0</v>
      </c>
      <c r="T283" s="39" t="e">
        <v>#N/A</v>
      </c>
    </row>
    <row r="284" spans="2:20" x14ac:dyDescent="0.3">
      <c r="B284" s="22" t="s">
        <v>1368</v>
      </c>
      <c r="C284" s="22" t="s">
        <v>2067</v>
      </c>
      <c r="D284" s="22" t="s">
        <v>2067</v>
      </c>
      <c r="E284" s="38" t="s">
        <v>2068</v>
      </c>
      <c r="F284" s="39" t="s">
        <v>2069</v>
      </c>
      <c r="G284" s="39" t="s">
        <v>56</v>
      </c>
      <c r="H284" s="39" t="s">
        <v>19</v>
      </c>
      <c r="I284" s="39" t="s">
        <v>475</v>
      </c>
      <c r="J284" s="38" t="s">
        <v>2070</v>
      </c>
      <c r="K284" s="40" t="s">
        <v>2014</v>
      </c>
      <c r="L284" s="39"/>
      <c r="M284" s="39"/>
      <c r="N284" s="39"/>
      <c r="O284" s="39"/>
      <c r="P284" s="39"/>
      <c r="Q284" s="39"/>
      <c r="R284" s="39"/>
      <c r="S284" s="7">
        <v>10825.869999999999</v>
      </c>
      <c r="T284" s="39" t="s">
        <v>1424</v>
      </c>
    </row>
    <row r="285" spans="2:20" x14ac:dyDescent="0.3">
      <c r="B285" s="22" t="s">
        <v>1368</v>
      </c>
      <c r="C285" s="22" t="s">
        <v>2071</v>
      </c>
      <c r="D285" s="22" t="s">
        <v>2071</v>
      </c>
      <c r="E285" s="38" t="s">
        <v>2072</v>
      </c>
      <c r="F285" s="39" t="s">
        <v>2073</v>
      </c>
      <c r="G285" s="39" t="s">
        <v>24</v>
      </c>
      <c r="H285" s="39" t="s">
        <v>19</v>
      </c>
      <c r="I285" s="39" t="s">
        <v>20</v>
      </c>
      <c r="J285" s="38" t="s">
        <v>2074</v>
      </c>
      <c r="K285" s="40" t="s">
        <v>1423</v>
      </c>
      <c r="L285" s="39"/>
      <c r="M285" s="39"/>
      <c r="N285" s="39"/>
      <c r="O285" s="39"/>
      <c r="P285" s="39"/>
      <c r="Q285" s="39"/>
      <c r="R285" s="39"/>
      <c r="S285" s="7">
        <v>6476.8919999999998</v>
      </c>
      <c r="T285" s="39" t="s">
        <v>1424</v>
      </c>
    </row>
    <row r="286" spans="2:20" x14ac:dyDescent="0.3">
      <c r="B286" s="22" t="s">
        <v>1368</v>
      </c>
      <c r="C286" s="22" t="s">
        <v>2075</v>
      </c>
      <c r="D286" s="22" t="s">
        <v>2075</v>
      </c>
      <c r="E286" s="38" t="s">
        <v>2076</v>
      </c>
      <c r="F286" s="39" t="s">
        <v>2077</v>
      </c>
      <c r="G286" s="39" t="s">
        <v>18</v>
      </c>
      <c r="H286" s="39" t="s">
        <v>19</v>
      </c>
      <c r="I286" s="39" t="s">
        <v>20</v>
      </c>
      <c r="J286" s="38" t="s">
        <v>2078</v>
      </c>
      <c r="K286" s="40" t="s">
        <v>2014</v>
      </c>
      <c r="L286" s="39"/>
      <c r="M286" s="39"/>
      <c r="N286" s="39"/>
      <c r="O286" s="39"/>
      <c r="P286" s="39"/>
      <c r="Q286" s="39"/>
      <c r="R286" s="39"/>
      <c r="S286" s="7">
        <v>1119.9045000000001</v>
      </c>
      <c r="T286" s="39" t="s">
        <v>1424</v>
      </c>
    </row>
    <row r="287" spans="2:20" x14ac:dyDescent="0.3">
      <c r="B287" s="22" t="s">
        <v>1368</v>
      </c>
      <c r="C287" s="22" t="s">
        <v>2079</v>
      </c>
      <c r="D287" s="22" t="s">
        <v>2079</v>
      </c>
      <c r="E287" s="38" t="s">
        <v>2080</v>
      </c>
      <c r="F287" s="39" t="s">
        <v>2081</v>
      </c>
      <c r="G287" s="39" t="s">
        <v>18</v>
      </c>
      <c r="H287" s="39" t="s">
        <v>19</v>
      </c>
      <c r="I287" s="39" t="s">
        <v>20</v>
      </c>
      <c r="J287" s="38" t="s">
        <v>2082</v>
      </c>
      <c r="K287" s="40" t="s">
        <v>2014</v>
      </c>
      <c r="L287" s="39"/>
      <c r="M287" s="39"/>
      <c r="N287" s="39"/>
      <c r="O287" s="39"/>
      <c r="P287" s="39"/>
      <c r="Q287" s="39"/>
      <c r="R287" s="39"/>
      <c r="S287" s="7">
        <v>893.82600000000002</v>
      </c>
      <c r="T287" s="39" t="s">
        <v>1424</v>
      </c>
    </row>
    <row r="288" spans="2:20" x14ac:dyDescent="0.3">
      <c r="B288" s="22" t="s">
        <v>1368</v>
      </c>
      <c r="C288" s="22" t="s">
        <v>2083</v>
      </c>
      <c r="D288" s="22" t="s">
        <v>2083</v>
      </c>
      <c r="E288" s="38" t="s">
        <v>2084</v>
      </c>
      <c r="F288" s="39" t="s">
        <v>2085</v>
      </c>
      <c r="G288" s="39" t="s">
        <v>18</v>
      </c>
      <c r="H288" s="39" t="s">
        <v>19</v>
      </c>
      <c r="I288" s="39" t="s">
        <v>20</v>
      </c>
      <c r="J288" s="38" t="s">
        <v>2086</v>
      </c>
      <c r="K288" s="40" t="s">
        <v>2014</v>
      </c>
      <c r="L288" s="39"/>
      <c r="M288" s="39"/>
      <c r="N288" s="39"/>
      <c r="O288" s="39"/>
      <c r="P288" s="39"/>
      <c r="Q288" s="39"/>
      <c r="R288" s="39"/>
      <c r="S288" s="7">
        <v>16944.928</v>
      </c>
      <c r="T288" s="39" t="s">
        <v>1424</v>
      </c>
    </row>
    <row r="289" spans="2:20" x14ac:dyDescent="0.3">
      <c r="B289" s="22" t="s">
        <v>1368</v>
      </c>
      <c r="C289" s="22" t="s">
        <v>2087</v>
      </c>
      <c r="D289" s="22" t="s">
        <v>2087</v>
      </c>
      <c r="E289" s="38" t="s">
        <v>2088</v>
      </c>
      <c r="F289" s="39" t="s">
        <v>2089</v>
      </c>
      <c r="G289" s="39" t="s">
        <v>18</v>
      </c>
      <c r="H289" s="39" t="s">
        <v>19</v>
      </c>
      <c r="I289" s="39" t="s">
        <v>20</v>
      </c>
      <c r="J289" s="38" t="s">
        <v>2090</v>
      </c>
      <c r="K289" s="40" t="s">
        <v>1423</v>
      </c>
      <c r="L289" s="39"/>
      <c r="M289" s="39"/>
      <c r="N289" s="39"/>
      <c r="O289" s="39"/>
      <c r="P289" s="39"/>
      <c r="Q289" s="39"/>
      <c r="R289" s="39"/>
      <c r="S289" s="7">
        <v>9668.4639999999999</v>
      </c>
      <c r="T289" s="39" t="s">
        <v>1424</v>
      </c>
    </row>
    <row r="290" spans="2:20" x14ac:dyDescent="0.3">
      <c r="B290" s="22" t="s">
        <v>1368</v>
      </c>
      <c r="C290" s="22" t="s">
        <v>2091</v>
      </c>
      <c r="D290" s="22" t="s">
        <v>2091</v>
      </c>
      <c r="E290" s="38" t="s">
        <v>2092</v>
      </c>
      <c r="F290" s="39" t="s">
        <v>2093</v>
      </c>
      <c r="G290" s="39" t="s">
        <v>18</v>
      </c>
      <c r="H290" s="39" t="s">
        <v>19</v>
      </c>
      <c r="I290" s="39" t="s">
        <v>20</v>
      </c>
      <c r="J290" s="38" t="s">
        <v>2094</v>
      </c>
      <c r="K290" s="40" t="s">
        <v>1423</v>
      </c>
      <c r="L290" s="39"/>
      <c r="M290" s="39"/>
      <c r="N290" s="39"/>
      <c r="O290" s="39"/>
      <c r="P290" s="39"/>
      <c r="Q290" s="39"/>
      <c r="R290" s="39"/>
      <c r="S290" s="7">
        <v>31720.955999999998</v>
      </c>
      <c r="T290" s="39" t="s">
        <v>1424</v>
      </c>
    </row>
    <row r="291" spans="2:20" x14ac:dyDescent="0.3">
      <c r="B291" s="22" t="s">
        <v>1368</v>
      </c>
      <c r="C291" s="22" t="s">
        <v>2095</v>
      </c>
      <c r="D291" s="22" t="s">
        <v>2095</v>
      </c>
      <c r="E291" s="38" t="s">
        <v>2096</v>
      </c>
      <c r="F291" s="39" t="s">
        <v>2097</v>
      </c>
      <c r="G291" s="39" t="s">
        <v>49</v>
      </c>
      <c r="H291" s="39" t="s">
        <v>2026</v>
      </c>
      <c r="I291" s="39" t="s">
        <v>2026</v>
      </c>
      <c r="J291" s="38" t="s">
        <v>2098</v>
      </c>
      <c r="K291" s="40" t="s">
        <v>1423</v>
      </c>
      <c r="L291" s="39"/>
      <c r="M291" s="39"/>
      <c r="N291" s="39"/>
      <c r="O291" s="39"/>
      <c r="P291" s="39"/>
      <c r="Q291" s="39"/>
      <c r="R291" s="39"/>
      <c r="S291" s="7">
        <v>1707.75</v>
      </c>
      <c r="T291" s="39" t="s">
        <v>1424</v>
      </c>
    </row>
    <row r="292" spans="2:20" x14ac:dyDescent="0.3">
      <c r="B292" s="22" t="s">
        <v>1368</v>
      </c>
      <c r="C292" s="22" t="s">
        <v>2099</v>
      </c>
      <c r="D292" s="22" t="s">
        <v>2099</v>
      </c>
      <c r="E292" s="38" t="s">
        <v>2100</v>
      </c>
      <c r="F292" s="39" t="s">
        <v>2101</v>
      </c>
      <c r="G292" s="39" t="s">
        <v>24</v>
      </c>
      <c r="H292" s="39" t="s">
        <v>19</v>
      </c>
      <c r="I292" s="39" t="s">
        <v>20</v>
      </c>
      <c r="J292" s="38" t="s">
        <v>2102</v>
      </c>
      <c r="K292" s="40" t="s">
        <v>1423</v>
      </c>
      <c r="L292" s="39"/>
      <c r="M292" s="39"/>
      <c r="N292" s="39"/>
      <c r="O292" s="39"/>
      <c r="P292" s="39"/>
      <c r="Q292" s="39"/>
      <c r="R292" s="39"/>
      <c r="S292" s="7">
        <v>2511.1859999999997</v>
      </c>
      <c r="T292" s="39" t="s">
        <v>1424</v>
      </c>
    </row>
    <row r="293" spans="2:20" x14ac:dyDescent="0.3">
      <c r="B293" s="22" t="s">
        <v>1368</v>
      </c>
      <c r="C293" s="22" t="s">
        <v>2103</v>
      </c>
      <c r="D293" s="22" t="s">
        <v>2103</v>
      </c>
      <c r="E293" s="38" t="s">
        <v>2104</v>
      </c>
      <c r="F293" s="39" t="s">
        <v>2105</v>
      </c>
      <c r="G293" s="39" t="s">
        <v>18</v>
      </c>
      <c r="H293" s="39" t="s">
        <v>19</v>
      </c>
      <c r="I293" s="39" t="s">
        <v>20</v>
      </c>
      <c r="J293" s="38" t="s">
        <v>2106</v>
      </c>
      <c r="K293" s="40" t="s">
        <v>2014</v>
      </c>
      <c r="L293" s="39"/>
      <c r="M293" s="39"/>
      <c r="N293" s="39"/>
      <c r="O293" s="39"/>
      <c r="P293" s="39"/>
      <c r="Q293" s="39"/>
      <c r="R293" s="39"/>
      <c r="S293" s="7">
        <v>3040.4850000000001</v>
      </c>
      <c r="T293" s="39" t="s">
        <v>1424</v>
      </c>
    </row>
  </sheetData>
  <conditionalFormatting sqref="C56:C293">
    <cfRule type="duplicateValues" dxfId="8" priority="6"/>
    <cfRule type="duplicateValues" dxfId="7" priority="7"/>
  </conditionalFormatting>
  <conditionalFormatting sqref="C75">
    <cfRule type="duplicateValues" dxfId="6" priority="2"/>
  </conditionalFormatting>
  <conditionalFormatting sqref="D56:D293">
    <cfRule type="duplicateValues" dxfId="5" priority="4"/>
    <cfRule type="duplicateValues" dxfId="4" priority="5"/>
  </conditionalFormatting>
  <conditionalFormatting sqref="S111 S165:S168 S191:S193 S205:S206">
    <cfRule type="duplicateValues" dxfId="3" priority="3"/>
  </conditionalFormatting>
  <conditionalFormatting sqref="S283 S277 S275 S272:S273 S267 S264 S257 S254 S231:S235 S162 S159 S116">
    <cfRule type="duplicateValues" dxfId="2"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2CE23-C76B-45C2-BFEE-930E78DA50FC}">
  <dimension ref="B2:K502"/>
  <sheetViews>
    <sheetView showGridLines="0" workbookViewId="0">
      <selection activeCell="D20" sqref="D20"/>
    </sheetView>
  </sheetViews>
  <sheetFormatPr defaultRowHeight="14.4" x14ac:dyDescent="0.3"/>
  <cols>
    <col min="2" max="3" width="8.33203125" bestFit="1" customWidth="1"/>
    <col min="4" max="4" width="10.109375" bestFit="1" customWidth="1"/>
    <col min="5" max="5" width="28.44140625" bestFit="1" customWidth="1"/>
    <col min="6" max="6" width="30.6640625" bestFit="1" customWidth="1"/>
    <col min="7" max="7" width="55.6640625" bestFit="1" customWidth="1"/>
    <col min="8" max="8" width="42.44140625" bestFit="1" customWidth="1"/>
    <col min="9" max="9" width="47.21875" bestFit="1" customWidth="1"/>
    <col min="10" max="10" width="80.21875" bestFit="1" customWidth="1"/>
    <col min="11" max="11" width="13.5546875" bestFit="1" customWidth="1"/>
  </cols>
  <sheetData>
    <row r="2" spans="2:11" x14ac:dyDescent="0.3">
      <c r="B2" s="41" t="s">
        <v>1367</v>
      </c>
      <c r="C2" s="41" t="s">
        <v>2107</v>
      </c>
      <c r="D2" s="41" t="s">
        <v>2108</v>
      </c>
      <c r="E2" s="41" t="s">
        <v>2109</v>
      </c>
      <c r="F2" s="41" t="s">
        <v>2110</v>
      </c>
      <c r="G2" s="41" t="s">
        <v>2111</v>
      </c>
      <c r="H2" s="42" t="s">
        <v>2112</v>
      </c>
      <c r="I2" s="41" t="s">
        <v>2113</v>
      </c>
      <c r="J2" s="42" t="s">
        <v>2114</v>
      </c>
      <c r="K2" s="51" t="s">
        <v>2796</v>
      </c>
    </row>
    <row r="3" spans="2:11" x14ac:dyDescent="0.3">
      <c r="B3" s="43" t="s">
        <v>2115</v>
      </c>
      <c r="C3" s="43" t="s">
        <v>2116</v>
      </c>
      <c r="D3" s="43"/>
      <c r="E3" s="43" t="s">
        <v>2117</v>
      </c>
      <c r="F3" s="44">
        <v>100201</v>
      </c>
      <c r="G3" s="43" t="s">
        <v>2118</v>
      </c>
      <c r="H3" s="45" t="s">
        <v>2119</v>
      </c>
      <c r="I3" s="43" t="s">
        <v>2120</v>
      </c>
      <c r="J3" s="45" t="s">
        <v>2121</v>
      </c>
      <c r="K3" s="52">
        <v>4214.29</v>
      </c>
    </row>
    <row r="4" spans="2:11" x14ac:dyDescent="0.3">
      <c r="B4" s="43" t="s">
        <v>2115</v>
      </c>
      <c r="C4" s="43" t="s">
        <v>2116</v>
      </c>
      <c r="D4" s="43"/>
      <c r="E4" s="43" t="s">
        <v>2117</v>
      </c>
      <c r="F4" s="44">
        <v>100203</v>
      </c>
      <c r="G4" s="43" t="s">
        <v>2122</v>
      </c>
      <c r="H4" s="45" t="s">
        <v>2122</v>
      </c>
      <c r="I4" s="43" t="s">
        <v>2120</v>
      </c>
      <c r="J4" s="45" t="s">
        <v>2123</v>
      </c>
      <c r="K4" s="52">
        <v>4791708.5999999996</v>
      </c>
    </row>
    <row r="5" spans="2:11" x14ac:dyDescent="0.3">
      <c r="B5" s="43" t="s">
        <v>2115</v>
      </c>
      <c r="C5" s="43" t="s">
        <v>2116</v>
      </c>
      <c r="D5" s="43"/>
      <c r="E5" s="43" t="s">
        <v>2117</v>
      </c>
      <c r="F5" s="44">
        <v>100205</v>
      </c>
      <c r="G5" s="43" t="s">
        <v>2124</v>
      </c>
      <c r="H5" s="45" t="s">
        <v>2124</v>
      </c>
      <c r="I5" s="43" t="s">
        <v>2120</v>
      </c>
      <c r="J5" s="45" t="s">
        <v>2125</v>
      </c>
      <c r="K5" s="52">
        <v>50053944.920000002</v>
      </c>
    </row>
    <row r="6" spans="2:11" x14ac:dyDescent="0.3">
      <c r="B6" s="43" t="s">
        <v>2115</v>
      </c>
      <c r="C6" s="43" t="s">
        <v>2116</v>
      </c>
      <c r="D6" s="43"/>
      <c r="E6" s="43" t="s">
        <v>2117</v>
      </c>
      <c r="F6" s="44">
        <v>100207</v>
      </c>
      <c r="G6" s="43" t="s">
        <v>2126</v>
      </c>
      <c r="H6" s="46" t="s">
        <v>2127</v>
      </c>
      <c r="I6" s="43" t="s">
        <v>2120</v>
      </c>
      <c r="J6" s="45" t="s">
        <v>2128</v>
      </c>
      <c r="K6" s="52">
        <v>122021373.57000001</v>
      </c>
    </row>
    <row r="7" spans="2:11" x14ac:dyDescent="0.3">
      <c r="B7" s="43" t="s">
        <v>2115</v>
      </c>
      <c r="C7" s="43" t="s">
        <v>2116</v>
      </c>
      <c r="D7" s="43"/>
      <c r="E7" s="43" t="s">
        <v>2117</v>
      </c>
      <c r="F7" s="44">
        <v>100209</v>
      </c>
      <c r="G7" s="43" t="s">
        <v>2129</v>
      </c>
      <c r="H7" s="46" t="s">
        <v>2130</v>
      </c>
      <c r="I7" s="43" t="s">
        <v>2120</v>
      </c>
      <c r="J7" s="45" t="s">
        <v>2128</v>
      </c>
      <c r="K7" s="52">
        <v>21620273.210000001</v>
      </c>
    </row>
    <row r="8" spans="2:11" x14ac:dyDescent="0.3">
      <c r="B8" s="43" t="s">
        <v>2115</v>
      </c>
      <c r="C8" s="43" t="s">
        <v>2116</v>
      </c>
      <c r="D8" s="43"/>
      <c r="E8" s="43" t="s">
        <v>2117</v>
      </c>
      <c r="F8" s="44" t="s">
        <v>2131</v>
      </c>
      <c r="G8" s="43" t="s">
        <v>2129</v>
      </c>
      <c r="H8" s="45" t="s">
        <v>2132</v>
      </c>
      <c r="I8" s="43" t="s">
        <v>2133</v>
      </c>
      <c r="J8" s="45" t="s">
        <v>2133</v>
      </c>
      <c r="K8" s="52">
        <v>0</v>
      </c>
    </row>
    <row r="9" spans="2:11" x14ac:dyDescent="0.3">
      <c r="B9" s="43" t="s">
        <v>2115</v>
      </c>
      <c r="C9" s="43" t="s">
        <v>2116</v>
      </c>
      <c r="D9" s="43"/>
      <c r="E9" s="43" t="s">
        <v>2117</v>
      </c>
      <c r="F9" s="44" t="s">
        <v>2134</v>
      </c>
      <c r="G9" s="43" t="s">
        <v>2126</v>
      </c>
      <c r="H9" s="45" t="s">
        <v>2135</v>
      </c>
      <c r="I9" s="43" t="s">
        <v>2133</v>
      </c>
      <c r="J9" s="45" t="s">
        <v>2133</v>
      </c>
      <c r="K9" s="52">
        <v>0</v>
      </c>
    </row>
    <row r="10" spans="2:11" x14ac:dyDescent="0.3">
      <c r="B10" s="43" t="s">
        <v>2115</v>
      </c>
      <c r="C10" s="43" t="s">
        <v>2116</v>
      </c>
      <c r="D10" s="43"/>
      <c r="E10" s="43" t="s">
        <v>2117</v>
      </c>
      <c r="F10" s="44">
        <v>100211</v>
      </c>
      <c r="G10" s="43" t="s">
        <v>2136</v>
      </c>
      <c r="H10" s="45" t="s">
        <v>2137</v>
      </c>
      <c r="I10" s="43" t="s">
        <v>2120</v>
      </c>
      <c r="J10" s="45" t="s">
        <v>2138</v>
      </c>
      <c r="K10" s="52">
        <v>0</v>
      </c>
    </row>
    <row r="11" spans="2:11" x14ac:dyDescent="0.3">
      <c r="B11" s="43" t="s">
        <v>2115</v>
      </c>
      <c r="C11" s="43" t="s">
        <v>2116</v>
      </c>
      <c r="D11" s="43"/>
      <c r="E11" s="43" t="s">
        <v>2117</v>
      </c>
      <c r="F11" s="44">
        <v>100215</v>
      </c>
      <c r="G11" s="43" t="s">
        <v>2139</v>
      </c>
      <c r="H11" s="45" t="s">
        <v>2140</v>
      </c>
      <c r="I11" s="43" t="s">
        <v>2120</v>
      </c>
      <c r="J11" s="45" t="s">
        <v>2123</v>
      </c>
      <c r="K11" s="52">
        <v>354977.91</v>
      </c>
    </row>
    <row r="12" spans="2:11" x14ac:dyDescent="0.3">
      <c r="B12" s="43" t="s">
        <v>2115</v>
      </c>
      <c r="C12" s="43" t="s">
        <v>2116</v>
      </c>
      <c r="D12" s="43"/>
      <c r="E12" s="43" t="s">
        <v>2117</v>
      </c>
      <c r="F12" s="44">
        <v>100217</v>
      </c>
      <c r="G12" s="43" t="s">
        <v>2141</v>
      </c>
      <c r="H12" s="45" t="s">
        <v>2142</v>
      </c>
      <c r="I12" s="43" t="s">
        <v>2120</v>
      </c>
      <c r="J12" s="45" t="s">
        <v>2128</v>
      </c>
      <c r="K12" s="52">
        <v>210837.82</v>
      </c>
    </row>
    <row r="13" spans="2:11" x14ac:dyDescent="0.3">
      <c r="B13" s="43" t="s">
        <v>2115</v>
      </c>
      <c r="C13" s="43" t="s">
        <v>2116</v>
      </c>
      <c r="D13" s="43"/>
      <c r="E13" s="43" t="s">
        <v>2117</v>
      </c>
      <c r="F13" s="44">
        <v>100223</v>
      </c>
      <c r="G13" s="43" t="s">
        <v>2143</v>
      </c>
      <c r="H13" s="45" t="s">
        <v>2119</v>
      </c>
      <c r="I13" s="43" t="s">
        <v>2120</v>
      </c>
      <c r="J13" s="45" t="s">
        <v>2121</v>
      </c>
      <c r="K13" s="52">
        <v>-1496.05</v>
      </c>
    </row>
    <row r="14" spans="2:11" x14ac:dyDescent="0.3">
      <c r="B14" s="43" t="s">
        <v>2115</v>
      </c>
      <c r="C14" s="43" t="s">
        <v>2116</v>
      </c>
      <c r="D14" s="43"/>
      <c r="E14" s="43" t="s">
        <v>2117</v>
      </c>
      <c r="F14" s="44">
        <v>100225</v>
      </c>
      <c r="G14" s="43" t="s">
        <v>2144</v>
      </c>
      <c r="H14" s="45" t="s">
        <v>2122</v>
      </c>
      <c r="I14" s="43" t="s">
        <v>2120</v>
      </c>
      <c r="J14" s="45" t="s">
        <v>2123</v>
      </c>
      <c r="K14" s="52">
        <v>-2367944.14</v>
      </c>
    </row>
    <row r="15" spans="2:11" x14ac:dyDescent="0.3">
      <c r="B15" s="43" t="s">
        <v>2115</v>
      </c>
      <c r="C15" s="43" t="s">
        <v>2116</v>
      </c>
      <c r="D15" s="43"/>
      <c r="E15" s="43" t="s">
        <v>2117</v>
      </c>
      <c r="F15" s="44">
        <v>100227</v>
      </c>
      <c r="G15" s="43" t="s">
        <v>2145</v>
      </c>
      <c r="H15" s="45" t="s">
        <v>2124</v>
      </c>
      <c r="I15" s="43" t="s">
        <v>2120</v>
      </c>
      <c r="J15" s="45" t="s">
        <v>2125</v>
      </c>
      <c r="K15" s="52">
        <v>-8392.14</v>
      </c>
    </row>
    <row r="16" spans="2:11" x14ac:dyDescent="0.3">
      <c r="B16" s="43" t="s">
        <v>2115</v>
      </c>
      <c r="C16" s="43" t="s">
        <v>2116</v>
      </c>
      <c r="D16" s="43"/>
      <c r="E16" s="43" t="s">
        <v>2117</v>
      </c>
      <c r="F16" s="44">
        <v>100231</v>
      </c>
      <c r="G16" s="43" t="s">
        <v>2146</v>
      </c>
      <c r="H16" s="45" t="s">
        <v>2140</v>
      </c>
      <c r="I16" s="43" t="s">
        <v>2120</v>
      </c>
      <c r="J16" s="45" t="s">
        <v>2123</v>
      </c>
      <c r="K16" s="52">
        <v>-260807.85</v>
      </c>
    </row>
    <row r="17" spans="2:11" x14ac:dyDescent="0.3">
      <c r="B17" s="43" t="s">
        <v>2115</v>
      </c>
      <c r="C17" s="43" t="s">
        <v>2116</v>
      </c>
      <c r="D17" s="43"/>
      <c r="E17" s="43" t="s">
        <v>2117</v>
      </c>
      <c r="F17" s="44">
        <v>100233</v>
      </c>
      <c r="G17" s="43" t="s">
        <v>2147</v>
      </c>
      <c r="H17" s="45" t="s">
        <v>2137</v>
      </c>
      <c r="I17" s="43" t="s">
        <v>2120</v>
      </c>
      <c r="J17" s="45" t="s">
        <v>2138</v>
      </c>
      <c r="K17" s="52">
        <v>0</v>
      </c>
    </row>
    <row r="18" spans="2:11" x14ac:dyDescent="0.3">
      <c r="B18" s="43" t="s">
        <v>2115</v>
      </c>
      <c r="C18" s="43" t="s">
        <v>2116</v>
      </c>
      <c r="D18" s="43"/>
      <c r="E18" s="43" t="s">
        <v>2117</v>
      </c>
      <c r="F18" s="44">
        <v>100235</v>
      </c>
      <c r="G18" s="43" t="s">
        <v>2148</v>
      </c>
      <c r="H18" s="46" t="s">
        <v>2127</v>
      </c>
      <c r="I18" s="43" t="s">
        <v>2120</v>
      </c>
      <c r="J18" s="45" t="s">
        <v>2128</v>
      </c>
      <c r="K18" s="52">
        <v>-43468382.890000001</v>
      </c>
    </row>
    <row r="19" spans="2:11" x14ac:dyDescent="0.3">
      <c r="B19" s="43" t="s">
        <v>2115</v>
      </c>
      <c r="C19" s="43" t="s">
        <v>2116</v>
      </c>
      <c r="D19" s="43"/>
      <c r="E19" s="43" t="s">
        <v>2117</v>
      </c>
      <c r="F19" s="44">
        <v>100237</v>
      </c>
      <c r="G19" s="43" t="s">
        <v>2149</v>
      </c>
      <c r="H19" s="45" t="s">
        <v>2142</v>
      </c>
      <c r="I19" s="43" t="s">
        <v>2120</v>
      </c>
      <c r="J19" s="45" t="s">
        <v>2128</v>
      </c>
      <c r="K19" s="52">
        <v>-205030.81</v>
      </c>
    </row>
    <row r="20" spans="2:11" x14ac:dyDescent="0.3">
      <c r="B20" s="43" t="s">
        <v>2115</v>
      </c>
      <c r="C20" s="43" t="s">
        <v>2116</v>
      </c>
      <c r="D20" s="43"/>
      <c r="E20" s="43" t="s">
        <v>2117</v>
      </c>
      <c r="F20" s="44">
        <v>100239</v>
      </c>
      <c r="G20" s="43" t="s">
        <v>2150</v>
      </c>
      <c r="H20" s="45" t="s">
        <v>2142</v>
      </c>
      <c r="I20" s="43" t="s">
        <v>2120</v>
      </c>
      <c r="J20" s="45" t="s">
        <v>2121</v>
      </c>
      <c r="K20" s="52">
        <v>55778.54</v>
      </c>
    </row>
    <row r="21" spans="2:11" x14ac:dyDescent="0.3">
      <c r="B21" s="43" t="s">
        <v>2115</v>
      </c>
      <c r="C21" s="43" t="s">
        <v>2116</v>
      </c>
      <c r="D21" s="43"/>
      <c r="E21" s="43" t="s">
        <v>2117</v>
      </c>
      <c r="F21" s="44">
        <v>100241</v>
      </c>
      <c r="G21" s="43" t="s">
        <v>2151</v>
      </c>
      <c r="H21" s="45" t="s">
        <v>2142</v>
      </c>
      <c r="I21" s="43" t="s">
        <v>2120</v>
      </c>
      <c r="J21" s="45" t="s">
        <v>2121</v>
      </c>
      <c r="K21" s="52">
        <v>-55414.19</v>
      </c>
    </row>
    <row r="22" spans="2:11" x14ac:dyDescent="0.3">
      <c r="B22" s="43" t="s">
        <v>2115</v>
      </c>
      <c r="C22" s="43" t="s">
        <v>2116</v>
      </c>
      <c r="D22" s="43"/>
      <c r="E22" s="43" t="s">
        <v>2152</v>
      </c>
      <c r="F22" s="44">
        <v>100401</v>
      </c>
      <c r="G22" s="43" t="s">
        <v>2153</v>
      </c>
      <c r="H22" s="45" t="s">
        <v>2154</v>
      </c>
      <c r="I22" s="43" t="s">
        <v>2155</v>
      </c>
      <c r="J22" s="45" t="s">
        <v>2156</v>
      </c>
      <c r="K22" s="52">
        <v>26096.62</v>
      </c>
    </row>
    <row r="23" spans="2:11" x14ac:dyDescent="0.3">
      <c r="B23" s="43" t="s">
        <v>2115</v>
      </c>
      <c r="C23" s="43" t="s">
        <v>2116</v>
      </c>
      <c r="D23" s="43"/>
      <c r="E23" s="43" t="s">
        <v>2152</v>
      </c>
      <c r="F23" s="44">
        <v>100403</v>
      </c>
      <c r="G23" s="43" t="s">
        <v>2157</v>
      </c>
      <c r="H23" s="45" t="s">
        <v>2158</v>
      </c>
      <c r="I23" s="43" t="s">
        <v>2155</v>
      </c>
      <c r="J23" s="45" t="s">
        <v>2159</v>
      </c>
      <c r="K23" s="52">
        <v>18097</v>
      </c>
    </row>
    <row r="24" spans="2:11" x14ac:dyDescent="0.3">
      <c r="B24" s="43" t="s">
        <v>2115</v>
      </c>
      <c r="C24" s="43" t="s">
        <v>2116</v>
      </c>
      <c r="D24" s="43"/>
      <c r="E24" s="43" t="s">
        <v>2152</v>
      </c>
      <c r="F24" s="44">
        <v>100405</v>
      </c>
      <c r="G24" s="43" t="s">
        <v>2160</v>
      </c>
      <c r="H24" s="45" t="s">
        <v>2154</v>
      </c>
      <c r="I24" s="43" t="s">
        <v>2155</v>
      </c>
      <c r="J24" s="45" t="s">
        <v>2156</v>
      </c>
      <c r="K24" s="52">
        <v>1436481.5099999998</v>
      </c>
    </row>
    <row r="25" spans="2:11" x14ac:dyDescent="0.3">
      <c r="B25" s="43" t="s">
        <v>2115</v>
      </c>
      <c r="C25" s="43" t="s">
        <v>2116</v>
      </c>
      <c r="D25" s="43"/>
      <c r="E25" s="43" t="s">
        <v>2152</v>
      </c>
      <c r="F25" s="44">
        <v>100407</v>
      </c>
      <c r="G25" s="43" t="s">
        <v>2161</v>
      </c>
      <c r="H25" s="45" t="s">
        <v>2154</v>
      </c>
      <c r="I25" s="43" t="s">
        <v>2155</v>
      </c>
      <c r="J25" s="45" t="s">
        <v>2156</v>
      </c>
      <c r="K25" s="52">
        <v>104546</v>
      </c>
    </row>
    <row r="26" spans="2:11" x14ac:dyDescent="0.3">
      <c r="B26" s="43" t="s">
        <v>2115</v>
      </c>
      <c r="C26" s="43" t="s">
        <v>2116</v>
      </c>
      <c r="D26" s="43"/>
      <c r="E26" s="43" t="s">
        <v>2152</v>
      </c>
      <c r="F26" s="44">
        <v>100411</v>
      </c>
      <c r="G26" s="43" t="s">
        <v>2162</v>
      </c>
      <c r="H26" s="45" t="s">
        <v>2163</v>
      </c>
      <c r="I26" s="43" t="s">
        <v>2155</v>
      </c>
      <c r="J26" s="45" t="s">
        <v>2164</v>
      </c>
      <c r="K26" s="52">
        <v>758529.87</v>
      </c>
    </row>
    <row r="27" spans="2:11" x14ac:dyDescent="0.3">
      <c r="B27" s="43" t="s">
        <v>2115</v>
      </c>
      <c r="C27" s="43" t="s">
        <v>2116</v>
      </c>
      <c r="D27" s="43"/>
      <c r="E27" s="43" t="s">
        <v>2152</v>
      </c>
      <c r="F27" s="44">
        <v>100413</v>
      </c>
      <c r="G27" s="43" t="s">
        <v>2165</v>
      </c>
      <c r="H27" s="45" t="s">
        <v>2163</v>
      </c>
      <c r="I27" s="43" t="s">
        <v>2155</v>
      </c>
      <c r="J27" s="45" t="s">
        <v>2164</v>
      </c>
      <c r="K27" s="52">
        <v>118269.43</v>
      </c>
    </row>
    <row r="28" spans="2:11" x14ac:dyDescent="0.3">
      <c r="B28" s="43" t="s">
        <v>2115</v>
      </c>
      <c r="C28" s="43" t="s">
        <v>2116</v>
      </c>
      <c r="D28" s="43"/>
      <c r="E28" s="43" t="s">
        <v>2152</v>
      </c>
      <c r="F28" s="44">
        <v>100415</v>
      </c>
      <c r="G28" s="43" t="s">
        <v>2166</v>
      </c>
      <c r="H28" s="45" t="s">
        <v>2167</v>
      </c>
      <c r="I28" s="43" t="s">
        <v>2155</v>
      </c>
      <c r="J28" s="45" t="s">
        <v>2168</v>
      </c>
      <c r="K28" s="52">
        <v>376426.03</v>
      </c>
    </row>
    <row r="29" spans="2:11" x14ac:dyDescent="0.3">
      <c r="B29" s="43" t="s">
        <v>2115</v>
      </c>
      <c r="C29" s="43" t="s">
        <v>2116</v>
      </c>
      <c r="D29" s="43"/>
      <c r="E29" s="43" t="s">
        <v>2152</v>
      </c>
      <c r="F29" s="44">
        <v>100417</v>
      </c>
      <c r="G29" s="43" t="s">
        <v>2169</v>
      </c>
      <c r="H29" s="45" t="s">
        <v>2167</v>
      </c>
      <c r="I29" s="43" t="s">
        <v>2155</v>
      </c>
      <c r="J29" s="45" t="s">
        <v>2168</v>
      </c>
      <c r="K29" s="52">
        <v>571065.69999999995</v>
      </c>
    </row>
    <row r="30" spans="2:11" x14ac:dyDescent="0.3">
      <c r="B30" s="43" t="s">
        <v>2115</v>
      </c>
      <c r="C30" s="43" t="s">
        <v>2116</v>
      </c>
      <c r="D30" s="43"/>
      <c r="E30" s="43" t="s">
        <v>2152</v>
      </c>
      <c r="F30" s="44">
        <v>100419</v>
      </c>
      <c r="G30" s="43" t="s">
        <v>2170</v>
      </c>
      <c r="H30" s="45" t="s">
        <v>2171</v>
      </c>
      <c r="I30" s="43" t="s">
        <v>2155</v>
      </c>
      <c r="J30" s="45" t="s">
        <v>2159</v>
      </c>
      <c r="K30" s="52">
        <v>516770.12</v>
      </c>
    </row>
    <row r="31" spans="2:11" x14ac:dyDescent="0.3">
      <c r="B31" s="43" t="s">
        <v>2115</v>
      </c>
      <c r="C31" s="43" t="s">
        <v>2116</v>
      </c>
      <c r="D31" s="43"/>
      <c r="E31" s="43" t="s">
        <v>2152</v>
      </c>
      <c r="F31" s="44">
        <v>100421</v>
      </c>
      <c r="G31" s="43" t="s">
        <v>2172</v>
      </c>
      <c r="H31" s="45" t="s">
        <v>2171</v>
      </c>
      <c r="I31" s="43" t="s">
        <v>2155</v>
      </c>
      <c r="J31" s="45" t="s">
        <v>2159</v>
      </c>
      <c r="K31" s="52">
        <v>382931.79</v>
      </c>
    </row>
    <row r="32" spans="2:11" x14ac:dyDescent="0.3">
      <c r="B32" s="43" t="s">
        <v>2115</v>
      </c>
      <c r="C32" s="43" t="s">
        <v>2116</v>
      </c>
      <c r="D32" s="43"/>
      <c r="E32" s="43" t="s">
        <v>2152</v>
      </c>
      <c r="F32" s="44">
        <v>100423</v>
      </c>
      <c r="G32" s="43" t="s">
        <v>2173</v>
      </c>
      <c r="H32" s="45" t="s">
        <v>2174</v>
      </c>
      <c r="I32" s="43" t="s">
        <v>2155</v>
      </c>
      <c r="J32" s="45" t="s">
        <v>2159</v>
      </c>
      <c r="K32" s="52">
        <v>924851.84000000008</v>
      </c>
    </row>
    <row r="33" spans="2:11" x14ac:dyDescent="0.3">
      <c r="B33" s="43" t="s">
        <v>2115</v>
      </c>
      <c r="C33" s="43" t="s">
        <v>2116</v>
      </c>
      <c r="D33" s="43"/>
      <c r="E33" s="43" t="s">
        <v>2152</v>
      </c>
      <c r="F33" s="44">
        <v>100425</v>
      </c>
      <c r="G33" s="43" t="s">
        <v>2175</v>
      </c>
      <c r="H33" s="45" t="s">
        <v>2174</v>
      </c>
      <c r="I33" s="43" t="s">
        <v>2155</v>
      </c>
      <c r="J33" s="45" t="s">
        <v>2159</v>
      </c>
      <c r="K33" s="52">
        <v>123666.62</v>
      </c>
    </row>
    <row r="34" spans="2:11" x14ac:dyDescent="0.3">
      <c r="B34" s="43" t="s">
        <v>2115</v>
      </c>
      <c r="C34" s="43" t="s">
        <v>2116</v>
      </c>
      <c r="D34" s="43"/>
      <c r="E34" s="43" t="s">
        <v>2152</v>
      </c>
      <c r="F34" s="44">
        <v>100429</v>
      </c>
      <c r="G34" s="43" t="s">
        <v>2176</v>
      </c>
      <c r="H34" s="45" t="s">
        <v>2154</v>
      </c>
      <c r="I34" s="43" t="s">
        <v>2155</v>
      </c>
      <c r="J34" s="45" t="s">
        <v>2156</v>
      </c>
      <c r="K34" s="52">
        <v>-533261</v>
      </c>
    </row>
    <row r="35" spans="2:11" x14ac:dyDescent="0.3">
      <c r="B35" s="43" t="s">
        <v>2115</v>
      </c>
      <c r="C35" s="43" t="s">
        <v>2116</v>
      </c>
      <c r="D35" s="43"/>
      <c r="E35" s="43" t="s">
        <v>2152</v>
      </c>
      <c r="F35" s="44">
        <v>100431</v>
      </c>
      <c r="G35" s="43" t="s">
        <v>2177</v>
      </c>
      <c r="H35" s="45" t="s">
        <v>2154</v>
      </c>
      <c r="I35" s="43" t="s">
        <v>2155</v>
      </c>
      <c r="J35" s="45" t="s">
        <v>2156</v>
      </c>
      <c r="K35" s="52">
        <v>-74989</v>
      </c>
    </row>
    <row r="36" spans="2:11" x14ac:dyDescent="0.3">
      <c r="B36" s="43" t="s">
        <v>2115</v>
      </c>
      <c r="C36" s="43" t="s">
        <v>2116</v>
      </c>
      <c r="D36" s="43"/>
      <c r="E36" s="43" t="s">
        <v>2152</v>
      </c>
      <c r="F36" s="44">
        <v>100433</v>
      </c>
      <c r="G36" s="43" t="s">
        <v>2178</v>
      </c>
      <c r="H36" s="45" t="s">
        <v>2167</v>
      </c>
      <c r="I36" s="43" t="s">
        <v>2155</v>
      </c>
      <c r="J36" s="45" t="s">
        <v>2168</v>
      </c>
      <c r="K36" s="52">
        <v>-68645.06</v>
      </c>
    </row>
    <row r="37" spans="2:11" x14ac:dyDescent="0.3">
      <c r="B37" s="43" t="s">
        <v>2115</v>
      </c>
      <c r="C37" s="43" t="s">
        <v>2116</v>
      </c>
      <c r="D37" s="43"/>
      <c r="E37" s="43" t="s">
        <v>2152</v>
      </c>
      <c r="F37" s="44">
        <v>100435</v>
      </c>
      <c r="G37" s="43" t="s">
        <v>2179</v>
      </c>
      <c r="H37" s="45" t="s">
        <v>2163</v>
      </c>
      <c r="I37" s="43" t="s">
        <v>2155</v>
      </c>
      <c r="J37" s="45" t="s">
        <v>2164</v>
      </c>
      <c r="K37" s="52">
        <v>-693528.48</v>
      </c>
    </row>
    <row r="38" spans="2:11" x14ac:dyDescent="0.3">
      <c r="B38" s="43" t="s">
        <v>2115</v>
      </c>
      <c r="C38" s="43" t="s">
        <v>2116</v>
      </c>
      <c r="D38" s="43"/>
      <c r="E38" s="43" t="s">
        <v>2152</v>
      </c>
      <c r="F38" s="44">
        <v>100437</v>
      </c>
      <c r="G38" s="43" t="s">
        <v>2180</v>
      </c>
      <c r="H38" s="45" t="s">
        <v>2163</v>
      </c>
      <c r="I38" s="43" t="s">
        <v>2155</v>
      </c>
      <c r="J38" s="45" t="s">
        <v>2164</v>
      </c>
      <c r="K38" s="52">
        <v>-115259.12</v>
      </c>
    </row>
    <row r="39" spans="2:11" x14ac:dyDescent="0.3">
      <c r="B39" s="43" t="s">
        <v>2115</v>
      </c>
      <c r="C39" s="43" t="s">
        <v>2116</v>
      </c>
      <c r="D39" s="43"/>
      <c r="E39" s="43" t="s">
        <v>2152</v>
      </c>
      <c r="F39" s="44">
        <v>100439</v>
      </c>
      <c r="G39" s="43" t="s">
        <v>2181</v>
      </c>
      <c r="H39" s="45" t="s">
        <v>2167</v>
      </c>
      <c r="I39" s="43" t="s">
        <v>2155</v>
      </c>
      <c r="J39" s="45" t="s">
        <v>2168</v>
      </c>
      <c r="K39" s="52">
        <v>-333115.81</v>
      </c>
    </row>
    <row r="40" spans="2:11" x14ac:dyDescent="0.3">
      <c r="B40" s="43" t="s">
        <v>2115</v>
      </c>
      <c r="C40" s="43" t="s">
        <v>2116</v>
      </c>
      <c r="D40" s="43"/>
      <c r="E40" s="43" t="s">
        <v>2152</v>
      </c>
      <c r="F40" s="44">
        <v>100441</v>
      </c>
      <c r="G40" s="43" t="s">
        <v>2182</v>
      </c>
      <c r="H40" s="45" t="s">
        <v>2167</v>
      </c>
      <c r="I40" s="43" t="s">
        <v>2155</v>
      </c>
      <c r="J40" s="45" t="s">
        <v>2168</v>
      </c>
      <c r="K40" s="52">
        <v>-478748.5</v>
      </c>
    </row>
    <row r="41" spans="2:11" x14ac:dyDescent="0.3">
      <c r="B41" s="43" t="s">
        <v>2115</v>
      </c>
      <c r="C41" s="43" t="s">
        <v>2116</v>
      </c>
      <c r="D41" s="43"/>
      <c r="E41" s="43" t="s">
        <v>2152</v>
      </c>
      <c r="F41" s="44">
        <v>100443</v>
      </c>
      <c r="G41" s="43" t="s">
        <v>2183</v>
      </c>
      <c r="H41" s="45" t="s">
        <v>2171</v>
      </c>
      <c r="I41" s="43" t="s">
        <v>2155</v>
      </c>
      <c r="J41" s="45" t="s">
        <v>2159</v>
      </c>
      <c r="K41" s="52">
        <v>-395317.49</v>
      </c>
    </row>
    <row r="42" spans="2:11" x14ac:dyDescent="0.3">
      <c r="B42" s="43" t="s">
        <v>2115</v>
      </c>
      <c r="C42" s="43" t="s">
        <v>2116</v>
      </c>
      <c r="D42" s="43"/>
      <c r="E42" s="43" t="s">
        <v>2152</v>
      </c>
      <c r="F42" s="44">
        <v>100445</v>
      </c>
      <c r="G42" s="43" t="s">
        <v>2184</v>
      </c>
      <c r="H42" s="45" t="s">
        <v>2171</v>
      </c>
      <c r="I42" s="43" t="s">
        <v>2155</v>
      </c>
      <c r="J42" s="45" t="s">
        <v>2159</v>
      </c>
      <c r="K42" s="52">
        <v>-253827.97999999998</v>
      </c>
    </row>
    <row r="43" spans="2:11" x14ac:dyDescent="0.3">
      <c r="B43" s="43" t="s">
        <v>2115</v>
      </c>
      <c r="C43" s="43" t="s">
        <v>2116</v>
      </c>
      <c r="D43" s="43"/>
      <c r="E43" s="43" t="s">
        <v>2152</v>
      </c>
      <c r="F43" s="44">
        <v>100447</v>
      </c>
      <c r="G43" s="43" t="s">
        <v>2185</v>
      </c>
      <c r="H43" s="45" t="s">
        <v>2174</v>
      </c>
      <c r="I43" s="43" t="s">
        <v>2155</v>
      </c>
      <c r="J43" s="45" t="s">
        <v>2159</v>
      </c>
      <c r="K43" s="52">
        <v>-821793.89</v>
      </c>
    </row>
    <row r="44" spans="2:11" x14ac:dyDescent="0.3">
      <c r="B44" s="43" t="s">
        <v>2115</v>
      </c>
      <c r="C44" s="43" t="s">
        <v>2116</v>
      </c>
      <c r="D44" s="43"/>
      <c r="E44" s="43" t="s">
        <v>2152</v>
      </c>
      <c r="F44" s="44">
        <v>100449</v>
      </c>
      <c r="G44" s="43" t="s">
        <v>2186</v>
      </c>
      <c r="H44" s="45" t="s">
        <v>2174</v>
      </c>
      <c r="I44" s="43" t="s">
        <v>2155</v>
      </c>
      <c r="J44" s="45" t="s">
        <v>2159</v>
      </c>
      <c r="K44" s="52">
        <v>-122194.12</v>
      </c>
    </row>
    <row r="45" spans="2:11" x14ac:dyDescent="0.3">
      <c r="B45" s="43" t="s">
        <v>2115</v>
      </c>
      <c r="C45" s="43" t="s">
        <v>2116</v>
      </c>
      <c r="D45" s="43"/>
      <c r="E45" s="43" t="s">
        <v>2152</v>
      </c>
      <c r="F45" s="44">
        <v>100453</v>
      </c>
      <c r="G45" s="43" t="s">
        <v>2187</v>
      </c>
      <c r="H45" s="45" t="s">
        <v>2171</v>
      </c>
      <c r="I45" s="43" t="s">
        <v>2155</v>
      </c>
      <c r="J45" s="45" t="s">
        <v>2159</v>
      </c>
      <c r="K45" s="52">
        <v>39409.96</v>
      </c>
    </row>
    <row r="46" spans="2:11" x14ac:dyDescent="0.3">
      <c r="B46" s="43" t="s">
        <v>2115</v>
      </c>
      <c r="C46" s="43" t="s">
        <v>2116</v>
      </c>
      <c r="D46" s="43"/>
      <c r="E46" s="43" t="s">
        <v>2152</v>
      </c>
      <c r="F46" s="44">
        <v>100455</v>
      </c>
      <c r="G46" s="43" t="s">
        <v>2188</v>
      </c>
      <c r="H46" s="45" t="s">
        <v>2171</v>
      </c>
      <c r="I46" s="43" t="s">
        <v>2155</v>
      </c>
      <c r="J46" s="45" t="s">
        <v>2159</v>
      </c>
      <c r="K46" s="52">
        <v>-30870.05</v>
      </c>
    </row>
    <row r="47" spans="2:11" x14ac:dyDescent="0.3">
      <c r="B47" s="43" t="s">
        <v>2115</v>
      </c>
      <c r="C47" s="43" t="s">
        <v>2116</v>
      </c>
      <c r="D47" s="43" t="s">
        <v>2189</v>
      </c>
      <c r="E47" s="43" t="s">
        <v>2152</v>
      </c>
      <c r="F47" s="44">
        <v>100457</v>
      </c>
      <c r="G47" s="43" t="s">
        <v>2190</v>
      </c>
      <c r="H47" s="45" t="s">
        <v>2191</v>
      </c>
      <c r="I47" s="43" t="s">
        <v>2155</v>
      </c>
      <c r="J47" s="45" t="s">
        <v>2192</v>
      </c>
      <c r="K47" s="52">
        <v>81349.91</v>
      </c>
    </row>
    <row r="48" spans="2:11" x14ac:dyDescent="0.3">
      <c r="B48" s="43" t="s">
        <v>2115</v>
      </c>
      <c r="C48" s="43" t="s">
        <v>2116</v>
      </c>
      <c r="D48" s="43" t="s">
        <v>2189</v>
      </c>
      <c r="E48" s="43" t="s">
        <v>2152</v>
      </c>
      <c r="F48" s="44">
        <v>100459</v>
      </c>
      <c r="G48" s="43" t="s">
        <v>2193</v>
      </c>
      <c r="H48" s="45" t="s">
        <v>2191</v>
      </c>
      <c r="I48" s="43" t="s">
        <v>2155</v>
      </c>
      <c r="J48" s="45" t="s">
        <v>2192</v>
      </c>
      <c r="K48" s="52">
        <v>5035.95</v>
      </c>
    </row>
    <row r="49" spans="2:11" x14ac:dyDescent="0.3">
      <c r="B49" s="43" t="s">
        <v>2115</v>
      </c>
      <c r="C49" s="43" t="s">
        <v>2116</v>
      </c>
      <c r="D49" s="43"/>
      <c r="E49" s="43" t="s">
        <v>2152</v>
      </c>
      <c r="F49" s="44">
        <v>100461</v>
      </c>
      <c r="G49" s="43" t="s">
        <v>2194</v>
      </c>
      <c r="H49" s="45" t="s">
        <v>2195</v>
      </c>
      <c r="I49" s="43" t="s">
        <v>2155</v>
      </c>
      <c r="J49" s="45" t="s">
        <v>2192</v>
      </c>
      <c r="K49" s="52">
        <v>46863.199999999997</v>
      </c>
    </row>
    <row r="50" spans="2:11" x14ac:dyDescent="0.3">
      <c r="B50" s="43" t="s">
        <v>2115</v>
      </c>
      <c r="C50" s="43" t="s">
        <v>2116</v>
      </c>
      <c r="D50" s="43"/>
      <c r="E50" s="43" t="s">
        <v>2152</v>
      </c>
      <c r="F50" s="44">
        <v>100463</v>
      </c>
      <c r="G50" s="43" t="s">
        <v>2196</v>
      </c>
      <c r="H50" s="45" t="s">
        <v>2154</v>
      </c>
      <c r="I50" s="43" t="s">
        <v>2155</v>
      </c>
      <c r="J50" s="45" t="s">
        <v>2156</v>
      </c>
      <c r="K50" s="52">
        <v>542422.65</v>
      </c>
    </row>
    <row r="51" spans="2:11" x14ac:dyDescent="0.3">
      <c r="B51" s="43" t="s">
        <v>2115</v>
      </c>
      <c r="C51" s="43" t="s">
        <v>2116</v>
      </c>
      <c r="D51" s="43"/>
      <c r="E51" s="43" t="s">
        <v>2152</v>
      </c>
      <c r="F51" s="44">
        <v>100465</v>
      </c>
      <c r="G51" s="43" t="s">
        <v>2197</v>
      </c>
      <c r="H51" s="45" t="s">
        <v>2154</v>
      </c>
      <c r="I51" s="43" t="s">
        <v>2155</v>
      </c>
      <c r="J51" s="45" t="s">
        <v>2156</v>
      </c>
      <c r="K51" s="52">
        <v>-59135.35</v>
      </c>
    </row>
    <row r="52" spans="2:11" x14ac:dyDescent="0.3">
      <c r="B52" s="43" t="s">
        <v>2115</v>
      </c>
      <c r="C52" s="43" t="s">
        <v>2116</v>
      </c>
      <c r="D52" s="43"/>
      <c r="E52" s="43" t="s">
        <v>2152</v>
      </c>
      <c r="F52" s="44">
        <v>100467</v>
      </c>
      <c r="G52" s="43" t="s">
        <v>2198</v>
      </c>
      <c r="H52" s="45" t="s">
        <v>2158</v>
      </c>
      <c r="I52" s="43" t="s">
        <v>2155</v>
      </c>
      <c r="J52" s="45" t="s">
        <v>2159</v>
      </c>
      <c r="K52" s="52">
        <v>-18097.310000000001</v>
      </c>
    </row>
    <row r="53" spans="2:11" x14ac:dyDescent="0.3">
      <c r="B53" s="43" t="s">
        <v>2115</v>
      </c>
      <c r="C53" s="43" t="s">
        <v>2116</v>
      </c>
      <c r="D53" s="43"/>
      <c r="E53" s="43" t="s">
        <v>2199</v>
      </c>
      <c r="F53" s="47">
        <v>100601</v>
      </c>
      <c r="G53" s="48" t="s">
        <v>2200</v>
      </c>
      <c r="H53" s="45" t="s">
        <v>2201</v>
      </c>
      <c r="I53" s="43" t="s">
        <v>2202</v>
      </c>
      <c r="J53" s="45" t="s">
        <v>2203</v>
      </c>
      <c r="K53" s="52">
        <v>12654421.800000001</v>
      </c>
    </row>
    <row r="54" spans="2:11" x14ac:dyDescent="0.3">
      <c r="B54" s="43" t="s">
        <v>2115</v>
      </c>
      <c r="C54" s="43" t="s">
        <v>2116</v>
      </c>
      <c r="D54" s="43"/>
      <c r="E54" s="43" t="s">
        <v>2199</v>
      </c>
      <c r="F54" s="44">
        <v>100605</v>
      </c>
      <c r="G54" s="43" t="s">
        <v>2204</v>
      </c>
      <c r="H54" s="45" t="s">
        <v>2205</v>
      </c>
      <c r="I54" s="43" t="s">
        <v>2202</v>
      </c>
      <c r="J54" s="45" t="s">
        <v>2206</v>
      </c>
      <c r="K54" s="52">
        <v>49020.62</v>
      </c>
    </row>
    <row r="55" spans="2:11" x14ac:dyDescent="0.3">
      <c r="B55" s="43" t="s">
        <v>2115</v>
      </c>
      <c r="C55" s="43" t="s">
        <v>2116</v>
      </c>
      <c r="D55" s="43"/>
      <c r="E55" s="43" t="s">
        <v>2207</v>
      </c>
      <c r="F55" s="44">
        <v>100607</v>
      </c>
      <c r="G55" s="43" t="s">
        <v>2208</v>
      </c>
      <c r="H55" s="45"/>
      <c r="I55" s="43" t="s">
        <v>2202</v>
      </c>
      <c r="J55" s="45" t="s">
        <v>2209</v>
      </c>
      <c r="K55" s="52">
        <v>17114347.02</v>
      </c>
    </row>
    <row r="56" spans="2:11" x14ac:dyDescent="0.3">
      <c r="B56" s="43" t="s">
        <v>2115</v>
      </c>
      <c r="C56" s="43" t="s">
        <v>2116</v>
      </c>
      <c r="D56" s="43"/>
      <c r="E56" s="43" t="s">
        <v>2207</v>
      </c>
      <c r="F56" s="44">
        <v>100609</v>
      </c>
      <c r="G56" s="43" t="s">
        <v>2210</v>
      </c>
      <c r="H56" s="45"/>
      <c r="I56" s="43" t="s">
        <v>2211</v>
      </c>
      <c r="J56" s="45" t="s">
        <v>2212</v>
      </c>
      <c r="K56" s="52">
        <v>0</v>
      </c>
    </row>
    <row r="57" spans="2:11" x14ac:dyDescent="0.3">
      <c r="B57" s="43" t="s">
        <v>2115</v>
      </c>
      <c r="C57" s="43" t="s">
        <v>2116</v>
      </c>
      <c r="D57" s="43"/>
      <c r="E57" s="43" t="s">
        <v>2207</v>
      </c>
      <c r="F57" s="44">
        <v>100611</v>
      </c>
      <c r="G57" s="43" t="s">
        <v>2213</v>
      </c>
      <c r="H57" s="45"/>
      <c r="I57" s="43" t="s">
        <v>2211</v>
      </c>
      <c r="J57" s="45" t="s">
        <v>2212</v>
      </c>
      <c r="K57" s="52">
        <v>3992</v>
      </c>
    </row>
    <row r="58" spans="2:11" x14ac:dyDescent="0.3">
      <c r="B58" s="43" t="s">
        <v>2115</v>
      </c>
      <c r="C58" s="43" t="s">
        <v>2116</v>
      </c>
      <c r="D58" s="43"/>
      <c r="E58" s="43" t="s">
        <v>2207</v>
      </c>
      <c r="F58" s="44">
        <v>100615</v>
      </c>
      <c r="G58" s="43" t="s">
        <v>2214</v>
      </c>
      <c r="H58" s="45"/>
      <c r="I58" s="43" t="s">
        <v>2202</v>
      </c>
      <c r="J58" s="45" t="s">
        <v>2215</v>
      </c>
      <c r="K58" s="52">
        <v>120180.32</v>
      </c>
    </row>
    <row r="59" spans="2:11" x14ac:dyDescent="0.3">
      <c r="B59" s="43" t="s">
        <v>2115</v>
      </c>
      <c r="C59" s="43" t="s">
        <v>2116</v>
      </c>
      <c r="D59" s="43"/>
      <c r="E59" s="43" t="s">
        <v>2207</v>
      </c>
      <c r="F59" s="44">
        <v>100621</v>
      </c>
      <c r="G59" s="43" t="s">
        <v>2216</v>
      </c>
      <c r="H59" s="45"/>
      <c r="I59" s="43" t="s">
        <v>2202</v>
      </c>
      <c r="J59" s="45" t="s">
        <v>2215</v>
      </c>
      <c r="K59" s="52">
        <v>135934.92000000001</v>
      </c>
    </row>
    <row r="60" spans="2:11" x14ac:dyDescent="0.3">
      <c r="B60" s="43" t="s">
        <v>2115</v>
      </c>
      <c r="C60" s="43" t="s">
        <v>2116</v>
      </c>
      <c r="D60" s="43"/>
      <c r="E60" s="43" t="s">
        <v>2217</v>
      </c>
      <c r="F60" s="44">
        <v>100622</v>
      </c>
      <c r="G60" s="43" t="s">
        <v>2218</v>
      </c>
      <c r="H60" s="45"/>
      <c r="I60" s="43" t="s">
        <v>2211</v>
      </c>
      <c r="J60" s="45" t="s">
        <v>2212</v>
      </c>
      <c r="K60" s="52">
        <v>108000</v>
      </c>
    </row>
    <row r="61" spans="2:11" x14ac:dyDescent="0.3">
      <c r="B61" s="43" t="s">
        <v>2115</v>
      </c>
      <c r="C61" s="43" t="s">
        <v>2116</v>
      </c>
      <c r="D61" s="43"/>
      <c r="E61" s="43" t="s">
        <v>2219</v>
      </c>
      <c r="F61" s="44">
        <v>120209</v>
      </c>
      <c r="G61" s="43" t="s">
        <v>2220</v>
      </c>
      <c r="H61" s="45"/>
      <c r="I61" s="43" t="s">
        <v>2221</v>
      </c>
      <c r="J61" s="45" t="s">
        <v>2222</v>
      </c>
      <c r="K61" s="52">
        <v>5244545.07</v>
      </c>
    </row>
    <row r="62" spans="2:11" x14ac:dyDescent="0.3">
      <c r="B62" s="43" t="s">
        <v>2115</v>
      </c>
      <c r="C62" s="43" t="s">
        <v>2116</v>
      </c>
      <c r="D62" s="43"/>
      <c r="E62" s="43" t="s">
        <v>2223</v>
      </c>
      <c r="F62" s="44">
        <v>140201</v>
      </c>
      <c r="G62" s="43" t="s">
        <v>2224</v>
      </c>
      <c r="H62" s="45"/>
      <c r="I62" s="43" t="s">
        <v>2225</v>
      </c>
      <c r="J62" s="45" t="s">
        <v>2226</v>
      </c>
      <c r="K62" s="52">
        <v>13779107.630000001</v>
      </c>
    </row>
    <row r="63" spans="2:11" x14ac:dyDescent="0.3">
      <c r="B63" s="43" t="s">
        <v>2115</v>
      </c>
      <c r="C63" s="43" t="s">
        <v>2116</v>
      </c>
      <c r="D63" s="43"/>
      <c r="E63" s="43" t="s">
        <v>2223</v>
      </c>
      <c r="F63" s="44">
        <v>140205</v>
      </c>
      <c r="G63" s="43" t="s">
        <v>2227</v>
      </c>
      <c r="H63" s="45"/>
      <c r="I63" s="43" t="s">
        <v>2225</v>
      </c>
      <c r="J63" s="45" t="s">
        <v>2226</v>
      </c>
      <c r="K63" s="52">
        <v>-590461.28</v>
      </c>
    </row>
    <row r="64" spans="2:11" x14ac:dyDescent="0.3">
      <c r="B64" s="43" t="s">
        <v>2115</v>
      </c>
      <c r="C64" s="43" t="s">
        <v>2116</v>
      </c>
      <c r="D64" s="43"/>
      <c r="E64" s="43" t="s">
        <v>2223</v>
      </c>
      <c r="F64" s="44">
        <v>140219</v>
      </c>
      <c r="G64" s="43" t="s">
        <v>2228</v>
      </c>
      <c r="H64" s="45"/>
      <c r="I64" s="43" t="s">
        <v>2225</v>
      </c>
      <c r="J64" s="45" t="s">
        <v>2229</v>
      </c>
      <c r="K64" s="52">
        <v>146.4</v>
      </c>
    </row>
    <row r="65" spans="2:11" x14ac:dyDescent="0.3">
      <c r="B65" s="43" t="s">
        <v>2115</v>
      </c>
      <c r="C65" s="43" t="s">
        <v>2116</v>
      </c>
      <c r="D65" s="43"/>
      <c r="E65" s="43" t="s">
        <v>2223</v>
      </c>
      <c r="F65" s="44">
        <v>140221</v>
      </c>
      <c r="G65" s="43" t="s">
        <v>2230</v>
      </c>
      <c r="H65" s="45"/>
      <c r="I65" s="43" t="s">
        <v>2225</v>
      </c>
      <c r="J65" s="45" t="s">
        <v>2229</v>
      </c>
      <c r="K65" s="52">
        <v>113167.29</v>
      </c>
    </row>
    <row r="66" spans="2:11" x14ac:dyDescent="0.3">
      <c r="B66" s="43" t="s">
        <v>2115</v>
      </c>
      <c r="C66" s="43" t="s">
        <v>2116</v>
      </c>
      <c r="D66" s="43"/>
      <c r="E66" s="43" t="s">
        <v>2231</v>
      </c>
      <c r="F66" s="44">
        <v>140223</v>
      </c>
      <c r="G66" s="43" t="s">
        <v>2232</v>
      </c>
      <c r="H66" s="45"/>
      <c r="I66" s="43" t="s">
        <v>2225</v>
      </c>
      <c r="J66" s="45" t="s">
        <v>2229</v>
      </c>
      <c r="K66" s="52">
        <v>116452.71</v>
      </c>
    </row>
    <row r="67" spans="2:11" x14ac:dyDescent="0.3">
      <c r="B67" s="43" t="s">
        <v>2115</v>
      </c>
      <c r="C67" s="43" t="s">
        <v>2116</v>
      </c>
      <c r="D67" s="43"/>
      <c r="E67" s="43" t="s">
        <v>2223</v>
      </c>
      <c r="F67" s="44">
        <v>140225</v>
      </c>
      <c r="G67" s="43" t="s">
        <v>2233</v>
      </c>
      <c r="H67" s="45"/>
      <c r="I67" s="43" t="s">
        <v>2225</v>
      </c>
      <c r="J67" s="45" t="s">
        <v>2226</v>
      </c>
      <c r="K67" s="52">
        <v>1525</v>
      </c>
    </row>
    <row r="68" spans="2:11" x14ac:dyDescent="0.3">
      <c r="B68" s="43" t="s">
        <v>2115</v>
      </c>
      <c r="C68" s="43" t="s">
        <v>2116</v>
      </c>
      <c r="D68" s="43"/>
      <c r="E68" s="43" t="s">
        <v>2207</v>
      </c>
      <c r="F68" s="44">
        <v>140227</v>
      </c>
      <c r="G68" s="43" t="s">
        <v>2234</v>
      </c>
      <c r="H68" s="45"/>
      <c r="I68" s="43" t="s">
        <v>2211</v>
      </c>
      <c r="J68" s="45" t="s">
        <v>2212</v>
      </c>
      <c r="K68" s="52">
        <v>563849.75</v>
      </c>
    </row>
    <row r="69" spans="2:11" x14ac:dyDescent="0.3">
      <c r="B69" s="43" t="s">
        <v>2115</v>
      </c>
      <c r="C69" s="43" t="s">
        <v>2116</v>
      </c>
      <c r="D69" s="43"/>
      <c r="E69" s="43" t="s">
        <v>2199</v>
      </c>
      <c r="F69" s="44">
        <v>160201</v>
      </c>
      <c r="G69" s="43" t="s">
        <v>2235</v>
      </c>
      <c r="H69" s="45" t="s">
        <v>2205</v>
      </c>
      <c r="I69" s="43" t="s">
        <v>2236</v>
      </c>
      <c r="J69" s="45" t="s">
        <v>2237</v>
      </c>
      <c r="K69" s="52">
        <v>461829.21</v>
      </c>
    </row>
    <row r="70" spans="2:11" x14ac:dyDescent="0.3">
      <c r="B70" s="43" t="s">
        <v>2115</v>
      </c>
      <c r="C70" s="43" t="s">
        <v>2116</v>
      </c>
      <c r="D70" s="43"/>
      <c r="E70" s="43" t="s">
        <v>2223</v>
      </c>
      <c r="F70" s="44">
        <v>160207</v>
      </c>
      <c r="G70" s="43" t="s">
        <v>2238</v>
      </c>
      <c r="H70" s="45"/>
      <c r="I70" s="43" t="s">
        <v>2236</v>
      </c>
      <c r="J70" s="45" t="s">
        <v>2226</v>
      </c>
      <c r="K70" s="52">
        <v>17662543.34</v>
      </c>
    </row>
    <row r="71" spans="2:11" x14ac:dyDescent="0.3">
      <c r="B71" s="43" t="s">
        <v>2115</v>
      </c>
      <c r="C71" s="43" t="s">
        <v>2116</v>
      </c>
      <c r="D71" s="43"/>
      <c r="E71" s="43" t="s">
        <v>2207</v>
      </c>
      <c r="F71" s="44">
        <v>160208</v>
      </c>
      <c r="G71" s="43" t="s">
        <v>2239</v>
      </c>
      <c r="H71" s="45"/>
      <c r="I71" s="43" t="s">
        <v>2236</v>
      </c>
      <c r="J71" s="45" t="s">
        <v>2229</v>
      </c>
      <c r="K71" s="52">
        <v>353316.06</v>
      </c>
    </row>
    <row r="72" spans="2:11" x14ac:dyDescent="0.3">
      <c r="B72" s="43" t="s">
        <v>2115</v>
      </c>
      <c r="C72" s="43" t="s">
        <v>2116</v>
      </c>
      <c r="D72" s="43"/>
      <c r="E72" s="43" t="s">
        <v>2240</v>
      </c>
      <c r="F72" s="44">
        <v>160210</v>
      </c>
      <c r="G72" s="43" t="s">
        <v>2241</v>
      </c>
      <c r="H72" s="45"/>
      <c r="I72" s="43" t="s">
        <v>2242</v>
      </c>
      <c r="J72" s="45" t="s">
        <v>2243</v>
      </c>
      <c r="K72" s="52">
        <v>147938.91</v>
      </c>
    </row>
    <row r="73" spans="2:11" x14ac:dyDescent="0.3">
      <c r="B73" s="43" t="s">
        <v>2115</v>
      </c>
      <c r="C73" s="43" t="s">
        <v>2116</v>
      </c>
      <c r="D73" s="43"/>
      <c r="E73" s="43" t="s">
        <v>2231</v>
      </c>
      <c r="F73" s="44">
        <v>160401</v>
      </c>
      <c r="G73" s="43" t="s">
        <v>2244</v>
      </c>
      <c r="H73" s="45"/>
      <c r="I73" s="43" t="s">
        <v>2245</v>
      </c>
      <c r="J73" s="45" t="s">
        <v>2246</v>
      </c>
      <c r="K73" s="52">
        <v>1144423.49</v>
      </c>
    </row>
    <row r="74" spans="2:11" x14ac:dyDescent="0.3">
      <c r="B74" s="43" t="s">
        <v>2115</v>
      </c>
      <c r="C74" s="43" t="s">
        <v>2116</v>
      </c>
      <c r="D74" s="43"/>
      <c r="E74" s="43" t="s">
        <v>2231</v>
      </c>
      <c r="F74" s="44">
        <v>160403</v>
      </c>
      <c r="G74" s="43" t="s">
        <v>2247</v>
      </c>
      <c r="H74" s="45"/>
      <c r="I74" s="43" t="s">
        <v>2245</v>
      </c>
      <c r="J74" s="45" t="s">
        <v>2246</v>
      </c>
      <c r="K74" s="52">
        <v>2942929.78</v>
      </c>
    </row>
    <row r="75" spans="2:11" x14ac:dyDescent="0.3">
      <c r="B75" s="43" t="s">
        <v>2115</v>
      </c>
      <c r="C75" s="43" t="s">
        <v>2116</v>
      </c>
      <c r="D75" s="43"/>
      <c r="E75" s="43" t="s">
        <v>2231</v>
      </c>
      <c r="F75" s="44">
        <v>160405</v>
      </c>
      <c r="G75" s="43" t="s">
        <v>2248</v>
      </c>
      <c r="H75" s="45"/>
      <c r="I75" s="43" t="s">
        <v>2245</v>
      </c>
      <c r="J75" s="45" t="s">
        <v>2246</v>
      </c>
      <c r="K75" s="52">
        <v>909.42</v>
      </c>
    </row>
    <row r="76" spans="2:11" x14ac:dyDescent="0.3">
      <c r="B76" s="43" t="s">
        <v>2115</v>
      </c>
      <c r="C76" s="43" t="s">
        <v>2116</v>
      </c>
      <c r="D76" s="43"/>
      <c r="E76" s="43" t="s">
        <v>2231</v>
      </c>
      <c r="F76" s="44">
        <v>160407</v>
      </c>
      <c r="G76" s="43" t="s">
        <v>2249</v>
      </c>
      <c r="H76" s="45"/>
      <c r="I76" s="43" t="s">
        <v>2245</v>
      </c>
      <c r="J76" s="45" t="s">
        <v>2250</v>
      </c>
      <c r="K76" s="52">
        <v>673332.24</v>
      </c>
    </row>
    <row r="77" spans="2:11" x14ac:dyDescent="0.3">
      <c r="B77" s="43" t="s">
        <v>2115</v>
      </c>
      <c r="C77" s="43" t="s">
        <v>2116</v>
      </c>
      <c r="D77" s="43"/>
      <c r="E77" s="43" t="s">
        <v>2231</v>
      </c>
      <c r="F77" s="44">
        <v>160409</v>
      </c>
      <c r="G77" s="43" t="s">
        <v>2251</v>
      </c>
      <c r="H77" s="45"/>
      <c r="I77" s="43" t="s">
        <v>2245</v>
      </c>
      <c r="J77" s="45" t="s">
        <v>2246</v>
      </c>
      <c r="K77" s="52">
        <v>16924.23</v>
      </c>
    </row>
    <row r="78" spans="2:11" x14ac:dyDescent="0.3">
      <c r="B78" s="43" t="s">
        <v>2115</v>
      </c>
      <c r="C78" s="43" t="s">
        <v>2116</v>
      </c>
      <c r="D78" s="43"/>
      <c r="E78" s="43" t="s">
        <v>2252</v>
      </c>
      <c r="F78" s="44">
        <v>180201</v>
      </c>
      <c r="G78" s="43" t="s">
        <v>2253</v>
      </c>
      <c r="H78" s="45"/>
      <c r="I78" s="43" t="s">
        <v>2254</v>
      </c>
      <c r="J78" s="45" t="s">
        <v>2255</v>
      </c>
      <c r="K78" s="52">
        <v>7573.08</v>
      </c>
    </row>
    <row r="79" spans="2:11" x14ac:dyDescent="0.3">
      <c r="B79" s="43" t="s">
        <v>2115</v>
      </c>
      <c r="C79" s="43" t="s">
        <v>2116</v>
      </c>
      <c r="D79" s="43"/>
      <c r="E79" s="43" t="s">
        <v>2252</v>
      </c>
      <c r="F79" s="44">
        <v>180209</v>
      </c>
      <c r="G79" s="43" t="s">
        <v>2256</v>
      </c>
      <c r="H79" s="45"/>
      <c r="I79" s="43" t="s">
        <v>2254</v>
      </c>
      <c r="J79" s="45" t="s">
        <v>2257</v>
      </c>
      <c r="K79" s="52">
        <v>30939.31</v>
      </c>
    </row>
    <row r="80" spans="2:11" x14ac:dyDescent="0.3">
      <c r="B80" s="43" t="s">
        <v>2115</v>
      </c>
      <c r="C80" s="43" t="s">
        <v>2116</v>
      </c>
      <c r="D80" s="43"/>
      <c r="E80" s="43" t="s">
        <v>2252</v>
      </c>
      <c r="F80" s="44">
        <v>180205</v>
      </c>
      <c r="G80" s="43" t="s">
        <v>2258</v>
      </c>
      <c r="H80" s="45"/>
      <c r="I80" s="43" t="s">
        <v>2254</v>
      </c>
      <c r="J80" s="45" t="s">
        <v>2257</v>
      </c>
      <c r="K80" s="52">
        <v>9661.7099999999991</v>
      </c>
    </row>
    <row r="81" spans="2:11" x14ac:dyDescent="0.3">
      <c r="B81" s="43" t="s">
        <v>2115</v>
      </c>
      <c r="C81" s="43" t="s">
        <v>2116</v>
      </c>
      <c r="D81" s="43"/>
      <c r="E81" s="43" t="s">
        <v>2252</v>
      </c>
      <c r="F81" s="44">
        <v>180207</v>
      </c>
      <c r="G81" s="43" t="s">
        <v>2259</v>
      </c>
      <c r="H81" s="45"/>
      <c r="I81" s="43" t="s">
        <v>2254</v>
      </c>
      <c r="J81" s="45" t="s">
        <v>2257</v>
      </c>
      <c r="K81" s="52">
        <v>29778.39</v>
      </c>
    </row>
    <row r="82" spans="2:11" x14ac:dyDescent="0.3">
      <c r="B82" s="43" t="s">
        <v>2115</v>
      </c>
      <c r="C82" s="43" t="s">
        <v>2116</v>
      </c>
      <c r="D82" s="43"/>
      <c r="E82" s="43" t="s">
        <v>2252</v>
      </c>
      <c r="F82" s="44">
        <v>180211</v>
      </c>
      <c r="G82" s="43" t="s">
        <v>2260</v>
      </c>
      <c r="H82" s="45"/>
      <c r="I82" s="43" t="s">
        <v>2254</v>
      </c>
      <c r="J82" s="45" t="s">
        <v>2257</v>
      </c>
      <c r="K82" s="52">
        <v>5286.42</v>
      </c>
    </row>
    <row r="83" spans="2:11" x14ac:dyDescent="0.3">
      <c r="B83" s="43" t="s">
        <v>2115</v>
      </c>
      <c r="C83" s="43" t="s">
        <v>2116</v>
      </c>
      <c r="D83" s="43"/>
      <c r="E83" s="43" t="s">
        <v>2252</v>
      </c>
      <c r="F83" s="44">
        <v>180213</v>
      </c>
      <c r="G83" s="43" t="s">
        <v>2261</v>
      </c>
      <c r="H83" s="45"/>
      <c r="I83" s="43" t="s">
        <v>2254</v>
      </c>
      <c r="J83" s="45" t="s">
        <v>2257</v>
      </c>
      <c r="K83" s="52">
        <v>41308.019999999997</v>
      </c>
    </row>
    <row r="84" spans="2:11" x14ac:dyDescent="0.3">
      <c r="B84" s="43" t="s">
        <v>2115</v>
      </c>
      <c r="C84" s="43" t="s">
        <v>2116</v>
      </c>
      <c r="D84" s="43"/>
      <c r="E84" s="43" t="s">
        <v>2252</v>
      </c>
      <c r="F84" s="44">
        <v>180215</v>
      </c>
      <c r="G84" s="43" t="s">
        <v>2262</v>
      </c>
      <c r="H84" s="45"/>
      <c r="I84" s="43" t="s">
        <v>2254</v>
      </c>
      <c r="J84" s="45" t="s">
        <v>2257</v>
      </c>
      <c r="K84" s="52">
        <v>426672.56</v>
      </c>
    </row>
    <row r="85" spans="2:11" x14ac:dyDescent="0.3">
      <c r="B85" s="43" t="s">
        <v>2115</v>
      </c>
      <c r="C85" s="43" t="s">
        <v>2116</v>
      </c>
      <c r="D85" s="43"/>
      <c r="E85" s="43" t="s">
        <v>2252</v>
      </c>
      <c r="F85" s="44">
        <v>180217</v>
      </c>
      <c r="G85" s="43" t="s">
        <v>2263</v>
      </c>
      <c r="H85" s="45"/>
      <c r="I85" s="43" t="s">
        <v>2254</v>
      </c>
      <c r="J85" s="45" t="s">
        <v>2257</v>
      </c>
      <c r="K85" s="52">
        <v>178406.61</v>
      </c>
    </row>
    <row r="86" spans="2:11" x14ac:dyDescent="0.3">
      <c r="B86" s="43" t="s">
        <v>2115</v>
      </c>
      <c r="C86" s="43" t="s">
        <v>2116</v>
      </c>
      <c r="D86" s="43"/>
      <c r="E86" s="43" t="s">
        <v>2252</v>
      </c>
      <c r="F86" s="44">
        <v>180219</v>
      </c>
      <c r="G86" s="43" t="s">
        <v>2264</v>
      </c>
      <c r="H86" s="45"/>
      <c r="I86" s="43" t="s">
        <v>2265</v>
      </c>
      <c r="J86" s="45" t="s">
        <v>2266</v>
      </c>
      <c r="K86" s="52">
        <v>77656.77</v>
      </c>
    </row>
    <row r="87" spans="2:11" x14ac:dyDescent="0.3">
      <c r="B87" s="43" t="s">
        <v>2115</v>
      </c>
      <c r="C87" s="43" t="s">
        <v>2116</v>
      </c>
      <c r="D87" s="43"/>
      <c r="E87" s="43" t="s">
        <v>2252</v>
      </c>
      <c r="F87" s="44">
        <v>180221</v>
      </c>
      <c r="G87" s="43" t="s">
        <v>2267</v>
      </c>
      <c r="H87" s="45"/>
      <c r="I87" s="43" t="s">
        <v>2254</v>
      </c>
      <c r="J87" s="45" t="s">
        <v>2257</v>
      </c>
      <c r="K87" s="52">
        <v>85435.26</v>
      </c>
    </row>
    <row r="88" spans="2:11" x14ac:dyDescent="0.3">
      <c r="B88" s="43" t="s">
        <v>2115</v>
      </c>
      <c r="C88" s="43" t="s">
        <v>2116</v>
      </c>
      <c r="D88" s="43"/>
      <c r="E88" s="43" t="s">
        <v>2252</v>
      </c>
      <c r="F88" s="44">
        <v>180223</v>
      </c>
      <c r="G88" s="43" t="s">
        <v>2268</v>
      </c>
      <c r="H88" s="45"/>
      <c r="I88" s="43" t="s">
        <v>2254</v>
      </c>
      <c r="J88" s="45" t="s">
        <v>2257</v>
      </c>
      <c r="K88" s="52">
        <v>30800.9</v>
      </c>
    </row>
    <row r="89" spans="2:11" x14ac:dyDescent="0.3">
      <c r="B89" s="43" t="s">
        <v>2115</v>
      </c>
      <c r="C89" s="43" t="s">
        <v>2116</v>
      </c>
      <c r="D89" s="43"/>
      <c r="E89" s="43" t="s">
        <v>2252</v>
      </c>
      <c r="F89" s="44">
        <v>180225</v>
      </c>
      <c r="G89" s="43" t="s">
        <v>2269</v>
      </c>
      <c r="H89" s="45"/>
      <c r="I89" s="43" t="s">
        <v>2254</v>
      </c>
      <c r="J89" s="45" t="s">
        <v>2257</v>
      </c>
      <c r="K89" s="52">
        <v>77231.710000000006</v>
      </c>
    </row>
    <row r="90" spans="2:11" x14ac:dyDescent="0.3">
      <c r="B90" s="43" t="s">
        <v>2115</v>
      </c>
      <c r="C90" s="43" t="s">
        <v>2116</v>
      </c>
      <c r="D90" s="43"/>
      <c r="E90" s="43" t="s">
        <v>2252</v>
      </c>
      <c r="F90" s="44">
        <v>180227</v>
      </c>
      <c r="G90" s="43" t="s">
        <v>2270</v>
      </c>
      <c r="H90" s="45"/>
      <c r="I90" s="43" t="s">
        <v>2254</v>
      </c>
      <c r="J90" s="45" t="s">
        <v>2257</v>
      </c>
      <c r="K90" s="52">
        <v>4198567.6100000003</v>
      </c>
    </row>
    <row r="91" spans="2:11" x14ac:dyDescent="0.3">
      <c r="B91" s="43" t="s">
        <v>2115</v>
      </c>
      <c r="C91" s="43" t="s">
        <v>2116</v>
      </c>
      <c r="D91" s="43"/>
      <c r="E91" s="43" t="s">
        <v>2252</v>
      </c>
      <c r="F91" s="44">
        <v>180229</v>
      </c>
      <c r="G91" s="43" t="s">
        <v>2271</v>
      </c>
      <c r="H91" s="45"/>
      <c r="I91" s="43" t="s">
        <v>2254</v>
      </c>
      <c r="J91" s="45" t="s">
        <v>2257</v>
      </c>
      <c r="K91" s="52">
        <v>0</v>
      </c>
    </row>
    <row r="92" spans="2:11" x14ac:dyDescent="0.3">
      <c r="B92" s="43" t="s">
        <v>2115</v>
      </c>
      <c r="C92" s="43" t="s">
        <v>2116</v>
      </c>
      <c r="D92" s="43"/>
      <c r="E92" s="43" t="s">
        <v>2252</v>
      </c>
      <c r="F92" s="44">
        <v>180231</v>
      </c>
      <c r="G92" s="43" t="s">
        <v>2272</v>
      </c>
      <c r="H92" s="45"/>
      <c r="I92" s="43" t="s">
        <v>2254</v>
      </c>
      <c r="J92" s="45" t="s">
        <v>2257</v>
      </c>
      <c r="K92" s="52">
        <v>448.71</v>
      </c>
    </row>
    <row r="93" spans="2:11" x14ac:dyDescent="0.3">
      <c r="B93" s="43" t="s">
        <v>2115</v>
      </c>
      <c r="C93" s="43" t="s">
        <v>2116</v>
      </c>
      <c r="D93" s="43"/>
      <c r="E93" s="43" t="s">
        <v>2252</v>
      </c>
      <c r="F93" s="44">
        <v>180281</v>
      </c>
      <c r="G93" s="43" t="s">
        <v>2273</v>
      </c>
      <c r="H93" s="45"/>
      <c r="I93" s="43" t="s">
        <v>2211</v>
      </c>
      <c r="J93" s="45" t="s">
        <v>2212</v>
      </c>
      <c r="K93" s="52">
        <v>311.85000000000002</v>
      </c>
    </row>
    <row r="94" spans="2:11" x14ac:dyDescent="0.3">
      <c r="B94" s="43" t="s">
        <v>2115</v>
      </c>
      <c r="C94" s="43" t="s">
        <v>2116</v>
      </c>
      <c r="D94" s="43"/>
      <c r="E94" s="43" t="s">
        <v>2252</v>
      </c>
      <c r="F94" s="44">
        <v>180235</v>
      </c>
      <c r="G94" s="43" t="s">
        <v>2274</v>
      </c>
      <c r="H94" s="45"/>
      <c r="I94" s="43" t="s">
        <v>2254</v>
      </c>
      <c r="J94" s="45" t="s">
        <v>2257</v>
      </c>
      <c r="K94" s="52">
        <v>0</v>
      </c>
    </row>
    <row r="95" spans="2:11" x14ac:dyDescent="0.3">
      <c r="B95" s="43" t="s">
        <v>2115</v>
      </c>
      <c r="C95" s="43" t="s">
        <v>2116</v>
      </c>
      <c r="D95" s="43"/>
      <c r="E95" s="43" t="s">
        <v>2252</v>
      </c>
      <c r="F95" s="44">
        <v>180239</v>
      </c>
      <c r="G95" s="43" t="s">
        <v>2275</v>
      </c>
      <c r="H95" s="45"/>
      <c r="I95" s="43" t="s">
        <v>2254</v>
      </c>
      <c r="J95" s="45" t="s">
        <v>2257</v>
      </c>
      <c r="K95" s="52">
        <v>0</v>
      </c>
    </row>
    <row r="96" spans="2:11" x14ac:dyDescent="0.3">
      <c r="B96" s="43" t="s">
        <v>2115</v>
      </c>
      <c r="C96" s="43" t="s">
        <v>2116</v>
      </c>
      <c r="D96" s="43"/>
      <c r="E96" s="43" t="s">
        <v>2252</v>
      </c>
      <c r="F96" s="44">
        <v>180241</v>
      </c>
      <c r="G96" s="43" t="s">
        <v>2276</v>
      </c>
      <c r="H96" s="45"/>
      <c r="I96" s="43" t="s">
        <v>2254</v>
      </c>
      <c r="J96" s="45" t="s">
        <v>2257</v>
      </c>
      <c r="K96" s="52">
        <v>0</v>
      </c>
    </row>
    <row r="97" spans="2:11" x14ac:dyDescent="0.3">
      <c r="B97" s="43" t="s">
        <v>2115</v>
      </c>
      <c r="C97" s="43" t="s">
        <v>2116</v>
      </c>
      <c r="D97" s="43"/>
      <c r="E97" s="43" t="s">
        <v>2252</v>
      </c>
      <c r="F97" s="44">
        <v>180243</v>
      </c>
      <c r="G97" s="43" t="s">
        <v>2277</v>
      </c>
      <c r="H97" s="45"/>
      <c r="I97" s="43" t="s">
        <v>2211</v>
      </c>
      <c r="J97" s="45" t="s">
        <v>2212</v>
      </c>
      <c r="K97" s="52">
        <v>1053391.3999999999</v>
      </c>
    </row>
    <row r="98" spans="2:11" x14ac:dyDescent="0.3">
      <c r="B98" s="43" t="s">
        <v>2115</v>
      </c>
      <c r="C98" s="43" t="s">
        <v>2116</v>
      </c>
      <c r="D98" s="43"/>
      <c r="E98" s="43" t="s">
        <v>2252</v>
      </c>
      <c r="F98" s="44">
        <v>180245</v>
      </c>
      <c r="G98" s="43" t="s">
        <v>2278</v>
      </c>
      <c r="H98" s="45"/>
      <c r="I98" s="43" t="s">
        <v>2211</v>
      </c>
      <c r="J98" s="45" t="s">
        <v>2212</v>
      </c>
      <c r="K98" s="52">
        <v>0</v>
      </c>
    </row>
    <row r="99" spans="2:11" x14ac:dyDescent="0.3">
      <c r="B99" s="43" t="s">
        <v>2115</v>
      </c>
      <c r="C99" s="43" t="s">
        <v>2116</v>
      </c>
      <c r="D99" s="43"/>
      <c r="E99" s="43" t="s">
        <v>2252</v>
      </c>
      <c r="F99" s="44">
        <v>180247</v>
      </c>
      <c r="G99" s="43" t="s">
        <v>2279</v>
      </c>
      <c r="H99" s="45"/>
      <c r="I99" s="43" t="s">
        <v>2211</v>
      </c>
      <c r="J99" s="45" t="s">
        <v>2212</v>
      </c>
      <c r="K99" s="52">
        <v>140937.60000000001</v>
      </c>
    </row>
    <row r="100" spans="2:11" x14ac:dyDescent="0.3">
      <c r="B100" s="43" t="s">
        <v>2115</v>
      </c>
      <c r="C100" s="43" t="s">
        <v>2116</v>
      </c>
      <c r="D100" s="43"/>
      <c r="E100" s="43" t="s">
        <v>2252</v>
      </c>
      <c r="F100" s="44">
        <v>180249</v>
      </c>
      <c r="G100" s="43" t="s">
        <v>2280</v>
      </c>
      <c r="H100" s="45"/>
      <c r="I100" s="43" t="s">
        <v>2211</v>
      </c>
      <c r="J100" s="45" t="s">
        <v>2212</v>
      </c>
      <c r="K100" s="52">
        <v>27903.26</v>
      </c>
    </row>
    <row r="101" spans="2:11" x14ac:dyDescent="0.3">
      <c r="B101" s="43" t="s">
        <v>2115</v>
      </c>
      <c r="C101" s="43" t="s">
        <v>2116</v>
      </c>
      <c r="D101" s="43"/>
      <c r="E101" s="43" t="s">
        <v>2252</v>
      </c>
      <c r="F101" s="44">
        <v>180251</v>
      </c>
      <c r="G101" s="43" t="s">
        <v>2281</v>
      </c>
      <c r="H101" s="45"/>
      <c r="I101" s="43" t="s">
        <v>2211</v>
      </c>
      <c r="J101" s="45" t="s">
        <v>2212</v>
      </c>
      <c r="K101" s="52">
        <v>464584.3</v>
      </c>
    </row>
    <row r="102" spans="2:11" x14ac:dyDescent="0.3">
      <c r="B102" s="43" t="s">
        <v>2115</v>
      </c>
      <c r="C102" s="43" t="s">
        <v>2116</v>
      </c>
      <c r="D102" s="43"/>
      <c r="E102" s="43" t="s">
        <v>2252</v>
      </c>
      <c r="F102" s="44">
        <v>180253</v>
      </c>
      <c r="G102" s="43" t="s">
        <v>2282</v>
      </c>
      <c r="H102" s="45"/>
      <c r="I102" s="43" t="s">
        <v>2211</v>
      </c>
      <c r="J102" s="45" t="s">
        <v>2212</v>
      </c>
      <c r="K102" s="52">
        <v>88654.57</v>
      </c>
    </row>
    <row r="103" spans="2:11" x14ac:dyDescent="0.3">
      <c r="B103" s="43" t="s">
        <v>2115</v>
      </c>
      <c r="C103" s="43" t="s">
        <v>2116</v>
      </c>
      <c r="D103" s="43"/>
      <c r="E103" s="43" t="s">
        <v>2252</v>
      </c>
      <c r="F103" s="44">
        <v>180255</v>
      </c>
      <c r="G103" s="43" t="s">
        <v>2283</v>
      </c>
      <c r="H103" s="45"/>
      <c r="I103" s="43" t="s">
        <v>2254</v>
      </c>
      <c r="J103" s="45" t="s">
        <v>2257</v>
      </c>
      <c r="K103" s="52">
        <v>13823.53</v>
      </c>
    </row>
    <row r="104" spans="2:11" x14ac:dyDescent="0.3">
      <c r="B104" s="43" t="s">
        <v>2115</v>
      </c>
      <c r="C104" s="43" t="s">
        <v>2116</v>
      </c>
      <c r="D104" s="43"/>
      <c r="E104" s="43" t="s">
        <v>2284</v>
      </c>
      <c r="F104" s="44">
        <v>180257</v>
      </c>
      <c r="G104" s="43" t="s">
        <v>2285</v>
      </c>
      <c r="H104" s="45"/>
      <c r="I104" s="43" t="s">
        <v>2286</v>
      </c>
      <c r="J104" s="45" t="s">
        <v>2266</v>
      </c>
      <c r="K104" s="52">
        <v>268</v>
      </c>
    </row>
    <row r="105" spans="2:11" x14ac:dyDescent="0.3">
      <c r="B105" s="43" t="s">
        <v>2115</v>
      </c>
      <c r="C105" s="43" t="s">
        <v>2116</v>
      </c>
      <c r="D105" s="43"/>
      <c r="E105" s="43" t="s">
        <v>2284</v>
      </c>
      <c r="F105" s="44">
        <v>180259</v>
      </c>
      <c r="G105" s="43" t="s">
        <v>2287</v>
      </c>
      <c r="H105" s="45"/>
      <c r="I105" s="43" t="s">
        <v>2254</v>
      </c>
      <c r="J105" s="45" t="s">
        <v>2266</v>
      </c>
      <c r="K105" s="52">
        <v>-1628.5</v>
      </c>
    </row>
    <row r="106" spans="2:11" x14ac:dyDescent="0.3">
      <c r="B106" s="43" t="s">
        <v>2115</v>
      </c>
      <c r="C106" s="43" t="s">
        <v>2116</v>
      </c>
      <c r="D106" s="43"/>
      <c r="E106" s="43" t="s">
        <v>2284</v>
      </c>
      <c r="F106" s="44">
        <v>180261</v>
      </c>
      <c r="G106" s="43" t="s">
        <v>2288</v>
      </c>
      <c r="H106" s="45"/>
      <c r="I106" s="43" t="s">
        <v>2254</v>
      </c>
      <c r="J106" s="45" t="s">
        <v>2266</v>
      </c>
      <c r="K106" s="52">
        <v>1808.5</v>
      </c>
    </row>
    <row r="107" spans="2:11" x14ac:dyDescent="0.3">
      <c r="B107" s="43" t="s">
        <v>2115</v>
      </c>
      <c r="C107" s="43" t="s">
        <v>2116</v>
      </c>
      <c r="D107" s="43"/>
      <c r="E107" s="43" t="s">
        <v>2252</v>
      </c>
      <c r="F107" s="44">
        <v>180263</v>
      </c>
      <c r="G107" s="43" t="s">
        <v>2289</v>
      </c>
      <c r="H107" s="45"/>
      <c r="I107" s="43" t="s">
        <v>2254</v>
      </c>
      <c r="J107" s="45" t="s">
        <v>2257</v>
      </c>
      <c r="K107" s="52">
        <v>0</v>
      </c>
    </row>
    <row r="108" spans="2:11" x14ac:dyDescent="0.3">
      <c r="B108" s="43" t="s">
        <v>2115</v>
      </c>
      <c r="C108" s="43" t="s">
        <v>2116</v>
      </c>
      <c r="D108" s="43"/>
      <c r="E108" s="43" t="s">
        <v>2252</v>
      </c>
      <c r="F108" s="44">
        <v>180267</v>
      </c>
      <c r="G108" s="43" t="s">
        <v>2290</v>
      </c>
      <c r="H108" s="45"/>
      <c r="I108" s="43" t="s">
        <v>2254</v>
      </c>
      <c r="J108" s="45" t="s">
        <v>2257</v>
      </c>
      <c r="K108" s="52">
        <v>26202.67</v>
      </c>
    </row>
    <row r="109" spans="2:11" x14ac:dyDescent="0.3">
      <c r="B109" s="43" t="s">
        <v>2115</v>
      </c>
      <c r="C109" s="43" t="s">
        <v>2116</v>
      </c>
      <c r="D109" s="43"/>
      <c r="E109" s="43" t="s">
        <v>2252</v>
      </c>
      <c r="F109" s="44">
        <v>180283</v>
      </c>
      <c r="G109" s="43" t="s">
        <v>2291</v>
      </c>
      <c r="H109" s="45"/>
      <c r="I109" s="43" t="s">
        <v>2211</v>
      </c>
      <c r="J109" s="45" t="s">
        <v>2212</v>
      </c>
      <c r="K109" s="52">
        <v>869.98</v>
      </c>
    </row>
    <row r="110" spans="2:11" x14ac:dyDescent="0.3">
      <c r="B110" s="43" t="s">
        <v>2115</v>
      </c>
      <c r="C110" s="43" t="s">
        <v>2116</v>
      </c>
      <c r="D110" s="43"/>
      <c r="E110" s="43" t="s">
        <v>2292</v>
      </c>
      <c r="F110" s="44">
        <v>200203</v>
      </c>
      <c r="G110" s="43" t="s">
        <v>2293</v>
      </c>
      <c r="H110" s="45"/>
      <c r="I110" s="43" t="s">
        <v>2294</v>
      </c>
      <c r="J110" s="45" t="s">
        <v>2295</v>
      </c>
      <c r="K110" s="52">
        <v>-215492.01</v>
      </c>
    </row>
    <row r="111" spans="2:11" x14ac:dyDescent="0.3">
      <c r="B111" s="43" t="s">
        <v>2115</v>
      </c>
      <c r="C111" s="43" t="s">
        <v>2116</v>
      </c>
      <c r="D111" s="43"/>
      <c r="E111" s="43" t="s">
        <v>2296</v>
      </c>
      <c r="F111" s="44">
        <v>220201</v>
      </c>
      <c r="G111" s="43" t="s">
        <v>2297</v>
      </c>
      <c r="H111" s="45"/>
      <c r="I111" s="43" t="s">
        <v>2298</v>
      </c>
      <c r="J111" s="45" t="s">
        <v>2299</v>
      </c>
      <c r="K111" s="52">
        <v>-1799000</v>
      </c>
    </row>
    <row r="112" spans="2:11" x14ac:dyDescent="0.3">
      <c r="B112" s="43" t="s">
        <v>2115</v>
      </c>
      <c r="C112" s="43" t="s">
        <v>2116</v>
      </c>
      <c r="D112" s="43"/>
      <c r="E112" s="43" t="s">
        <v>2300</v>
      </c>
      <c r="F112" s="44">
        <v>220207</v>
      </c>
      <c r="G112" s="43" t="s">
        <v>2301</v>
      </c>
      <c r="H112" s="45"/>
      <c r="I112" s="43" t="s">
        <v>2302</v>
      </c>
      <c r="J112" s="45" t="s">
        <v>2303</v>
      </c>
      <c r="K112" s="52">
        <v>-340642.72</v>
      </c>
    </row>
    <row r="113" spans="2:11" x14ac:dyDescent="0.3">
      <c r="B113" s="43" t="s">
        <v>2115</v>
      </c>
      <c r="C113" s="43" t="s">
        <v>2116</v>
      </c>
      <c r="D113" s="43"/>
      <c r="E113" s="43" t="s">
        <v>2217</v>
      </c>
      <c r="F113" s="44">
        <v>220209</v>
      </c>
      <c r="G113" s="43" t="s">
        <v>2304</v>
      </c>
      <c r="H113" s="45"/>
      <c r="I113" s="43" t="s">
        <v>2211</v>
      </c>
      <c r="J113" s="45" t="s">
        <v>2212</v>
      </c>
      <c r="K113" s="52">
        <v>-2686001.17</v>
      </c>
    </row>
    <row r="114" spans="2:11" x14ac:dyDescent="0.3">
      <c r="B114" s="43" t="s">
        <v>2115</v>
      </c>
      <c r="C114" s="43" t="s">
        <v>2116</v>
      </c>
      <c r="D114" s="43"/>
      <c r="E114" s="43" t="s">
        <v>2217</v>
      </c>
      <c r="F114" s="44">
        <v>220213</v>
      </c>
      <c r="G114" s="43" t="s">
        <v>2305</v>
      </c>
      <c r="H114" s="45"/>
      <c r="I114" s="43" t="s">
        <v>2306</v>
      </c>
      <c r="J114" s="45" t="s">
        <v>2307</v>
      </c>
      <c r="K114" s="52">
        <v>6367.63</v>
      </c>
    </row>
    <row r="115" spans="2:11" x14ac:dyDescent="0.3">
      <c r="B115" s="43" t="s">
        <v>2115</v>
      </c>
      <c r="C115" s="43" t="s">
        <v>2116</v>
      </c>
      <c r="D115" s="43"/>
      <c r="E115" s="43" t="s">
        <v>2308</v>
      </c>
      <c r="F115" s="44">
        <v>220215</v>
      </c>
      <c r="G115" s="43" t="s">
        <v>2309</v>
      </c>
      <c r="H115" s="45"/>
      <c r="I115" s="43" t="s">
        <v>2309</v>
      </c>
      <c r="J115" s="45" t="s">
        <v>2310</v>
      </c>
      <c r="K115" s="52">
        <v>-193410191</v>
      </c>
    </row>
    <row r="116" spans="2:11" x14ac:dyDescent="0.3">
      <c r="B116" s="43" t="s">
        <v>2115</v>
      </c>
      <c r="C116" s="43" t="s">
        <v>2116</v>
      </c>
      <c r="D116" s="43"/>
      <c r="E116" s="43" t="s">
        <v>2311</v>
      </c>
      <c r="F116" s="44">
        <v>220217</v>
      </c>
      <c r="G116" s="43" t="s">
        <v>2312</v>
      </c>
      <c r="H116" s="45"/>
      <c r="I116" s="43" t="s">
        <v>2313</v>
      </c>
      <c r="J116" s="45" t="s">
        <v>2314</v>
      </c>
      <c r="K116" s="52">
        <v>-3547477.14</v>
      </c>
    </row>
    <row r="117" spans="2:11" x14ac:dyDescent="0.3">
      <c r="B117" s="43" t="s">
        <v>2115</v>
      </c>
      <c r="C117" s="43" t="s">
        <v>2116</v>
      </c>
      <c r="D117" s="43"/>
      <c r="E117" s="43" t="s">
        <v>2311</v>
      </c>
      <c r="F117" s="44">
        <v>220219</v>
      </c>
      <c r="G117" s="43" t="s">
        <v>2315</v>
      </c>
      <c r="H117" s="45"/>
      <c r="I117" s="43" t="s">
        <v>2211</v>
      </c>
      <c r="J117" s="45" t="s">
        <v>2212</v>
      </c>
      <c r="K117" s="52">
        <v>1405</v>
      </c>
    </row>
    <row r="118" spans="2:11" x14ac:dyDescent="0.3">
      <c r="B118" s="43" t="s">
        <v>2115</v>
      </c>
      <c r="C118" s="43" t="s">
        <v>2116</v>
      </c>
      <c r="D118" s="43"/>
      <c r="E118" s="43" t="s">
        <v>2311</v>
      </c>
      <c r="F118" s="44">
        <v>220221</v>
      </c>
      <c r="G118" s="43" t="s">
        <v>2316</v>
      </c>
      <c r="H118" s="45"/>
      <c r="I118" s="43" t="s">
        <v>2306</v>
      </c>
      <c r="J118" s="45" t="s">
        <v>2317</v>
      </c>
      <c r="K118" s="52">
        <v>-1</v>
      </c>
    </row>
    <row r="119" spans="2:11" x14ac:dyDescent="0.3">
      <c r="B119" s="43" t="s">
        <v>2115</v>
      </c>
      <c r="C119" s="43" t="s">
        <v>2116</v>
      </c>
      <c r="D119" s="43"/>
      <c r="E119" s="43" t="s">
        <v>2217</v>
      </c>
      <c r="F119" s="44">
        <v>220225</v>
      </c>
      <c r="G119" s="43" t="s">
        <v>2318</v>
      </c>
      <c r="H119" s="45"/>
      <c r="I119" s="43" t="s">
        <v>2306</v>
      </c>
      <c r="J119" s="45" t="s">
        <v>2310</v>
      </c>
      <c r="K119" s="52">
        <v>-19537123.109999999</v>
      </c>
    </row>
    <row r="120" spans="2:11" x14ac:dyDescent="0.3">
      <c r="B120" s="43" t="s">
        <v>2115</v>
      </c>
      <c r="C120" s="43" t="s">
        <v>2116</v>
      </c>
      <c r="D120" s="43"/>
      <c r="E120" s="43" t="s">
        <v>2217</v>
      </c>
      <c r="F120" s="44">
        <v>220227</v>
      </c>
      <c r="G120" s="43" t="s">
        <v>2319</v>
      </c>
      <c r="H120" s="45"/>
      <c r="I120" s="43" t="s">
        <v>2306</v>
      </c>
      <c r="J120" s="45" t="s">
        <v>2310</v>
      </c>
      <c r="K120" s="52">
        <v>-747631</v>
      </c>
    </row>
    <row r="121" spans="2:11" x14ac:dyDescent="0.3">
      <c r="B121" s="43" t="s">
        <v>2115</v>
      </c>
      <c r="C121" s="43" t="s">
        <v>2116</v>
      </c>
      <c r="D121" s="43"/>
      <c r="E121" s="43" t="s">
        <v>2320</v>
      </c>
      <c r="F121" s="44">
        <v>240201</v>
      </c>
      <c r="G121" s="43" t="s">
        <v>2321</v>
      </c>
      <c r="H121" s="45"/>
      <c r="I121" s="43" t="s">
        <v>2322</v>
      </c>
      <c r="J121" s="45" t="s">
        <v>2323</v>
      </c>
      <c r="K121" s="52">
        <v>-524</v>
      </c>
    </row>
    <row r="122" spans="2:11" x14ac:dyDescent="0.3">
      <c r="B122" s="43" t="s">
        <v>2115</v>
      </c>
      <c r="C122" s="43" t="s">
        <v>2116</v>
      </c>
      <c r="D122" s="43"/>
      <c r="E122" s="43" t="s">
        <v>2324</v>
      </c>
      <c r="F122" s="44">
        <v>240219</v>
      </c>
      <c r="G122" s="43" t="s">
        <v>2325</v>
      </c>
      <c r="H122" s="45"/>
      <c r="I122" s="43" t="s">
        <v>2322</v>
      </c>
      <c r="J122" s="45" t="s">
        <v>2326</v>
      </c>
      <c r="K122" s="52">
        <v>-6880019.8399999999</v>
      </c>
    </row>
    <row r="123" spans="2:11" x14ac:dyDescent="0.3">
      <c r="B123" s="43" t="s">
        <v>2115</v>
      </c>
      <c r="C123" s="43" t="s">
        <v>2116</v>
      </c>
      <c r="D123" s="43"/>
      <c r="E123" s="43" t="s">
        <v>2327</v>
      </c>
      <c r="F123" s="44">
        <v>240221</v>
      </c>
      <c r="G123" s="43" t="s">
        <v>2328</v>
      </c>
      <c r="H123" s="45"/>
      <c r="I123" s="43" t="s">
        <v>2322</v>
      </c>
      <c r="J123" s="45" t="s">
        <v>2323</v>
      </c>
      <c r="K123" s="52">
        <v>0</v>
      </c>
    </row>
    <row r="124" spans="2:11" x14ac:dyDescent="0.3">
      <c r="B124" s="43" t="s">
        <v>2115</v>
      </c>
      <c r="C124" s="43" t="s">
        <v>2116</v>
      </c>
      <c r="D124" s="43"/>
      <c r="E124" s="43" t="s">
        <v>2320</v>
      </c>
      <c r="F124" s="44">
        <v>240223</v>
      </c>
      <c r="G124" s="43" t="s">
        <v>2329</v>
      </c>
      <c r="H124" s="45"/>
      <c r="I124" s="43" t="s">
        <v>2322</v>
      </c>
      <c r="J124" s="45" t="s">
        <v>2323</v>
      </c>
      <c r="K124" s="52">
        <v>-689613.15</v>
      </c>
    </row>
    <row r="125" spans="2:11" x14ac:dyDescent="0.3">
      <c r="B125" s="43" t="s">
        <v>2115</v>
      </c>
      <c r="C125" s="43" t="s">
        <v>2116</v>
      </c>
      <c r="D125" s="43"/>
      <c r="E125" s="43" t="s">
        <v>2320</v>
      </c>
      <c r="F125" s="44">
        <v>240225</v>
      </c>
      <c r="G125" s="43" t="s">
        <v>2330</v>
      </c>
      <c r="H125" s="45"/>
      <c r="I125" s="43" t="s">
        <v>2322</v>
      </c>
      <c r="J125" s="45" t="s">
        <v>2331</v>
      </c>
      <c r="K125" s="52">
        <v>-8390.2999999999993</v>
      </c>
    </row>
    <row r="126" spans="2:11" x14ac:dyDescent="0.3">
      <c r="B126" s="43" t="s">
        <v>2115</v>
      </c>
      <c r="C126" s="43" t="s">
        <v>2116</v>
      </c>
      <c r="D126" s="43"/>
      <c r="E126" s="43" t="s">
        <v>2327</v>
      </c>
      <c r="F126" s="44">
        <v>260201</v>
      </c>
      <c r="G126" s="43" t="s">
        <v>2332</v>
      </c>
      <c r="H126" s="45"/>
      <c r="I126" s="43" t="s">
        <v>2333</v>
      </c>
      <c r="J126" s="45" t="s">
        <v>2334</v>
      </c>
      <c r="K126" s="52">
        <v>-1008770</v>
      </c>
    </row>
    <row r="127" spans="2:11" x14ac:dyDescent="0.3">
      <c r="B127" s="43" t="s">
        <v>2115</v>
      </c>
      <c r="C127" s="43" t="s">
        <v>2116</v>
      </c>
      <c r="D127" s="43"/>
      <c r="E127" s="43" t="s">
        <v>2284</v>
      </c>
      <c r="F127" s="44">
        <v>280211</v>
      </c>
      <c r="G127" s="43" t="s">
        <v>2335</v>
      </c>
      <c r="H127" s="45"/>
      <c r="I127" s="43" t="s">
        <v>2286</v>
      </c>
      <c r="J127" s="45" t="s">
        <v>2266</v>
      </c>
      <c r="K127" s="52">
        <v>0</v>
      </c>
    </row>
    <row r="128" spans="2:11" x14ac:dyDescent="0.3">
      <c r="B128" s="43" t="s">
        <v>2115</v>
      </c>
      <c r="C128" s="43" t="s">
        <v>2116</v>
      </c>
      <c r="D128" s="43"/>
      <c r="E128" s="43" t="s">
        <v>2284</v>
      </c>
      <c r="F128" s="44">
        <v>280221</v>
      </c>
      <c r="G128" s="43" t="s">
        <v>2336</v>
      </c>
      <c r="H128" s="45"/>
      <c r="I128" s="43" t="s">
        <v>2286</v>
      </c>
      <c r="J128" s="45" t="s">
        <v>2266</v>
      </c>
      <c r="K128" s="52">
        <v>327623.67999999999</v>
      </c>
    </row>
    <row r="129" spans="2:11" x14ac:dyDescent="0.3">
      <c r="B129" s="43" t="s">
        <v>2115</v>
      </c>
      <c r="C129" s="43" t="s">
        <v>2116</v>
      </c>
      <c r="D129" s="43"/>
      <c r="E129" s="43" t="s">
        <v>2284</v>
      </c>
      <c r="F129" s="44">
        <v>280225</v>
      </c>
      <c r="G129" s="43" t="s">
        <v>2337</v>
      </c>
      <c r="H129" s="45"/>
      <c r="I129" s="43" t="s">
        <v>2286</v>
      </c>
      <c r="J129" s="45" t="s">
        <v>2266</v>
      </c>
      <c r="K129" s="52">
        <v>0</v>
      </c>
    </row>
    <row r="130" spans="2:11" x14ac:dyDescent="0.3">
      <c r="B130" s="43" t="s">
        <v>2115</v>
      </c>
      <c r="C130" s="43" t="s">
        <v>2116</v>
      </c>
      <c r="D130" s="43"/>
      <c r="E130" s="43" t="s">
        <v>2284</v>
      </c>
      <c r="F130" s="44">
        <v>280227</v>
      </c>
      <c r="G130" s="43" t="s">
        <v>2338</v>
      </c>
      <c r="H130" s="45"/>
      <c r="I130" s="43" t="s">
        <v>2286</v>
      </c>
      <c r="J130" s="45" t="s">
        <v>2266</v>
      </c>
      <c r="K130" s="52">
        <v>0</v>
      </c>
    </row>
    <row r="131" spans="2:11" x14ac:dyDescent="0.3">
      <c r="B131" s="43" t="s">
        <v>2115</v>
      </c>
      <c r="C131" s="43" t="s">
        <v>2116</v>
      </c>
      <c r="D131" s="43"/>
      <c r="E131" s="43" t="s">
        <v>2284</v>
      </c>
      <c r="F131" s="44">
        <v>280229</v>
      </c>
      <c r="G131" s="43" t="s">
        <v>2339</v>
      </c>
      <c r="H131" s="45"/>
      <c r="I131" s="43" t="s">
        <v>2286</v>
      </c>
      <c r="J131" s="45" t="s">
        <v>2266</v>
      </c>
      <c r="K131" s="52">
        <v>0</v>
      </c>
    </row>
    <row r="132" spans="2:11" x14ac:dyDescent="0.3">
      <c r="B132" s="43" t="s">
        <v>2115</v>
      </c>
      <c r="C132" s="43" t="s">
        <v>2116</v>
      </c>
      <c r="D132" s="43"/>
      <c r="E132" s="43" t="s">
        <v>2284</v>
      </c>
      <c r="F132" s="44">
        <v>280231</v>
      </c>
      <c r="G132" s="43" t="s">
        <v>2340</v>
      </c>
      <c r="H132" s="45"/>
      <c r="I132" s="43" t="s">
        <v>2286</v>
      </c>
      <c r="J132" s="45" t="s">
        <v>2266</v>
      </c>
      <c r="K132" s="52">
        <v>0</v>
      </c>
    </row>
    <row r="133" spans="2:11" x14ac:dyDescent="0.3">
      <c r="B133" s="43" t="s">
        <v>2115</v>
      </c>
      <c r="C133" s="43" t="s">
        <v>2116</v>
      </c>
      <c r="D133" s="43"/>
      <c r="E133" s="43" t="s">
        <v>2284</v>
      </c>
      <c r="F133" s="44">
        <v>280233</v>
      </c>
      <c r="G133" s="43" t="s">
        <v>2341</v>
      </c>
      <c r="H133" s="45"/>
      <c r="I133" s="43" t="s">
        <v>2286</v>
      </c>
      <c r="J133" s="45" t="s">
        <v>2266</v>
      </c>
      <c r="K133" s="52">
        <v>0</v>
      </c>
    </row>
    <row r="134" spans="2:11" x14ac:dyDescent="0.3">
      <c r="B134" s="43" t="s">
        <v>2115</v>
      </c>
      <c r="C134" s="43" t="s">
        <v>2116</v>
      </c>
      <c r="D134" s="43"/>
      <c r="E134" s="43" t="s">
        <v>2284</v>
      </c>
      <c r="F134" s="44">
        <v>280235</v>
      </c>
      <c r="G134" s="43" t="s">
        <v>2342</v>
      </c>
      <c r="H134" s="45"/>
      <c r="I134" s="43" t="s">
        <v>2286</v>
      </c>
      <c r="J134" s="45" t="s">
        <v>2266</v>
      </c>
      <c r="K134" s="52">
        <v>0</v>
      </c>
    </row>
    <row r="135" spans="2:11" x14ac:dyDescent="0.3">
      <c r="B135" s="43" t="s">
        <v>2115</v>
      </c>
      <c r="C135" s="43" t="s">
        <v>2116</v>
      </c>
      <c r="D135" s="43"/>
      <c r="E135" s="43" t="s">
        <v>2284</v>
      </c>
      <c r="F135" s="44">
        <v>280237</v>
      </c>
      <c r="G135" s="43" t="s">
        <v>2343</v>
      </c>
      <c r="H135" s="45"/>
      <c r="I135" s="43" t="s">
        <v>2286</v>
      </c>
      <c r="J135" s="45" t="s">
        <v>2266</v>
      </c>
      <c r="K135" s="52">
        <v>0</v>
      </c>
    </row>
    <row r="136" spans="2:11" x14ac:dyDescent="0.3">
      <c r="B136" s="43" t="s">
        <v>2115</v>
      </c>
      <c r="C136" s="43" t="s">
        <v>2116</v>
      </c>
      <c r="D136" s="43"/>
      <c r="E136" s="43" t="s">
        <v>2284</v>
      </c>
      <c r="F136" s="44">
        <v>280239</v>
      </c>
      <c r="G136" s="43" t="s">
        <v>2344</v>
      </c>
      <c r="H136" s="45"/>
      <c r="I136" s="43" t="s">
        <v>2286</v>
      </c>
      <c r="J136" s="45" t="s">
        <v>2266</v>
      </c>
      <c r="K136" s="52">
        <v>0</v>
      </c>
    </row>
    <row r="137" spans="2:11" x14ac:dyDescent="0.3">
      <c r="B137" s="43" t="s">
        <v>2115</v>
      </c>
      <c r="C137" s="43" t="s">
        <v>2116</v>
      </c>
      <c r="D137" s="43"/>
      <c r="E137" s="43" t="s">
        <v>2284</v>
      </c>
      <c r="F137" s="44">
        <v>280241</v>
      </c>
      <c r="G137" s="43" t="s">
        <v>2345</v>
      </c>
      <c r="H137" s="45"/>
      <c r="I137" s="43" t="s">
        <v>2286</v>
      </c>
      <c r="J137" s="45" t="s">
        <v>2266</v>
      </c>
      <c r="K137" s="52">
        <v>0</v>
      </c>
    </row>
    <row r="138" spans="2:11" x14ac:dyDescent="0.3">
      <c r="B138" s="43" t="s">
        <v>2115</v>
      </c>
      <c r="C138" s="43" t="s">
        <v>2116</v>
      </c>
      <c r="D138" s="43"/>
      <c r="E138" s="43" t="s">
        <v>2284</v>
      </c>
      <c r="F138" s="44">
        <v>280243</v>
      </c>
      <c r="G138" s="43" t="s">
        <v>2346</v>
      </c>
      <c r="H138" s="45"/>
      <c r="I138" s="43" t="s">
        <v>2286</v>
      </c>
      <c r="J138" s="45" t="s">
        <v>2266</v>
      </c>
      <c r="K138" s="52">
        <v>0</v>
      </c>
    </row>
    <row r="139" spans="2:11" x14ac:dyDescent="0.3">
      <c r="B139" s="43" t="s">
        <v>2115</v>
      </c>
      <c r="C139" s="43" t="s">
        <v>2116</v>
      </c>
      <c r="D139" s="43"/>
      <c r="E139" s="43" t="s">
        <v>2284</v>
      </c>
      <c r="F139" s="44">
        <v>280245</v>
      </c>
      <c r="G139" s="43" t="s">
        <v>2347</v>
      </c>
      <c r="H139" s="45"/>
      <c r="I139" s="43" t="s">
        <v>2286</v>
      </c>
      <c r="J139" s="45" t="s">
        <v>2266</v>
      </c>
      <c r="K139" s="52">
        <v>0</v>
      </c>
    </row>
    <row r="140" spans="2:11" x14ac:dyDescent="0.3">
      <c r="B140" s="43" t="s">
        <v>2115</v>
      </c>
      <c r="C140" s="43" t="s">
        <v>2116</v>
      </c>
      <c r="D140" s="43"/>
      <c r="E140" s="43" t="s">
        <v>2284</v>
      </c>
      <c r="F140" s="44">
        <v>280247</v>
      </c>
      <c r="G140" s="43" t="s">
        <v>2348</v>
      </c>
      <c r="H140" s="45"/>
      <c r="I140" s="43" t="s">
        <v>2286</v>
      </c>
      <c r="J140" s="45" t="s">
        <v>2266</v>
      </c>
      <c r="K140" s="52">
        <v>0</v>
      </c>
    </row>
    <row r="141" spans="2:11" x14ac:dyDescent="0.3">
      <c r="B141" s="43" t="s">
        <v>2115</v>
      </c>
      <c r="C141" s="43" t="s">
        <v>2116</v>
      </c>
      <c r="D141" s="43"/>
      <c r="E141" s="43" t="s">
        <v>2284</v>
      </c>
      <c r="F141" s="44">
        <v>280249</v>
      </c>
      <c r="G141" s="43" t="s">
        <v>2349</v>
      </c>
      <c r="H141" s="45"/>
      <c r="I141" s="43" t="s">
        <v>2286</v>
      </c>
      <c r="J141" s="45" t="s">
        <v>2266</v>
      </c>
      <c r="K141" s="52">
        <v>0</v>
      </c>
    </row>
    <row r="142" spans="2:11" x14ac:dyDescent="0.3">
      <c r="B142" s="43" t="s">
        <v>2115</v>
      </c>
      <c r="C142" s="43" t="s">
        <v>2116</v>
      </c>
      <c r="D142" s="43"/>
      <c r="E142" s="43" t="s">
        <v>2284</v>
      </c>
      <c r="F142" s="44">
        <v>280251</v>
      </c>
      <c r="G142" s="43" t="s">
        <v>2350</v>
      </c>
      <c r="H142" s="45"/>
      <c r="I142" s="43" t="s">
        <v>2286</v>
      </c>
      <c r="J142" s="45" t="s">
        <v>2266</v>
      </c>
      <c r="K142" s="52">
        <v>0</v>
      </c>
    </row>
    <row r="143" spans="2:11" x14ac:dyDescent="0.3">
      <c r="B143" s="43" t="s">
        <v>2115</v>
      </c>
      <c r="C143" s="43" t="s">
        <v>2116</v>
      </c>
      <c r="D143" s="43"/>
      <c r="E143" s="43" t="s">
        <v>2284</v>
      </c>
      <c r="F143" s="44">
        <v>280253</v>
      </c>
      <c r="G143" s="43" t="s">
        <v>2351</v>
      </c>
      <c r="H143" s="45"/>
      <c r="I143" s="43" t="s">
        <v>2286</v>
      </c>
      <c r="J143" s="45" t="s">
        <v>2266</v>
      </c>
      <c r="K143" s="52">
        <v>0</v>
      </c>
    </row>
    <row r="144" spans="2:11" x14ac:dyDescent="0.3">
      <c r="B144" s="43" t="s">
        <v>2115</v>
      </c>
      <c r="C144" s="43" t="s">
        <v>2116</v>
      </c>
      <c r="D144" s="43"/>
      <c r="E144" s="43" t="s">
        <v>2284</v>
      </c>
      <c r="F144" s="44">
        <v>280255</v>
      </c>
      <c r="G144" s="43" t="s">
        <v>2352</v>
      </c>
      <c r="H144" s="45"/>
      <c r="I144" s="43" t="s">
        <v>2286</v>
      </c>
      <c r="J144" s="45" t="s">
        <v>2266</v>
      </c>
      <c r="K144" s="52">
        <v>0</v>
      </c>
    </row>
    <row r="145" spans="2:11" x14ac:dyDescent="0.3">
      <c r="B145" s="43" t="s">
        <v>2115</v>
      </c>
      <c r="C145" s="43" t="s">
        <v>2116</v>
      </c>
      <c r="D145" s="43"/>
      <c r="E145" s="43" t="s">
        <v>2284</v>
      </c>
      <c r="F145" s="44">
        <v>280257</v>
      </c>
      <c r="G145" s="43" t="s">
        <v>2353</v>
      </c>
      <c r="H145" s="45"/>
      <c r="I145" s="43" t="s">
        <v>2286</v>
      </c>
      <c r="J145" s="45" t="s">
        <v>2266</v>
      </c>
      <c r="K145" s="52">
        <v>0</v>
      </c>
    </row>
    <row r="146" spans="2:11" x14ac:dyDescent="0.3">
      <c r="B146" s="43" t="s">
        <v>2115</v>
      </c>
      <c r="C146" s="43" t="s">
        <v>2116</v>
      </c>
      <c r="D146" s="43"/>
      <c r="E146" s="43" t="s">
        <v>2284</v>
      </c>
      <c r="F146" s="44">
        <v>280259</v>
      </c>
      <c r="G146" s="43" t="s">
        <v>2354</v>
      </c>
      <c r="H146" s="45"/>
      <c r="I146" s="43" t="s">
        <v>2286</v>
      </c>
      <c r="J146" s="45" t="s">
        <v>2266</v>
      </c>
      <c r="K146" s="52">
        <v>0</v>
      </c>
    </row>
    <row r="147" spans="2:11" x14ac:dyDescent="0.3">
      <c r="B147" s="43" t="s">
        <v>2115</v>
      </c>
      <c r="C147" s="43" t="s">
        <v>2116</v>
      </c>
      <c r="D147" s="43"/>
      <c r="E147" s="43" t="s">
        <v>2284</v>
      </c>
      <c r="F147" s="44">
        <v>280261</v>
      </c>
      <c r="G147" s="43" t="s">
        <v>2355</v>
      </c>
      <c r="H147" s="45"/>
      <c r="I147" s="43" t="s">
        <v>2286</v>
      </c>
      <c r="J147" s="45" t="s">
        <v>2266</v>
      </c>
      <c r="K147" s="52">
        <v>0</v>
      </c>
    </row>
    <row r="148" spans="2:11" x14ac:dyDescent="0.3">
      <c r="B148" s="43" t="s">
        <v>2115</v>
      </c>
      <c r="C148" s="43" t="s">
        <v>2116</v>
      </c>
      <c r="D148" s="43"/>
      <c r="E148" s="43" t="s">
        <v>2284</v>
      </c>
      <c r="F148" s="44">
        <v>280265</v>
      </c>
      <c r="G148" s="43" t="s">
        <v>2356</v>
      </c>
      <c r="H148" s="45"/>
      <c r="I148" s="43" t="s">
        <v>2286</v>
      </c>
      <c r="J148" s="45" t="s">
        <v>2266</v>
      </c>
      <c r="K148" s="52">
        <v>0</v>
      </c>
    </row>
    <row r="149" spans="2:11" x14ac:dyDescent="0.3">
      <c r="B149" s="43" t="s">
        <v>2115</v>
      </c>
      <c r="C149" s="43" t="s">
        <v>2116</v>
      </c>
      <c r="D149" s="43"/>
      <c r="E149" s="43" t="s">
        <v>2284</v>
      </c>
      <c r="F149" s="44">
        <v>280401</v>
      </c>
      <c r="G149" s="43" t="s">
        <v>2357</v>
      </c>
      <c r="H149" s="45"/>
      <c r="I149" s="43" t="s">
        <v>2358</v>
      </c>
      <c r="J149" s="45" t="s">
        <v>2359</v>
      </c>
      <c r="K149" s="52">
        <v>0</v>
      </c>
    </row>
    <row r="150" spans="2:11" x14ac:dyDescent="0.3">
      <c r="B150" s="43" t="s">
        <v>2115</v>
      </c>
      <c r="C150" s="43" t="s">
        <v>2116</v>
      </c>
      <c r="D150" s="43"/>
      <c r="E150" s="43" t="s">
        <v>2360</v>
      </c>
      <c r="F150" s="44">
        <v>280403</v>
      </c>
      <c r="G150" s="43" t="s">
        <v>2358</v>
      </c>
      <c r="H150" s="45"/>
      <c r="I150" s="43" t="s">
        <v>2358</v>
      </c>
      <c r="J150" s="45" t="s">
        <v>2359</v>
      </c>
      <c r="K150" s="52">
        <v>-263994.92</v>
      </c>
    </row>
    <row r="151" spans="2:11" x14ac:dyDescent="0.3">
      <c r="B151" s="43" t="s">
        <v>2115</v>
      </c>
      <c r="C151" s="43" t="s">
        <v>2116</v>
      </c>
      <c r="D151" s="43"/>
      <c r="E151" s="43" t="s">
        <v>2240</v>
      </c>
      <c r="F151" s="44">
        <v>300203</v>
      </c>
      <c r="G151" s="43" t="s">
        <v>2361</v>
      </c>
      <c r="H151" s="45"/>
      <c r="I151" s="43" t="s">
        <v>2362</v>
      </c>
      <c r="J151" s="45" t="s">
        <v>2243</v>
      </c>
      <c r="K151" s="52">
        <v>937.47</v>
      </c>
    </row>
    <row r="152" spans="2:11" x14ac:dyDescent="0.3">
      <c r="B152" s="43" t="s">
        <v>2115</v>
      </c>
      <c r="C152" s="43" t="s">
        <v>2116</v>
      </c>
      <c r="D152" s="43"/>
      <c r="E152" s="43" t="s">
        <v>2240</v>
      </c>
      <c r="F152" s="44">
        <v>300205</v>
      </c>
      <c r="G152" s="43" t="s">
        <v>2363</v>
      </c>
      <c r="H152" s="45"/>
      <c r="I152" s="43" t="s">
        <v>2362</v>
      </c>
      <c r="J152" s="45" t="s">
        <v>2243</v>
      </c>
      <c r="K152" s="52">
        <v>-11388559.49</v>
      </c>
    </row>
    <row r="153" spans="2:11" x14ac:dyDescent="0.3">
      <c r="B153" s="43" t="s">
        <v>2115</v>
      </c>
      <c r="C153" s="43" t="s">
        <v>2116</v>
      </c>
      <c r="D153" s="43"/>
      <c r="E153" s="43" t="s">
        <v>2240</v>
      </c>
      <c r="F153" s="44">
        <v>300207</v>
      </c>
      <c r="G153" s="43" t="s">
        <v>2364</v>
      </c>
      <c r="H153" s="45"/>
      <c r="I153" s="43" t="s">
        <v>2362</v>
      </c>
      <c r="J153" s="45" t="s">
        <v>2243</v>
      </c>
      <c r="K153" s="52">
        <v>-125938.44</v>
      </c>
    </row>
    <row r="154" spans="2:11" x14ac:dyDescent="0.3">
      <c r="B154" s="43" t="s">
        <v>2115</v>
      </c>
      <c r="C154" s="43" t="s">
        <v>2116</v>
      </c>
      <c r="D154" s="43"/>
      <c r="E154" s="43" t="s">
        <v>2360</v>
      </c>
      <c r="F154" s="44">
        <v>320201</v>
      </c>
      <c r="G154" s="43" t="s">
        <v>2365</v>
      </c>
      <c r="H154" s="45"/>
      <c r="I154" s="43" t="s">
        <v>2366</v>
      </c>
      <c r="J154" s="45" t="s">
        <v>2367</v>
      </c>
      <c r="K154" s="52">
        <v>0</v>
      </c>
    </row>
    <row r="155" spans="2:11" x14ac:dyDescent="0.3">
      <c r="B155" s="43" t="s">
        <v>2115</v>
      </c>
      <c r="C155" s="43" t="s">
        <v>2116</v>
      </c>
      <c r="D155" s="43"/>
      <c r="E155" s="43" t="s">
        <v>2292</v>
      </c>
      <c r="F155" s="44">
        <v>320203</v>
      </c>
      <c r="G155" s="43" t="s">
        <v>2368</v>
      </c>
      <c r="H155" s="45"/>
      <c r="I155" s="43" t="s">
        <v>2366</v>
      </c>
      <c r="J155" s="45" t="s">
        <v>2367</v>
      </c>
      <c r="K155" s="52">
        <v>-52.5</v>
      </c>
    </row>
    <row r="156" spans="2:11" x14ac:dyDescent="0.3">
      <c r="B156" s="43" t="s">
        <v>2115</v>
      </c>
      <c r="C156" s="43" t="s">
        <v>2116</v>
      </c>
      <c r="D156" s="43"/>
      <c r="E156" s="43" t="s">
        <v>2292</v>
      </c>
      <c r="F156" s="44">
        <v>320209</v>
      </c>
      <c r="G156" s="43" t="s">
        <v>2369</v>
      </c>
      <c r="H156" s="45"/>
      <c r="I156" s="43" t="s">
        <v>2366</v>
      </c>
      <c r="J156" s="45" t="s">
        <v>2367</v>
      </c>
      <c r="K156" s="52">
        <v>-8403086.1899999995</v>
      </c>
    </row>
    <row r="157" spans="2:11" x14ac:dyDescent="0.3">
      <c r="B157" s="43" t="s">
        <v>2115</v>
      </c>
      <c r="C157" s="43" t="s">
        <v>2116</v>
      </c>
      <c r="D157" s="43"/>
      <c r="E157" s="43" t="s">
        <v>2370</v>
      </c>
      <c r="F157" s="44">
        <v>320401</v>
      </c>
      <c r="G157" s="43" t="s">
        <v>2371</v>
      </c>
      <c r="H157" s="45"/>
      <c r="I157" s="43" t="s">
        <v>2245</v>
      </c>
      <c r="J157" s="45" t="s">
        <v>2246</v>
      </c>
      <c r="K157" s="52">
        <v>-4441.3599999999997</v>
      </c>
    </row>
    <row r="158" spans="2:11" x14ac:dyDescent="0.3">
      <c r="B158" s="43" t="s">
        <v>2115</v>
      </c>
      <c r="C158" s="43" t="s">
        <v>2116</v>
      </c>
      <c r="D158" s="43"/>
      <c r="E158" s="43" t="s">
        <v>2370</v>
      </c>
      <c r="F158" s="44">
        <v>320403</v>
      </c>
      <c r="G158" s="43" t="s">
        <v>2372</v>
      </c>
      <c r="H158" s="45"/>
      <c r="I158" s="43" t="s">
        <v>2373</v>
      </c>
      <c r="J158" s="45" t="s">
        <v>2374</v>
      </c>
      <c r="K158" s="52">
        <v>-1234773.32</v>
      </c>
    </row>
    <row r="159" spans="2:11" x14ac:dyDescent="0.3">
      <c r="B159" s="43" t="s">
        <v>2115</v>
      </c>
      <c r="C159" s="43" t="s">
        <v>2116</v>
      </c>
      <c r="D159" s="43"/>
      <c r="E159" s="43" t="s">
        <v>2231</v>
      </c>
      <c r="F159" s="44">
        <v>320405</v>
      </c>
      <c r="G159" s="43" t="s">
        <v>2375</v>
      </c>
      <c r="H159" s="45"/>
      <c r="I159" s="43" t="s">
        <v>2245</v>
      </c>
      <c r="J159" s="45" t="s">
        <v>2246</v>
      </c>
      <c r="K159" s="52">
        <v>-240763.92</v>
      </c>
    </row>
    <row r="160" spans="2:11" x14ac:dyDescent="0.3">
      <c r="B160" s="43" t="s">
        <v>2115</v>
      </c>
      <c r="C160" s="43" t="s">
        <v>2116</v>
      </c>
      <c r="D160" s="43"/>
      <c r="E160" s="43" t="s">
        <v>2231</v>
      </c>
      <c r="F160" s="44">
        <v>320409</v>
      </c>
      <c r="G160" s="43" t="s">
        <v>2376</v>
      </c>
      <c r="H160" s="45"/>
      <c r="I160" s="43" t="s">
        <v>2245</v>
      </c>
      <c r="J160" s="45" t="s">
        <v>2246</v>
      </c>
      <c r="K160" s="52">
        <v>295139.45999999996</v>
      </c>
    </row>
    <row r="161" spans="2:11" x14ac:dyDescent="0.3">
      <c r="B161" s="43" t="s">
        <v>2115</v>
      </c>
      <c r="C161" s="43" t="s">
        <v>2116</v>
      </c>
      <c r="D161" s="43"/>
      <c r="E161" s="43" t="s">
        <v>2370</v>
      </c>
      <c r="F161" s="44">
        <v>320411</v>
      </c>
      <c r="G161" s="43" t="s">
        <v>2377</v>
      </c>
      <c r="H161" s="45"/>
      <c r="I161" s="43" t="s">
        <v>2211</v>
      </c>
      <c r="J161" s="45" t="s">
        <v>2212</v>
      </c>
      <c r="K161" s="52">
        <v>1777219.46</v>
      </c>
    </row>
    <row r="162" spans="2:11" x14ac:dyDescent="0.3">
      <c r="B162" s="43" t="s">
        <v>2115</v>
      </c>
      <c r="C162" s="43" t="s">
        <v>2116</v>
      </c>
      <c r="D162" s="43"/>
      <c r="E162" s="43" t="s">
        <v>2370</v>
      </c>
      <c r="F162" s="44">
        <v>320413</v>
      </c>
      <c r="G162" s="43" t="s">
        <v>2378</v>
      </c>
      <c r="H162" s="45"/>
      <c r="I162" s="43" t="s">
        <v>2245</v>
      </c>
      <c r="J162" s="45" t="s">
        <v>2246</v>
      </c>
      <c r="K162" s="52">
        <v>-543337.47</v>
      </c>
    </row>
    <row r="163" spans="2:11" x14ac:dyDescent="0.3">
      <c r="B163" s="43" t="s">
        <v>2115</v>
      </c>
      <c r="C163" s="43" t="s">
        <v>2116</v>
      </c>
      <c r="D163" s="43"/>
      <c r="E163" s="43" t="s">
        <v>2370</v>
      </c>
      <c r="F163" s="44">
        <v>320601</v>
      </c>
      <c r="G163" s="43" t="s">
        <v>2379</v>
      </c>
      <c r="H163" s="45"/>
      <c r="I163" s="43" t="s">
        <v>2380</v>
      </c>
      <c r="J163" s="45" t="s">
        <v>2374</v>
      </c>
      <c r="K163" s="52">
        <v>-28066.18</v>
      </c>
    </row>
    <row r="164" spans="2:11" x14ac:dyDescent="0.3">
      <c r="B164" s="43" t="s">
        <v>2115</v>
      </c>
      <c r="C164" s="43" t="s">
        <v>2116</v>
      </c>
      <c r="D164" s="43"/>
      <c r="E164" s="43" t="s">
        <v>2370</v>
      </c>
      <c r="F164" s="44">
        <v>320603</v>
      </c>
      <c r="G164" s="49" t="s">
        <v>2381</v>
      </c>
      <c r="H164" s="45"/>
      <c r="I164" s="43" t="s">
        <v>2380</v>
      </c>
      <c r="J164" s="45" t="s">
        <v>2374</v>
      </c>
      <c r="K164" s="52">
        <v>-63642.109999999993</v>
      </c>
    </row>
    <row r="165" spans="2:11" x14ac:dyDescent="0.3">
      <c r="B165" s="43" t="s">
        <v>2115</v>
      </c>
      <c r="C165" s="43" t="s">
        <v>2116</v>
      </c>
      <c r="D165" s="43"/>
      <c r="E165" s="43" t="s">
        <v>2370</v>
      </c>
      <c r="F165" s="44">
        <v>320605</v>
      </c>
      <c r="G165" s="43" t="s">
        <v>2382</v>
      </c>
      <c r="H165" s="45"/>
      <c r="I165" s="43" t="s">
        <v>2380</v>
      </c>
      <c r="J165" s="45" t="s">
        <v>2383</v>
      </c>
      <c r="K165" s="52">
        <v>-52035.17</v>
      </c>
    </row>
    <row r="166" spans="2:11" x14ac:dyDescent="0.3">
      <c r="B166" s="43" t="s">
        <v>2115</v>
      </c>
      <c r="C166" s="43" t="s">
        <v>2116</v>
      </c>
      <c r="D166" s="43"/>
      <c r="E166" s="43" t="s">
        <v>2370</v>
      </c>
      <c r="F166" s="44">
        <v>320613</v>
      </c>
      <c r="G166" s="43" t="s">
        <v>2384</v>
      </c>
      <c r="H166" s="45"/>
      <c r="I166" s="43" t="s">
        <v>2380</v>
      </c>
      <c r="J166" s="45" t="s">
        <v>2383</v>
      </c>
      <c r="K166" s="52">
        <v>-178842.75</v>
      </c>
    </row>
    <row r="167" spans="2:11" x14ac:dyDescent="0.3">
      <c r="B167" s="43" t="s">
        <v>2115</v>
      </c>
      <c r="C167" s="43" t="s">
        <v>2116</v>
      </c>
      <c r="D167" s="43"/>
      <c r="E167" s="43" t="s">
        <v>2370</v>
      </c>
      <c r="F167" s="44">
        <v>320617</v>
      </c>
      <c r="G167" s="43" t="s">
        <v>2385</v>
      </c>
      <c r="H167" s="45"/>
      <c r="I167" s="43" t="s">
        <v>2380</v>
      </c>
      <c r="J167" s="45" t="s">
        <v>2383</v>
      </c>
      <c r="K167" s="52">
        <v>-11880.89</v>
      </c>
    </row>
    <row r="168" spans="2:11" x14ac:dyDescent="0.3">
      <c r="B168" s="43" t="s">
        <v>2115</v>
      </c>
      <c r="C168" s="43" t="s">
        <v>2116</v>
      </c>
      <c r="D168" s="43"/>
      <c r="E168" s="43" t="s">
        <v>2292</v>
      </c>
      <c r="F168" s="44">
        <v>320803</v>
      </c>
      <c r="G168" s="43" t="s">
        <v>2386</v>
      </c>
      <c r="H168" s="45"/>
      <c r="I168" s="43" t="s">
        <v>2387</v>
      </c>
      <c r="J168" s="45" t="s">
        <v>2388</v>
      </c>
      <c r="K168" s="52">
        <v>-9456.59</v>
      </c>
    </row>
    <row r="169" spans="2:11" x14ac:dyDescent="0.3">
      <c r="B169" s="43" t="s">
        <v>2115</v>
      </c>
      <c r="C169" s="43" t="s">
        <v>2116</v>
      </c>
      <c r="D169" s="43"/>
      <c r="E169" s="43" t="s">
        <v>2360</v>
      </c>
      <c r="F169" s="44">
        <v>320811</v>
      </c>
      <c r="G169" s="43" t="s">
        <v>2389</v>
      </c>
      <c r="H169" s="45"/>
      <c r="I169" s="43" t="s">
        <v>2387</v>
      </c>
      <c r="J169" s="45" t="s">
        <v>2388</v>
      </c>
      <c r="K169" s="52">
        <v>-10079537.039999999</v>
      </c>
    </row>
    <row r="170" spans="2:11" x14ac:dyDescent="0.3">
      <c r="B170" s="43" t="s">
        <v>2115</v>
      </c>
      <c r="C170" s="43" t="s">
        <v>2116</v>
      </c>
      <c r="D170" s="43"/>
      <c r="E170" s="43" t="s">
        <v>2240</v>
      </c>
      <c r="F170" s="44">
        <v>320813</v>
      </c>
      <c r="G170" s="43" t="s">
        <v>2390</v>
      </c>
      <c r="H170" s="45"/>
      <c r="I170" s="43" t="s">
        <v>2387</v>
      </c>
      <c r="J170" s="45" t="s">
        <v>2243</v>
      </c>
      <c r="K170" s="52">
        <v>-3545249.92</v>
      </c>
    </row>
    <row r="171" spans="2:11" x14ac:dyDescent="0.3">
      <c r="B171" s="43" t="s">
        <v>2115</v>
      </c>
      <c r="C171" s="43" t="s">
        <v>2116</v>
      </c>
      <c r="D171" s="43"/>
      <c r="E171" s="43" t="s">
        <v>2223</v>
      </c>
      <c r="F171" s="44">
        <v>320815</v>
      </c>
      <c r="G171" s="43" t="s">
        <v>2391</v>
      </c>
      <c r="H171" s="45"/>
      <c r="I171" s="43" t="s">
        <v>2387</v>
      </c>
      <c r="J171" s="45" t="s">
        <v>2388</v>
      </c>
      <c r="K171" s="52">
        <v>-4353.41</v>
      </c>
    </row>
    <row r="172" spans="2:11" x14ac:dyDescent="0.3">
      <c r="B172" s="43" t="s">
        <v>2115</v>
      </c>
      <c r="C172" s="43" t="s">
        <v>2116</v>
      </c>
      <c r="D172" s="43"/>
      <c r="E172" s="43" t="s">
        <v>2292</v>
      </c>
      <c r="F172" s="44">
        <v>320817</v>
      </c>
      <c r="G172" s="43" t="s">
        <v>2392</v>
      </c>
      <c r="H172" s="45"/>
      <c r="I172" s="43" t="s">
        <v>2387</v>
      </c>
      <c r="J172" s="45" t="s">
        <v>2388</v>
      </c>
      <c r="K172" s="52">
        <v>345.42</v>
      </c>
    </row>
    <row r="173" spans="2:11" x14ac:dyDescent="0.3">
      <c r="B173" s="43" t="s">
        <v>2115</v>
      </c>
      <c r="C173" s="43" t="s">
        <v>2116</v>
      </c>
      <c r="D173" s="43"/>
      <c r="E173" s="43" t="s">
        <v>2240</v>
      </c>
      <c r="F173" s="44">
        <v>320819</v>
      </c>
      <c r="G173" s="43" t="s">
        <v>2393</v>
      </c>
      <c r="H173" s="45"/>
      <c r="I173" s="43" t="s">
        <v>2387</v>
      </c>
      <c r="J173" s="45" t="s">
        <v>2226</v>
      </c>
      <c r="K173" s="52">
        <v>-553689.18000000005</v>
      </c>
    </row>
    <row r="174" spans="2:11" x14ac:dyDescent="0.3">
      <c r="B174" s="43" t="s">
        <v>2115</v>
      </c>
      <c r="C174" s="43" t="s">
        <v>2116</v>
      </c>
      <c r="D174" s="43"/>
      <c r="E174" s="43" t="s">
        <v>2292</v>
      </c>
      <c r="F174" s="44">
        <v>320821</v>
      </c>
      <c r="G174" s="43" t="s">
        <v>2394</v>
      </c>
      <c r="H174" s="45"/>
      <c r="I174" s="43" t="s">
        <v>2387</v>
      </c>
      <c r="J174" s="45" t="s">
        <v>2388</v>
      </c>
      <c r="K174" s="52">
        <v>-187921.06</v>
      </c>
    </row>
    <row r="175" spans="2:11" x14ac:dyDescent="0.3">
      <c r="B175" s="43" t="s">
        <v>2115</v>
      </c>
      <c r="C175" s="43" t="s">
        <v>2116</v>
      </c>
      <c r="D175" s="43"/>
      <c r="E175" s="43" t="s">
        <v>2292</v>
      </c>
      <c r="F175" s="44">
        <v>340213</v>
      </c>
      <c r="G175" s="43" t="s">
        <v>2395</v>
      </c>
      <c r="H175" s="45"/>
      <c r="I175" s="43" t="s">
        <v>2387</v>
      </c>
      <c r="J175" s="45" t="s">
        <v>2388</v>
      </c>
      <c r="K175" s="52">
        <v>-1001544.81</v>
      </c>
    </row>
    <row r="176" spans="2:11" x14ac:dyDescent="0.3">
      <c r="B176" s="43" t="s">
        <v>2115</v>
      </c>
      <c r="C176" s="43" t="s">
        <v>2116</v>
      </c>
      <c r="D176" s="43"/>
      <c r="E176" s="43" t="s">
        <v>2292</v>
      </c>
      <c r="F176" s="44">
        <v>340215</v>
      </c>
      <c r="G176" s="43" t="s">
        <v>2396</v>
      </c>
      <c r="H176" s="45"/>
      <c r="I176" s="43" t="s">
        <v>2380</v>
      </c>
      <c r="J176" s="45" t="s">
        <v>2383</v>
      </c>
      <c r="K176" s="52">
        <v>-263435.83</v>
      </c>
    </row>
    <row r="177" spans="2:11" x14ac:dyDescent="0.3">
      <c r="B177" s="43" t="s">
        <v>2115</v>
      </c>
      <c r="C177" s="43" t="s">
        <v>2116</v>
      </c>
      <c r="D177" s="43"/>
      <c r="E177" s="43" t="s">
        <v>2292</v>
      </c>
      <c r="F177" s="44">
        <v>340217</v>
      </c>
      <c r="G177" s="43" t="s">
        <v>2397</v>
      </c>
      <c r="H177" s="45"/>
      <c r="I177" s="43" t="s">
        <v>2387</v>
      </c>
      <c r="J177" s="45" t="s">
        <v>2388</v>
      </c>
      <c r="K177" s="52">
        <v>-7498.69</v>
      </c>
    </row>
    <row r="178" spans="2:11" x14ac:dyDescent="0.3">
      <c r="B178" s="43" t="s">
        <v>2115</v>
      </c>
      <c r="C178" s="43" t="s">
        <v>2116</v>
      </c>
      <c r="D178" s="43"/>
      <c r="E178" s="43" t="s">
        <v>2207</v>
      </c>
      <c r="F178" s="44">
        <v>360201</v>
      </c>
      <c r="G178" s="43" t="s">
        <v>2398</v>
      </c>
      <c r="H178" s="45"/>
      <c r="I178" s="43" t="s">
        <v>2399</v>
      </c>
      <c r="J178" s="45" t="s">
        <v>2400</v>
      </c>
      <c r="K178" s="52">
        <v>320499.40999999997</v>
      </c>
    </row>
    <row r="179" spans="2:11" x14ac:dyDescent="0.3">
      <c r="B179" s="43" t="s">
        <v>2115</v>
      </c>
      <c r="C179" s="43" t="s">
        <v>2116</v>
      </c>
      <c r="D179" s="43"/>
      <c r="E179" s="43" t="s">
        <v>2292</v>
      </c>
      <c r="F179" s="44">
        <v>360203</v>
      </c>
      <c r="G179" s="43" t="s">
        <v>2401</v>
      </c>
      <c r="H179" s="45"/>
      <c r="I179" s="43" t="s">
        <v>2294</v>
      </c>
      <c r="J179" s="45" t="s">
        <v>2295</v>
      </c>
      <c r="K179" s="52">
        <v>-22386.38</v>
      </c>
    </row>
    <row r="180" spans="2:11" x14ac:dyDescent="0.3">
      <c r="B180" s="43" t="s">
        <v>2115</v>
      </c>
      <c r="C180" s="43" t="s">
        <v>2402</v>
      </c>
      <c r="D180" s="43" t="s">
        <v>2403</v>
      </c>
      <c r="E180" s="43" t="s">
        <v>2404</v>
      </c>
      <c r="F180" s="44">
        <v>640201</v>
      </c>
      <c r="G180" s="43" t="s">
        <v>2405</v>
      </c>
      <c r="H180" s="45"/>
      <c r="I180" s="43" t="s">
        <v>2406</v>
      </c>
      <c r="J180" s="45" t="s">
        <v>2407</v>
      </c>
      <c r="K180" s="52">
        <v>-2824723.56</v>
      </c>
    </row>
    <row r="181" spans="2:11" x14ac:dyDescent="0.3">
      <c r="B181" s="43" t="s">
        <v>2115</v>
      </c>
      <c r="C181" s="43" t="s">
        <v>2402</v>
      </c>
      <c r="D181" s="43" t="s">
        <v>2403</v>
      </c>
      <c r="E181" s="43" t="s">
        <v>2408</v>
      </c>
      <c r="F181" s="44">
        <v>660201</v>
      </c>
      <c r="G181" s="43" t="s">
        <v>2409</v>
      </c>
      <c r="H181" s="45"/>
      <c r="I181" s="43" t="s">
        <v>2410</v>
      </c>
      <c r="J181" s="45" t="s">
        <v>2411</v>
      </c>
      <c r="K181" s="52">
        <v>-7207.2</v>
      </c>
    </row>
    <row r="182" spans="2:11" x14ac:dyDescent="0.3">
      <c r="B182" s="43" t="s">
        <v>2115</v>
      </c>
      <c r="C182" s="43" t="s">
        <v>2402</v>
      </c>
      <c r="D182" s="43" t="s">
        <v>2403</v>
      </c>
      <c r="E182" s="43" t="s">
        <v>2408</v>
      </c>
      <c r="F182" s="44">
        <v>660203</v>
      </c>
      <c r="G182" s="43" t="s">
        <v>2412</v>
      </c>
      <c r="H182" s="45"/>
      <c r="I182" s="43" t="s">
        <v>2410</v>
      </c>
      <c r="J182" s="45" t="s">
        <v>2411</v>
      </c>
      <c r="K182" s="52">
        <v>-13268.5</v>
      </c>
    </row>
    <row r="183" spans="2:11" x14ac:dyDescent="0.3">
      <c r="B183" s="43" t="s">
        <v>2115</v>
      </c>
      <c r="C183" s="43" t="s">
        <v>2402</v>
      </c>
      <c r="D183" s="43" t="s">
        <v>2413</v>
      </c>
      <c r="E183" s="43" t="s">
        <v>2414</v>
      </c>
      <c r="F183" s="44">
        <v>660205</v>
      </c>
      <c r="G183" s="43" t="s">
        <v>2415</v>
      </c>
      <c r="H183" s="45"/>
      <c r="I183" s="43" t="s">
        <v>2410</v>
      </c>
      <c r="J183" s="45" t="s">
        <v>2416</v>
      </c>
      <c r="K183" s="52">
        <v>0</v>
      </c>
    </row>
    <row r="184" spans="2:11" x14ac:dyDescent="0.3">
      <c r="B184" s="43" t="s">
        <v>2115</v>
      </c>
      <c r="C184" s="43" t="s">
        <v>2402</v>
      </c>
      <c r="D184" s="43" t="s">
        <v>2403</v>
      </c>
      <c r="E184" s="43" t="s">
        <v>2408</v>
      </c>
      <c r="F184" s="44">
        <v>660207</v>
      </c>
      <c r="G184" s="43" t="s">
        <v>2417</v>
      </c>
      <c r="H184" s="45"/>
      <c r="I184" s="43" t="s">
        <v>2410</v>
      </c>
      <c r="J184" s="45" t="s">
        <v>2411</v>
      </c>
      <c r="K184" s="52">
        <v>0</v>
      </c>
    </row>
    <row r="185" spans="2:11" x14ac:dyDescent="0.3">
      <c r="B185" s="43" t="s">
        <v>2115</v>
      </c>
      <c r="C185" s="43" t="s">
        <v>2402</v>
      </c>
      <c r="D185" s="43" t="s">
        <v>2403</v>
      </c>
      <c r="E185" s="43" t="s">
        <v>2408</v>
      </c>
      <c r="F185" s="44">
        <v>660403</v>
      </c>
      <c r="G185" s="43" t="s">
        <v>2418</v>
      </c>
      <c r="H185" s="45"/>
      <c r="I185" s="43" t="s">
        <v>2410</v>
      </c>
      <c r="J185" s="45" t="s">
        <v>2411</v>
      </c>
      <c r="K185" s="52">
        <v>-3152.3</v>
      </c>
    </row>
    <row r="186" spans="2:11" x14ac:dyDescent="0.3">
      <c r="B186" s="43" t="s">
        <v>2115</v>
      </c>
      <c r="C186" s="43" t="s">
        <v>2402</v>
      </c>
      <c r="D186" s="43" t="s">
        <v>2403</v>
      </c>
      <c r="E186" s="43" t="s">
        <v>2419</v>
      </c>
      <c r="F186" s="44">
        <v>660407</v>
      </c>
      <c r="G186" s="43" t="s">
        <v>2420</v>
      </c>
      <c r="H186" s="45"/>
      <c r="I186" s="43" t="s">
        <v>2410</v>
      </c>
      <c r="J186" s="45" t="s">
        <v>2411</v>
      </c>
      <c r="K186" s="52">
        <v>-23508.42</v>
      </c>
    </row>
    <row r="187" spans="2:11" x14ac:dyDescent="0.3">
      <c r="B187" s="43" t="s">
        <v>2115</v>
      </c>
      <c r="C187" s="43" t="s">
        <v>2402</v>
      </c>
      <c r="D187" s="43" t="s">
        <v>2403</v>
      </c>
      <c r="E187" s="43" t="s">
        <v>2419</v>
      </c>
      <c r="F187" s="44">
        <v>660409</v>
      </c>
      <c r="G187" s="43" t="s">
        <v>2421</v>
      </c>
      <c r="H187" s="45"/>
      <c r="I187" s="43" t="s">
        <v>2410</v>
      </c>
      <c r="J187" s="45" t="s">
        <v>2411</v>
      </c>
      <c r="K187" s="52">
        <v>-1691.99</v>
      </c>
    </row>
    <row r="188" spans="2:11" x14ac:dyDescent="0.3">
      <c r="B188" s="43" t="s">
        <v>2115</v>
      </c>
      <c r="C188" s="43" t="s">
        <v>2402</v>
      </c>
      <c r="D188" s="43" t="s">
        <v>2403</v>
      </c>
      <c r="E188" s="43" t="s">
        <v>2408</v>
      </c>
      <c r="F188" s="44">
        <v>660413</v>
      </c>
      <c r="G188" s="43" t="s">
        <v>2422</v>
      </c>
      <c r="H188" s="45"/>
      <c r="I188" s="43" t="s">
        <v>2410</v>
      </c>
      <c r="J188" s="45" t="s">
        <v>2423</v>
      </c>
      <c r="K188" s="52">
        <v>-18677.46</v>
      </c>
    </row>
    <row r="189" spans="2:11" x14ac:dyDescent="0.3">
      <c r="B189" s="43" t="s">
        <v>2115</v>
      </c>
      <c r="C189" s="43" t="s">
        <v>2402</v>
      </c>
      <c r="D189" s="43" t="s">
        <v>2413</v>
      </c>
      <c r="E189" s="43" t="s">
        <v>2424</v>
      </c>
      <c r="F189" s="44">
        <v>680201</v>
      </c>
      <c r="G189" s="43" t="s">
        <v>2425</v>
      </c>
      <c r="H189" s="45"/>
      <c r="I189" s="43" t="s">
        <v>2426</v>
      </c>
      <c r="J189" s="45" t="s">
        <v>2427</v>
      </c>
      <c r="K189" s="52">
        <v>7723309.6699999999</v>
      </c>
    </row>
    <row r="190" spans="2:11" x14ac:dyDescent="0.3">
      <c r="B190" s="43" t="s">
        <v>2115</v>
      </c>
      <c r="C190" s="43" t="s">
        <v>2402</v>
      </c>
      <c r="D190" s="43" t="s">
        <v>2413</v>
      </c>
      <c r="E190" s="43" t="s">
        <v>2424</v>
      </c>
      <c r="F190" s="44">
        <v>680205</v>
      </c>
      <c r="G190" s="43" t="s">
        <v>2428</v>
      </c>
      <c r="H190" s="45"/>
      <c r="I190" s="43" t="s">
        <v>2426</v>
      </c>
      <c r="J190" s="45" t="s">
        <v>2427</v>
      </c>
      <c r="K190" s="52">
        <v>0</v>
      </c>
    </row>
    <row r="191" spans="2:11" x14ac:dyDescent="0.3">
      <c r="B191" s="43" t="s">
        <v>2115</v>
      </c>
      <c r="C191" s="43" t="s">
        <v>2402</v>
      </c>
      <c r="D191" s="43" t="s">
        <v>2413</v>
      </c>
      <c r="E191" s="43" t="s">
        <v>2429</v>
      </c>
      <c r="F191" s="44">
        <v>680207</v>
      </c>
      <c r="G191" s="43" t="s">
        <v>2430</v>
      </c>
      <c r="H191" s="45"/>
      <c r="I191" s="43" t="s">
        <v>2426</v>
      </c>
      <c r="J191" s="45" t="s">
        <v>2427</v>
      </c>
      <c r="K191" s="52">
        <v>0</v>
      </c>
    </row>
    <row r="192" spans="2:11" x14ac:dyDescent="0.3">
      <c r="B192" s="43" t="s">
        <v>2115</v>
      </c>
      <c r="C192" s="43" t="s">
        <v>2402</v>
      </c>
      <c r="D192" s="43" t="s">
        <v>2413</v>
      </c>
      <c r="E192" s="43" t="s">
        <v>690</v>
      </c>
      <c r="F192" s="44">
        <v>680601</v>
      </c>
      <c r="G192" s="43" t="s">
        <v>2431</v>
      </c>
      <c r="H192" s="45"/>
      <c r="I192" s="43" t="s">
        <v>2426</v>
      </c>
      <c r="J192" s="45" t="s">
        <v>2427</v>
      </c>
      <c r="K192" s="52">
        <v>82032.819999999992</v>
      </c>
    </row>
    <row r="193" spans="2:11" x14ac:dyDescent="0.3">
      <c r="B193" s="43" t="s">
        <v>2115</v>
      </c>
      <c r="C193" s="43" t="s">
        <v>2402</v>
      </c>
      <c r="D193" s="43" t="s">
        <v>2413</v>
      </c>
      <c r="E193" s="43" t="s">
        <v>690</v>
      </c>
      <c r="F193" s="44">
        <v>680603</v>
      </c>
      <c r="G193" s="43" t="s">
        <v>2432</v>
      </c>
      <c r="H193" s="45"/>
      <c r="I193" s="43" t="s">
        <v>2426</v>
      </c>
      <c r="J193" s="45" t="s">
        <v>2427</v>
      </c>
      <c r="K193" s="52">
        <v>175485.84</v>
      </c>
    </row>
    <row r="194" spans="2:11" x14ac:dyDescent="0.3">
      <c r="B194" s="43" t="s">
        <v>2115</v>
      </c>
      <c r="C194" s="43" t="s">
        <v>2402</v>
      </c>
      <c r="D194" s="43" t="s">
        <v>2413</v>
      </c>
      <c r="E194" s="43" t="s">
        <v>2424</v>
      </c>
      <c r="F194" s="44">
        <v>700201</v>
      </c>
      <c r="G194" s="43" t="s">
        <v>2433</v>
      </c>
      <c r="H194" s="45"/>
      <c r="I194" s="43" t="s">
        <v>2434</v>
      </c>
      <c r="J194" s="45" t="s">
        <v>2435</v>
      </c>
      <c r="K194" s="52">
        <v>26231.66</v>
      </c>
    </row>
    <row r="195" spans="2:11" x14ac:dyDescent="0.3">
      <c r="B195" s="43" t="s">
        <v>2115</v>
      </c>
      <c r="C195" s="43" t="s">
        <v>2402</v>
      </c>
      <c r="D195" s="43" t="s">
        <v>2413</v>
      </c>
      <c r="E195" s="43" t="s">
        <v>2424</v>
      </c>
      <c r="F195" s="44">
        <v>700203</v>
      </c>
      <c r="G195" s="43" t="s">
        <v>2436</v>
      </c>
      <c r="H195" s="45"/>
      <c r="I195" s="43" t="s">
        <v>2434</v>
      </c>
      <c r="J195" s="45" t="s">
        <v>2435</v>
      </c>
      <c r="K195" s="52">
        <v>11257259.859999999</v>
      </c>
    </row>
    <row r="196" spans="2:11" x14ac:dyDescent="0.3">
      <c r="B196" s="43" t="s">
        <v>2115</v>
      </c>
      <c r="C196" s="43" t="s">
        <v>2402</v>
      </c>
      <c r="D196" s="43" t="s">
        <v>2413</v>
      </c>
      <c r="E196" s="43" t="s">
        <v>2424</v>
      </c>
      <c r="F196" s="44">
        <v>700205</v>
      </c>
      <c r="G196" s="43" t="s">
        <v>2437</v>
      </c>
      <c r="H196" s="45"/>
      <c r="I196" s="43" t="s">
        <v>2434</v>
      </c>
      <c r="J196" s="45" t="s">
        <v>2435</v>
      </c>
      <c r="K196" s="52">
        <v>14562.1</v>
      </c>
    </row>
    <row r="197" spans="2:11" x14ac:dyDescent="0.3">
      <c r="B197" s="43" t="s">
        <v>2115</v>
      </c>
      <c r="C197" s="43" t="s">
        <v>2402</v>
      </c>
      <c r="D197" s="43" t="s">
        <v>2413</v>
      </c>
      <c r="E197" s="43" t="s">
        <v>2424</v>
      </c>
      <c r="F197" s="44">
        <v>700207</v>
      </c>
      <c r="G197" s="43" t="s">
        <v>2438</v>
      </c>
      <c r="H197" s="45"/>
      <c r="I197" s="43" t="s">
        <v>2434</v>
      </c>
      <c r="J197" s="45" t="s">
        <v>2435</v>
      </c>
      <c r="K197" s="52">
        <v>8970.9600000000009</v>
      </c>
    </row>
    <row r="198" spans="2:11" x14ac:dyDescent="0.3">
      <c r="B198" s="43" t="s">
        <v>2115</v>
      </c>
      <c r="C198" s="43" t="s">
        <v>2402</v>
      </c>
      <c r="D198" s="43" t="s">
        <v>2413</v>
      </c>
      <c r="E198" s="43" t="s">
        <v>690</v>
      </c>
      <c r="F198" s="44">
        <v>700209</v>
      </c>
      <c r="G198" s="43" t="s">
        <v>2439</v>
      </c>
      <c r="H198" s="45"/>
      <c r="I198" s="43" t="s">
        <v>2434</v>
      </c>
      <c r="J198" s="45" t="s">
        <v>2435</v>
      </c>
      <c r="K198" s="52">
        <v>60945.79</v>
      </c>
    </row>
    <row r="199" spans="2:11" x14ac:dyDescent="0.3">
      <c r="B199" s="43" t="s">
        <v>2115</v>
      </c>
      <c r="C199" s="43" t="s">
        <v>2402</v>
      </c>
      <c r="D199" s="43" t="s">
        <v>2413</v>
      </c>
      <c r="E199" s="43" t="s">
        <v>690</v>
      </c>
      <c r="F199" s="44">
        <v>700211</v>
      </c>
      <c r="G199" s="43" t="s">
        <v>2440</v>
      </c>
      <c r="H199" s="45"/>
      <c r="I199" s="43" t="s">
        <v>2434</v>
      </c>
      <c r="J199" s="45" t="s">
        <v>2435</v>
      </c>
      <c r="K199" s="52">
        <v>5279.23</v>
      </c>
    </row>
    <row r="200" spans="2:11" x14ac:dyDescent="0.3">
      <c r="B200" s="43" t="s">
        <v>2115</v>
      </c>
      <c r="C200" s="43" t="s">
        <v>2402</v>
      </c>
      <c r="D200" s="43" t="s">
        <v>2413</v>
      </c>
      <c r="E200" s="43" t="s">
        <v>690</v>
      </c>
      <c r="F200" s="44">
        <v>700213</v>
      </c>
      <c r="G200" s="43" t="s">
        <v>2441</v>
      </c>
      <c r="H200" s="45"/>
      <c r="I200" s="43" t="s">
        <v>2434</v>
      </c>
      <c r="J200" s="45" t="s">
        <v>2435</v>
      </c>
      <c r="K200" s="52">
        <v>77150.23</v>
      </c>
    </row>
    <row r="201" spans="2:11" x14ac:dyDescent="0.3">
      <c r="B201" s="43" t="s">
        <v>2115</v>
      </c>
      <c r="C201" s="43" t="s">
        <v>2402</v>
      </c>
      <c r="D201" s="43" t="s">
        <v>2413</v>
      </c>
      <c r="E201" s="43" t="s">
        <v>690</v>
      </c>
      <c r="F201" s="44">
        <v>700215</v>
      </c>
      <c r="G201" s="43" t="s">
        <v>2442</v>
      </c>
      <c r="H201" s="45"/>
      <c r="I201" s="43" t="s">
        <v>2434</v>
      </c>
      <c r="J201" s="45" t="s">
        <v>2435</v>
      </c>
      <c r="K201" s="52">
        <v>0</v>
      </c>
    </row>
    <row r="202" spans="2:11" x14ac:dyDescent="0.3">
      <c r="B202" s="43" t="s">
        <v>2115</v>
      </c>
      <c r="C202" s="43" t="s">
        <v>2402</v>
      </c>
      <c r="D202" s="43" t="s">
        <v>2413</v>
      </c>
      <c r="E202" s="43" t="s">
        <v>2443</v>
      </c>
      <c r="F202" s="44">
        <v>700403</v>
      </c>
      <c r="G202" s="43" t="s">
        <v>2444</v>
      </c>
      <c r="H202" s="45"/>
      <c r="I202" s="43" t="s">
        <v>2434</v>
      </c>
      <c r="J202" s="45" t="s">
        <v>2435</v>
      </c>
      <c r="K202" s="52">
        <v>257951.85</v>
      </c>
    </row>
    <row r="203" spans="2:11" x14ac:dyDescent="0.3">
      <c r="B203" s="43" t="s">
        <v>2115</v>
      </c>
      <c r="C203" s="43" t="s">
        <v>2402</v>
      </c>
      <c r="D203" s="43" t="s">
        <v>2413</v>
      </c>
      <c r="E203" s="43" t="s">
        <v>690</v>
      </c>
      <c r="F203" s="44">
        <v>700405</v>
      </c>
      <c r="G203" s="43" t="s">
        <v>2445</v>
      </c>
      <c r="H203" s="45"/>
      <c r="I203" s="43" t="s">
        <v>2434</v>
      </c>
      <c r="J203" s="45" t="s">
        <v>2435</v>
      </c>
      <c r="K203" s="52">
        <v>568887.39</v>
      </c>
    </row>
    <row r="204" spans="2:11" x14ac:dyDescent="0.3">
      <c r="B204" s="43" t="s">
        <v>2115</v>
      </c>
      <c r="C204" s="43" t="s">
        <v>2402</v>
      </c>
      <c r="D204" s="43" t="s">
        <v>2413</v>
      </c>
      <c r="E204" s="43" t="s">
        <v>690</v>
      </c>
      <c r="F204" s="44">
        <v>700407</v>
      </c>
      <c r="G204" s="43" t="s">
        <v>2446</v>
      </c>
      <c r="H204" s="45"/>
      <c r="I204" s="43" t="s">
        <v>2434</v>
      </c>
      <c r="J204" s="45" t="s">
        <v>2435</v>
      </c>
      <c r="K204" s="52">
        <v>1078802.76</v>
      </c>
    </row>
    <row r="205" spans="2:11" x14ac:dyDescent="0.3">
      <c r="B205" s="43" t="s">
        <v>2115</v>
      </c>
      <c r="C205" s="43" t="s">
        <v>2402</v>
      </c>
      <c r="D205" s="43" t="s">
        <v>2413</v>
      </c>
      <c r="E205" s="43" t="s">
        <v>690</v>
      </c>
      <c r="F205" s="44">
        <v>700409</v>
      </c>
      <c r="G205" s="43" t="s">
        <v>2447</v>
      </c>
      <c r="H205" s="45"/>
      <c r="I205" s="43" t="s">
        <v>2434</v>
      </c>
      <c r="J205" s="45" t="s">
        <v>2435</v>
      </c>
      <c r="K205" s="52">
        <v>418778.76</v>
      </c>
    </row>
    <row r="206" spans="2:11" x14ac:dyDescent="0.3">
      <c r="B206" s="43" t="s">
        <v>2115</v>
      </c>
      <c r="C206" s="43" t="s">
        <v>2402</v>
      </c>
      <c r="D206" s="43" t="s">
        <v>2413</v>
      </c>
      <c r="E206" s="43" t="s">
        <v>2443</v>
      </c>
      <c r="F206" s="44">
        <v>700411</v>
      </c>
      <c r="G206" s="43" t="s">
        <v>2448</v>
      </c>
      <c r="H206" s="45"/>
      <c r="I206" s="43" t="s">
        <v>2434</v>
      </c>
      <c r="J206" s="45" t="s">
        <v>2435</v>
      </c>
      <c r="K206" s="52">
        <v>42758.840000000004</v>
      </c>
    </row>
    <row r="207" spans="2:11" x14ac:dyDescent="0.3">
      <c r="B207" s="43" t="s">
        <v>2115</v>
      </c>
      <c r="C207" s="43" t="s">
        <v>2402</v>
      </c>
      <c r="D207" s="43" t="s">
        <v>2413</v>
      </c>
      <c r="E207" s="43" t="s">
        <v>2424</v>
      </c>
      <c r="F207" s="44">
        <v>700601</v>
      </c>
      <c r="G207" s="43" t="s">
        <v>2449</v>
      </c>
      <c r="H207" s="45"/>
      <c r="I207" s="43" t="s">
        <v>2434</v>
      </c>
      <c r="J207" s="45" t="s">
        <v>2435</v>
      </c>
      <c r="K207" s="52">
        <v>9751531.6400000006</v>
      </c>
    </row>
    <row r="208" spans="2:11" x14ac:dyDescent="0.3">
      <c r="B208" s="43" t="s">
        <v>2115</v>
      </c>
      <c r="C208" s="43" t="s">
        <v>2402</v>
      </c>
      <c r="D208" s="43" t="s">
        <v>2413</v>
      </c>
      <c r="E208" s="43" t="s">
        <v>690</v>
      </c>
      <c r="F208" s="44">
        <v>700801</v>
      </c>
      <c r="G208" s="43" t="s">
        <v>2450</v>
      </c>
      <c r="H208" s="45"/>
      <c r="I208" s="43" t="s">
        <v>2434</v>
      </c>
      <c r="J208" s="45" t="s">
        <v>2435</v>
      </c>
      <c r="K208" s="52">
        <v>80784.009999999995</v>
      </c>
    </row>
    <row r="209" spans="2:11" x14ac:dyDescent="0.3">
      <c r="B209" s="43" t="s">
        <v>2115</v>
      </c>
      <c r="C209" s="43" t="s">
        <v>2402</v>
      </c>
      <c r="D209" s="43" t="s">
        <v>2413</v>
      </c>
      <c r="E209" s="43" t="s">
        <v>690</v>
      </c>
      <c r="F209" s="44">
        <v>700803</v>
      </c>
      <c r="G209" s="43" t="s">
        <v>2451</v>
      </c>
      <c r="H209" s="45"/>
      <c r="I209" s="43" t="s">
        <v>2434</v>
      </c>
      <c r="J209" s="45" t="s">
        <v>2435</v>
      </c>
      <c r="K209" s="52">
        <v>12383.109999999999</v>
      </c>
    </row>
    <row r="210" spans="2:11" x14ac:dyDescent="0.3">
      <c r="B210" s="43" t="s">
        <v>2115</v>
      </c>
      <c r="C210" s="43" t="s">
        <v>2402</v>
      </c>
      <c r="D210" s="43" t="s">
        <v>2413</v>
      </c>
      <c r="E210" s="43" t="s">
        <v>690</v>
      </c>
      <c r="F210" s="44">
        <v>700805</v>
      </c>
      <c r="G210" s="43" t="s">
        <v>2452</v>
      </c>
      <c r="H210" s="45"/>
      <c r="I210" s="43" t="s">
        <v>2434</v>
      </c>
      <c r="J210" s="45" t="s">
        <v>2435</v>
      </c>
      <c r="K210" s="52">
        <v>7303.8099999999995</v>
      </c>
    </row>
    <row r="211" spans="2:11" x14ac:dyDescent="0.3">
      <c r="B211" s="43" t="s">
        <v>2115</v>
      </c>
      <c r="C211" s="43" t="s">
        <v>2402</v>
      </c>
      <c r="D211" s="43" t="s">
        <v>2413</v>
      </c>
      <c r="E211" s="43" t="s">
        <v>690</v>
      </c>
      <c r="F211" s="44">
        <v>700809</v>
      </c>
      <c r="G211" s="43" t="s">
        <v>2453</v>
      </c>
      <c r="H211" s="45"/>
      <c r="I211" s="43" t="s">
        <v>2434</v>
      </c>
      <c r="J211" s="45" t="s">
        <v>2435</v>
      </c>
      <c r="K211" s="52">
        <v>73216.83</v>
      </c>
    </row>
    <row r="212" spans="2:11" x14ac:dyDescent="0.3">
      <c r="B212" s="43" t="s">
        <v>2115</v>
      </c>
      <c r="C212" s="43" t="s">
        <v>2402</v>
      </c>
      <c r="D212" s="43" t="s">
        <v>2413</v>
      </c>
      <c r="E212" s="43" t="s">
        <v>690</v>
      </c>
      <c r="F212" s="44">
        <v>700811</v>
      </c>
      <c r="G212" s="43" t="s">
        <v>2454</v>
      </c>
      <c r="H212" s="45"/>
      <c r="I212" s="43" t="s">
        <v>2434</v>
      </c>
      <c r="J212" s="45" t="s">
        <v>2435</v>
      </c>
      <c r="K212" s="52">
        <v>69.900000000000006</v>
      </c>
    </row>
    <row r="213" spans="2:11" x14ac:dyDescent="0.3">
      <c r="B213" s="43" t="s">
        <v>2115</v>
      </c>
      <c r="C213" s="43" t="s">
        <v>2402</v>
      </c>
      <c r="D213" s="43" t="s">
        <v>2413</v>
      </c>
      <c r="E213" s="43" t="s">
        <v>690</v>
      </c>
      <c r="F213" s="44">
        <v>700813</v>
      </c>
      <c r="G213" s="43" t="s">
        <v>2455</v>
      </c>
      <c r="H213" s="45"/>
      <c r="I213" s="43" t="s">
        <v>2434</v>
      </c>
      <c r="J213" s="45" t="s">
        <v>2435</v>
      </c>
      <c r="K213" s="52">
        <v>35087.269999999997</v>
      </c>
    </row>
    <row r="214" spans="2:11" x14ac:dyDescent="0.3">
      <c r="B214" s="43" t="s">
        <v>2115</v>
      </c>
      <c r="C214" s="43" t="s">
        <v>2402</v>
      </c>
      <c r="D214" s="43" t="s">
        <v>2413</v>
      </c>
      <c r="E214" s="43" t="s">
        <v>690</v>
      </c>
      <c r="F214" s="44">
        <v>700815</v>
      </c>
      <c r="G214" s="43" t="s">
        <v>2456</v>
      </c>
      <c r="H214" s="45"/>
      <c r="I214" s="43" t="s">
        <v>2434</v>
      </c>
      <c r="J214" s="45" t="s">
        <v>2435</v>
      </c>
      <c r="K214" s="52">
        <v>119529.99</v>
      </c>
    </row>
    <row r="215" spans="2:11" x14ac:dyDescent="0.3">
      <c r="B215" s="43" t="s">
        <v>2115</v>
      </c>
      <c r="C215" s="43" t="s">
        <v>2402</v>
      </c>
      <c r="D215" s="43" t="s">
        <v>2413</v>
      </c>
      <c r="E215" s="43" t="s">
        <v>2443</v>
      </c>
      <c r="F215" s="44">
        <v>700817</v>
      </c>
      <c r="G215" s="43" t="s">
        <v>2457</v>
      </c>
      <c r="H215" s="45"/>
      <c r="I215" s="43" t="s">
        <v>2434</v>
      </c>
      <c r="J215" s="45" t="s">
        <v>2435</v>
      </c>
      <c r="K215" s="52">
        <v>0</v>
      </c>
    </row>
    <row r="216" spans="2:11" x14ac:dyDescent="0.3">
      <c r="B216" s="43" t="s">
        <v>2115</v>
      </c>
      <c r="C216" s="43" t="s">
        <v>2402</v>
      </c>
      <c r="D216" s="43" t="s">
        <v>2413</v>
      </c>
      <c r="E216" s="43" t="s">
        <v>690</v>
      </c>
      <c r="F216" s="44">
        <v>700819</v>
      </c>
      <c r="G216" s="43" t="s">
        <v>2458</v>
      </c>
      <c r="H216" s="45"/>
      <c r="I216" s="43" t="s">
        <v>2434</v>
      </c>
      <c r="J216" s="45" t="s">
        <v>2435</v>
      </c>
      <c r="K216" s="52">
        <v>54446.5</v>
      </c>
    </row>
    <row r="217" spans="2:11" x14ac:dyDescent="0.3">
      <c r="B217" s="43" t="s">
        <v>2115</v>
      </c>
      <c r="C217" s="43" t="s">
        <v>2402</v>
      </c>
      <c r="D217" s="43" t="s">
        <v>2413</v>
      </c>
      <c r="E217" s="43" t="s">
        <v>690</v>
      </c>
      <c r="F217" s="44">
        <v>700821</v>
      </c>
      <c r="G217" s="43" t="s">
        <v>2459</v>
      </c>
      <c r="H217" s="45"/>
      <c r="I217" s="43" t="s">
        <v>2434</v>
      </c>
      <c r="J217" s="45" t="s">
        <v>2435</v>
      </c>
      <c r="K217" s="52">
        <v>314.52</v>
      </c>
    </row>
    <row r="218" spans="2:11" x14ac:dyDescent="0.3">
      <c r="B218" s="43" t="s">
        <v>2115</v>
      </c>
      <c r="C218" s="43" t="s">
        <v>2402</v>
      </c>
      <c r="D218" s="43" t="s">
        <v>2413</v>
      </c>
      <c r="E218" s="43" t="s">
        <v>690</v>
      </c>
      <c r="F218" s="44">
        <v>701201</v>
      </c>
      <c r="G218" s="43" t="s">
        <v>2460</v>
      </c>
      <c r="H218" s="45"/>
      <c r="I218" s="43" t="s">
        <v>2434</v>
      </c>
      <c r="J218" s="45" t="s">
        <v>2435</v>
      </c>
      <c r="K218" s="52">
        <v>60606.44</v>
      </c>
    </row>
    <row r="219" spans="2:11" x14ac:dyDescent="0.3">
      <c r="B219" s="43" t="s">
        <v>2115</v>
      </c>
      <c r="C219" s="43" t="s">
        <v>2402</v>
      </c>
      <c r="D219" s="43" t="s">
        <v>2413</v>
      </c>
      <c r="E219" s="43" t="s">
        <v>690</v>
      </c>
      <c r="F219" s="44">
        <v>701203</v>
      </c>
      <c r="G219" s="43" t="s">
        <v>2461</v>
      </c>
      <c r="H219" s="45"/>
      <c r="I219" s="43" t="s">
        <v>2434</v>
      </c>
      <c r="J219" s="45" t="s">
        <v>2435</v>
      </c>
      <c r="K219" s="52">
        <v>0</v>
      </c>
    </row>
    <row r="220" spans="2:11" x14ac:dyDescent="0.3">
      <c r="B220" s="43" t="s">
        <v>2115</v>
      </c>
      <c r="C220" s="43" t="s">
        <v>2402</v>
      </c>
      <c r="D220" s="43" t="s">
        <v>2413</v>
      </c>
      <c r="E220" s="43" t="s">
        <v>690</v>
      </c>
      <c r="F220" s="44">
        <v>701401</v>
      </c>
      <c r="G220" s="43" t="s">
        <v>2462</v>
      </c>
      <c r="H220" s="45"/>
      <c r="I220" s="43" t="s">
        <v>2434</v>
      </c>
      <c r="J220" s="45" t="s">
        <v>2435</v>
      </c>
      <c r="K220" s="52">
        <v>0</v>
      </c>
    </row>
    <row r="221" spans="2:11" x14ac:dyDescent="0.3">
      <c r="B221" s="43" t="s">
        <v>2115</v>
      </c>
      <c r="C221" s="43" t="s">
        <v>2402</v>
      </c>
      <c r="D221" s="43" t="s">
        <v>2413</v>
      </c>
      <c r="E221" s="43" t="s">
        <v>690</v>
      </c>
      <c r="F221" s="44">
        <v>701601</v>
      </c>
      <c r="G221" s="43" t="s">
        <v>2463</v>
      </c>
      <c r="H221" s="45"/>
      <c r="I221" s="43" t="s">
        <v>2434</v>
      </c>
      <c r="J221" s="45" t="s">
        <v>2435</v>
      </c>
      <c r="K221" s="52">
        <v>643268</v>
      </c>
    </row>
    <row r="222" spans="2:11" x14ac:dyDescent="0.3">
      <c r="B222" s="43" t="s">
        <v>2115</v>
      </c>
      <c r="C222" s="43" t="s">
        <v>2402</v>
      </c>
      <c r="D222" s="43" t="s">
        <v>2413</v>
      </c>
      <c r="E222" s="43" t="s">
        <v>690</v>
      </c>
      <c r="F222" s="44">
        <v>701603</v>
      </c>
      <c r="G222" s="43" t="s">
        <v>2464</v>
      </c>
      <c r="H222" s="45"/>
      <c r="I222" s="43" t="s">
        <v>2434</v>
      </c>
      <c r="J222" s="45" t="s">
        <v>2435</v>
      </c>
      <c r="K222" s="52">
        <v>131921.64000000001</v>
      </c>
    </row>
    <row r="223" spans="2:11" x14ac:dyDescent="0.3">
      <c r="B223" s="43" t="s">
        <v>2115</v>
      </c>
      <c r="C223" s="43" t="s">
        <v>2402</v>
      </c>
      <c r="D223" s="43" t="s">
        <v>2413</v>
      </c>
      <c r="E223" s="43" t="s">
        <v>690</v>
      </c>
      <c r="F223" s="44">
        <v>701605</v>
      </c>
      <c r="G223" s="43" t="s">
        <v>2465</v>
      </c>
      <c r="H223" s="45"/>
      <c r="I223" s="43" t="s">
        <v>2434</v>
      </c>
      <c r="J223" s="45" t="s">
        <v>2435</v>
      </c>
      <c r="K223" s="52">
        <v>6617.28</v>
      </c>
    </row>
    <row r="224" spans="2:11" x14ac:dyDescent="0.3">
      <c r="B224" s="43" t="s">
        <v>2115</v>
      </c>
      <c r="C224" s="43" t="s">
        <v>2402</v>
      </c>
      <c r="D224" s="43" t="s">
        <v>2413</v>
      </c>
      <c r="E224" s="43" t="s">
        <v>690</v>
      </c>
      <c r="F224" s="44">
        <v>701607</v>
      </c>
      <c r="G224" s="43" t="s">
        <v>2466</v>
      </c>
      <c r="H224" s="45"/>
      <c r="I224" s="43" t="s">
        <v>2434</v>
      </c>
      <c r="J224" s="45" t="s">
        <v>2435</v>
      </c>
      <c r="K224" s="52">
        <v>161022.29999999999</v>
      </c>
    </row>
    <row r="225" spans="2:11" x14ac:dyDescent="0.3">
      <c r="B225" s="43" t="s">
        <v>2115</v>
      </c>
      <c r="C225" s="43" t="s">
        <v>2402</v>
      </c>
      <c r="D225" s="43" t="s">
        <v>2413</v>
      </c>
      <c r="E225" s="43" t="s">
        <v>2443</v>
      </c>
      <c r="F225" s="44">
        <v>701803</v>
      </c>
      <c r="G225" s="43" t="s">
        <v>2467</v>
      </c>
      <c r="H225" s="45"/>
      <c r="I225" s="43" t="s">
        <v>2434</v>
      </c>
      <c r="J225" s="45" t="s">
        <v>2435</v>
      </c>
      <c r="K225" s="52">
        <v>0</v>
      </c>
    </row>
    <row r="226" spans="2:11" x14ac:dyDescent="0.3">
      <c r="B226" s="43" t="s">
        <v>2115</v>
      </c>
      <c r="C226" s="43" t="s">
        <v>2402</v>
      </c>
      <c r="D226" s="43" t="s">
        <v>2413</v>
      </c>
      <c r="E226" s="43" t="s">
        <v>690</v>
      </c>
      <c r="F226" s="44">
        <v>701811</v>
      </c>
      <c r="G226" s="43" t="s">
        <v>2468</v>
      </c>
      <c r="H226" s="45"/>
      <c r="I226" s="43" t="s">
        <v>2434</v>
      </c>
      <c r="J226" s="45" t="s">
        <v>2435</v>
      </c>
      <c r="K226" s="52">
        <v>6820</v>
      </c>
    </row>
    <row r="227" spans="2:11" x14ac:dyDescent="0.3">
      <c r="B227" s="43" t="s">
        <v>2115</v>
      </c>
      <c r="C227" s="43" t="s">
        <v>2402</v>
      </c>
      <c r="D227" s="43" t="s">
        <v>2413</v>
      </c>
      <c r="E227" s="43" t="s">
        <v>690</v>
      </c>
      <c r="F227" s="44">
        <v>702001</v>
      </c>
      <c r="G227" s="43" t="s">
        <v>2469</v>
      </c>
      <c r="H227" s="45"/>
      <c r="I227" s="43" t="s">
        <v>2434</v>
      </c>
      <c r="J227" s="45" t="s">
        <v>2435</v>
      </c>
      <c r="K227" s="52">
        <v>1355538.96</v>
      </c>
    </row>
    <row r="228" spans="2:11" x14ac:dyDescent="0.3">
      <c r="B228" s="43" t="s">
        <v>2115</v>
      </c>
      <c r="C228" s="43" t="s">
        <v>2402</v>
      </c>
      <c r="D228" s="43" t="s">
        <v>2413</v>
      </c>
      <c r="E228" s="43" t="s">
        <v>690</v>
      </c>
      <c r="F228" s="44">
        <v>702003</v>
      </c>
      <c r="G228" s="43" t="s">
        <v>2470</v>
      </c>
      <c r="H228" s="45"/>
      <c r="I228" s="43" t="s">
        <v>2434</v>
      </c>
      <c r="J228" s="45" t="s">
        <v>2435</v>
      </c>
      <c r="K228" s="52">
        <v>135969.4</v>
      </c>
    </row>
    <row r="229" spans="2:11" x14ac:dyDescent="0.3">
      <c r="B229" s="43" t="s">
        <v>2115</v>
      </c>
      <c r="C229" s="43" t="s">
        <v>2402</v>
      </c>
      <c r="D229" s="43" t="s">
        <v>2413</v>
      </c>
      <c r="E229" s="43" t="s">
        <v>690</v>
      </c>
      <c r="F229" s="44">
        <v>702201</v>
      </c>
      <c r="G229" s="43" t="s">
        <v>2471</v>
      </c>
      <c r="H229" s="45"/>
      <c r="I229" s="43" t="s">
        <v>2434</v>
      </c>
      <c r="J229" s="45" t="s">
        <v>2435</v>
      </c>
      <c r="K229" s="52">
        <v>71790.039999999994</v>
      </c>
    </row>
    <row r="230" spans="2:11" x14ac:dyDescent="0.3">
      <c r="B230" s="43" t="s">
        <v>2115</v>
      </c>
      <c r="C230" s="43" t="s">
        <v>2402</v>
      </c>
      <c r="D230" s="43" t="s">
        <v>2413</v>
      </c>
      <c r="E230" s="43" t="s">
        <v>690</v>
      </c>
      <c r="F230" s="44">
        <v>702203</v>
      </c>
      <c r="G230" s="43" t="s">
        <v>2472</v>
      </c>
      <c r="H230" s="45"/>
      <c r="I230" s="43" t="s">
        <v>2434</v>
      </c>
      <c r="J230" s="45" t="s">
        <v>2435</v>
      </c>
      <c r="K230" s="52">
        <v>19464.099999999999</v>
      </c>
    </row>
    <row r="231" spans="2:11" x14ac:dyDescent="0.3">
      <c r="B231" s="43" t="s">
        <v>2115</v>
      </c>
      <c r="C231" s="43" t="s">
        <v>2402</v>
      </c>
      <c r="D231" s="43" t="s">
        <v>2413</v>
      </c>
      <c r="E231" s="43" t="s">
        <v>690</v>
      </c>
      <c r="F231" s="44">
        <v>702401</v>
      </c>
      <c r="G231" s="43" t="s">
        <v>2473</v>
      </c>
      <c r="H231" s="45"/>
      <c r="I231" s="43" t="s">
        <v>2434</v>
      </c>
      <c r="J231" s="45" t="s">
        <v>2435</v>
      </c>
      <c r="K231" s="52">
        <v>223112.19</v>
      </c>
    </row>
    <row r="232" spans="2:11" x14ac:dyDescent="0.3">
      <c r="B232" s="43" t="s">
        <v>2115</v>
      </c>
      <c r="C232" s="43" t="s">
        <v>2402</v>
      </c>
      <c r="D232" s="43" t="s">
        <v>2413</v>
      </c>
      <c r="E232" s="43" t="s">
        <v>690</v>
      </c>
      <c r="F232" s="44">
        <v>702403</v>
      </c>
      <c r="G232" s="43" t="s">
        <v>2474</v>
      </c>
      <c r="H232" s="45"/>
      <c r="I232" s="43" t="s">
        <v>2434</v>
      </c>
      <c r="J232" s="45" t="s">
        <v>2435</v>
      </c>
      <c r="K232" s="52">
        <v>21552.53</v>
      </c>
    </row>
    <row r="233" spans="2:11" x14ac:dyDescent="0.3">
      <c r="B233" s="43" t="s">
        <v>2115</v>
      </c>
      <c r="C233" s="43" t="s">
        <v>2402</v>
      </c>
      <c r="D233" s="43" t="s">
        <v>2413</v>
      </c>
      <c r="E233" s="43" t="s">
        <v>690</v>
      </c>
      <c r="F233" s="44">
        <v>702405</v>
      </c>
      <c r="G233" s="43" t="s">
        <v>2475</v>
      </c>
      <c r="H233" s="45"/>
      <c r="I233" s="43" t="s">
        <v>2434</v>
      </c>
      <c r="J233" s="45" t="s">
        <v>2435</v>
      </c>
      <c r="K233" s="52">
        <v>33634.39</v>
      </c>
    </row>
    <row r="234" spans="2:11" x14ac:dyDescent="0.3">
      <c r="B234" s="43" t="s">
        <v>2115</v>
      </c>
      <c r="C234" s="43" t="s">
        <v>2402</v>
      </c>
      <c r="D234" s="43" t="s">
        <v>2413</v>
      </c>
      <c r="E234" s="43" t="s">
        <v>690</v>
      </c>
      <c r="F234" s="44">
        <v>702407</v>
      </c>
      <c r="G234" s="43" t="s">
        <v>2476</v>
      </c>
      <c r="H234" s="45"/>
      <c r="I234" s="43" t="s">
        <v>2434</v>
      </c>
      <c r="J234" s="45" t="s">
        <v>2435</v>
      </c>
      <c r="K234" s="52">
        <v>15994.31</v>
      </c>
    </row>
    <row r="235" spans="2:11" x14ac:dyDescent="0.3">
      <c r="B235" s="43" t="s">
        <v>2115</v>
      </c>
      <c r="C235" s="43" t="s">
        <v>2402</v>
      </c>
      <c r="D235" s="43" t="s">
        <v>2413</v>
      </c>
      <c r="E235" s="43" t="s">
        <v>690</v>
      </c>
      <c r="F235" s="44">
        <v>702411</v>
      </c>
      <c r="G235" s="43" t="s">
        <v>2477</v>
      </c>
      <c r="H235" s="45"/>
      <c r="I235" s="43" t="s">
        <v>2434</v>
      </c>
      <c r="J235" s="45" t="s">
        <v>2435</v>
      </c>
      <c r="K235" s="52">
        <v>191967.13</v>
      </c>
    </row>
    <row r="236" spans="2:11" x14ac:dyDescent="0.3">
      <c r="B236" s="43" t="s">
        <v>2115</v>
      </c>
      <c r="C236" s="43" t="s">
        <v>2402</v>
      </c>
      <c r="D236" s="43" t="s">
        <v>2413</v>
      </c>
      <c r="E236" s="43" t="s">
        <v>690</v>
      </c>
      <c r="F236" s="44">
        <v>720201</v>
      </c>
      <c r="G236" s="43" t="s">
        <v>2478</v>
      </c>
      <c r="H236" s="45"/>
      <c r="I236" s="43" t="s">
        <v>2479</v>
      </c>
      <c r="J236" s="45" t="s">
        <v>2480</v>
      </c>
      <c r="K236" s="52">
        <v>264386.57</v>
      </c>
    </row>
    <row r="237" spans="2:11" x14ac:dyDescent="0.3">
      <c r="B237" s="43" t="s">
        <v>2115</v>
      </c>
      <c r="C237" s="43" t="s">
        <v>2402</v>
      </c>
      <c r="D237" s="43" t="s">
        <v>2413</v>
      </c>
      <c r="E237" s="43" t="s">
        <v>690</v>
      </c>
      <c r="F237" s="44">
        <v>720401</v>
      </c>
      <c r="G237" s="43" t="s">
        <v>2481</v>
      </c>
      <c r="H237" s="45"/>
      <c r="I237" s="43" t="s">
        <v>2479</v>
      </c>
      <c r="J237" s="45" t="s">
        <v>2480</v>
      </c>
      <c r="K237" s="52">
        <v>51694.26</v>
      </c>
    </row>
    <row r="238" spans="2:11" x14ac:dyDescent="0.3">
      <c r="B238" s="43" t="s">
        <v>2115</v>
      </c>
      <c r="C238" s="43" t="s">
        <v>2402</v>
      </c>
      <c r="D238" s="43" t="s">
        <v>2413</v>
      </c>
      <c r="E238" s="43" t="s">
        <v>690</v>
      </c>
      <c r="F238" s="44">
        <v>720403</v>
      </c>
      <c r="G238" s="43" t="s">
        <v>2482</v>
      </c>
      <c r="H238" s="45"/>
      <c r="I238" s="43" t="s">
        <v>2479</v>
      </c>
      <c r="J238" s="45" t="s">
        <v>2480</v>
      </c>
      <c r="K238" s="52">
        <v>48752.84</v>
      </c>
    </row>
    <row r="239" spans="2:11" x14ac:dyDescent="0.3">
      <c r="B239" s="43" t="s">
        <v>2115</v>
      </c>
      <c r="C239" s="43" t="s">
        <v>2402</v>
      </c>
      <c r="D239" s="43" t="s">
        <v>2413</v>
      </c>
      <c r="E239" s="43" t="s">
        <v>690</v>
      </c>
      <c r="F239" s="44">
        <v>720405</v>
      </c>
      <c r="G239" s="43" t="s">
        <v>2483</v>
      </c>
      <c r="H239" s="45"/>
      <c r="I239" s="43" t="s">
        <v>2479</v>
      </c>
      <c r="J239" s="45" t="s">
        <v>2480</v>
      </c>
      <c r="K239" s="52">
        <v>422809.09</v>
      </c>
    </row>
    <row r="240" spans="2:11" x14ac:dyDescent="0.3">
      <c r="B240" s="43" t="s">
        <v>2115</v>
      </c>
      <c r="C240" s="43" t="s">
        <v>2402</v>
      </c>
      <c r="D240" s="43" t="s">
        <v>2413</v>
      </c>
      <c r="E240" s="43" t="s">
        <v>690</v>
      </c>
      <c r="F240" s="44">
        <v>720601</v>
      </c>
      <c r="G240" s="43" t="s">
        <v>2484</v>
      </c>
      <c r="H240" s="45"/>
      <c r="I240" s="43" t="s">
        <v>2479</v>
      </c>
      <c r="J240" s="45" t="s">
        <v>2480</v>
      </c>
      <c r="K240" s="52">
        <v>17675.22</v>
      </c>
    </row>
    <row r="241" spans="2:11" x14ac:dyDescent="0.3">
      <c r="B241" s="43" t="s">
        <v>2115</v>
      </c>
      <c r="C241" s="43" t="s">
        <v>2402</v>
      </c>
      <c r="D241" s="43" t="s">
        <v>2413</v>
      </c>
      <c r="E241" s="43" t="s">
        <v>2443</v>
      </c>
      <c r="F241" s="44">
        <v>740201</v>
      </c>
      <c r="G241" s="43" t="s">
        <v>2485</v>
      </c>
      <c r="H241" s="45"/>
      <c r="I241" s="43" t="s">
        <v>2486</v>
      </c>
      <c r="J241" s="45" t="s">
        <v>2487</v>
      </c>
      <c r="K241" s="52">
        <v>892352.82000000007</v>
      </c>
    </row>
    <row r="242" spans="2:11" x14ac:dyDescent="0.3">
      <c r="B242" s="43" t="s">
        <v>2115</v>
      </c>
      <c r="C242" s="43" t="s">
        <v>2402</v>
      </c>
      <c r="D242" s="43" t="s">
        <v>2413</v>
      </c>
      <c r="E242" s="43" t="s">
        <v>2443</v>
      </c>
      <c r="F242" s="44">
        <v>740203</v>
      </c>
      <c r="G242" s="43" t="s">
        <v>2488</v>
      </c>
      <c r="H242" s="45"/>
      <c r="I242" s="43" t="s">
        <v>2486</v>
      </c>
      <c r="J242" s="45" t="s">
        <v>2487</v>
      </c>
      <c r="K242" s="52">
        <v>2112551.96</v>
      </c>
    </row>
    <row r="243" spans="2:11" x14ac:dyDescent="0.3">
      <c r="B243" s="43" t="s">
        <v>2115</v>
      </c>
      <c r="C243" s="43" t="s">
        <v>2402</v>
      </c>
      <c r="D243" s="43" t="s">
        <v>2413</v>
      </c>
      <c r="E243" s="43" t="s">
        <v>2443</v>
      </c>
      <c r="F243" s="44">
        <v>740205</v>
      </c>
      <c r="G243" s="43" t="s">
        <v>2489</v>
      </c>
      <c r="H243" s="45"/>
      <c r="I243" s="43" t="s">
        <v>2486</v>
      </c>
      <c r="J243" s="45" t="s">
        <v>2487</v>
      </c>
      <c r="K243" s="52">
        <v>842556.66</v>
      </c>
    </row>
    <row r="244" spans="2:11" x14ac:dyDescent="0.3">
      <c r="B244" s="43" t="s">
        <v>2115</v>
      </c>
      <c r="C244" s="43" t="s">
        <v>2402</v>
      </c>
      <c r="D244" s="43" t="s">
        <v>2413</v>
      </c>
      <c r="E244" s="43" t="s">
        <v>2443</v>
      </c>
      <c r="F244" s="44">
        <v>740207</v>
      </c>
      <c r="G244" s="43" t="s">
        <v>2490</v>
      </c>
      <c r="H244" s="45"/>
      <c r="I244" s="43" t="s">
        <v>2486</v>
      </c>
      <c r="J244" s="45" t="s">
        <v>2487</v>
      </c>
      <c r="K244" s="52">
        <v>101489.14</v>
      </c>
    </row>
    <row r="245" spans="2:11" x14ac:dyDescent="0.3">
      <c r="B245" s="43" t="s">
        <v>2115</v>
      </c>
      <c r="C245" s="43" t="s">
        <v>2402</v>
      </c>
      <c r="D245" s="43" t="s">
        <v>2413</v>
      </c>
      <c r="E245" s="43" t="s">
        <v>2443</v>
      </c>
      <c r="F245" s="44">
        <v>740401</v>
      </c>
      <c r="G245" s="43" t="s">
        <v>2491</v>
      </c>
      <c r="H245" s="45"/>
      <c r="I245" s="43" t="s">
        <v>2492</v>
      </c>
      <c r="J245" s="45" t="s">
        <v>2487</v>
      </c>
      <c r="K245" s="52">
        <v>477601.93</v>
      </c>
    </row>
    <row r="246" spans="2:11" x14ac:dyDescent="0.3">
      <c r="B246" s="43" t="s">
        <v>2115</v>
      </c>
      <c r="C246" s="43" t="s">
        <v>2402</v>
      </c>
      <c r="D246" s="43" t="s">
        <v>2413</v>
      </c>
      <c r="E246" s="43" t="s">
        <v>2443</v>
      </c>
      <c r="F246" s="44">
        <v>740601</v>
      </c>
      <c r="G246" s="43" t="s">
        <v>2493</v>
      </c>
      <c r="H246" s="45"/>
      <c r="I246" s="43" t="s">
        <v>2494</v>
      </c>
      <c r="J246" s="45" t="s">
        <v>2495</v>
      </c>
      <c r="K246" s="52">
        <v>254125.59000000003</v>
      </c>
    </row>
    <row r="247" spans="2:11" x14ac:dyDescent="0.3">
      <c r="B247" s="43" t="s">
        <v>2115</v>
      </c>
      <c r="C247" s="43" t="s">
        <v>2402</v>
      </c>
      <c r="D247" s="43" t="s">
        <v>2413</v>
      </c>
      <c r="E247" s="43" t="s">
        <v>2443</v>
      </c>
      <c r="F247" s="44">
        <v>740605</v>
      </c>
      <c r="G247" s="43" t="s">
        <v>2496</v>
      </c>
      <c r="H247" s="45"/>
      <c r="I247" s="43" t="s">
        <v>2211</v>
      </c>
      <c r="J247" s="45" t="s">
        <v>2212</v>
      </c>
      <c r="K247" s="52">
        <v>20720</v>
      </c>
    </row>
    <row r="248" spans="2:11" x14ac:dyDescent="0.3">
      <c r="B248" s="43" t="s">
        <v>2115</v>
      </c>
      <c r="C248" s="43" t="s">
        <v>2402</v>
      </c>
      <c r="D248" s="43" t="s">
        <v>2413</v>
      </c>
      <c r="E248" s="43" t="s">
        <v>2443</v>
      </c>
      <c r="F248" s="44">
        <v>740607</v>
      </c>
      <c r="G248" s="43" t="s">
        <v>2497</v>
      </c>
      <c r="H248" s="45"/>
      <c r="I248" s="43" t="s">
        <v>2211</v>
      </c>
      <c r="J248" s="45" t="s">
        <v>2212</v>
      </c>
      <c r="K248" s="52">
        <v>25573.24</v>
      </c>
    </row>
    <row r="249" spans="2:11" x14ac:dyDescent="0.3">
      <c r="B249" s="43" t="s">
        <v>2115</v>
      </c>
      <c r="C249" s="43" t="s">
        <v>2402</v>
      </c>
      <c r="D249" s="43" t="s">
        <v>2413</v>
      </c>
      <c r="E249" s="43" t="s">
        <v>2443</v>
      </c>
      <c r="F249" s="44">
        <v>740609</v>
      </c>
      <c r="G249" s="43" t="s">
        <v>2498</v>
      </c>
      <c r="H249" s="45"/>
      <c r="I249" s="43" t="s">
        <v>2494</v>
      </c>
      <c r="J249" s="45" t="s">
        <v>2495</v>
      </c>
      <c r="K249" s="52">
        <v>336838.91</v>
      </c>
    </row>
    <row r="250" spans="2:11" x14ac:dyDescent="0.3">
      <c r="B250" s="43" t="s">
        <v>2115</v>
      </c>
      <c r="C250" s="43" t="s">
        <v>2402</v>
      </c>
      <c r="D250" s="43" t="s">
        <v>2413</v>
      </c>
      <c r="E250" s="43" t="s">
        <v>2443</v>
      </c>
      <c r="F250" s="44">
        <v>740611</v>
      </c>
      <c r="G250" s="43" t="s">
        <v>2499</v>
      </c>
      <c r="H250" s="45"/>
      <c r="I250" s="43" t="s">
        <v>2494</v>
      </c>
      <c r="J250" s="45" t="s">
        <v>2495</v>
      </c>
      <c r="K250" s="52">
        <v>668421.17000000004</v>
      </c>
    </row>
    <row r="251" spans="2:11" x14ac:dyDescent="0.3">
      <c r="B251" s="43" t="s">
        <v>2115</v>
      </c>
      <c r="C251" s="43" t="s">
        <v>2402</v>
      </c>
      <c r="D251" s="43" t="s">
        <v>2413</v>
      </c>
      <c r="E251" s="43" t="s">
        <v>2443</v>
      </c>
      <c r="F251" s="44">
        <v>740801</v>
      </c>
      <c r="G251" s="43" t="s">
        <v>2500</v>
      </c>
      <c r="H251" s="45"/>
      <c r="I251" s="43" t="s">
        <v>2494</v>
      </c>
      <c r="J251" s="45" t="s">
        <v>2495</v>
      </c>
      <c r="K251" s="52">
        <v>34694.67</v>
      </c>
    </row>
    <row r="252" spans="2:11" x14ac:dyDescent="0.3">
      <c r="B252" s="43" t="s">
        <v>2115</v>
      </c>
      <c r="C252" s="43" t="s">
        <v>2402</v>
      </c>
      <c r="D252" s="43" t="s">
        <v>2413</v>
      </c>
      <c r="E252" s="43" t="s">
        <v>2443</v>
      </c>
      <c r="F252" s="44">
        <v>741001</v>
      </c>
      <c r="G252" s="43" t="s">
        <v>2501</v>
      </c>
      <c r="H252" s="45"/>
      <c r="I252" s="43" t="s">
        <v>2494</v>
      </c>
      <c r="J252" s="45" t="s">
        <v>2495</v>
      </c>
      <c r="K252" s="52">
        <v>130549.24</v>
      </c>
    </row>
    <row r="253" spans="2:11" x14ac:dyDescent="0.3">
      <c r="B253" s="43" t="s">
        <v>2115</v>
      </c>
      <c r="C253" s="43" t="s">
        <v>2402</v>
      </c>
      <c r="D253" s="43" t="s">
        <v>2413</v>
      </c>
      <c r="E253" s="43" t="s">
        <v>2443</v>
      </c>
      <c r="F253" s="44">
        <v>741201</v>
      </c>
      <c r="G253" s="43" t="s">
        <v>2333</v>
      </c>
      <c r="H253" s="45"/>
      <c r="I253" s="43" t="s">
        <v>2502</v>
      </c>
      <c r="J253" s="45" t="s">
        <v>2503</v>
      </c>
      <c r="K253" s="52">
        <v>147790.35</v>
      </c>
    </row>
    <row r="254" spans="2:11" x14ac:dyDescent="0.3">
      <c r="B254" s="43" t="s">
        <v>2115</v>
      </c>
      <c r="C254" s="43" t="s">
        <v>2402</v>
      </c>
      <c r="D254" s="43" t="s">
        <v>2413</v>
      </c>
      <c r="E254" s="43" t="s">
        <v>2443</v>
      </c>
      <c r="F254" s="44">
        <v>741401</v>
      </c>
      <c r="G254" s="43" t="s">
        <v>2504</v>
      </c>
      <c r="H254" s="45"/>
      <c r="I254" s="43" t="s">
        <v>2505</v>
      </c>
      <c r="J254" s="45" t="s">
        <v>2487</v>
      </c>
      <c r="K254" s="52">
        <v>544000</v>
      </c>
    </row>
    <row r="255" spans="2:11" x14ac:dyDescent="0.3">
      <c r="B255" s="43" t="s">
        <v>2115</v>
      </c>
      <c r="C255" s="43" t="s">
        <v>2402</v>
      </c>
      <c r="D255" s="43" t="s">
        <v>2413</v>
      </c>
      <c r="E255" s="43" t="s">
        <v>2443</v>
      </c>
      <c r="F255" s="44">
        <v>741601</v>
      </c>
      <c r="G255" s="43" t="s">
        <v>2506</v>
      </c>
      <c r="H255" s="45"/>
      <c r="I255" s="43" t="s">
        <v>2492</v>
      </c>
      <c r="J255" s="45" t="s">
        <v>2435</v>
      </c>
      <c r="K255" s="52">
        <v>205217.04</v>
      </c>
    </row>
    <row r="256" spans="2:11" x14ac:dyDescent="0.3">
      <c r="B256" s="43" t="s">
        <v>2115</v>
      </c>
      <c r="C256" s="43" t="s">
        <v>2402</v>
      </c>
      <c r="D256" s="43" t="s">
        <v>2413</v>
      </c>
      <c r="E256" s="43" t="s">
        <v>690</v>
      </c>
      <c r="F256" s="44">
        <v>741605</v>
      </c>
      <c r="G256" s="43" t="s">
        <v>2507</v>
      </c>
      <c r="H256" s="45"/>
      <c r="I256" s="43" t="s">
        <v>2492</v>
      </c>
      <c r="J256" s="45" t="s">
        <v>2435</v>
      </c>
      <c r="K256" s="52">
        <v>39557.61</v>
      </c>
    </row>
    <row r="257" spans="2:11" x14ac:dyDescent="0.3">
      <c r="B257" s="43" t="s">
        <v>2115</v>
      </c>
      <c r="C257" s="43" t="s">
        <v>2402</v>
      </c>
      <c r="D257" s="43" t="s">
        <v>2413</v>
      </c>
      <c r="E257" s="43" t="s">
        <v>2443</v>
      </c>
      <c r="F257" s="44">
        <v>741801</v>
      </c>
      <c r="G257" s="43" t="s">
        <v>2508</v>
      </c>
      <c r="H257" s="45"/>
      <c r="I257" s="43" t="s">
        <v>2492</v>
      </c>
      <c r="J257" s="45" t="s">
        <v>2435</v>
      </c>
      <c r="K257" s="52">
        <v>57664.5</v>
      </c>
    </row>
    <row r="258" spans="2:11" x14ac:dyDescent="0.3">
      <c r="B258" s="43" t="s">
        <v>2115</v>
      </c>
      <c r="C258" s="43" t="s">
        <v>2402</v>
      </c>
      <c r="D258" s="43" t="s">
        <v>2413</v>
      </c>
      <c r="E258" s="43" t="s">
        <v>690</v>
      </c>
      <c r="F258" s="44">
        <v>741803</v>
      </c>
      <c r="G258" s="43" t="s">
        <v>2509</v>
      </c>
      <c r="H258" s="45"/>
      <c r="I258" s="43" t="s">
        <v>2492</v>
      </c>
      <c r="J258" s="45" t="s">
        <v>2435</v>
      </c>
      <c r="K258" s="52">
        <v>56090</v>
      </c>
    </row>
    <row r="259" spans="2:11" x14ac:dyDescent="0.3">
      <c r="B259" s="43" t="s">
        <v>2115</v>
      </c>
      <c r="C259" s="43" t="s">
        <v>2402</v>
      </c>
      <c r="D259" s="43" t="s">
        <v>2413</v>
      </c>
      <c r="E259" s="43" t="s">
        <v>2443</v>
      </c>
      <c r="F259" s="44">
        <v>742001</v>
      </c>
      <c r="G259" s="43" t="s">
        <v>2510</v>
      </c>
      <c r="H259" s="45"/>
      <c r="I259" s="43" t="s">
        <v>2333</v>
      </c>
      <c r="J259" s="45" t="s">
        <v>2503</v>
      </c>
      <c r="K259" s="52">
        <v>5151.1899999999996</v>
      </c>
    </row>
    <row r="260" spans="2:11" x14ac:dyDescent="0.3">
      <c r="B260" s="43" t="s">
        <v>2115</v>
      </c>
      <c r="C260" s="43" t="s">
        <v>2402</v>
      </c>
      <c r="D260" s="43" t="s">
        <v>2413</v>
      </c>
      <c r="E260" s="43" t="s">
        <v>2443</v>
      </c>
      <c r="F260" s="44">
        <v>742005</v>
      </c>
      <c r="G260" s="43" t="s">
        <v>2511</v>
      </c>
      <c r="H260" s="45"/>
      <c r="I260" s="43" t="s">
        <v>2333</v>
      </c>
      <c r="J260" s="45" t="s">
        <v>2503</v>
      </c>
      <c r="K260" s="52">
        <v>77938.91</v>
      </c>
    </row>
    <row r="261" spans="2:11" x14ac:dyDescent="0.3">
      <c r="B261" s="43" t="s">
        <v>2115</v>
      </c>
      <c r="C261" s="43" t="s">
        <v>2402</v>
      </c>
      <c r="D261" s="43" t="s">
        <v>2413</v>
      </c>
      <c r="E261" s="43" t="s">
        <v>2443</v>
      </c>
      <c r="F261" s="44">
        <v>742009</v>
      </c>
      <c r="G261" s="43" t="s">
        <v>2512</v>
      </c>
      <c r="H261" s="45"/>
      <c r="I261" s="43" t="s">
        <v>2333</v>
      </c>
      <c r="J261" s="45" t="s">
        <v>2503</v>
      </c>
      <c r="K261" s="52">
        <v>71459.19</v>
      </c>
    </row>
    <row r="262" spans="2:11" x14ac:dyDescent="0.3">
      <c r="B262" s="43" t="s">
        <v>2115</v>
      </c>
      <c r="C262" s="43" t="s">
        <v>2402</v>
      </c>
      <c r="D262" s="43" t="s">
        <v>2413</v>
      </c>
      <c r="E262" s="43" t="s">
        <v>2513</v>
      </c>
      <c r="F262" s="44">
        <v>760201</v>
      </c>
      <c r="G262" s="43" t="s">
        <v>2514</v>
      </c>
      <c r="H262" s="45" t="s">
        <v>2122</v>
      </c>
      <c r="I262" s="43" t="s">
        <v>2515</v>
      </c>
      <c r="J262" s="45" t="s">
        <v>2516</v>
      </c>
      <c r="K262" s="52">
        <v>627224.13</v>
      </c>
    </row>
    <row r="263" spans="2:11" x14ac:dyDescent="0.3">
      <c r="B263" s="43" t="s">
        <v>2115</v>
      </c>
      <c r="C263" s="43" t="s">
        <v>2402</v>
      </c>
      <c r="D263" s="43" t="s">
        <v>2413</v>
      </c>
      <c r="E263" s="43" t="s">
        <v>2513</v>
      </c>
      <c r="F263" s="44">
        <v>760401</v>
      </c>
      <c r="G263" s="43" t="s">
        <v>2517</v>
      </c>
      <c r="H263" s="45" t="s">
        <v>2119</v>
      </c>
      <c r="I263" s="43" t="s">
        <v>2515</v>
      </c>
      <c r="J263" s="45" t="s">
        <v>2516</v>
      </c>
      <c r="K263" s="52">
        <v>1102</v>
      </c>
    </row>
    <row r="264" spans="2:11" x14ac:dyDescent="0.3">
      <c r="B264" s="43" t="s">
        <v>2115</v>
      </c>
      <c r="C264" s="43" t="s">
        <v>2402</v>
      </c>
      <c r="D264" s="43" t="s">
        <v>2413</v>
      </c>
      <c r="E264" s="43" t="s">
        <v>2513</v>
      </c>
      <c r="F264" s="44">
        <v>760601</v>
      </c>
      <c r="G264" s="43" t="s">
        <v>2518</v>
      </c>
      <c r="H264" s="46" t="s">
        <v>2127</v>
      </c>
      <c r="I264" s="43" t="s">
        <v>2515</v>
      </c>
      <c r="J264" s="45" t="s">
        <v>2516</v>
      </c>
      <c r="K264" s="52">
        <v>4391419.72</v>
      </c>
    </row>
    <row r="265" spans="2:11" x14ac:dyDescent="0.3">
      <c r="B265" s="43" t="s">
        <v>2115</v>
      </c>
      <c r="C265" s="43" t="s">
        <v>2402</v>
      </c>
      <c r="D265" s="43" t="s">
        <v>2413</v>
      </c>
      <c r="E265" s="43" t="s">
        <v>2513</v>
      </c>
      <c r="F265" s="44">
        <v>760801</v>
      </c>
      <c r="G265" s="43" t="s">
        <v>2519</v>
      </c>
      <c r="H265" s="45" t="s">
        <v>2124</v>
      </c>
      <c r="I265" s="43" t="s">
        <v>2515</v>
      </c>
      <c r="J265" s="45" t="s">
        <v>2516</v>
      </c>
      <c r="K265" s="52">
        <v>1239</v>
      </c>
    </row>
    <row r="266" spans="2:11" x14ac:dyDescent="0.3">
      <c r="B266" s="43" t="s">
        <v>2115</v>
      </c>
      <c r="C266" s="43" t="s">
        <v>2402</v>
      </c>
      <c r="D266" s="43" t="s">
        <v>2413</v>
      </c>
      <c r="E266" s="43" t="s">
        <v>2513</v>
      </c>
      <c r="F266" s="44">
        <v>780201</v>
      </c>
      <c r="G266" s="43" t="s">
        <v>2520</v>
      </c>
      <c r="H266" s="45" t="s">
        <v>2154</v>
      </c>
      <c r="I266" s="43" t="s">
        <v>2521</v>
      </c>
      <c r="J266" s="45" t="s">
        <v>2522</v>
      </c>
      <c r="K266" s="52">
        <v>27994.27</v>
      </c>
    </row>
    <row r="267" spans="2:11" x14ac:dyDescent="0.3">
      <c r="B267" s="43" t="s">
        <v>2115</v>
      </c>
      <c r="C267" s="43" t="s">
        <v>2402</v>
      </c>
      <c r="D267" s="43" t="s">
        <v>2413</v>
      </c>
      <c r="E267" s="43" t="s">
        <v>2513</v>
      </c>
      <c r="F267" s="44">
        <v>780203</v>
      </c>
      <c r="G267" s="43" t="s">
        <v>2523</v>
      </c>
      <c r="H267" s="45" t="s">
        <v>2154</v>
      </c>
      <c r="I267" s="43" t="s">
        <v>2521</v>
      </c>
      <c r="J267" s="45" t="s">
        <v>2522</v>
      </c>
      <c r="K267" s="52">
        <v>10848.45</v>
      </c>
    </row>
    <row r="268" spans="2:11" x14ac:dyDescent="0.3">
      <c r="B268" s="43" t="s">
        <v>2115</v>
      </c>
      <c r="C268" s="43" t="s">
        <v>2402</v>
      </c>
      <c r="D268" s="43" t="s">
        <v>2413</v>
      </c>
      <c r="E268" s="43" t="s">
        <v>2513</v>
      </c>
      <c r="F268" s="44">
        <v>780401</v>
      </c>
      <c r="G268" s="43" t="s">
        <v>2524</v>
      </c>
      <c r="H268" s="45" t="s">
        <v>2154</v>
      </c>
      <c r="I268" s="43" t="s">
        <v>2521</v>
      </c>
      <c r="J268" s="45" t="s">
        <v>2522</v>
      </c>
      <c r="K268" s="52">
        <v>2477.7800000000002</v>
      </c>
    </row>
    <row r="269" spans="2:11" x14ac:dyDescent="0.3">
      <c r="B269" s="43" t="s">
        <v>2115</v>
      </c>
      <c r="C269" s="43" t="s">
        <v>2402</v>
      </c>
      <c r="D269" s="43" t="s">
        <v>2413</v>
      </c>
      <c r="E269" s="43" t="s">
        <v>2513</v>
      </c>
      <c r="F269" s="44">
        <v>780601</v>
      </c>
      <c r="G269" s="43" t="s">
        <v>2525</v>
      </c>
      <c r="H269" s="45" t="s">
        <v>2167</v>
      </c>
      <c r="I269" s="43" t="s">
        <v>2521</v>
      </c>
      <c r="J269" s="45" t="s">
        <v>2522</v>
      </c>
      <c r="K269" s="52">
        <v>10872.73</v>
      </c>
    </row>
    <row r="270" spans="2:11" x14ac:dyDescent="0.3">
      <c r="B270" s="43" t="s">
        <v>2115</v>
      </c>
      <c r="C270" s="43" t="s">
        <v>2402</v>
      </c>
      <c r="D270" s="43" t="s">
        <v>2413</v>
      </c>
      <c r="E270" s="43" t="s">
        <v>2513</v>
      </c>
      <c r="F270" s="44">
        <v>780603</v>
      </c>
      <c r="G270" s="43" t="s">
        <v>2526</v>
      </c>
      <c r="H270" s="45" t="s">
        <v>2167</v>
      </c>
      <c r="I270" s="43" t="s">
        <v>2211</v>
      </c>
      <c r="J270" s="45" t="s">
        <v>2212</v>
      </c>
      <c r="K270" s="52">
        <v>22793.41</v>
      </c>
    </row>
    <row r="271" spans="2:11" x14ac:dyDescent="0.3">
      <c r="B271" s="43" t="s">
        <v>2115</v>
      </c>
      <c r="C271" s="43" t="s">
        <v>2402</v>
      </c>
      <c r="D271" s="43" t="s">
        <v>2413</v>
      </c>
      <c r="E271" s="43" t="s">
        <v>2513</v>
      </c>
      <c r="F271" s="44">
        <v>780801</v>
      </c>
      <c r="G271" s="43" t="s">
        <v>2527</v>
      </c>
      <c r="H271" s="45" t="s">
        <v>2167</v>
      </c>
      <c r="I271" s="43" t="s">
        <v>2521</v>
      </c>
      <c r="J271" s="45" t="s">
        <v>2522</v>
      </c>
      <c r="K271" s="52">
        <v>2330.14</v>
      </c>
    </row>
    <row r="272" spans="2:11" x14ac:dyDescent="0.3">
      <c r="B272" s="43" t="s">
        <v>2115</v>
      </c>
      <c r="C272" s="43" t="s">
        <v>2402</v>
      </c>
      <c r="D272" s="43" t="s">
        <v>2413</v>
      </c>
      <c r="E272" s="43" t="s">
        <v>2513</v>
      </c>
      <c r="F272" s="44">
        <v>781001</v>
      </c>
      <c r="G272" s="43" t="s">
        <v>2528</v>
      </c>
      <c r="H272" s="45" t="s">
        <v>2163</v>
      </c>
      <c r="I272" s="43" t="s">
        <v>2521</v>
      </c>
      <c r="J272" s="45" t="s">
        <v>2522</v>
      </c>
      <c r="K272" s="52">
        <v>56051.24</v>
      </c>
    </row>
    <row r="273" spans="2:11" x14ac:dyDescent="0.3">
      <c r="B273" s="43" t="s">
        <v>2115</v>
      </c>
      <c r="C273" s="43" t="s">
        <v>2402</v>
      </c>
      <c r="D273" s="43" t="s">
        <v>2413</v>
      </c>
      <c r="E273" s="43" t="s">
        <v>2513</v>
      </c>
      <c r="F273" s="44">
        <v>781201</v>
      </c>
      <c r="G273" s="43" t="s">
        <v>2529</v>
      </c>
      <c r="H273" s="45" t="s">
        <v>2171</v>
      </c>
      <c r="I273" s="43" t="s">
        <v>2521</v>
      </c>
      <c r="J273" s="45" t="s">
        <v>2522</v>
      </c>
      <c r="K273" s="52">
        <v>20604.490000000002</v>
      </c>
    </row>
    <row r="274" spans="2:11" x14ac:dyDescent="0.3">
      <c r="B274" s="43" t="s">
        <v>2115</v>
      </c>
      <c r="C274" s="43" t="s">
        <v>2402</v>
      </c>
      <c r="D274" s="43" t="s">
        <v>2413</v>
      </c>
      <c r="E274" s="43" t="s">
        <v>2513</v>
      </c>
      <c r="F274" s="44">
        <v>781401</v>
      </c>
      <c r="G274" s="43" t="s">
        <v>2530</v>
      </c>
      <c r="H274" s="45" t="s">
        <v>2171</v>
      </c>
      <c r="I274" s="43" t="s">
        <v>2521</v>
      </c>
      <c r="J274" s="45" t="s">
        <v>2522</v>
      </c>
      <c r="K274" s="52">
        <v>23247.24</v>
      </c>
    </row>
    <row r="275" spans="2:11" x14ac:dyDescent="0.3">
      <c r="B275" s="43" t="s">
        <v>2115</v>
      </c>
      <c r="C275" s="43" t="s">
        <v>2402</v>
      </c>
      <c r="D275" s="43" t="s">
        <v>2413</v>
      </c>
      <c r="E275" s="43" t="s">
        <v>2513</v>
      </c>
      <c r="F275" s="44">
        <v>781801</v>
      </c>
      <c r="G275" s="43" t="s">
        <v>2531</v>
      </c>
      <c r="H275" s="45" t="s">
        <v>2174</v>
      </c>
      <c r="I275" s="43" t="s">
        <v>2521</v>
      </c>
      <c r="J275" s="45" t="s">
        <v>2522</v>
      </c>
      <c r="K275" s="52">
        <v>23160.06</v>
      </c>
    </row>
    <row r="276" spans="2:11" x14ac:dyDescent="0.3">
      <c r="B276" s="43" t="s">
        <v>2115</v>
      </c>
      <c r="C276" s="43" t="s">
        <v>2402</v>
      </c>
      <c r="D276" s="43" t="s">
        <v>2413</v>
      </c>
      <c r="E276" s="43" t="s">
        <v>2513</v>
      </c>
      <c r="F276" s="44">
        <v>782001</v>
      </c>
      <c r="G276" s="43" t="s">
        <v>2532</v>
      </c>
      <c r="H276" s="45" t="s">
        <v>2174</v>
      </c>
      <c r="I276" s="43" t="s">
        <v>2521</v>
      </c>
      <c r="J276" s="45" t="s">
        <v>2522</v>
      </c>
      <c r="K276" s="52">
        <v>2941.77</v>
      </c>
    </row>
    <row r="277" spans="2:11" x14ac:dyDescent="0.3">
      <c r="B277" s="43" t="s">
        <v>2115</v>
      </c>
      <c r="C277" s="43" t="s">
        <v>2402</v>
      </c>
      <c r="D277" s="43" t="s">
        <v>2413</v>
      </c>
      <c r="E277" s="43" t="s">
        <v>2513</v>
      </c>
      <c r="F277" s="44">
        <v>761001</v>
      </c>
      <c r="G277" s="43" t="s">
        <v>2533</v>
      </c>
      <c r="H277" s="45" t="s">
        <v>2140</v>
      </c>
      <c r="I277" s="43" t="s">
        <v>2515</v>
      </c>
      <c r="J277" s="45" t="s">
        <v>2516</v>
      </c>
      <c r="K277" s="52">
        <v>29686.15</v>
      </c>
    </row>
    <row r="278" spans="2:11" x14ac:dyDescent="0.3">
      <c r="B278" s="43" t="s">
        <v>2115</v>
      </c>
      <c r="C278" s="43" t="s">
        <v>2402</v>
      </c>
      <c r="D278" s="43" t="s">
        <v>2413</v>
      </c>
      <c r="E278" s="43" t="s">
        <v>2513</v>
      </c>
      <c r="F278" s="44">
        <v>761201</v>
      </c>
      <c r="G278" s="43" t="s">
        <v>2534</v>
      </c>
      <c r="H278" s="45" t="s">
        <v>2137</v>
      </c>
      <c r="I278" s="43" t="s">
        <v>2515</v>
      </c>
      <c r="J278" s="45" t="s">
        <v>2516</v>
      </c>
      <c r="K278" s="52">
        <v>0</v>
      </c>
    </row>
    <row r="279" spans="2:11" x14ac:dyDescent="0.3">
      <c r="B279" s="43" t="s">
        <v>2115</v>
      </c>
      <c r="C279" s="43" t="s">
        <v>2402</v>
      </c>
      <c r="D279" s="43" t="s">
        <v>2413</v>
      </c>
      <c r="E279" s="43" t="s">
        <v>2424</v>
      </c>
      <c r="F279" s="44">
        <v>800205</v>
      </c>
      <c r="G279" s="43" t="s">
        <v>2535</v>
      </c>
      <c r="H279" s="45"/>
      <c r="I279" s="43" t="s">
        <v>2536</v>
      </c>
      <c r="J279" s="45" t="s">
        <v>2537</v>
      </c>
      <c r="K279" s="52">
        <v>-5355660.1000000006</v>
      </c>
    </row>
    <row r="280" spans="2:11" x14ac:dyDescent="0.3">
      <c r="B280" s="43" t="s">
        <v>2115</v>
      </c>
      <c r="C280" s="43" t="s">
        <v>2402</v>
      </c>
      <c r="D280" s="43" t="s">
        <v>2413</v>
      </c>
      <c r="E280" s="43" t="s">
        <v>2424</v>
      </c>
      <c r="F280" s="44">
        <v>800405</v>
      </c>
      <c r="G280" s="43" t="s">
        <v>2538</v>
      </c>
      <c r="H280" s="45"/>
      <c r="I280" s="43" t="s">
        <v>2536</v>
      </c>
      <c r="J280" s="45" t="s">
        <v>2537</v>
      </c>
      <c r="K280" s="52">
        <v>2254513.16</v>
      </c>
    </row>
    <row r="281" spans="2:11" x14ac:dyDescent="0.3">
      <c r="B281" s="43" t="s">
        <v>2115</v>
      </c>
      <c r="C281" s="43" t="s">
        <v>2402</v>
      </c>
      <c r="D281" s="43" t="s">
        <v>2413</v>
      </c>
      <c r="E281" s="43" t="s">
        <v>2539</v>
      </c>
      <c r="F281" s="44">
        <v>820203</v>
      </c>
      <c r="G281" s="43" t="s">
        <v>2540</v>
      </c>
      <c r="H281" s="45"/>
      <c r="I281" s="43" t="s">
        <v>2541</v>
      </c>
      <c r="J281" s="45" t="s">
        <v>2542</v>
      </c>
      <c r="K281" s="52">
        <v>0</v>
      </c>
    </row>
    <row r="282" spans="2:11" x14ac:dyDescent="0.3">
      <c r="B282" s="43" t="s">
        <v>2115</v>
      </c>
      <c r="C282" s="43" t="s">
        <v>2402</v>
      </c>
      <c r="D282" s="43" t="s">
        <v>2413</v>
      </c>
      <c r="E282" s="43" t="s">
        <v>690</v>
      </c>
      <c r="F282" s="44">
        <v>840401</v>
      </c>
      <c r="G282" s="43" t="s">
        <v>2543</v>
      </c>
      <c r="H282" s="45"/>
      <c r="I282" s="43" t="s">
        <v>2544</v>
      </c>
      <c r="J282" s="45" t="s">
        <v>2545</v>
      </c>
      <c r="K282" s="52">
        <v>1245.4299999999998</v>
      </c>
    </row>
    <row r="283" spans="2:11" x14ac:dyDescent="0.3">
      <c r="B283" s="43" t="s">
        <v>2115</v>
      </c>
      <c r="C283" s="43" t="s">
        <v>2402</v>
      </c>
      <c r="D283" s="43" t="s">
        <v>2413</v>
      </c>
      <c r="E283" s="43" t="s">
        <v>690</v>
      </c>
      <c r="F283" s="44">
        <v>840403</v>
      </c>
      <c r="G283" s="43" t="s">
        <v>2546</v>
      </c>
      <c r="H283" s="45"/>
      <c r="I283" s="43" t="s">
        <v>2544</v>
      </c>
      <c r="J283" s="45" t="s">
        <v>2545</v>
      </c>
      <c r="K283" s="52">
        <v>11405.68</v>
      </c>
    </row>
    <row r="284" spans="2:11" x14ac:dyDescent="0.3">
      <c r="B284" s="43" t="s">
        <v>2115</v>
      </c>
      <c r="C284" s="43" t="s">
        <v>2402</v>
      </c>
      <c r="D284" s="43" t="s">
        <v>2413</v>
      </c>
      <c r="E284" s="43" t="s">
        <v>690</v>
      </c>
      <c r="F284" s="44">
        <v>840601</v>
      </c>
      <c r="G284" s="43" t="s">
        <v>2547</v>
      </c>
      <c r="H284" s="45"/>
      <c r="I284" s="43" t="s">
        <v>2544</v>
      </c>
      <c r="J284" s="45" t="s">
        <v>2545</v>
      </c>
      <c r="K284" s="52">
        <v>2132.81</v>
      </c>
    </row>
    <row r="285" spans="2:11" x14ac:dyDescent="0.3">
      <c r="B285" s="43" t="s">
        <v>2115</v>
      </c>
      <c r="C285" s="43" t="s">
        <v>2402</v>
      </c>
      <c r="D285" s="43" t="s">
        <v>2413</v>
      </c>
      <c r="E285" s="43" t="s">
        <v>690</v>
      </c>
      <c r="F285" s="44">
        <v>860201</v>
      </c>
      <c r="G285" s="43" t="s">
        <v>2548</v>
      </c>
      <c r="H285" s="45"/>
      <c r="I285" s="43" t="s">
        <v>2544</v>
      </c>
      <c r="J285" s="45" t="s">
        <v>2545</v>
      </c>
      <c r="K285" s="52">
        <v>0</v>
      </c>
    </row>
    <row r="286" spans="2:11" x14ac:dyDescent="0.3">
      <c r="B286" s="43" t="s">
        <v>2115</v>
      </c>
      <c r="C286" s="43" t="s">
        <v>2402</v>
      </c>
      <c r="D286" s="43" t="s">
        <v>2413</v>
      </c>
      <c r="E286" s="43" t="s">
        <v>2419</v>
      </c>
      <c r="F286" s="44">
        <v>860205</v>
      </c>
      <c r="G286" s="43" t="s">
        <v>2549</v>
      </c>
      <c r="H286" s="45"/>
      <c r="I286" s="43" t="s">
        <v>2544</v>
      </c>
      <c r="J286" s="45" t="s">
        <v>2545</v>
      </c>
      <c r="K286" s="52">
        <v>0</v>
      </c>
    </row>
    <row r="287" spans="2:11" x14ac:dyDescent="0.3">
      <c r="B287" s="43" t="s">
        <v>2115</v>
      </c>
      <c r="C287" s="43" t="s">
        <v>2402</v>
      </c>
      <c r="D287" s="43" t="s">
        <v>2413</v>
      </c>
      <c r="E287" s="43" t="s">
        <v>2419</v>
      </c>
      <c r="F287" s="44">
        <v>860207</v>
      </c>
      <c r="G287" s="43" t="s">
        <v>2550</v>
      </c>
      <c r="H287" s="45"/>
      <c r="I287" s="43" t="s">
        <v>2544</v>
      </c>
      <c r="J287" s="45" t="s">
        <v>2545</v>
      </c>
      <c r="K287" s="52">
        <v>22519.83</v>
      </c>
    </row>
    <row r="288" spans="2:11" x14ac:dyDescent="0.3">
      <c r="B288" s="43" t="s">
        <v>2115</v>
      </c>
      <c r="C288" s="43" t="s">
        <v>2402</v>
      </c>
      <c r="D288" s="43" t="s">
        <v>2413</v>
      </c>
      <c r="E288" s="43" t="s">
        <v>690</v>
      </c>
      <c r="F288" s="44">
        <v>860209</v>
      </c>
      <c r="G288" s="43" t="s">
        <v>2551</v>
      </c>
      <c r="H288" s="45"/>
      <c r="I288" s="43" t="s">
        <v>2211</v>
      </c>
      <c r="J288" s="45" t="s">
        <v>2212</v>
      </c>
      <c r="K288" s="52">
        <v>172.36</v>
      </c>
    </row>
    <row r="289" spans="2:11" x14ac:dyDescent="0.3">
      <c r="B289" s="43" t="s">
        <v>2115</v>
      </c>
      <c r="C289" s="43" t="s">
        <v>2402</v>
      </c>
      <c r="D289" s="43" t="s">
        <v>2413</v>
      </c>
      <c r="E289" s="43" t="s">
        <v>690</v>
      </c>
      <c r="F289" s="44">
        <v>880201</v>
      </c>
      <c r="G289" s="43" t="s">
        <v>2552</v>
      </c>
      <c r="H289" s="45"/>
      <c r="I289" s="43" t="s">
        <v>2544</v>
      </c>
      <c r="J289" s="45" t="s">
        <v>2545</v>
      </c>
      <c r="K289" s="52">
        <v>4657</v>
      </c>
    </row>
    <row r="290" spans="2:11" x14ac:dyDescent="0.3">
      <c r="B290" s="43" t="s">
        <v>2115</v>
      </c>
      <c r="C290" s="43" t="s">
        <v>2402</v>
      </c>
      <c r="D290" s="43" t="s">
        <v>2413</v>
      </c>
      <c r="E290" s="43" t="s">
        <v>690</v>
      </c>
      <c r="F290" s="44">
        <v>880203</v>
      </c>
      <c r="G290" s="43" t="s">
        <v>2553</v>
      </c>
      <c r="H290" s="45"/>
      <c r="I290" s="43" t="s">
        <v>2544</v>
      </c>
      <c r="J290" s="45" t="s">
        <v>2545</v>
      </c>
      <c r="K290" s="52">
        <v>4181.38</v>
      </c>
    </row>
    <row r="291" spans="2:11" x14ac:dyDescent="0.3">
      <c r="B291" s="43" t="s">
        <v>2115</v>
      </c>
      <c r="C291" s="43" t="s">
        <v>2402</v>
      </c>
      <c r="D291" s="43" t="s">
        <v>2413</v>
      </c>
      <c r="E291" s="43" t="s">
        <v>2554</v>
      </c>
      <c r="F291" s="44">
        <v>880205</v>
      </c>
      <c r="G291" s="43" t="s">
        <v>2555</v>
      </c>
      <c r="H291" s="45"/>
      <c r="I291" s="43" t="s">
        <v>2544</v>
      </c>
      <c r="J291" s="45" t="s">
        <v>2545</v>
      </c>
      <c r="K291" s="52">
        <v>142284.52000000002</v>
      </c>
    </row>
    <row r="292" spans="2:11" x14ac:dyDescent="0.3">
      <c r="B292" s="43" t="s">
        <v>2115</v>
      </c>
      <c r="C292" s="43" t="s">
        <v>2402</v>
      </c>
      <c r="D292" s="43" t="s">
        <v>2413</v>
      </c>
      <c r="E292" s="43" t="s">
        <v>2554</v>
      </c>
      <c r="F292" s="44">
        <v>880207</v>
      </c>
      <c r="G292" s="43" t="s">
        <v>2556</v>
      </c>
      <c r="H292" s="45"/>
      <c r="I292" s="43" t="s">
        <v>2544</v>
      </c>
      <c r="J292" s="45" t="s">
        <v>2545</v>
      </c>
      <c r="K292" s="52">
        <v>166401.98000000001</v>
      </c>
    </row>
    <row r="293" spans="2:11" x14ac:dyDescent="0.3">
      <c r="B293" s="43" t="s">
        <v>2115</v>
      </c>
      <c r="C293" s="43" t="s">
        <v>2402</v>
      </c>
      <c r="D293" s="43" t="s">
        <v>2413</v>
      </c>
      <c r="E293" s="43" t="s">
        <v>690</v>
      </c>
      <c r="F293" s="44">
        <v>880209</v>
      </c>
      <c r="G293" s="43" t="s">
        <v>2557</v>
      </c>
      <c r="H293" s="45"/>
      <c r="I293" s="43" t="s">
        <v>2544</v>
      </c>
      <c r="J293" s="45" t="s">
        <v>2545</v>
      </c>
      <c r="K293" s="52">
        <v>2685.5499999999997</v>
      </c>
    </row>
    <row r="294" spans="2:11" x14ac:dyDescent="0.3">
      <c r="B294" s="43" t="s">
        <v>2115</v>
      </c>
      <c r="C294" s="43" t="s">
        <v>2402</v>
      </c>
      <c r="D294" s="43" t="s">
        <v>2413</v>
      </c>
      <c r="E294" s="43" t="s">
        <v>690</v>
      </c>
      <c r="F294" s="44">
        <v>880211</v>
      </c>
      <c r="G294" s="43" t="s">
        <v>2558</v>
      </c>
      <c r="H294" s="45"/>
      <c r="I294" s="43" t="s">
        <v>2544</v>
      </c>
      <c r="J294" s="45" t="s">
        <v>2545</v>
      </c>
      <c r="K294" s="52">
        <v>3798.16</v>
      </c>
    </row>
    <row r="295" spans="2:11" x14ac:dyDescent="0.3">
      <c r="B295" s="43" t="s">
        <v>2115</v>
      </c>
      <c r="C295" s="43" t="s">
        <v>2402</v>
      </c>
      <c r="D295" s="43" t="s">
        <v>2413</v>
      </c>
      <c r="E295" s="43" t="s">
        <v>690</v>
      </c>
      <c r="F295" s="44">
        <v>880401</v>
      </c>
      <c r="G295" s="43" t="s">
        <v>2559</v>
      </c>
      <c r="H295" s="45"/>
      <c r="I295" s="43" t="s">
        <v>2544</v>
      </c>
      <c r="J295" s="45" t="s">
        <v>2545</v>
      </c>
      <c r="K295" s="52">
        <v>0</v>
      </c>
    </row>
    <row r="296" spans="2:11" x14ac:dyDescent="0.3">
      <c r="B296" s="43" t="s">
        <v>2115</v>
      </c>
      <c r="C296" s="43" t="s">
        <v>2402</v>
      </c>
      <c r="D296" s="43" t="s">
        <v>2413</v>
      </c>
      <c r="E296" s="43" t="s">
        <v>690</v>
      </c>
      <c r="F296" s="44">
        <v>880601</v>
      </c>
      <c r="G296" s="43" t="s">
        <v>2560</v>
      </c>
      <c r="H296" s="45"/>
      <c r="I296" s="43" t="s">
        <v>2544</v>
      </c>
      <c r="J296" s="45" t="s">
        <v>2545</v>
      </c>
      <c r="K296" s="52">
        <v>-107.49</v>
      </c>
    </row>
    <row r="297" spans="2:11" x14ac:dyDescent="0.3">
      <c r="B297" s="43" t="s">
        <v>2115</v>
      </c>
      <c r="C297" s="43" t="s">
        <v>2402</v>
      </c>
      <c r="D297" s="43" t="s">
        <v>2413</v>
      </c>
      <c r="E297" s="43" t="s">
        <v>690</v>
      </c>
      <c r="F297" s="44">
        <v>880801</v>
      </c>
      <c r="G297" s="43" t="s">
        <v>2561</v>
      </c>
      <c r="H297" s="45"/>
      <c r="I297" s="43" t="s">
        <v>2544</v>
      </c>
      <c r="J297" s="45" t="s">
        <v>2545</v>
      </c>
      <c r="K297" s="52">
        <v>0</v>
      </c>
    </row>
    <row r="298" spans="2:11" x14ac:dyDescent="0.3">
      <c r="B298" s="43" t="s">
        <v>2115</v>
      </c>
      <c r="C298" s="43" t="s">
        <v>2402</v>
      </c>
      <c r="D298" s="43" t="s">
        <v>2413</v>
      </c>
      <c r="E298" s="43" t="s">
        <v>690</v>
      </c>
      <c r="F298" s="44">
        <v>880803</v>
      </c>
      <c r="G298" s="43" t="s">
        <v>2562</v>
      </c>
      <c r="H298" s="45"/>
      <c r="I298" s="43" t="s">
        <v>2544</v>
      </c>
      <c r="J298" s="45" t="s">
        <v>2545</v>
      </c>
      <c r="K298" s="52">
        <v>6011.01</v>
      </c>
    </row>
    <row r="299" spans="2:11" x14ac:dyDescent="0.3">
      <c r="B299" s="43" t="s">
        <v>2115</v>
      </c>
      <c r="C299" s="43" t="s">
        <v>2402</v>
      </c>
      <c r="D299" s="43" t="s">
        <v>2413</v>
      </c>
      <c r="E299" s="43" t="s">
        <v>690</v>
      </c>
      <c r="F299" s="44">
        <v>881001</v>
      </c>
      <c r="G299" s="43" t="s">
        <v>2563</v>
      </c>
      <c r="H299" s="45"/>
      <c r="I299" s="43" t="s">
        <v>2544</v>
      </c>
      <c r="J299" s="45" t="s">
        <v>2545</v>
      </c>
      <c r="K299" s="52">
        <v>24465</v>
      </c>
    </row>
    <row r="300" spans="2:11" x14ac:dyDescent="0.3">
      <c r="B300" s="43" t="s">
        <v>2115</v>
      </c>
      <c r="C300" s="43" t="s">
        <v>2402</v>
      </c>
      <c r="D300" s="43" t="s">
        <v>2413</v>
      </c>
      <c r="E300" s="43" t="s">
        <v>2414</v>
      </c>
      <c r="F300" s="44">
        <v>900201</v>
      </c>
      <c r="G300" s="43" t="s">
        <v>2564</v>
      </c>
      <c r="H300" s="45"/>
      <c r="I300" s="43" t="s">
        <v>2565</v>
      </c>
      <c r="J300" s="45" t="s">
        <v>2566</v>
      </c>
      <c r="K300" s="52">
        <v>-214475.36</v>
      </c>
    </row>
    <row r="301" spans="2:11" x14ac:dyDescent="0.3">
      <c r="B301" s="43" t="s">
        <v>2115</v>
      </c>
      <c r="C301" s="43" t="s">
        <v>2402</v>
      </c>
      <c r="D301" s="43" t="s">
        <v>2403</v>
      </c>
      <c r="E301" s="43" t="s">
        <v>2414</v>
      </c>
      <c r="F301" s="44">
        <v>900209</v>
      </c>
      <c r="G301" s="43" t="s">
        <v>2567</v>
      </c>
      <c r="H301" s="45"/>
      <c r="I301" s="43" t="s">
        <v>2565</v>
      </c>
      <c r="J301" s="45" t="s">
        <v>2566</v>
      </c>
      <c r="K301" s="52">
        <v>-19111.54</v>
      </c>
    </row>
    <row r="302" spans="2:11" x14ac:dyDescent="0.3">
      <c r="B302" s="43" t="s">
        <v>2115</v>
      </c>
      <c r="C302" s="43" t="s">
        <v>2402</v>
      </c>
      <c r="D302" s="43" t="s">
        <v>2413</v>
      </c>
      <c r="E302" s="43" t="s">
        <v>2568</v>
      </c>
      <c r="F302" s="44">
        <v>920207</v>
      </c>
      <c r="G302" s="43" t="s">
        <v>2569</v>
      </c>
      <c r="H302" s="45"/>
      <c r="I302" s="43" t="s">
        <v>2570</v>
      </c>
      <c r="J302" s="45" t="s">
        <v>2571</v>
      </c>
      <c r="K302" s="52">
        <v>86476.27</v>
      </c>
    </row>
    <row r="303" spans="2:11" x14ac:dyDescent="0.3">
      <c r="B303" s="43" t="s">
        <v>2115</v>
      </c>
      <c r="C303" s="43" t="s">
        <v>2402</v>
      </c>
      <c r="D303" s="43" t="s">
        <v>2413</v>
      </c>
      <c r="E303" s="43" t="s">
        <v>2568</v>
      </c>
      <c r="F303" s="44">
        <v>920209</v>
      </c>
      <c r="G303" s="43" t="s">
        <v>2572</v>
      </c>
      <c r="H303" s="45"/>
      <c r="I303" s="43" t="s">
        <v>2570</v>
      </c>
      <c r="J303" s="45" t="s">
        <v>2571</v>
      </c>
      <c r="K303" s="52">
        <v>0</v>
      </c>
    </row>
    <row r="304" spans="2:11" x14ac:dyDescent="0.3">
      <c r="B304" s="43" t="s">
        <v>2115</v>
      </c>
      <c r="C304" s="43" t="s">
        <v>2402</v>
      </c>
      <c r="D304" s="43" t="s">
        <v>2413</v>
      </c>
      <c r="E304" s="43" t="s">
        <v>2568</v>
      </c>
      <c r="F304" s="44">
        <v>920211</v>
      </c>
      <c r="G304" s="43" t="s">
        <v>2573</v>
      </c>
      <c r="H304" s="45"/>
      <c r="I304" s="43" t="s">
        <v>2570</v>
      </c>
      <c r="J304" s="45" t="s">
        <v>2571</v>
      </c>
      <c r="K304" s="52">
        <v>378.35999999999996</v>
      </c>
    </row>
    <row r="305" spans="2:11" x14ac:dyDescent="0.3">
      <c r="B305" s="43" t="s">
        <v>2115</v>
      </c>
      <c r="C305" s="43" t="s">
        <v>2402</v>
      </c>
      <c r="D305" s="43" t="s">
        <v>2413</v>
      </c>
      <c r="E305" s="43" t="s">
        <v>2568</v>
      </c>
      <c r="F305" s="44">
        <v>920213</v>
      </c>
      <c r="G305" s="43" t="s">
        <v>2574</v>
      </c>
      <c r="H305" s="45"/>
      <c r="I305" s="43" t="s">
        <v>2570</v>
      </c>
      <c r="J305" s="45" t="s">
        <v>2571</v>
      </c>
      <c r="K305" s="52">
        <v>661.76</v>
      </c>
    </row>
    <row r="306" spans="2:11" x14ac:dyDescent="0.3">
      <c r="B306" s="43" t="s">
        <v>2115</v>
      </c>
      <c r="C306" s="43" t="s">
        <v>2402</v>
      </c>
      <c r="D306" s="43" t="s">
        <v>2413</v>
      </c>
      <c r="E306" s="43" t="s">
        <v>2568</v>
      </c>
      <c r="F306" s="44">
        <v>920215</v>
      </c>
      <c r="G306" s="43" t="s">
        <v>2575</v>
      </c>
      <c r="H306" s="45"/>
      <c r="I306" s="43" t="s">
        <v>2570</v>
      </c>
      <c r="J306" s="45" t="s">
        <v>2571</v>
      </c>
      <c r="K306" s="52">
        <v>487688.42</v>
      </c>
    </row>
    <row r="307" spans="2:11" x14ac:dyDescent="0.3">
      <c r="B307" s="43" t="s">
        <v>2115</v>
      </c>
      <c r="C307" s="43" t="s">
        <v>2402</v>
      </c>
      <c r="D307" s="43" t="s">
        <v>2413</v>
      </c>
      <c r="E307" s="43" t="s">
        <v>2568</v>
      </c>
      <c r="F307" s="44">
        <v>920217</v>
      </c>
      <c r="G307" s="43" t="s">
        <v>2576</v>
      </c>
      <c r="H307" s="45"/>
      <c r="I307" s="43" t="s">
        <v>2570</v>
      </c>
      <c r="J307" s="45" t="s">
        <v>2571</v>
      </c>
      <c r="K307" s="52">
        <v>0</v>
      </c>
    </row>
    <row r="308" spans="2:11" x14ac:dyDescent="0.3">
      <c r="B308" s="43" t="s">
        <v>2115</v>
      </c>
      <c r="C308" s="43" t="s">
        <v>2402</v>
      </c>
      <c r="D308" s="43" t="s">
        <v>2413</v>
      </c>
      <c r="E308" s="43" t="s">
        <v>2577</v>
      </c>
      <c r="F308" s="44">
        <v>940215</v>
      </c>
      <c r="G308" s="43" t="s">
        <v>2578</v>
      </c>
      <c r="H308" s="45"/>
      <c r="I308" s="43" t="s">
        <v>2579</v>
      </c>
      <c r="J308" s="45" t="s">
        <v>2580</v>
      </c>
      <c r="K308" s="52">
        <v>0</v>
      </c>
    </row>
    <row r="309" spans="2:11" x14ac:dyDescent="0.3">
      <c r="B309" s="43" t="s">
        <v>2115</v>
      </c>
      <c r="C309" s="43" t="s">
        <v>2402</v>
      </c>
      <c r="D309" s="43" t="s">
        <v>2413</v>
      </c>
      <c r="E309" s="43" t="s">
        <v>2408</v>
      </c>
      <c r="F309" s="44">
        <v>660411</v>
      </c>
      <c r="G309" s="43" t="s">
        <v>2581</v>
      </c>
      <c r="H309" s="45"/>
      <c r="I309" s="43" t="s">
        <v>2410</v>
      </c>
      <c r="J309" s="45" t="s">
        <v>2411</v>
      </c>
      <c r="K309" s="52">
        <v>-1980.62</v>
      </c>
    </row>
    <row r="310" spans="2:11" x14ac:dyDescent="0.3">
      <c r="B310" s="43" t="s">
        <v>2115</v>
      </c>
      <c r="C310" s="43" t="s">
        <v>2402</v>
      </c>
      <c r="D310" s="43" t="s">
        <v>2413</v>
      </c>
      <c r="E310" s="43" t="s">
        <v>2539</v>
      </c>
      <c r="F310" s="44">
        <v>820201</v>
      </c>
      <c r="G310" s="43" t="s">
        <v>2582</v>
      </c>
      <c r="H310" s="45"/>
      <c r="I310" s="43" t="s">
        <v>2583</v>
      </c>
      <c r="J310" s="45" t="s">
        <v>2584</v>
      </c>
      <c r="K310" s="52">
        <v>0</v>
      </c>
    </row>
    <row r="311" spans="2:11" x14ac:dyDescent="0.3">
      <c r="B311" s="43" t="s">
        <v>2115</v>
      </c>
      <c r="C311" s="43" t="s">
        <v>2116</v>
      </c>
      <c r="D311" s="43"/>
      <c r="E311" s="43" t="s">
        <v>2240</v>
      </c>
      <c r="F311" s="44" t="s">
        <v>2585</v>
      </c>
      <c r="G311" s="43" t="s">
        <v>2586</v>
      </c>
      <c r="H311" s="45"/>
      <c r="I311" s="43" t="s">
        <v>2362</v>
      </c>
      <c r="J311" s="45" t="s">
        <v>2243</v>
      </c>
      <c r="K311" s="52">
        <v>0</v>
      </c>
    </row>
    <row r="312" spans="2:11" x14ac:dyDescent="0.3">
      <c r="B312" s="43" t="s">
        <v>2115</v>
      </c>
      <c r="C312" s="43" t="s">
        <v>2116</v>
      </c>
      <c r="D312" s="43"/>
      <c r="E312" s="43" t="s">
        <v>2311</v>
      </c>
      <c r="F312" s="44" t="s">
        <v>2587</v>
      </c>
      <c r="G312" s="43" t="s">
        <v>2588</v>
      </c>
      <c r="H312" s="45"/>
      <c r="I312" s="43" t="s">
        <v>2211</v>
      </c>
      <c r="J312" s="45" t="s">
        <v>2212</v>
      </c>
      <c r="K312" s="52">
        <v>0</v>
      </c>
    </row>
    <row r="313" spans="2:11" x14ac:dyDescent="0.3">
      <c r="B313" s="43" t="s">
        <v>2115</v>
      </c>
      <c r="C313" s="43" t="s">
        <v>2116</v>
      </c>
      <c r="D313" s="43"/>
      <c r="E313" s="43" t="s">
        <v>2240</v>
      </c>
      <c r="F313" s="44" t="s">
        <v>2589</v>
      </c>
      <c r="G313" s="43" t="s">
        <v>2590</v>
      </c>
      <c r="H313" s="45"/>
      <c r="I313" s="43" t="s">
        <v>2211</v>
      </c>
      <c r="J313" s="45" t="s">
        <v>2212</v>
      </c>
      <c r="K313" s="52">
        <v>0</v>
      </c>
    </row>
    <row r="314" spans="2:11" x14ac:dyDescent="0.3">
      <c r="B314" s="43" t="s">
        <v>2115</v>
      </c>
      <c r="C314" s="43" t="s">
        <v>2116</v>
      </c>
      <c r="D314" s="43"/>
      <c r="E314" s="43" t="s">
        <v>2117</v>
      </c>
      <c r="F314" s="44">
        <v>100243</v>
      </c>
      <c r="G314" s="43" t="s">
        <v>2591</v>
      </c>
      <c r="H314" s="45" t="s">
        <v>2592</v>
      </c>
      <c r="I314" s="43" t="s">
        <v>2120</v>
      </c>
      <c r="J314" s="45" t="s">
        <v>2125</v>
      </c>
      <c r="K314" s="52">
        <v>0</v>
      </c>
    </row>
    <row r="315" spans="2:11" x14ac:dyDescent="0.3">
      <c r="B315" s="43" t="s">
        <v>2115</v>
      </c>
      <c r="C315" s="43" t="s">
        <v>2116</v>
      </c>
      <c r="D315" s="43"/>
      <c r="E315" s="43" t="s">
        <v>2240</v>
      </c>
      <c r="F315" s="44">
        <v>160212</v>
      </c>
      <c r="G315" s="43" t="s">
        <v>2593</v>
      </c>
      <c r="H315" s="45"/>
      <c r="I315" s="43" t="s">
        <v>2236</v>
      </c>
      <c r="J315" s="45" t="s">
        <v>2229</v>
      </c>
      <c r="K315" s="52">
        <v>166102.54999999999</v>
      </c>
    </row>
    <row r="316" spans="2:11" x14ac:dyDescent="0.3">
      <c r="B316" s="43" t="s">
        <v>2115</v>
      </c>
      <c r="C316" s="43" t="s">
        <v>2116</v>
      </c>
      <c r="D316" s="43"/>
      <c r="E316" s="43" t="s">
        <v>2207</v>
      </c>
      <c r="F316" s="44">
        <v>160214</v>
      </c>
      <c r="G316" s="43" t="s">
        <v>2594</v>
      </c>
      <c r="H316" s="45"/>
      <c r="I316" s="43" t="s">
        <v>2211</v>
      </c>
      <c r="J316" s="45" t="s">
        <v>2212</v>
      </c>
      <c r="K316" s="52">
        <v>0</v>
      </c>
    </row>
    <row r="317" spans="2:11" x14ac:dyDescent="0.3">
      <c r="B317" s="43" t="s">
        <v>2115</v>
      </c>
      <c r="C317" s="43" t="s">
        <v>2116</v>
      </c>
      <c r="D317" s="43"/>
      <c r="E317" s="43" t="s">
        <v>2231</v>
      </c>
      <c r="F317" s="44">
        <v>160411</v>
      </c>
      <c r="G317" s="43" t="s">
        <v>2595</v>
      </c>
      <c r="H317" s="45"/>
      <c r="I317" s="43" t="s">
        <v>2211</v>
      </c>
      <c r="J317" s="45" t="s">
        <v>2212</v>
      </c>
      <c r="K317" s="52">
        <v>2334868.4500000002</v>
      </c>
    </row>
    <row r="318" spans="2:11" x14ac:dyDescent="0.3">
      <c r="B318" s="43" t="s">
        <v>2115</v>
      </c>
      <c r="C318" s="43" t="s">
        <v>2116</v>
      </c>
      <c r="D318" s="43"/>
      <c r="E318" s="43" t="s">
        <v>2284</v>
      </c>
      <c r="F318" s="44">
        <v>180203</v>
      </c>
      <c r="G318" s="43" t="s">
        <v>2596</v>
      </c>
      <c r="H318" s="45"/>
      <c r="I318" s="43" t="s">
        <v>2265</v>
      </c>
      <c r="J318" s="45" t="s">
        <v>2266</v>
      </c>
      <c r="K318" s="52">
        <v>0</v>
      </c>
    </row>
    <row r="319" spans="2:11" x14ac:dyDescent="0.3">
      <c r="B319" s="43" t="s">
        <v>2115</v>
      </c>
      <c r="C319" s="43" t="s">
        <v>2116</v>
      </c>
      <c r="D319" s="43"/>
      <c r="E319" s="43" t="s">
        <v>2252</v>
      </c>
      <c r="F319" s="44">
        <v>180271</v>
      </c>
      <c r="G319" s="43" t="s">
        <v>2597</v>
      </c>
      <c r="H319" s="45"/>
      <c r="I319" s="43" t="s">
        <v>2254</v>
      </c>
      <c r="J319" s="45" t="s">
        <v>2257</v>
      </c>
      <c r="K319" s="52">
        <v>0</v>
      </c>
    </row>
    <row r="320" spans="2:11" x14ac:dyDescent="0.3">
      <c r="B320" s="43" t="s">
        <v>2115</v>
      </c>
      <c r="C320" s="43" t="s">
        <v>2116</v>
      </c>
      <c r="D320" s="43"/>
      <c r="E320" s="43" t="s">
        <v>2252</v>
      </c>
      <c r="F320" s="44">
        <v>180273</v>
      </c>
      <c r="G320" s="43" t="s">
        <v>2598</v>
      </c>
      <c r="H320" s="45"/>
      <c r="I320" s="43" t="s">
        <v>2211</v>
      </c>
      <c r="J320" s="45" t="s">
        <v>2212</v>
      </c>
      <c r="K320" s="52">
        <v>162028.18</v>
      </c>
    </row>
    <row r="321" spans="2:11" x14ac:dyDescent="0.3">
      <c r="B321" s="43" t="s">
        <v>2115</v>
      </c>
      <c r="C321" s="43" t="s">
        <v>2116</v>
      </c>
      <c r="D321" s="43"/>
      <c r="E321" s="43" t="s">
        <v>2252</v>
      </c>
      <c r="F321" s="44">
        <v>180275</v>
      </c>
      <c r="G321" s="43" t="s">
        <v>2599</v>
      </c>
      <c r="H321" s="45"/>
      <c r="I321" s="43" t="s">
        <v>2211</v>
      </c>
      <c r="J321" s="45" t="s">
        <v>2212</v>
      </c>
      <c r="K321" s="52">
        <v>172.48</v>
      </c>
    </row>
    <row r="322" spans="2:11" x14ac:dyDescent="0.3">
      <c r="B322" s="43" t="s">
        <v>2115</v>
      </c>
      <c r="C322" s="43" t="s">
        <v>2116</v>
      </c>
      <c r="D322" s="43"/>
      <c r="E322" s="43" t="s">
        <v>2252</v>
      </c>
      <c r="F322" s="44">
        <v>180277</v>
      </c>
      <c r="G322" s="43" t="s">
        <v>2600</v>
      </c>
      <c r="H322" s="45"/>
      <c r="I322" s="43" t="s">
        <v>2211</v>
      </c>
      <c r="J322" s="45" t="s">
        <v>2212</v>
      </c>
      <c r="K322" s="52">
        <v>1784.6</v>
      </c>
    </row>
    <row r="323" spans="2:11" x14ac:dyDescent="0.3">
      <c r="B323" s="43" t="s">
        <v>2115</v>
      </c>
      <c r="C323" s="43" t="s">
        <v>2116</v>
      </c>
      <c r="D323" s="43"/>
      <c r="E323" s="43" t="s">
        <v>2252</v>
      </c>
      <c r="F323" s="44">
        <v>180279</v>
      </c>
      <c r="G323" s="43" t="s">
        <v>2601</v>
      </c>
      <c r="H323" s="45"/>
      <c r="I323" s="43" t="s">
        <v>2211</v>
      </c>
      <c r="J323" s="45" t="s">
        <v>2212</v>
      </c>
      <c r="K323" s="52">
        <v>1.76</v>
      </c>
    </row>
    <row r="324" spans="2:11" x14ac:dyDescent="0.3">
      <c r="B324" s="43" t="s">
        <v>2115</v>
      </c>
      <c r="C324" s="43" t="s">
        <v>2116</v>
      </c>
      <c r="D324" s="43"/>
      <c r="E324" s="43" t="s">
        <v>2284</v>
      </c>
      <c r="F324" s="44">
        <v>280217</v>
      </c>
      <c r="G324" s="43" t="s">
        <v>2602</v>
      </c>
      <c r="H324" s="45"/>
      <c r="I324" s="43" t="s">
        <v>2286</v>
      </c>
      <c r="J324" s="45" t="s">
        <v>2266</v>
      </c>
      <c r="K324" s="52">
        <v>0</v>
      </c>
    </row>
    <row r="325" spans="2:11" x14ac:dyDescent="0.3">
      <c r="B325" s="43" t="s">
        <v>2115</v>
      </c>
      <c r="C325" s="43" t="s">
        <v>2116</v>
      </c>
      <c r="D325" s="43"/>
      <c r="E325" s="43" t="s">
        <v>2292</v>
      </c>
      <c r="F325" s="44">
        <v>300209</v>
      </c>
      <c r="G325" s="43" t="s">
        <v>2603</v>
      </c>
      <c r="H325" s="45"/>
      <c r="I325" s="43" t="s">
        <v>2211</v>
      </c>
      <c r="J325" s="45" t="s">
        <v>2212</v>
      </c>
      <c r="K325" s="52">
        <v>-555236.14</v>
      </c>
    </row>
    <row r="326" spans="2:11" x14ac:dyDescent="0.3">
      <c r="B326" s="43" t="s">
        <v>2115</v>
      </c>
      <c r="C326" s="43" t="s">
        <v>2116</v>
      </c>
      <c r="D326" s="43"/>
      <c r="E326" s="43" t="s">
        <v>2370</v>
      </c>
      <c r="F326" s="44">
        <v>320407</v>
      </c>
      <c r="G326" s="43" t="s">
        <v>2604</v>
      </c>
      <c r="H326" s="45"/>
      <c r="I326" s="43" t="s">
        <v>2211</v>
      </c>
      <c r="J326" s="45" t="s">
        <v>2212</v>
      </c>
      <c r="K326" s="52">
        <v>-3868.18</v>
      </c>
    </row>
    <row r="327" spans="2:11" x14ac:dyDescent="0.3">
      <c r="B327" s="43" t="s">
        <v>2115</v>
      </c>
      <c r="C327" s="43" t="s">
        <v>2402</v>
      </c>
      <c r="D327" s="43" t="s">
        <v>10</v>
      </c>
      <c r="E327" s="43" t="s">
        <v>2429</v>
      </c>
      <c r="F327" s="44">
        <v>620201</v>
      </c>
      <c r="G327" s="43" t="s">
        <v>2605</v>
      </c>
      <c r="H327" s="45"/>
      <c r="I327" s="43" t="s">
        <v>2606</v>
      </c>
      <c r="J327" s="45" t="s">
        <v>2607</v>
      </c>
      <c r="K327" s="52">
        <v>0</v>
      </c>
    </row>
    <row r="328" spans="2:11" x14ac:dyDescent="0.3">
      <c r="B328" s="43" t="s">
        <v>2115</v>
      </c>
      <c r="C328" s="43" t="s">
        <v>2402</v>
      </c>
      <c r="D328" s="43" t="s">
        <v>10</v>
      </c>
      <c r="E328" s="43" t="s">
        <v>2429</v>
      </c>
      <c r="F328" s="44">
        <v>620203</v>
      </c>
      <c r="G328" s="43" t="s">
        <v>2608</v>
      </c>
      <c r="H328" s="45"/>
      <c r="I328" s="43" t="s">
        <v>2211</v>
      </c>
      <c r="J328" s="45" t="s">
        <v>2212</v>
      </c>
      <c r="K328" s="52">
        <v>-789276.15</v>
      </c>
    </row>
    <row r="329" spans="2:11" x14ac:dyDescent="0.3">
      <c r="B329" s="43" t="s">
        <v>2115</v>
      </c>
      <c r="C329" s="43" t="s">
        <v>2402</v>
      </c>
      <c r="D329" s="43" t="s">
        <v>10</v>
      </c>
      <c r="E329" s="43" t="s">
        <v>2429</v>
      </c>
      <c r="F329" s="43" t="s">
        <v>2609</v>
      </c>
      <c r="G329" s="43" t="s">
        <v>2609</v>
      </c>
      <c r="H329" s="45"/>
      <c r="I329" s="43" t="s">
        <v>2610</v>
      </c>
      <c r="J329" s="45" t="s">
        <v>2611</v>
      </c>
      <c r="K329" s="52">
        <v>-5422691.4000000004</v>
      </c>
    </row>
    <row r="330" spans="2:11" x14ac:dyDescent="0.3">
      <c r="B330" s="43" t="s">
        <v>2115</v>
      </c>
      <c r="C330" s="43" t="s">
        <v>2402</v>
      </c>
      <c r="D330" s="43" t="s">
        <v>10</v>
      </c>
      <c r="E330" s="43" t="s">
        <v>2429</v>
      </c>
      <c r="F330" s="43" t="s">
        <v>2429</v>
      </c>
      <c r="G330" s="43" t="s">
        <v>2429</v>
      </c>
      <c r="H330" s="45"/>
      <c r="I330" s="43" t="s">
        <v>2610</v>
      </c>
      <c r="J330" s="45" t="s">
        <v>2611</v>
      </c>
      <c r="K330" s="52">
        <v>-1478.23</v>
      </c>
    </row>
    <row r="331" spans="2:11" x14ac:dyDescent="0.3">
      <c r="B331" s="43" t="s">
        <v>2115</v>
      </c>
      <c r="C331" s="43" t="s">
        <v>2402</v>
      </c>
      <c r="D331" s="43" t="s">
        <v>10</v>
      </c>
      <c r="E331" s="43" t="s">
        <v>695</v>
      </c>
      <c r="F331" s="43" t="s">
        <v>695</v>
      </c>
      <c r="G331" s="43" t="s">
        <v>695</v>
      </c>
      <c r="H331" s="45"/>
      <c r="I331" s="43" t="s">
        <v>2610</v>
      </c>
      <c r="J331" s="45" t="s">
        <v>2611</v>
      </c>
      <c r="K331" s="52">
        <v>-132712.1</v>
      </c>
    </row>
    <row r="332" spans="2:11" x14ac:dyDescent="0.3">
      <c r="B332" s="43" t="s">
        <v>2115</v>
      </c>
      <c r="C332" s="43" t="s">
        <v>2402</v>
      </c>
      <c r="D332" s="43" t="s">
        <v>10</v>
      </c>
      <c r="E332" s="43" t="s">
        <v>2429</v>
      </c>
      <c r="F332" s="43" t="s">
        <v>2612</v>
      </c>
      <c r="G332" s="43" t="s">
        <v>2612</v>
      </c>
      <c r="H332" s="45"/>
      <c r="I332" s="43" t="s">
        <v>2610</v>
      </c>
      <c r="J332" s="45" t="s">
        <v>2611</v>
      </c>
      <c r="K332" s="52">
        <v>0</v>
      </c>
    </row>
    <row r="333" spans="2:11" x14ac:dyDescent="0.3">
      <c r="B333" s="43" t="s">
        <v>2115</v>
      </c>
      <c r="C333" s="43" t="s">
        <v>2402</v>
      </c>
      <c r="D333" s="43" t="s">
        <v>10</v>
      </c>
      <c r="E333" s="43" t="s">
        <v>76</v>
      </c>
      <c r="F333" s="43" t="s">
        <v>76</v>
      </c>
      <c r="G333" s="43" t="s">
        <v>76</v>
      </c>
      <c r="H333" s="45"/>
      <c r="I333" s="43" t="s">
        <v>2610</v>
      </c>
      <c r="J333" s="45" t="s">
        <v>2611</v>
      </c>
      <c r="K333" s="52">
        <v>-2890914.33</v>
      </c>
    </row>
    <row r="334" spans="2:11" x14ac:dyDescent="0.3">
      <c r="B334" s="43" t="s">
        <v>2115</v>
      </c>
      <c r="C334" s="43" t="s">
        <v>2402</v>
      </c>
      <c r="D334" s="43" t="s">
        <v>10</v>
      </c>
      <c r="E334" s="43" t="s">
        <v>259</v>
      </c>
      <c r="F334" s="43" t="s">
        <v>2613</v>
      </c>
      <c r="G334" s="43" t="s">
        <v>2613</v>
      </c>
      <c r="H334" s="45"/>
      <c r="I334" s="43" t="s">
        <v>2610</v>
      </c>
      <c r="J334" s="45" t="s">
        <v>2611</v>
      </c>
      <c r="K334" s="52">
        <v>0</v>
      </c>
    </row>
    <row r="335" spans="2:11" x14ac:dyDescent="0.3">
      <c r="B335" s="43" t="s">
        <v>2115</v>
      </c>
      <c r="C335" s="43" t="s">
        <v>2402</v>
      </c>
      <c r="D335" s="43" t="s">
        <v>10</v>
      </c>
      <c r="E335" s="43" t="s">
        <v>259</v>
      </c>
      <c r="F335" s="43" t="s">
        <v>2614</v>
      </c>
      <c r="G335" s="43" t="s">
        <v>2614</v>
      </c>
      <c r="H335" s="45"/>
      <c r="I335" s="43" t="s">
        <v>2610</v>
      </c>
      <c r="J335" s="45" t="s">
        <v>2611</v>
      </c>
      <c r="K335" s="52">
        <v>0</v>
      </c>
    </row>
    <row r="336" spans="2:11" x14ac:dyDescent="0.3">
      <c r="B336" s="43" t="s">
        <v>2115</v>
      </c>
      <c r="C336" s="43" t="s">
        <v>2402</v>
      </c>
      <c r="D336" s="43" t="s">
        <v>10</v>
      </c>
      <c r="E336" s="43" t="s">
        <v>2429</v>
      </c>
      <c r="F336" s="43" t="s">
        <v>454</v>
      </c>
      <c r="G336" s="43" t="s">
        <v>454</v>
      </c>
      <c r="H336" s="45"/>
      <c r="I336" s="43" t="s">
        <v>2610</v>
      </c>
      <c r="J336" s="45" t="s">
        <v>2611</v>
      </c>
      <c r="K336" s="52">
        <v>-452505.19</v>
      </c>
    </row>
    <row r="337" spans="2:11" x14ac:dyDescent="0.3">
      <c r="B337" s="43" t="s">
        <v>2115</v>
      </c>
      <c r="C337" s="43" t="s">
        <v>2402</v>
      </c>
      <c r="D337" s="43" t="s">
        <v>10</v>
      </c>
      <c r="E337" s="43" t="s">
        <v>2429</v>
      </c>
      <c r="F337" s="43" t="s">
        <v>2615</v>
      </c>
      <c r="G337" s="43" t="s">
        <v>2615</v>
      </c>
      <c r="H337" s="45"/>
      <c r="I337" s="43" t="s">
        <v>2610</v>
      </c>
      <c r="J337" s="45" t="s">
        <v>2611</v>
      </c>
      <c r="K337" s="52">
        <v>418.8</v>
      </c>
    </row>
    <row r="338" spans="2:11" x14ac:dyDescent="0.3">
      <c r="B338" s="43" t="s">
        <v>2115</v>
      </c>
      <c r="C338" s="43" t="s">
        <v>2402</v>
      </c>
      <c r="D338" s="43" t="s">
        <v>10</v>
      </c>
      <c r="E338" s="43" t="s">
        <v>2429</v>
      </c>
      <c r="F338" s="43" t="s">
        <v>2616</v>
      </c>
      <c r="G338" s="43" t="s">
        <v>2616</v>
      </c>
      <c r="H338" s="45"/>
      <c r="I338" s="43" t="s">
        <v>2610</v>
      </c>
      <c r="J338" s="45" t="s">
        <v>2611</v>
      </c>
      <c r="K338" s="52">
        <v>-7492150.0300000003</v>
      </c>
    </row>
    <row r="339" spans="2:11" x14ac:dyDescent="0.3">
      <c r="B339" s="43" t="s">
        <v>2115</v>
      </c>
      <c r="C339" s="43" t="s">
        <v>2402</v>
      </c>
      <c r="D339" s="43" t="s">
        <v>10</v>
      </c>
      <c r="E339" s="43" t="s">
        <v>2429</v>
      </c>
      <c r="F339" s="43" t="s">
        <v>2617</v>
      </c>
      <c r="G339" s="43" t="s">
        <v>2617</v>
      </c>
      <c r="H339" s="45"/>
      <c r="I339" s="43" t="s">
        <v>2610</v>
      </c>
      <c r="J339" s="45" t="s">
        <v>2611</v>
      </c>
      <c r="K339" s="52">
        <v>-11342255.02</v>
      </c>
    </row>
    <row r="340" spans="2:11" x14ac:dyDescent="0.3">
      <c r="B340" s="43" t="s">
        <v>2115</v>
      </c>
      <c r="C340" s="43" t="s">
        <v>2402</v>
      </c>
      <c r="D340" s="43" t="s">
        <v>10</v>
      </c>
      <c r="E340" s="43" t="s">
        <v>2618</v>
      </c>
      <c r="F340" s="43" t="s">
        <v>2619</v>
      </c>
      <c r="G340" s="43" t="s">
        <v>2619</v>
      </c>
      <c r="H340" s="45"/>
      <c r="I340" s="43" t="s">
        <v>2610</v>
      </c>
      <c r="J340" s="45" t="s">
        <v>2611</v>
      </c>
      <c r="K340" s="52">
        <v>-387892.49</v>
      </c>
    </row>
    <row r="341" spans="2:11" x14ac:dyDescent="0.3">
      <c r="B341" s="43" t="s">
        <v>2115</v>
      </c>
      <c r="C341" s="43" t="s">
        <v>2402</v>
      </c>
      <c r="D341" s="43" t="s">
        <v>10</v>
      </c>
      <c r="E341" s="43" t="s">
        <v>2429</v>
      </c>
      <c r="F341" s="43" t="s">
        <v>463</v>
      </c>
      <c r="G341" s="43" t="s">
        <v>463</v>
      </c>
      <c r="H341" s="45"/>
      <c r="I341" s="43" t="s">
        <v>2610</v>
      </c>
      <c r="J341" s="45" t="s">
        <v>2611</v>
      </c>
      <c r="K341" s="52">
        <v>-20882.060000000001</v>
      </c>
    </row>
    <row r="342" spans="2:11" x14ac:dyDescent="0.3">
      <c r="B342" s="43" t="s">
        <v>2115</v>
      </c>
      <c r="C342" s="43" t="s">
        <v>2402</v>
      </c>
      <c r="D342" s="43" t="s">
        <v>10</v>
      </c>
      <c r="E342" s="43" t="s">
        <v>2620</v>
      </c>
      <c r="F342" s="43" t="s">
        <v>2620</v>
      </c>
      <c r="G342" s="43" t="s">
        <v>2620</v>
      </c>
      <c r="H342" s="45"/>
      <c r="I342" s="43" t="s">
        <v>2610</v>
      </c>
      <c r="J342" s="45" t="s">
        <v>2611</v>
      </c>
      <c r="K342" s="52">
        <v>0</v>
      </c>
    </row>
    <row r="343" spans="2:11" x14ac:dyDescent="0.3">
      <c r="B343" s="43" t="s">
        <v>2115</v>
      </c>
      <c r="C343" s="43" t="s">
        <v>2402</v>
      </c>
      <c r="D343" s="43" t="s">
        <v>10</v>
      </c>
      <c r="E343" s="43" t="s">
        <v>2429</v>
      </c>
      <c r="F343" s="43" t="s">
        <v>2621</v>
      </c>
      <c r="G343" s="43" t="s">
        <v>2621</v>
      </c>
      <c r="H343" s="45"/>
      <c r="I343" s="43" t="s">
        <v>2133</v>
      </c>
      <c r="J343" s="45" t="s">
        <v>2133</v>
      </c>
      <c r="K343" s="52">
        <v>-324000</v>
      </c>
    </row>
    <row r="344" spans="2:11" x14ac:dyDescent="0.3">
      <c r="B344" s="43" t="s">
        <v>2115</v>
      </c>
      <c r="C344" s="43" t="s">
        <v>2402</v>
      </c>
      <c r="D344" s="43" t="s">
        <v>10</v>
      </c>
      <c r="E344" s="43" t="s">
        <v>2429</v>
      </c>
      <c r="F344" s="43" t="s">
        <v>2622</v>
      </c>
      <c r="G344" s="43" t="s">
        <v>2622</v>
      </c>
      <c r="H344" s="45"/>
      <c r="I344" s="43" t="s">
        <v>2133</v>
      </c>
      <c r="J344" s="45" t="s">
        <v>2133</v>
      </c>
      <c r="K344" s="52">
        <v>-351071.4</v>
      </c>
    </row>
    <row r="345" spans="2:11" x14ac:dyDescent="0.3">
      <c r="B345" s="43" t="s">
        <v>2115</v>
      </c>
      <c r="C345" s="43" t="s">
        <v>2402</v>
      </c>
      <c r="D345" s="43" t="s">
        <v>10</v>
      </c>
      <c r="E345" s="43" t="s">
        <v>2429</v>
      </c>
      <c r="F345" s="43" t="s">
        <v>2623</v>
      </c>
      <c r="G345" s="43" t="s">
        <v>2623</v>
      </c>
      <c r="H345" s="45"/>
      <c r="I345" s="43" t="s">
        <v>2133</v>
      </c>
      <c r="J345" s="45" t="s">
        <v>2133</v>
      </c>
      <c r="K345" s="52">
        <v>0</v>
      </c>
    </row>
    <row r="346" spans="2:11" x14ac:dyDescent="0.3">
      <c r="B346" s="43" t="s">
        <v>2115</v>
      </c>
      <c r="C346" s="43" t="s">
        <v>2402</v>
      </c>
      <c r="D346" s="43" t="s">
        <v>10</v>
      </c>
      <c r="E346" s="43" t="s">
        <v>2429</v>
      </c>
      <c r="F346" s="43" t="s">
        <v>19</v>
      </c>
      <c r="G346" s="43" t="s">
        <v>19</v>
      </c>
      <c r="H346" s="45"/>
      <c r="I346" s="43" t="s">
        <v>2133</v>
      </c>
      <c r="J346" s="45" t="s">
        <v>2133</v>
      </c>
      <c r="K346" s="52">
        <v>-8286854.5300000003</v>
      </c>
    </row>
    <row r="347" spans="2:11" x14ac:dyDescent="0.3">
      <c r="B347" s="43" t="s">
        <v>2115</v>
      </c>
      <c r="C347" s="43" t="s">
        <v>2402</v>
      </c>
      <c r="D347" s="43" t="s">
        <v>2413</v>
      </c>
      <c r="E347" s="43" t="s">
        <v>690</v>
      </c>
      <c r="F347" s="44">
        <v>701807</v>
      </c>
      <c r="G347" s="43" t="s">
        <v>2624</v>
      </c>
      <c r="H347" s="45"/>
      <c r="I347" s="43" t="s">
        <v>2434</v>
      </c>
      <c r="J347" s="45" t="s">
        <v>2435</v>
      </c>
      <c r="K347" s="52">
        <v>1300</v>
      </c>
    </row>
    <row r="348" spans="2:11" x14ac:dyDescent="0.3">
      <c r="B348" s="43" t="s">
        <v>2115</v>
      </c>
      <c r="C348" s="43" t="s">
        <v>2402</v>
      </c>
      <c r="D348" s="43" t="s">
        <v>2413</v>
      </c>
      <c r="E348" s="43" t="s">
        <v>2443</v>
      </c>
      <c r="F348" s="44">
        <v>741607</v>
      </c>
      <c r="G348" s="43" t="s">
        <v>2625</v>
      </c>
      <c r="H348" s="45"/>
      <c r="I348" s="43" t="s">
        <v>2492</v>
      </c>
      <c r="J348" s="45" t="s">
        <v>2435</v>
      </c>
      <c r="K348" s="52">
        <v>97340.13</v>
      </c>
    </row>
    <row r="349" spans="2:11" x14ac:dyDescent="0.3">
      <c r="B349" s="43" t="s">
        <v>2115</v>
      </c>
      <c r="C349" s="43" t="s">
        <v>2402</v>
      </c>
      <c r="D349" s="43" t="s">
        <v>2413</v>
      </c>
      <c r="E349" s="43" t="s">
        <v>2513</v>
      </c>
      <c r="F349" s="44">
        <v>782801</v>
      </c>
      <c r="G349" s="43" t="s">
        <v>2626</v>
      </c>
      <c r="H349" s="45" t="s">
        <v>2171</v>
      </c>
      <c r="I349" s="43" t="s">
        <v>2521</v>
      </c>
      <c r="J349" s="45" t="s">
        <v>2522</v>
      </c>
      <c r="K349" s="52">
        <v>912.99</v>
      </c>
    </row>
    <row r="350" spans="2:11" x14ac:dyDescent="0.3">
      <c r="B350" s="43" t="s">
        <v>2115</v>
      </c>
      <c r="C350" s="43" t="s">
        <v>2402</v>
      </c>
      <c r="D350" s="43" t="s">
        <v>2413</v>
      </c>
      <c r="E350" s="43" t="s">
        <v>2513</v>
      </c>
      <c r="F350" s="44">
        <v>783001</v>
      </c>
      <c r="G350" s="43" t="s">
        <v>2627</v>
      </c>
      <c r="H350" s="45" t="s">
        <v>2171</v>
      </c>
      <c r="I350" s="43" t="s">
        <v>2133</v>
      </c>
      <c r="J350" s="45" t="s">
        <v>2133</v>
      </c>
      <c r="K350" s="52">
        <v>0</v>
      </c>
    </row>
    <row r="351" spans="2:11" x14ac:dyDescent="0.3">
      <c r="B351" s="43" t="s">
        <v>2115</v>
      </c>
      <c r="C351" s="43" t="s">
        <v>2402</v>
      </c>
      <c r="D351" s="43" t="s">
        <v>2413</v>
      </c>
      <c r="E351" s="43" t="s">
        <v>2577</v>
      </c>
      <c r="F351" s="44">
        <v>940201</v>
      </c>
      <c r="G351" s="43" t="s">
        <v>2628</v>
      </c>
      <c r="H351" s="45"/>
      <c r="I351" s="43" t="s">
        <v>2579</v>
      </c>
      <c r="J351" s="45" t="s">
        <v>2580</v>
      </c>
      <c r="K351" s="52">
        <v>8469</v>
      </c>
    </row>
    <row r="352" spans="2:11" x14ac:dyDescent="0.3">
      <c r="B352" s="43" t="s">
        <v>2115</v>
      </c>
      <c r="C352" s="43" t="s">
        <v>2402</v>
      </c>
      <c r="D352" s="43" t="s">
        <v>2413</v>
      </c>
      <c r="E352" s="43" t="s">
        <v>2577</v>
      </c>
      <c r="F352" s="44">
        <v>940209</v>
      </c>
      <c r="G352" s="43" t="s">
        <v>2629</v>
      </c>
      <c r="H352" s="45"/>
      <c r="I352" s="43" t="s">
        <v>2579</v>
      </c>
      <c r="J352" s="45" t="s">
        <v>2580</v>
      </c>
      <c r="K352" s="52">
        <v>45959</v>
      </c>
    </row>
    <row r="353" spans="2:11" x14ac:dyDescent="0.3">
      <c r="B353" s="43" t="s">
        <v>2115</v>
      </c>
      <c r="C353" s="43" t="s">
        <v>2402</v>
      </c>
      <c r="D353" s="43" t="s">
        <v>2413</v>
      </c>
      <c r="E353" s="43" t="s">
        <v>2577</v>
      </c>
      <c r="F353" s="44">
        <v>940601</v>
      </c>
      <c r="G353" s="43" t="s">
        <v>2630</v>
      </c>
      <c r="H353" s="45"/>
      <c r="I353" s="43" t="s">
        <v>2631</v>
      </c>
      <c r="J353" s="45" t="s">
        <v>2632</v>
      </c>
      <c r="K353" s="52">
        <v>0</v>
      </c>
    </row>
    <row r="354" spans="2:11" x14ac:dyDescent="0.3">
      <c r="B354" s="43" t="s">
        <v>2115</v>
      </c>
      <c r="C354" s="43" t="s">
        <v>2116</v>
      </c>
      <c r="D354" s="43"/>
      <c r="E354" s="43" t="s">
        <v>2117</v>
      </c>
      <c r="F354" s="44" t="s">
        <v>2633</v>
      </c>
      <c r="G354" s="43" t="s">
        <v>2634</v>
      </c>
      <c r="H354" s="45" t="s">
        <v>2635</v>
      </c>
      <c r="I354" s="43" t="s">
        <v>2120</v>
      </c>
      <c r="J354" s="45" t="s">
        <v>2636</v>
      </c>
      <c r="K354" s="52">
        <v>0</v>
      </c>
    </row>
    <row r="355" spans="2:11" x14ac:dyDescent="0.3">
      <c r="B355" s="43" t="s">
        <v>2115</v>
      </c>
      <c r="C355" s="43" t="s">
        <v>2116</v>
      </c>
      <c r="D355" s="43"/>
      <c r="E355" s="43" t="s">
        <v>2117</v>
      </c>
      <c r="F355" s="44" t="s">
        <v>2637</v>
      </c>
      <c r="G355" s="43" t="s">
        <v>2634</v>
      </c>
      <c r="H355" s="45" t="s">
        <v>2635</v>
      </c>
      <c r="I355" s="43" t="s">
        <v>2120</v>
      </c>
      <c r="J355" s="45" t="s">
        <v>2636</v>
      </c>
      <c r="K355" s="52">
        <v>0</v>
      </c>
    </row>
    <row r="356" spans="2:11" x14ac:dyDescent="0.3">
      <c r="B356" s="43" t="s">
        <v>2115</v>
      </c>
      <c r="C356" s="43" t="s">
        <v>2402</v>
      </c>
      <c r="D356" s="43" t="s">
        <v>2413</v>
      </c>
      <c r="E356" s="43" t="s">
        <v>690</v>
      </c>
      <c r="F356" s="44">
        <v>700603</v>
      </c>
      <c r="G356" s="43" t="s">
        <v>2638</v>
      </c>
      <c r="H356" s="45"/>
      <c r="I356" s="43" t="s">
        <v>2434</v>
      </c>
      <c r="J356" s="45" t="s">
        <v>2435</v>
      </c>
      <c r="K356" s="52">
        <v>26814.940000000002</v>
      </c>
    </row>
    <row r="357" spans="2:11" x14ac:dyDescent="0.3">
      <c r="B357" s="43" t="s">
        <v>2115</v>
      </c>
      <c r="C357" s="43" t="s">
        <v>2402</v>
      </c>
      <c r="D357" s="43" t="s">
        <v>2413</v>
      </c>
      <c r="E357" s="43" t="s">
        <v>690</v>
      </c>
      <c r="F357" s="44">
        <v>700807</v>
      </c>
      <c r="G357" s="43" t="s">
        <v>2639</v>
      </c>
      <c r="H357" s="45"/>
      <c r="I357" s="43" t="s">
        <v>2434</v>
      </c>
      <c r="J357" s="45" t="s">
        <v>2435</v>
      </c>
      <c r="K357" s="52">
        <v>31325.5</v>
      </c>
    </row>
    <row r="358" spans="2:11" x14ac:dyDescent="0.3">
      <c r="B358" s="43" t="s">
        <v>2115</v>
      </c>
      <c r="C358" s="43" t="s">
        <v>2402</v>
      </c>
      <c r="D358" s="43" t="s">
        <v>2403</v>
      </c>
      <c r="E358" s="43" t="s">
        <v>2414</v>
      </c>
      <c r="F358" s="44">
        <v>900219</v>
      </c>
      <c r="G358" s="43" t="s">
        <v>2640</v>
      </c>
      <c r="H358" s="45"/>
      <c r="I358" s="43" t="s">
        <v>2565</v>
      </c>
      <c r="J358" s="45" t="s">
        <v>2566</v>
      </c>
      <c r="K358" s="52">
        <v>0</v>
      </c>
    </row>
    <row r="359" spans="2:11" x14ac:dyDescent="0.3">
      <c r="B359" s="43" t="s">
        <v>2115</v>
      </c>
      <c r="C359" s="43" t="s">
        <v>2116</v>
      </c>
      <c r="D359" s="43"/>
      <c r="E359" s="43" t="s">
        <v>2292</v>
      </c>
      <c r="F359" s="44">
        <v>320825</v>
      </c>
      <c r="G359" s="43" t="s">
        <v>2641</v>
      </c>
      <c r="H359" s="45"/>
      <c r="I359" s="43" t="s">
        <v>2387</v>
      </c>
      <c r="J359" s="45" t="s">
        <v>2388</v>
      </c>
      <c r="K359" s="52">
        <v>-391531.25</v>
      </c>
    </row>
    <row r="360" spans="2:11" x14ac:dyDescent="0.3">
      <c r="B360" s="43" t="s">
        <v>2115</v>
      </c>
      <c r="C360" s="43" t="s">
        <v>2402</v>
      </c>
      <c r="D360" s="43" t="s">
        <v>2413</v>
      </c>
      <c r="E360" s="43" t="s">
        <v>2443</v>
      </c>
      <c r="F360" s="44">
        <v>740209</v>
      </c>
      <c r="G360" s="43" t="s">
        <v>2642</v>
      </c>
      <c r="H360" s="45"/>
      <c r="I360" s="43" t="s">
        <v>2211</v>
      </c>
      <c r="J360" s="45" t="s">
        <v>2212</v>
      </c>
      <c r="K360" s="52">
        <v>79732.86</v>
      </c>
    </row>
    <row r="361" spans="2:11" x14ac:dyDescent="0.3">
      <c r="B361" s="43" t="s">
        <v>2115</v>
      </c>
      <c r="C361" s="43" t="s">
        <v>2402</v>
      </c>
      <c r="D361" s="43" t="s">
        <v>2413</v>
      </c>
      <c r="E361" s="43" t="s">
        <v>2443</v>
      </c>
      <c r="F361" s="44">
        <v>740211</v>
      </c>
      <c r="G361" s="43" t="s">
        <v>2643</v>
      </c>
      <c r="H361" s="45"/>
      <c r="I361" s="43" t="s">
        <v>2211</v>
      </c>
      <c r="J361" s="45" t="s">
        <v>2212</v>
      </c>
      <c r="K361" s="52">
        <v>225607.77</v>
      </c>
    </row>
    <row r="362" spans="2:11" x14ac:dyDescent="0.3">
      <c r="B362" s="43" t="s">
        <v>2115</v>
      </c>
      <c r="C362" s="43" t="s">
        <v>2402</v>
      </c>
      <c r="D362" s="43" t="s">
        <v>2413</v>
      </c>
      <c r="E362" s="43" t="s">
        <v>2443</v>
      </c>
      <c r="F362" s="44">
        <v>740213</v>
      </c>
      <c r="G362" s="43" t="s">
        <v>2644</v>
      </c>
      <c r="H362" s="45"/>
      <c r="I362" s="43" t="s">
        <v>2211</v>
      </c>
      <c r="J362" s="45" t="s">
        <v>2212</v>
      </c>
      <c r="K362" s="52">
        <v>89304.81</v>
      </c>
    </row>
    <row r="363" spans="2:11" x14ac:dyDescent="0.3">
      <c r="B363" s="43" t="s">
        <v>2115</v>
      </c>
      <c r="C363" s="43" t="s">
        <v>2402</v>
      </c>
      <c r="D363" s="43" t="s">
        <v>2403</v>
      </c>
      <c r="E363" s="43" t="s">
        <v>2408</v>
      </c>
      <c r="F363" s="43">
        <v>160203</v>
      </c>
      <c r="G363" s="43" t="s">
        <v>2645</v>
      </c>
      <c r="H363" s="45"/>
      <c r="I363" s="43" t="s">
        <v>2211</v>
      </c>
      <c r="J363" s="45" t="s">
        <v>2212</v>
      </c>
      <c r="K363" s="52">
        <v>-756.79</v>
      </c>
    </row>
    <row r="364" spans="2:11" x14ac:dyDescent="0.3">
      <c r="B364" s="43" t="s">
        <v>2115</v>
      </c>
      <c r="C364" s="43" t="s">
        <v>2402</v>
      </c>
      <c r="D364" s="43" t="s">
        <v>2413</v>
      </c>
      <c r="E364" s="43" t="s">
        <v>2577</v>
      </c>
      <c r="F364" s="43">
        <v>940401</v>
      </c>
      <c r="G364" s="43" t="s">
        <v>2646</v>
      </c>
      <c r="H364" s="45"/>
      <c r="I364" s="43" t="s">
        <v>2211</v>
      </c>
      <c r="J364" s="45" t="s">
        <v>2212</v>
      </c>
      <c r="K364" s="52">
        <v>0</v>
      </c>
    </row>
    <row r="365" spans="2:11" x14ac:dyDescent="0.3">
      <c r="B365" s="43" t="s">
        <v>2115</v>
      </c>
      <c r="C365" s="43" t="s">
        <v>2116</v>
      </c>
      <c r="D365" s="43"/>
      <c r="E365" s="43" t="s">
        <v>2252</v>
      </c>
      <c r="F365" s="50">
        <v>180265</v>
      </c>
      <c r="G365" s="43" t="s">
        <v>2647</v>
      </c>
      <c r="H365" s="45"/>
      <c r="I365" s="43" t="s">
        <v>2211</v>
      </c>
      <c r="J365" s="45" t="s">
        <v>2212</v>
      </c>
      <c r="K365" s="52">
        <v>-1.5</v>
      </c>
    </row>
    <row r="366" spans="2:11" x14ac:dyDescent="0.3">
      <c r="B366" s="43" t="s">
        <v>2115</v>
      </c>
      <c r="C366" s="43" t="s">
        <v>2116</v>
      </c>
      <c r="D366" s="43" t="s">
        <v>2189</v>
      </c>
      <c r="E366" s="43" t="s">
        <v>2152</v>
      </c>
      <c r="F366" s="43">
        <v>100469</v>
      </c>
      <c r="G366" s="43" t="s">
        <v>2648</v>
      </c>
      <c r="H366" s="45" t="s">
        <v>2191</v>
      </c>
      <c r="I366" s="43" t="s">
        <v>2211</v>
      </c>
      <c r="J366" s="45" t="s">
        <v>2212</v>
      </c>
      <c r="K366" s="52">
        <v>1164176.77</v>
      </c>
    </row>
    <row r="367" spans="2:11" x14ac:dyDescent="0.3">
      <c r="B367" s="43" t="s">
        <v>2115</v>
      </c>
      <c r="C367" s="43" t="s">
        <v>2116</v>
      </c>
      <c r="D367" s="43" t="s">
        <v>2189</v>
      </c>
      <c r="E367" s="43" t="s">
        <v>2152</v>
      </c>
      <c r="F367" s="43">
        <v>100471</v>
      </c>
      <c r="G367" s="43" t="s">
        <v>2649</v>
      </c>
      <c r="H367" s="45" t="s">
        <v>2191</v>
      </c>
      <c r="I367" s="43" t="s">
        <v>2211</v>
      </c>
      <c r="J367" s="45" t="s">
        <v>2212</v>
      </c>
      <c r="K367" s="52">
        <v>1645137.95</v>
      </c>
    </row>
    <row r="368" spans="2:11" x14ac:dyDescent="0.3">
      <c r="B368" s="43" t="s">
        <v>2115</v>
      </c>
      <c r="C368" s="43" t="s">
        <v>2116</v>
      </c>
      <c r="D368" s="43"/>
      <c r="E368" s="43" t="s">
        <v>2252</v>
      </c>
      <c r="F368" s="44">
        <v>180285</v>
      </c>
      <c r="G368" s="43" t="s">
        <v>2650</v>
      </c>
      <c r="H368" s="45"/>
      <c r="I368" s="43" t="s">
        <v>2211</v>
      </c>
      <c r="J368" s="45" t="s">
        <v>2212</v>
      </c>
      <c r="K368" s="52">
        <v>2756.07</v>
      </c>
    </row>
    <row r="369" spans="2:11" x14ac:dyDescent="0.3">
      <c r="B369" s="43" t="s">
        <v>2115</v>
      </c>
      <c r="C369" s="43" t="s">
        <v>2116</v>
      </c>
      <c r="D369" s="43"/>
      <c r="E369" s="43" t="s">
        <v>2370</v>
      </c>
      <c r="F369" s="44">
        <v>320415</v>
      </c>
      <c r="G369" s="43" t="s">
        <v>2651</v>
      </c>
      <c r="H369" s="45"/>
      <c r="I369" s="43" t="s">
        <v>2245</v>
      </c>
      <c r="J369" s="45" t="s">
        <v>2246</v>
      </c>
      <c r="K369" s="52">
        <v>0</v>
      </c>
    </row>
    <row r="370" spans="2:11" x14ac:dyDescent="0.3">
      <c r="B370" s="43" t="s">
        <v>2115</v>
      </c>
      <c r="C370" s="43" t="s">
        <v>2402</v>
      </c>
      <c r="D370" s="43" t="s">
        <v>2413</v>
      </c>
      <c r="E370" s="43" t="s">
        <v>2443</v>
      </c>
      <c r="F370" s="44">
        <v>701805</v>
      </c>
      <c r="G370" s="43" t="s">
        <v>2652</v>
      </c>
      <c r="H370" s="45"/>
      <c r="I370" s="43" t="s">
        <v>2434</v>
      </c>
      <c r="J370" s="45" t="s">
        <v>2435</v>
      </c>
      <c r="K370" s="52">
        <v>852.61</v>
      </c>
    </row>
    <row r="371" spans="2:11" x14ac:dyDescent="0.3">
      <c r="B371" s="43" t="s">
        <v>2115</v>
      </c>
      <c r="C371" s="43" t="s">
        <v>2116</v>
      </c>
      <c r="D371" s="43"/>
      <c r="E371" s="43" t="s">
        <v>2152</v>
      </c>
      <c r="F371" s="43">
        <v>100409</v>
      </c>
      <c r="G371" s="43" t="s">
        <v>2653</v>
      </c>
      <c r="H371" s="45" t="s">
        <v>2167</v>
      </c>
      <c r="I371" s="43" t="s">
        <v>2133</v>
      </c>
      <c r="J371" s="45" t="s">
        <v>2133</v>
      </c>
      <c r="K371" s="52">
        <v>69815.58</v>
      </c>
    </row>
    <row r="372" spans="2:11" x14ac:dyDescent="0.3">
      <c r="B372" s="43" t="s">
        <v>2115</v>
      </c>
      <c r="C372" s="43" t="s">
        <v>2116</v>
      </c>
      <c r="D372" s="43"/>
      <c r="E372" s="43" t="s">
        <v>2152</v>
      </c>
      <c r="F372" s="43">
        <v>100427</v>
      </c>
      <c r="G372" s="43" t="s">
        <v>2654</v>
      </c>
      <c r="H372" s="45" t="s">
        <v>2171</v>
      </c>
      <c r="I372" s="43" t="s">
        <v>2133</v>
      </c>
      <c r="J372" s="45" t="s">
        <v>2133</v>
      </c>
      <c r="K372" s="52">
        <v>46069.52</v>
      </c>
    </row>
    <row r="373" spans="2:11" x14ac:dyDescent="0.3">
      <c r="B373" s="43" t="s">
        <v>2115</v>
      </c>
      <c r="C373" s="43" t="s">
        <v>2116</v>
      </c>
      <c r="D373" s="43"/>
      <c r="E373" s="43" t="s">
        <v>2152</v>
      </c>
      <c r="F373" s="43">
        <v>100451</v>
      </c>
      <c r="G373" s="43" t="s">
        <v>2655</v>
      </c>
      <c r="H373" s="45" t="s">
        <v>2171</v>
      </c>
      <c r="I373" s="43" t="s">
        <v>2133</v>
      </c>
      <c r="J373" s="45" t="s">
        <v>2133</v>
      </c>
      <c r="K373" s="52">
        <v>-43338.58</v>
      </c>
    </row>
    <row r="374" spans="2:11" x14ac:dyDescent="0.3">
      <c r="B374" s="43" t="s">
        <v>2115</v>
      </c>
      <c r="C374" s="43" t="s">
        <v>2116</v>
      </c>
      <c r="D374" s="43" t="s">
        <v>2189</v>
      </c>
      <c r="E374" s="43" t="s">
        <v>2152</v>
      </c>
      <c r="F374" s="43">
        <v>100473</v>
      </c>
      <c r="G374" s="43" t="s">
        <v>2656</v>
      </c>
      <c r="H374" s="45" t="s">
        <v>2191</v>
      </c>
      <c r="I374" s="43" t="s">
        <v>2133</v>
      </c>
      <c r="J374" s="45" t="s">
        <v>2133</v>
      </c>
      <c r="K374" s="52">
        <v>921393.76</v>
      </c>
    </row>
    <row r="375" spans="2:11" x14ac:dyDescent="0.3">
      <c r="B375" s="43" t="s">
        <v>2115</v>
      </c>
      <c r="C375" s="43" t="s">
        <v>2116</v>
      </c>
      <c r="D375" s="43" t="s">
        <v>2189</v>
      </c>
      <c r="E375" s="43" t="s">
        <v>2152</v>
      </c>
      <c r="F375" s="43">
        <v>100475</v>
      </c>
      <c r="G375" s="43" t="s">
        <v>2657</v>
      </c>
      <c r="H375" s="45" t="s">
        <v>2191</v>
      </c>
      <c r="I375" s="43" t="s">
        <v>2133</v>
      </c>
      <c r="J375" s="45" t="s">
        <v>2133</v>
      </c>
      <c r="K375" s="52">
        <v>973496.14</v>
      </c>
    </row>
    <row r="376" spans="2:11" x14ac:dyDescent="0.3">
      <c r="B376" s="43" t="s">
        <v>2115</v>
      </c>
      <c r="C376" s="43" t="s">
        <v>2116</v>
      </c>
      <c r="D376" s="43" t="s">
        <v>2189</v>
      </c>
      <c r="E376" s="43" t="s">
        <v>2152</v>
      </c>
      <c r="F376" s="43">
        <v>100477</v>
      </c>
      <c r="G376" s="43" t="s">
        <v>2658</v>
      </c>
      <c r="H376" s="45" t="s">
        <v>2191</v>
      </c>
      <c r="I376" s="43" t="s">
        <v>2133</v>
      </c>
      <c r="J376" s="45" t="s">
        <v>2133</v>
      </c>
      <c r="K376" s="52">
        <v>1115669.57</v>
      </c>
    </row>
    <row r="377" spans="2:11" x14ac:dyDescent="0.3">
      <c r="B377" s="43" t="s">
        <v>2115</v>
      </c>
      <c r="C377" s="43" t="s">
        <v>2116</v>
      </c>
      <c r="D377" s="43" t="s">
        <v>2189</v>
      </c>
      <c r="E377" s="43" t="s">
        <v>2152</v>
      </c>
      <c r="F377" s="43">
        <v>100479</v>
      </c>
      <c r="G377" s="43" t="s">
        <v>2659</v>
      </c>
      <c r="H377" s="45" t="s">
        <v>2191</v>
      </c>
      <c r="I377" s="43" t="s">
        <v>2133</v>
      </c>
      <c r="J377" s="45" t="s">
        <v>2133</v>
      </c>
      <c r="K377" s="52">
        <v>829090.49</v>
      </c>
    </row>
    <row r="378" spans="2:11" x14ac:dyDescent="0.3">
      <c r="B378" s="43" t="s">
        <v>2115</v>
      </c>
      <c r="C378" s="43" t="s">
        <v>2116</v>
      </c>
      <c r="D378" s="43" t="s">
        <v>2189</v>
      </c>
      <c r="E378" s="43" t="s">
        <v>2152</v>
      </c>
      <c r="F378" s="43">
        <v>100481</v>
      </c>
      <c r="G378" s="43" t="s">
        <v>2660</v>
      </c>
      <c r="H378" s="45" t="s">
        <v>2191</v>
      </c>
      <c r="I378" s="43" t="s">
        <v>2133</v>
      </c>
      <c r="J378" s="45" t="s">
        <v>2133</v>
      </c>
      <c r="K378" s="52">
        <v>1087160.78</v>
      </c>
    </row>
    <row r="379" spans="2:11" x14ac:dyDescent="0.3">
      <c r="B379" s="43" t="s">
        <v>2115</v>
      </c>
      <c r="C379" s="43" t="s">
        <v>2116</v>
      </c>
      <c r="D379" s="43" t="s">
        <v>2189</v>
      </c>
      <c r="E379" s="43" t="s">
        <v>2152</v>
      </c>
      <c r="F379" s="43">
        <v>100483</v>
      </c>
      <c r="G379" s="43" t="s">
        <v>2661</v>
      </c>
      <c r="H379" s="45" t="s">
        <v>2191</v>
      </c>
      <c r="I379" s="43" t="s">
        <v>2133</v>
      </c>
      <c r="J379" s="45" t="s">
        <v>2133</v>
      </c>
      <c r="K379" s="52">
        <v>991956.75</v>
      </c>
    </row>
    <row r="380" spans="2:11" x14ac:dyDescent="0.3">
      <c r="B380" s="43" t="s">
        <v>2115</v>
      </c>
      <c r="C380" s="43" t="s">
        <v>2116</v>
      </c>
      <c r="D380" s="43" t="s">
        <v>2189</v>
      </c>
      <c r="E380" s="43" t="s">
        <v>2152</v>
      </c>
      <c r="F380" s="43">
        <v>100485</v>
      </c>
      <c r="G380" s="43" t="s">
        <v>2662</v>
      </c>
      <c r="H380" s="45" t="s">
        <v>2191</v>
      </c>
      <c r="I380" s="43" t="s">
        <v>2133</v>
      </c>
      <c r="J380" s="45" t="s">
        <v>2133</v>
      </c>
      <c r="K380" s="52">
        <v>916403.37</v>
      </c>
    </row>
    <row r="381" spans="2:11" x14ac:dyDescent="0.3">
      <c r="B381" s="43" t="s">
        <v>2115</v>
      </c>
      <c r="C381" s="43" t="s">
        <v>2116</v>
      </c>
      <c r="D381" s="43" t="s">
        <v>2189</v>
      </c>
      <c r="E381" s="43" t="s">
        <v>2152</v>
      </c>
      <c r="F381" s="43">
        <v>100487</v>
      </c>
      <c r="G381" s="43" t="s">
        <v>2663</v>
      </c>
      <c r="H381" s="45" t="s">
        <v>2191</v>
      </c>
      <c r="I381" s="43" t="s">
        <v>2133</v>
      </c>
      <c r="J381" s="45" t="s">
        <v>2133</v>
      </c>
      <c r="K381" s="52">
        <v>838538.06</v>
      </c>
    </row>
    <row r="382" spans="2:11" x14ac:dyDescent="0.3">
      <c r="B382" s="43" t="s">
        <v>2115</v>
      </c>
      <c r="C382" s="43" t="s">
        <v>2116</v>
      </c>
      <c r="D382" s="43" t="s">
        <v>2189</v>
      </c>
      <c r="E382" s="43" t="s">
        <v>2152</v>
      </c>
      <c r="F382" s="43">
        <v>100489</v>
      </c>
      <c r="G382" s="43" t="s">
        <v>2664</v>
      </c>
      <c r="H382" s="45" t="s">
        <v>2191</v>
      </c>
      <c r="I382" s="43" t="s">
        <v>2133</v>
      </c>
      <c r="J382" s="45" t="s">
        <v>2133</v>
      </c>
      <c r="K382" s="52">
        <v>1087448.49</v>
      </c>
    </row>
    <row r="383" spans="2:11" x14ac:dyDescent="0.3">
      <c r="B383" s="43" t="s">
        <v>2115</v>
      </c>
      <c r="C383" s="43" t="s">
        <v>2116</v>
      </c>
      <c r="D383" s="43" t="s">
        <v>2189</v>
      </c>
      <c r="E383" s="43" t="s">
        <v>2152</v>
      </c>
      <c r="F383" s="43">
        <v>100491</v>
      </c>
      <c r="G383" s="43" t="s">
        <v>2665</v>
      </c>
      <c r="H383" s="45" t="s">
        <v>2191</v>
      </c>
      <c r="I383" s="43" t="s">
        <v>2133</v>
      </c>
      <c r="J383" s="45" t="s">
        <v>2133</v>
      </c>
      <c r="K383" s="52">
        <v>766621.33</v>
      </c>
    </row>
    <row r="384" spans="2:11" x14ac:dyDescent="0.3">
      <c r="B384" s="43" t="s">
        <v>2115</v>
      </c>
      <c r="C384" s="43" t="s">
        <v>2116</v>
      </c>
      <c r="D384" s="43"/>
      <c r="E384" s="43" t="s">
        <v>2199</v>
      </c>
      <c r="F384" s="43">
        <v>100603</v>
      </c>
      <c r="G384" s="43" t="s">
        <v>2666</v>
      </c>
      <c r="H384" s="45" t="s">
        <v>2667</v>
      </c>
      <c r="I384" s="43" t="s">
        <v>2133</v>
      </c>
      <c r="J384" s="45" t="s">
        <v>2133</v>
      </c>
      <c r="K384" s="52">
        <v>491899.5</v>
      </c>
    </row>
    <row r="385" spans="2:11" x14ac:dyDescent="0.3">
      <c r="B385" s="43" t="s">
        <v>2115</v>
      </c>
      <c r="C385" s="43" t="s">
        <v>2116</v>
      </c>
      <c r="D385" s="43"/>
      <c r="E385" s="43" t="s">
        <v>2199</v>
      </c>
      <c r="F385" s="43">
        <v>100623</v>
      </c>
      <c r="G385" s="43" t="s">
        <v>2668</v>
      </c>
      <c r="H385" s="45" t="s">
        <v>2669</v>
      </c>
      <c r="I385" s="43" t="s">
        <v>2133</v>
      </c>
      <c r="J385" s="45" t="s">
        <v>2133</v>
      </c>
      <c r="K385" s="52">
        <v>2888550.21</v>
      </c>
    </row>
    <row r="386" spans="2:11" x14ac:dyDescent="0.3">
      <c r="B386" s="43" t="s">
        <v>2115</v>
      </c>
      <c r="C386" s="43" t="s">
        <v>2116</v>
      </c>
      <c r="D386" s="43"/>
      <c r="E386" s="43" t="s">
        <v>2199</v>
      </c>
      <c r="F386" s="43">
        <v>100625</v>
      </c>
      <c r="G386" s="43" t="s">
        <v>2670</v>
      </c>
      <c r="H386" s="45" t="s">
        <v>2669</v>
      </c>
      <c r="I386" s="43" t="s">
        <v>2133</v>
      </c>
      <c r="J386" s="45" t="s">
        <v>2133</v>
      </c>
      <c r="K386" s="52">
        <v>894050.18</v>
      </c>
    </row>
    <row r="387" spans="2:11" x14ac:dyDescent="0.3">
      <c r="B387" s="43" t="s">
        <v>2115</v>
      </c>
      <c r="C387" s="43" t="s">
        <v>2116</v>
      </c>
      <c r="D387" s="43"/>
      <c r="E387" s="43" t="s">
        <v>2199</v>
      </c>
      <c r="F387" s="43">
        <v>100627</v>
      </c>
      <c r="G387" s="43" t="s">
        <v>2671</v>
      </c>
      <c r="H387" s="45" t="s">
        <v>2669</v>
      </c>
      <c r="I387" s="43" t="s">
        <v>2133</v>
      </c>
      <c r="J387" s="45" t="s">
        <v>2133</v>
      </c>
      <c r="K387" s="52">
        <v>978336.66</v>
      </c>
    </row>
    <row r="388" spans="2:11" x14ac:dyDescent="0.3">
      <c r="B388" s="43" t="s">
        <v>2115</v>
      </c>
      <c r="C388" s="43" t="s">
        <v>2116</v>
      </c>
      <c r="D388" s="43"/>
      <c r="E388" s="43" t="s">
        <v>2207</v>
      </c>
      <c r="F388" s="43">
        <v>160216</v>
      </c>
      <c r="G388" s="43" t="s">
        <v>2672</v>
      </c>
      <c r="H388" s="45"/>
      <c r="I388" s="43" t="s">
        <v>2133</v>
      </c>
      <c r="J388" s="45" t="s">
        <v>2133</v>
      </c>
      <c r="K388" s="52">
        <v>641999.5</v>
      </c>
    </row>
    <row r="389" spans="2:11" x14ac:dyDescent="0.3">
      <c r="B389" s="43" t="s">
        <v>2115</v>
      </c>
      <c r="C389" s="43" t="s">
        <v>2116</v>
      </c>
      <c r="D389" s="43"/>
      <c r="E389" s="43" t="s">
        <v>2207</v>
      </c>
      <c r="F389" s="43">
        <v>160218</v>
      </c>
      <c r="G389" s="43" t="s">
        <v>2673</v>
      </c>
      <c r="H389" s="45"/>
      <c r="I389" s="43" t="s">
        <v>2133</v>
      </c>
      <c r="J389" s="45" t="s">
        <v>2133</v>
      </c>
      <c r="K389" s="52">
        <v>3335</v>
      </c>
    </row>
    <row r="390" spans="2:11" x14ac:dyDescent="0.3">
      <c r="B390" s="43" t="s">
        <v>2115</v>
      </c>
      <c r="C390" s="43" t="s">
        <v>2116</v>
      </c>
      <c r="D390" s="43"/>
      <c r="E390" s="43" t="s">
        <v>2252</v>
      </c>
      <c r="F390" s="43">
        <v>180246</v>
      </c>
      <c r="G390" s="43" t="s">
        <v>2674</v>
      </c>
      <c r="H390" s="45"/>
      <c r="I390" s="43" t="s">
        <v>2133</v>
      </c>
      <c r="J390" s="45" t="s">
        <v>2133</v>
      </c>
      <c r="K390" s="52">
        <v>0</v>
      </c>
    </row>
    <row r="391" spans="2:11" x14ac:dyDescent="0.3">
      <c r="B391" s="43" t="s">
        <v>2115</v>
      </c>
      <c r="C391" s="43" t="s">
        <v>2116</v>
      </c>
      <c r="D391" s="43"/>
      <c r="E391" s="43" t="s">
        <v>2252</v>
      </c>
      <c r="F391" s="43">
        <v>180287</v>
      </c>
      <c r="G391" s="43" t="s">
        <v>2675</v>
      </c>
      <c r="H391" s="45"/>
      <c r="I391" s="43" t="s">
        <v>2133</v>
      </c>
      <c r="J391" s="45" t="s">
        <v>2133</v>
      </c>
      <c r="K391" s="52">
        <v>1318575.45</v>
      </c>
    </row>
    <row r="392" spans="2:11" x14ac:dyDescent="0.3">
      <c r="B392" s="43" t="s">
        <v>2115</v>
      </c>
      <c r="C392" s="43" t="s">
        <v>2116</v>
      </c>
      <c r="D392" s="43"/>
      <c r="E392" s="43" t="s">
        <v>2252</v>
      </c>
      <c r="F392" s="43">
        <v>180289</v>
      </c>
      <c r="G392" s="43" t="s">
        <v>2676</v>
      </c>
      <c r="H392" s="45"/>
      <c r="I392" s="43" t="s">
        <v>2133</v>
      </c>
      <c r="J392" s="45" t="s">
        <v>2133</v>
      </c>
      <c r="K392" s="52">
        <v>2984.46</v>
      </c>
    </row>
    <row r="393" spans="2:11" x14ac:dyDescent="0.3">
      <c r="B393" s="43" t="s">
        <v>2115</v>
      </c>
      <c r="C393" s="43" t="s">
        <v>2116</v>
      </c>
      <c r="D393" s="43"/>
      <c r="E393" s="43" t="s">
        <v>2252</v>
      </c>
      <c r="F393" s="43">
        <v>180291</v>
      </c>
      <c r="G393" s="43" t="s">
        <v>2677</v>
      </c>
      <c r="H393" s="45"/>
      <c r="I393" s="43" t="s">
        <v>2133</v>
      </c>
      <c r="J393" s="45" t="s">
        <v>2133</v>
      </c>
      <c r="K393" s="52">
        <v>395.41</v>
      </c>
    </row>
    <row r="394" spans="2:11" x14ac:dyDescent="0.3">
      <c r="B394" s="43" t="s">
        <v>2115</v>
      </c>
      <c r="C394" s="43" t="s">
        <v>2116</v>
      </c>
      <c r="D394" s="43"/>
      <c r="E394" s="43" t="s">
        <v>2252</v>
      </c>
      <c r="F394" s="43">
        <v>180295</v>
      </c>
      <c r="G394" s="43" t="s">
        <v>2678</v>
      </c>
      <c r="H394" s="45"/>
      <c r="I394" s="43" t="s">
        <v>2133</v>
      </c>
      <c r="J394" s="45" t="s">
        <v>2133</v>
      </c>
      <c r="K394" s="52">
        <v>-2.25</v>
      </c>
    </row>
    <row r="395" spans="2:11" x14ac:dyDescent="0.3">
      <c r="B395" s="43" t="s">
        <v>2115</v>
      </c>
      <c r="C395" s="43" t="s">
        <v>2116</v>
      </c>
      <c r="D395" s="43"/>
      <c r="E395" s="43" t="s">
        <v>2252</v>
      </c>
      <c r="F395" s="43">
        <v>180297</v>
      </c>
      <c r="G395" s="43" t="s">
        <v>2679</v>
      </c>
      <c r="H395" s="45"/>
      <c r="I395" s="43" t="s">
        <v>2133</v>
      </c>
      <c r="J395" s="45" t="s">
        <v>2133</v>
      </c>
      <c r="K395" s="52">
        <v>0</v>
      </c>
    </row>
    <row r="396" spans="2:11" x14ac:dyDescent="0.3">
      <c r="B396" s="43" t="s">
        <v>2115</v>
      </c>
      <c r="C396" s="43" t="s">
        <v>2116</v>
      </c>
      <c r="D396" s="43"/>
      <c r="E396" s="43" t="s">
        <v>2252</v>
      </c>
      <c r="F396" s="43">
        <v>180299</v>
      </c>
      <c r="G396" s="43" t="s">
        <v>2680</v>
      </c>
      <c r="H396" s="45"/>
      <c r="I396" s="43" t="s">
        <v>2133</v>
      </c>
      <c r="J396" s="45" t="s">
        <v>2133</v>
      </c>
      <c r="K396" s="52">
        <v>460.52</v>
      </c>
    </row>
    <row r="397" spans="2:11" x14ac:dyDescent="0.3">
      <c r="B397" s="43" t="s">
        <v>2115</v>
      </c>
      <c r="C397" s="43" t="s">
        <v>2116</v>
      </c>
      <c r="D397" s="43"/>
      <c r="E397" s="43" t="s">
        <v>2252</v>
      </c>
      <c r="F397" s="43">
        <v>180301</v>
      </c>
      <c r="G397" s="43" t="s">
        <v>2681</v>
      </c>
      <c r="H397" s="45"/>
      <c r="I397" s="43" t="s">
        <v>2133</v>
      </c>
      <c r="J397" s="45" t="s">
        <v>2133</v>
      </c>
      <c r="K397" s="52">
        <v>87.78</v>
      </c>
    </row>
    <row r="398" spans="2:11" x14ac:dyDescent="0.3">
      <c r="B398" s="43" t="s">
        <v>2115</v>
      </c>
      <c r="C398" s="43" t="s">
        <v>2116</v>
      </c>
      <c r="D398" s="43"/>
      <c r="E398" s="43" t="s">
        <v>2252</v>
      </c>
      <c r="F398" s="43">
        <v>180303</v>
      </c>
      <c r="G398" s="43" t="s">
        <v>2682</v>
      </c>
      <c r="H398" s="45"/>
      <c r="I398" s="43" t="s">
        <v>2133</v>
      </c>
      <c r="J398" s="45" t="s">
        <v>2133</v>
      </c>
      <c r="K398" s="52">
        <v>0.61</v>
      </c>
    </row>
    <row r="399" spans="2:11" x14ac:dyDescent="0.3">
      <c r="B399" s="43" t="s">
        <v>2115</v>
      </c>
      <c r="C399" s="43" t="s">
        <v>2116</v>
      </c>
      <c r="D399" s="43"/>
      <c r="E399" s="43" t="s">
        <v>2252</v>
      </c>
      <c r="F399" s="43">
        <v>180307</v>
      </c>
      <c r="G399" s="43" t="s">
        <v>2683</v>
      </c>
      <c r="H399" s="45"/>
      <c r="I399" s="43" t="s">
        <v>2133</v>
      </c>
      <c r="J399" s="45" t="s">
        <v>2133</v>
      </c>
      <c r="K399" s="52">
        <v>-621.03</v>
      </c>
    </row>
    <row r="400" spans="2:11" x14ac:dyDescent="0.3">
      <c r="B400" s="43" t="s">
        <v>2115</v>
      </c>
      <c r="C400" s="43" t="s">
        <v>2116</v>
      </c>
      <c r="D400" s="43"/>
      <c r="E400" s="43" t="s">
        <v>2252</v>
      </c>
      <c r="F400" s="43">
        <v>180309</v>
      </c>
      <c r="G400" s="43" t="s">
        <v>2684</v>
      </c>
      <c r="H400" s="45"/>
      <c r="I400" s="43" t="s">
        <v>2133</v>
      </c>
      <c r="J400" s="45" t="s">
        <v>2133</v>
      </c>
      <c r="K400" s="52">
        <v>3338.42</v>
      </c>
    </row>
    <row r="401" spans="2:11" x14ac:dyDescent="0.3">
      <c r="B401" s="43" t="s">
        <v>2115</v>
      </c>
      <c r="C401" s="43" t="s">
        <v>2116</v>
      </c>
      <c r="D401" s="43"/>
      <c r="E401" s="43" t="s">
        <v>2252</v>
      </c>
      <c r="F401" s="43">
        <v>180311</v>
      </c>
      <c r="G401" s="43" t="s">
        <v>2685</v>
      </c>
      <c r="H401" s="45"/>
      <c r="I401" s="43" t="s">
        <v>2133</v>
      </c>
      <c r="J401" s="45" t="s">
        <v>2133</v>
      </c>
      <c r="K401" s="52">
        <v>-779.27</v>
      </c>
    </row>
    <row r="402" spans="2:11" x14ac:dyDescent="0.3">
      <c r="B402" s="43" t="s">
        <v>2115</v>
      </c>
      <c r="C402" s="43" t="s">
        <v>2116</v>
      </c>
      <c r="D402" s="43"/>
      <c r="E402" s="43" t="s">
        <v>2252</v>
      </c>
      <c r="F402" s="43">
        <v>180313</v>
      </c>
      <c r="G402" s="43" t="s">
        <v>2686</v>
      </c>
      <c r="H402" s="45"/>
      <c r="I402" s="43" t="s">
        <v>2133</v>
      </c>
      <c r="J402" s="45" t="s">
        <v>2133</v>
      </c>
      <c r="K402" s="52">
        <v>524561.23</v>
      </c>
    </row>
    <row r="403" spans="2:11" x14ac:dyDescent="0.3">
      <c r="B403" s="43" t="s">
        <v>2115</v>
      </c>
      <c r="C403" s="43" t="s">
        <v>2116</v>
      </c>
      <c r="D403" s="43"/>
      <c r="E403" s="43" t="s">
        <v>2252</v>
      </c>
      <c r="F403" s="43">
        <v>180317</v>
      </c>
      <c r="G403" s="43" t="s">
        <v>2687</v>
      </c>
      <c r="H403" s="45"/>
      <c r="I403" s="43" t="s">
        <v>2133</v>
      </c>
      <c r="J403" s="45" t="s">
        <v>2133</v>
      </c>
      <c r="K403" s="52">
        <v>-587.39</v>
      </c>
    </row>
    <row r="404" spans="2:11" x14ac:dyDescent="0.3">
      <c r="B404" s="43" t="s">
        <v>2115</v>
      </c>
      <c r="C404" s="43" t="s">
        <v>2116</v>
      </c>
      <c r="D404" s="43"/>
      <c r="E404" s="43" t="s">
        <v>2217</v>
      </c>
      <c r="F404" s="43">
        <v>220203</v>
      </c>
      <c r="G404" s="43" t="s">
        <v>2688</v>
      </c>
      <c r="H404" s="45"/>
      <c r="I404" s="43" t="s">
        <v>2133</v>
      </c>
      <c r="J404" s="45" t="s">
        <v>2133</v>
      </c>
      <c r="K404" s="52">
        <v>0</v>
      </c>
    </row>
    <row r="405" spans="2:11" x14ac:dyDescent="0.3">
      <c r="B405" s="43" t="s">
        <v>2115</v>
      </c>
      <c r="C405" s="43" t="s">
        <v>2116</v>
      </c>
      <c r="D405" s="43"/>
      <c r="E405" s="43" t="s">
        <v>2284</v>
      </c>
      <c r="F405" s="43">
        <v>280271</v>
      </c>
      <c r="G405" s="43" t="s">
        <v>2689</v>
      </c>
      <c r="H405" s="45"/>
      <c r="I405" s="43" t="s">
        <v>2286</v>
      </c>
      <c r="J405" s="45" t="s">
        <v>2266</v>
      </c>
      <c r="K405" s="52">
        <v>0</v>
      </c>
    </row>
    <row r="406" spans="2:11" x14ac:dyDescent="0.3">
      <c r="B406" s="43" t="s">
        <v>2115</v>
      </c>
      <c r="C406" s="43" t="s">
        <v>2116</v>
      </c>
      <c r="D406" s="43"/>
      <c r="E406" s="43" t="s">
        <v>2292</v>
      </c>
      <c r="F406" s="43">
        <v>320207</v>
      </c>
      <c r="G406" s="43" t="s">
        <v>2690</v>
      </c>
      <c r="H406" s="45"/>
      <c r="I406" s="43" t="s">
        <v>2133</v>
      </c>
      <c r="J406" s="45" t="s">
        <v>2133</v>
      </c>
      <c r="K406" s="52">
        <v>-18872.54</v>
      </c>
    </row>
    <row r="407" spans="2:11" x14ac:dyDescent="0.3">
      <c r="B407" s="43" t="s">
        <v>2115</v>
      </c>
      <c r="C407" s="43" t="s">
        <v>2116</v>
      </c>
      <c r="D407" s="43"/>
      <c r="E407" s="43" t="s">
        <v>2292</v>
      </c>
      <c r="F407" s="43">
        <v>320611</v>
      </c>
      <c r="G407" s="43" t="s">
        <v>2691</v>
      </c>
      <c r="H407" s="45"/>
      <c r="I407" s="43" t="s">
        <v>2133</v>
      </c>
      <c r="J407" s="45" t="s">
        <v>2133</v>
      </c>
      <c r="K407" s="52">
        <v>315.39</v>
      </c>
    </row>
    <row r="408" spans="2:11" x14ac:dyDescent="0.3">
      <c r="B408" s="43" t="s">
        <v>2115</v>
      </c>
      <c r="C408" s="43" t="s">
        <v>2402</v>
      </c>
      <c r="D408" s="43" t="s">
        <v>2413</v>
      </c>
      <c r="E408" s="43" t="s">
        <v>690</v>
      </c>
      <c r="F408" s="43">
        <v>680401</v>
      </c>
      <c r="G408" s="43" t="s">
        <v>2692</v>
      </c>
      <c r="H408" s="45"/>
      <c r="I408" s="43" t="s">
        <v>2133</v>
      </c>
      <c r="J408" s="45" t="s">
        <v>2133</v>
      </c>
      <c r="K408" s="52">
        <v>81.89</v>
      </c>
    </row>
    <row r="409" spans="2:11" x14ac:dyDescent="0.3">
      <c r="B409" s="43" t="s">
        <v>2115</v>
      </c>
      <c r="C409" s="43" t="s">
        <v>2402</v>
      </c>
      <c r="D409" s="43" t="s">
        <v>2413</v>
      </c>
      <c r="E409" s="43" t="s">
        <v>690</v>
      </c>
      <c r="F409" s="43">
        <v>680403</v>
      </c>
      <c r="G409" s="43" t="s">
        <v>2693</v>
      </c>
      <c r="H409" s="45"/>
      <c r="I409" s="43" t="s">
        <v>2133</v>
      </c>
      <c r="J409" s="45" t="s">
        <v>2133</v>
      </c>
      <c r="K409" s="52">
        <v>220</v>
      </c>
    </row>
    <row r="410" spans="2:11" x14ac:dyDescent="0.3">
      <c r="B410" s="43" t="s">
        <v>2115</v>
      </c>
      <c r="C410" s="43" t="s">
        <v>2402</v>
      </c>
      <c r="D410" s="43" t="s">
        <v>2413</v>
      </c>
      <c r="E410" s="43" t="s">
        <v>2443</v>
      </c>
      <c r="F410" s="43">
        <v>700823</v>
      </c>
      <c r="G410" s="43" t="s">
        <v>2694</v>
      </c>
      <c r="H410" s="45"/>
      <c r="I410" s="43" t="s">
        <v>2133</v>
      </c>
      <c r="J410" s="45" t="s">
        <v>2133</v>
      </c>
      <c r="K410" s="52">
        <v>7207.96</v>
      </c>
    </row>
    <row r="411" spans="2:11" x14ac:dyDescent="0.3">
      <c r="B411" s="43" t="s">
        <v>2115</v>
      </c>
      <c r="C411" s="43" t="s">
        <v>2402</v>
      </c>
      <c r="D411" s="43" t="s">
        <v>2413</v>
      </c>
      <c r="E411" s="43" t="s">
        <v>690</v>
      </c>
      <c r="F411" s="43">
        <v>720605</v>
      </c>
      <c r="G411" s="43" t="s">
        <v>2695</v>
      </c>
      <c r="H411" s="45"/>
      <c r="I411" s="43" t="s">
        <v>2133</v>
      </c>
      <c r="J411" s="45" t="s">
        <v>2133</v>
      </c>
      <c r="K411" s="52">
        <v>6500</v>
      </c>
    </row>
    <row r="412" spans="2:11" x14ac:dyDescent="0.3">
      <c r="B412" s="43" t="s">
        <v>2115</v>
      </c>
      <c r="C412" s="43" t="s">
        <v>2402</v>
      </c>
      <c r="D412" s="43" t="s">
        <v>2413</v>
      </c>
      <c r="E412" s="43" t="s">
        <v>2443</v>
      </c>
      <c r="F412" s="43">
        <v>740603</v>
      </c>
      <c r="G412" s="43" t="s">
        <v>2696</v>
      </c>
      <c r="H412" s="45"/>
      <c r="I412" s="43" t="s">
        <v>2133</v>
      </c>
      <c r="J412" s="45" t="s">
        <v>2133</v>
      </c>
      <c r="K412" s="52">
        <v>520</v>
      </c>
    </row>
    <row r="413" spans="2:11" x14ac:dyDescent="0.3">
      <c r="B413" s="43" t="s">
        <v>2115</v>
      </c>
      <c r="C413" s="43" t="s">
        <v>2402</v>
      </c>
      <c r="D413" s="43" t="s">
        <v>2413</v>
      </c>
      <c r="E413" s="43" t="s">
        <v>2443</v>
      </c>
      <c r="F413" s="43">
        <v>741203</v>
      </c>
      <c r="G413" s="43" t="s">
        <v>2697</v>
      </c>
      <c r="H413" s="45"/>
      <c r="I413" s="43" t="s">
        <v>2133</v>
      </c>
      <c r="J413" s="45" t="s">
        <v>2133</v>
      </c>
      <c r="K413" s="52">
        <v>0</v>
      </c>
    </row>
    <row r="414" spans="2:11" x14ac:dyDescent="0.3">
      <c r="B414" s="43" t="s">
        <v>2115</v>
      </c>
      <c r="C414" s="43" t="s">
        <v>2402</v>
      </c>
      <c r="D414" s="43" t="s">
        <v>2413</v>
      </c>
      <c r="E414" s="43" t="s">
        <v>2443</v>
      </c>
      <c r="F414" s="43">
        <v>742003</v>
      </c>
      <c r="G414" s="43" t="s">
        <v>2698</v>
      </c>
      <c r="H414" s="45"/>
      <c r="I414" s="43" t="s">
        <v>2133</v>
      </c>
      <c r="J414" s="45" t="s">
        <v>2133</v>
      </c>
      <c r="K414" s="52">
        <v>23760.71</v>
      </c>
    </row>
    <row r="415" spans="2:11" x14ac:dyDescent="0.3">
      <c r="B415" s="43" t="s">
        <v>2115</v>
      </c>
      <c r="C415" s="43" t="s">
        <v>2402</v>
      </c>
      <c r="D415" s="43" t="s">
        <v>2413</v>
      </c>
      <c r="E415" s="43" t="s">
        <v>2539</v>
      </c>
      <c r="F415" s="43">
        <v>820403</v>
      </c>
      <c r="G415" s="43" t="s">
        <v>2699</v>
      </c>
      <c r="H415" s="45"/>
      <c r="I415" s="43" t="s">
        <v>2133</v>
      </c>
      <c r="J415" s="45" t="s">
        <v>2133</v>
      </c>
      <c r="K415" s="52">
        <v>0</v>
      </c>
    </row>
    <row r="416" spans="2:11" x14ac:dyDescent="0.3">
      <c r="B416" s="43" t="s">
        <v>2115</v>
      </c>
      <c r="C416" s="43" t="s">
        <v>2402</v>
      </c>
      <c r="D416" s="43" t="s">
        <v>2403</v>
      </c>
      <c r="E416" s="43" t="s">
        <v>2414</v>
      </c>
      <c r="F416" s="43">
        <v>900205</v>
      </c>
      <c r="G416" s="43" t="s">
        <v>2700</v>
      </c>
      <c r="H416" s="45"/>
      <c r="I416" s="43" t="s">
        <v>2133</v>
      </c>
      <c r="J416" s="45" t="s">
        <v>2133</v>
      </c>
      <c r="K416" s="52">
        <v>0</v>
      </c>
    </row>
    <row r="417" spans="2:11" x14ac:dyDescent="0.3">
      <c r="B417" s="43" t="s">
        <v>2115</v>
      </c>
      <c r="C417" s="43" t="s">
        <v>2402</v>
      </c>
      <c r="D417" s="43" t="s">
        <v>2403</v>
      </c>
      <c r="E417" s="43" t="s">
        <v>2414</v>
      </c>
      <c r="F417" s="43">
        <v>900211</v>
      </c>
      <c r="G417" s="43" t="s">
        <v>2701</v>
      </c>
      <c r="H417" s="45"/>
      <c r="I417" s="43" t="s">
        <v>2133</v>
      </c>
      <c r="J417" s="45" t="s">
        <v>2133</v>
      </c>
      <c r="K417" s="52">
        <v>0</v>
      </c>
    </row>
    <row r="418" spans="2:11" x14ac:dyDescent="0.3">
      <c r="B418" s="43" t="s">
        <v>2115</v>
      </c>
      <c r="C418" s="43" t="s">
        <v>2402</v>
      </c>
      <c r="D418" s="43" t="s">
        <v>2413</v>
      </c>
      <c r="E418" s="43" t="s">
        <v>2414</v>
      </c>
      <c r="F418" s="43">
        <v>920401</v>
      </c>
      <c r="G418" s="43" t="s">
        <v>2702</v>
      </c>
      <c r="H418" s="45"/>
      <c r="I418" s="43" t="s">
        <v>2133</v>
      </c>
      <c r="J418" s="45" t="s">
        <v>2133</v>
      </c>
      <c r="K418" s="52">
        <v>0</v>
      </c>
    </row>
    <row r="419" spans="2:11" x14ac:dyDescent="0.3">
      <c r="B419" s="43" t="s">
        <v>2115</v>
      </c>
      <c r="C419" s="43" t="s">
        <v>2116</v>
      </c>
      <c r="D419" s="43"/>
      <c r="E419" s="43" t="s">
        <v>2207</v>
      </c>
      <c r="F419" s="43">
        <v>100629</v>
      </c>
      <c r="G419" s="43" t="s">
        <v>2703</v>
      </c>
      <c r="H419" s="45"/>
      <c r="I419" s="43" t="s">
        <v>2133</v>
      </c>
      <c r="J419" s="45" t="s">
        <v>2133</v>
      </c>
      <c r="K419" s="52">
        <v>0</v>
      </c>
    </row>
    <row r="420" spans="2:11" x14ac:dyDescent="0.3">
      <c r="B420" s="43" t="s">
        <v>2115</v>
      </c>
      <c r="C420" s="43" t="s">
        <v>2116</v>
      </c>
      <c r="D420" s="43"/>
      <c r="E420" s="43" t="s">
        <v>2207</v>
      </c>
      <c r="F420" s="43">
        <v>100631</v>
      </c>
      <c r="G420" s="43" t="s">
        <v>2704</v>
      </c>
      <c r="H420" s="45"/>
      <c r="I420" s="43" t="s">
        <v>2133</v>
      </c>
      <c r="J420" s="45" t="s">
        <v>2133</v>
      </c>
      <c r="K420" s="52">
        <v>0</v>
      </c>
    </row>
    <row r="421" spans="2:11" x14ac:dyDescent="0.3">
      <c r="B421" s="43" t="s">
        <v>2115</v>
      </c>
      <c r="C421" s="43" t="s">
        <v>2116</v>
      </c>
      <c r="D421" s="43"/>
      <c r="E421" s="43" t="s">
        <v>2296</v>
      </c>
      <c r="F421" s="43">
        <v>220229</v>
      </c>
      <c r="G421" s="43" t="s">
        <v>2705</v>
      </c>
      <c r="H421" s="45"/>
      <c r="I421" s="43" t="s">
        <v>2133</v>
      </c>
      <c r="J421" s="45" t="s">
        <v>2133</v>
      </c>
      <c r="K421" s="52">
        <v>0</v>
      </c>
    </row>
    <row r="422" spans="2:11" x14ac:dyDescent="0.3">
      <c r="B422" s="43" t="s">
        <v>2115</v>
      </c>
      <c r="C422" s="43" t="s">
        <v>2116</v>
      </c>
      <c r="D422" s="43"/>
      <c r="E422" s="43" t="s">
        <v>2320</v>
      </c>
      <c r="F422" s="43">
        <v>240227</v>
      </c>
      <c r="G422" s="43" t="s">
        <v>2706</v>
      </c>
      <c r="H422" s="45"/>
      <c r="I422" s="43" t="s">
        <v>2133</v>
      </c>
      <c r="J422" s="45" t="s">
        <v>2133</v>
      </c>
      <c r="K422" s="52">
        <v>-721576.75</v>
      </c>
    </row>
    <row r="423" spans="2:11" x14ac:dyDescent="0.3">
      <c r="B423" s="43" t="s">
        <v>2115</v>
      </c>
      <c r="C423" s="43" t="s">
        <v>2116</v>
      </c>
      <c r="D423" s="43"/>
      <c r="E423" s="43" t="s">
        <v>2707</v>
      </c>
      <c r="F423" s="44" t="s">
        <v>2708</v>
      </c>
      <c r="G423" s="43" t="s">
        <v>2311</v>
      </c>
      <c r="H423" s="45"/>
      <c r="I423" s="43" t="s">
        <v>2133</v>
      </c>
      <c r="J423" s="45" t="s">
        <v>2133</v>
      </c>
      <c r="K423" s="52">
        <v>0</v>
      </c>
    </row>
    <row r="424" spans="2:11" x14ac:dyDescent="0.3">
      <c r="B424" s="43" t="s">
        <v>2115</v>
      </c>
      <c r="C424" s="43" t="s">
        <v>2116</v>
      </c>
      <c r="D424" s="43"/>
      <c r="E424" s="43" t="s">
        <v>2207</v>
      </c>
      <c r="F424" s="43" t="s">
        <v>2709</v>
      </c>
      <c r="G424" s="43" t="s">
        <v>2710</v>
      </c>
      <c r="H424" s="45"/>
      <c r="I424" s="43" t="s">
        <v>2133</v>
      </c>
      <c r="J424" s="45" t="s">
        <v>2133</v>
      </c>
      <c r="K424" s="52">
        <v>661599.88</v>
      </c>
    </row>
    <row r="425" spans="2:11" x14ac:dyDescent="0.3">
      <c r="B425" s="43" t="s">
        <v>2115</v>
      </c>
      <c r="C425" s="43" t="s">
        <v>2116</v>
      </c>
      <c r="D425" s="43"/>
      <c r="E425" s="43" t="s">
        <v>2292</v>
      </c>
      <c r="F425" s="43" t="s">
        <v>2711</v>
      </c>
      <c r="G425" s="43" t="s">
        <v>2712</v>
      </c>
      <c r="H425" s="45"/>
      <c r="I425" s="43" t="s">
        <v>2133</v>
      </c>
      <c r="J425" s="45" t="s">
        <v>2133</v>
      </c>
      <c r="K425" s="52">
        <v>-787113.65</v>
      </c>
    </row>
    <row r="426" spans="2:11" x14ac:dyDescent="0.3">
      <c r="B426" s="43" t="s">
        <v>2115</v>
      </c>
      <c r="C426" s="43" t="s">
        <v>2402</v>
      </c>
      <c r="D426" s="43" t="s">
        <v>2413</v>
      </c>
      <c r="E426" s="43" t="s">
        <v>2424</v>
      </c>
      <c r="F426" s="43" t="s">
        <v>2713</v>
      </c>
      <c r="G426" s="43" t="s">
        <v>2714</v>
      </c>
      <c r="H426" s="45"/>
      <c r="I426" s="43" t="s">
        <v>2133</v>
      </c>
      <c r="J426" s="45" t="s">
        <v>2133</v>
      </c>
      <c r="K426" s="52">
        <v>123959.8</v>
      </c>
    </row>
    <row r="427" spans="2:11" x14ac:dyDescent="0.3">
      <c r="B427" s="43" t="s">
        <v>2115</v>
      </c>
      <c r="C427" s="43" t="s">
        <v>2116</v>
      </c>
      <c r="D427" s="43"/>
      <c r="E427" s="43" t="s">
        <v>2207</v>
      </c>
      <c r="F427" s="43" t="s">
        <v>2715</v>
      </c>
      <c r="G427" s="43" t="s">
        <v>2716</v>
      </c>
      <c r="H427" s="45"/>
      <c r="I427" s="43" t="s">
        <v>2133</v>
      </c>
      <c r="J427" s="45" t="s">
        <v>2133</v>
      </c>
      <c r="K427" s="52">
        <v>1553.97</v>
      </c>
    </row>
    <row r="428" spans="2:11" x14ac:dyDescent="0.3">
      <c r="B428" s="43" t="s">
        <v>2115</v>
      </c>
      <c r="C428" s="43" t="s">
        <v>2116</v>
      </c>
      <c r="D428" s="43"/>
      <c r="E428" s="43" t="s">
        <v>2207</v>
      </c>
      <c r="F428" s="43" t="s">
        <v>2717</v>
      </c>
      <c r="G428" s="43" t="s">
        <v>2718</v>
      </c>
      <c r="H428" s="45"/>
      <c r="I428" s="43" t="s">
        <v>2133</v>
      </c>
      <c r="J428" s="45" t="s">
        <v>2133</v>
      </c>
      <c r="K428" s="52">
        <v>0</v>
      </c>
    </row>
    <row r="429" spans="2:11" x14ac:dyDescent="0.3">
      <c r="B429" s="43" t="s">
        <v>2115</v>
      </c>
      <c r="C429" s="43" t="s">
        <v>2402</v>
      </c>
      <c r="D429" s="43" t="s">
        <v>2413</v>
      </c>
      <c r="E429" s="43" t="s">
        <v>2429</v>
      </c>
      <c r="F429" s="43" t="s">
        <v>2719</v>
      </c>
      <c r="G429" s="43" t="s">
        <v>2720</v>
      </c>
      <c r="H429" s="45"/>
      <c r="I429" s="43" t="s">
        <v>2133</v>
      </c>
      <c r="J429" s="45" t="s">
        <v>2133</v>
      </c>
      <c r="K429" s="52">
        <v>0</v>
      </c>
    </row>
    <row r="430" spans="2:11" x14ac:dyDescent="0.3">
      <c r="B430" s="43" t="s">
        <v>2115</v>
      </c>
      <c r="C430" s="43" t="s">
        <v>2402</v>
      </c>
      <c r="D430" s="43" t="s">
        <v>2413</v>
      </c>
      <c r="E430" s="43" t="s">
        <v>2424</v>
      </c>
      <c r="F430" s="43" t="s">
        <v>2721</v>
      </c>
      <c r="G430" s="43" t="s">
        <v>2722</v>
      </c>
      <c r="H430" s="45"/>
      <c r="I430" s="43" t="s">
        <v>2133</v>
      </c>
      <c r="J430" s="45" t="s">
        <v>2133</v>
      </c>
      <c r="K430" s="52">
        <v>0</v>
      </c>
    </row>
    <row r="431" spans="2:11" x14ac:dyDescent="0.3">
      <c r="B431" s="43" t="s">
        <v>2115</v>
      </c>
      <c r="C431" s="43" t="s">
        <v>2116</v>
      </c>
      <c r="D431" s="43"/>
      <c r="E431" s="43" t="s">
        <v>2240</v>
      </c>
      <c r="F431" s="43" t="s">
        <v>2723</v>
      </c>
      <c r="G431" s="43" t="s">
        <v>2724</v>
      </c>
      <c r="H431" s="45"/>
      <c r="I431" s="43" t="s">
        <v>2133</v>
      </c>
      <c r="J431" s="45" t="s">
        <v>2133</v>
      </c>
      <c r="K431" s="52">
        <v>0</v>
      </c>
    </row>
    <row r="432" spans="2:11" x14ac:dyDescent="0.3">
      <c r="B432" s="43" t="s">
        <v>2115</v>
      </c>
      <c r="C432" s="43" t="s">
        <v>2116</v>
      </c>
      <c r="D432" s="43"/>
      <c r="E432" s="43" t="s">
        <v>2252</v>
      </c>
      <c r="F432" s="50">
        <v>180315</v>
      </c>
      <c r="G432" s="43" t="s">
        <v>2725</v>
      </c>
      <c r="H432" s="45"/>
      <c r="I432" s="43" t="s">
        <v>2133</v>
      </c>
      <c r="J432" s="45" t="s">
        <v>2133</v>
      </c>
      <c r="K432" s="52">
        <v>0.01</v>
      </c>
    </row>
    <row r="433" spans="2:11" x14ac:dyDescent="0.3">
      <c r="B433" s="43" t="s">
        <v>2115</v>
      </c>
      <c r="C433" s="43" t="s">
        <v>2116</v>
      </c>
      <c r="D433" s="43"/>
      <c r="E433" s="43" t="s">
        <v>2199</v>
      </c>
      <c r="F433" s="43">
        <v>100635</v>
      </c>
      <c r="G433" s="43" t="s">
        <v>2726</v>
      </c>
      <c r="H433" s="45" t="s">
        <v>2727</v>
      </c>
      <c r="I433" s="43" t="s">
        <v>2133</v>
      </c>
      <c r="J433" s="45" t="s">
        <v>2133</v>
      </c>
      <c r="K433" s="52">
        <v>7918688</v>
      </c>
    </row>
    <row r="434" spans="2:11" x14ac:dyDescent="0.3">
      <c r="B434" s="43" t="s">
        <v>2115</v>
      </c>
      <c r="C434" s="43" t="s">
        <v>2116</v>
      </c>
      <c r="D434" s="43"/>
      <c r="E434" s="43" t="s">
        <v>2252</v>
      </c>
      <c r="F434" s="43">
        <v>180319</v>
      </c>
      <c r="G434" s="43" t="s">
        <v>2728</v>
      </c>
      <c r="H434" s="45"/>
      <c r="I434" s="43" t="s">
        <v>2133</v>
      </c>
      <c r="J434" s="45" t="s">
        <v>2133</v>
      </c>
      <c r="K434" s="52">
        <v>39673.79</v>
      </c>
    </row>
    <row r="435" spans="2:11" x14ac:dyDescent="0.3">
      <c r="B435" s="43" t="s">
        <v>2115</v>
      </c>
      <c r="C435" s="43" t="s">
        <v>2116</v>
      </c>
      <c r="D435" s="43"/>
      <c r="E435" s="43" t="s">
        <v>2252</v>
      </c>
      <c r="F435" s="43">
        <v>180321</v>
      </c>
      <c r="G435" s="43" t="s">
        <v>2729</v>
      </c>
      <c r="H435" s="45"/>
      <c r="I435" s="43" t="s">
        <v>2133</v>
      </c>
      <c r="J435" s="45" t="s">
        <v>2133</v>
      </c>
      <c r="K435" s="52">
        <v>344830.48</v>
      </c>
    </row>
    <row r="436" spans="2:11" x14ac:dyDescent="0.3">
      <c r="B436" s="43" t="s">
        <v>2115</v>
      </c>
      <c r="C436" s="43" t="s">
        <v>2116</v>
      </c>
      <c r="D436" s="43"/>
      <c r="E436" s="43" t="s">
        <v>2252</v>
      </c>
      <c r="F436" s="43">
        <v>180323</v>
      </c>
      <c r="G436" s="43" t="s">
        <v>2730</v>
      </c>
      <c r="H436" s="45"/>
      <c r="I436" s="43" t="s">
        <v>2133</v>
      </c>
      <c r="J436" s="45" t="s">
        <v>2133</v>
      </c>
      <c r="K436" s="52">
        <v>105.35</v>
      </c>
    </row>
    <row r="437" spans="2:11" x14ac:dyDescent="0.3">
      <c r="B437" s="43" t="s">
        <v>2115</v>
      </c>
      <c r="C437" s="43" t="s">
        <v>2116</v>
      </c>
      <c r="D437" s="43"/>
      <c r="E437" s="43" t="s">
        <v>2252</v>
      </c>
      <c r="F437" s="43">
        <v>180325</v>
      </c>
      <c r="G437" s="43" t="s">
        <v>2731</v>
      </c>
      <c r="H437" s="45"/>
      <c r="I437" s="43" t="s">
        <v>2133</v>
      </c>
      <c r="J437" s="45" t="s">
        <v>2133</v>
      </c>
      <c r="K437" s="52">
        <v>240562.87</v>
      </c>
    </row>
    <row r="438" spans="2:11" x14ac:dyDescent="0.3">
      <c r="B438" s="43" t="s">
        <v>2115</v>
      </c>
      <c r="C438" s="43" t="s">
        <v>2402</v>
      </c>
      <c r="D438" s="43" t="s">
        <v>2413</v>
      </c>
      <c r="E438" s="43" t="s">
        <v>2513</v>
      </c>
      <c r="F438" s="43">
        <v>761601</v>
      </c>
      <c r="G438" s="43" t="s">
        <v>2732</v>
      </c>
      <c r="H438" s="45" t="s">
        <v>2167</v>
      </c>
      <c r="I438" s="43" t="s">
        <v>2133</v>
      </c>
      <c r="J438" s="45" t="s">
        <v>2133</v>
      </c>
      <c r="K438" s="52">
        <v>1797</v>
      </c>
    </row>
    <row r="439" spans="2:11" x14ac:dyDescent="0.3">
      <c r="B439" s="43" t="s">
        <v>2115</v>
      </c>
      <c r="C439" s="43" t="s">
        <v>2402</v>
      </c>
      <c r="D439" s="43" t="s">
        <v>2413</v>
      </c>
      <c r="E439" s="43" t="s">
        <v>2513</v>
      </c>
      <c r="F439" s="43">
        <v>782401</v>
      </c>
      <c r="G439" s="43" t="s">
        <v>2733</v>
      </c>
      <c r="H439" s="45" t="s">
        <v>2167</v>
      </c>
      <c r="I439" s="43" t="s">
        <v>2133</v>
      </c>
      <c r="J439" s="45" t="s">
        <v>2133</v>
      </c>
      <c r="K439" s="52">
        <v>897.83</v>
      </c>
    </row>
    <row r="440" spans="2:11" x14ac:dyDescent="0.3">
      <c r="B440" s="43" t="s">
        <v>2115</v>
      </c>
      <c r="C440" s="43" t="s">
        <v>2116</v>
      </c>
      <c r="D440" s="43"/>
      <c r="E440" s="43" t="s">
        <v>2207</v>
      </c>
      <c r="F440" s="43" t="s">
        <v>2734</v>
      </c>
      <c r="G440" s="43" t="s">
        <v>2735</v>
      </c>
      <c r="H440" s="45"/>
      <c r="I440" s="43" t="s">
        <v>2133</v>
      </c>
      <c r="J440" s="45" t="s">
        <v>2133</v>
      </c>
      <c r="K440" s="52">
        <v>0</v>
      </c>
    </row>
    <row r="441" spans="2:11" x14ac:dyDescent="0.3">
      <c r="B441" s="43" t="s">
        <v>2115</v>
      </c>
      <c r="C441" s="43" t="s">
        <v>2402</v>
      </c>
      <c r="D441" s="43" t="s">
        <v>2403</v>
      </c>
      <c r="E441" s="43" t="s">
        <v>2414</v>
      </c>
      <c r="F441" s="43">
        <v>920221</v>
      </c>
      <c r="G441" s="43" t="s">
        <v>2736</v>
      </c>
      <c r="H441" s="45"/>
      <c r="I441" s="43" t="s">
        <v>2133</v>
      </c>
      <c r="J441" s="45" t="s">
        <v>2133</v>
      </c>
      <c r="K441" s="52">
        <v>0</v>
      </c>
    </row>
    <row r="442" spans="2:11" x14ac:dyDescent="0.3">
      <c r="B442" s="43" t="s">
        <v>2115</v>
      </c>
      <c r="C442" s="43" t="s">
        <v>2116</v>
      </c>
      <c r="D442" s="43" t="s">
        <v>2189</v>
      </c>
      <c r="E442" s="43" t="s">
        <v>2152</v>
      </c>
      <c r="F442" s="43">
        <v>100493</v>
      </c>
      <c r="G442" s="43" t="s">
        <v>2737</v>
      </c>
      <c r="H442" s="45" t="s">
        <v>2191</v>
      </c>
      <c r="I442" s="43" t="s">
        <v>2133</v>
      </c>
      <c r="J442" s="45" t="s">
        <v>2133</v>
      </c>
      <c r="K442" s="52">
        <v>270032.82</v>
      </c>
    </row>
    <row r="443" spans="2:11" x14ac:dyDescent="0.3">
      <c r="B443" s="43" t="s">
        <v>2115</v>
      </c>
      <c r="C443" s="43" t="s">
        <v>2116</v>
      </c>
      <c r="D443" s="43"/>
      <c r="E443" s="43" t="s">
        <v>2207</v>
      </c>
      <c r="F443" s="43">
        <v>100637</v>
      </c>
      <c r="G443" s="43" t="s">
        <v>2738</v>
      </c>
      <c r="H443" s="45"/>
      <c r="I443" s="43" t="s">
        <v>2133</v>
      </c>
      <c r="J443" s="45" t="s">
        <v>2133</v>
      </c>
      <c r="K443" s="52">
        <v>44.98</v>
      </c>
    </row>
    <row r="444" spans="2:11" x14ac:dyDescent="0.3">
      <c r="B444" s="43" t="s">
        <v>2115</v>
      </c>
      <c r="C444" s="43" t="s">
        <v>2116</v>
      </c>
      <c r="D444" s="43"/>
      <c r="E444" s="43" t="s">
        <v>2207</v>
      </c>
      <c r="F444" s="43">
        <v>160220</v>
      </c>
      <c r="G444" s="43" t="s">
        <v>2739</v>
      </c>
      <c r="H444" s="45"/>
      <c r="I444" s="43" t="s">
        <v>2133</v>
      </c>
      <c r="J444" s="45" t="s">
        <v>2133</v>
      </c>
      <c r="K444" s="52">
        <v>5062.5</v>
      </c>
    </row>
    <row r="445" spans="2:11" x14ac:dyDescent="0.3">
      <c r="B445" s="43" t="s">
        <v>2115</v>
      </c>
      <c r="C445" s="43" t="s">
        <v>2116</v>
      </c>
      <c r="D445" s="43"/>
      <c r="E445" s="43" t="s">
        <v>2207</v>
      </c>
      <c r="F445" s="43">
        <v>160222</v>
      </c>
      <c r="G445" s="43" t="s">
        <v>2740</v>
      </c>
      <c r="H445" s="45"/>
      <c r="I445" s="43" t="s">
        <v>2133</v>
      </c>
      <c r="J445" s="45" t="s">
        <v>2133</v>
      </c>
      <c r="K445" s="52">
        <v>137585.87</v>
      </c>
    </row>
    <row r="446" spans="2:11" x14ac:dyDescent="0.3">
      <c r="B446" s="43" t="s">
        <v>2115</v>
      </c>
      <c r="C446" s="43" t="s">
        <v>2116</v>
      </c>
      <c r="D446" s="43"/>
      <c r="E446" s="43" t="s">
        <v>2223</v>
      </c>
      <c r="F446" s="43">
        <v>160224</v>
      </c>
      <c r="G446" s="43" t="s">
        <v>2741</v>
      </c>
      <c r="H446" s="45"/>
      <c r="I446" s="43" t="s">
        <v>2133</v>
      </c>
      <c r="J446" s="45" t="s">
        <v>2133</v>
      </c>
      <c r="K446" s="52">
        <v>16.75</v>
      </c>
    </row>
    <row r="447" spans="2:11" x14ac:dyDescent="0.3">
      <c r="B447" s="43" t="s">
        <v>2115</v>
      </c>
      <c r="C447" s="43" t="s">
        <v>2116</v>
      </c>
      <c r="D447" s="43"/>
      <c r="E447" s="43" t="s">
        <v>2231</v>
      </c>
      <c r="F447" s="43">
        <v>160413</v>
      </c>
      <c r="G447" s="43" t="s">
        <v>2742</v>
      </c>
      <c r="H447" s="45"/>
      <c r="I447" s="43" t="s">
        <v>2133</v>
      </c>
      <c r="J447" s="45" t="s">
        <v>2133</v>
      </c>
      <c r="K447" s="52">
        <v>7425.49</v>
      </c>
    </row>
    <row r="448" spans="2:11" x14ac:dyDescent="0.3">
      <c r="B448" s="43" t="s">
        <v>2115</v>
      </c>
      <c r="C448" s="43" t="s">
        <v>2116</v>
      </c>
      <c r="D448" s="43"/>
      <c r="E448" s="43" t="s">
        <v>2252</v>
      </c>
      <c r="F448" s="43">
        <v>180327</v>
      </c>
      <c r="G448" s="43" t="s">
        <v>2743</v>
      </c>
      <c r="H448" s="45"/>
      <c r="I448" s="43" t="s">
        <v>2133</v>
      </c>
      <c r="J448" s="45" t="s">
        <v>2133</v>
      </c>
      <c r="K448" s="52">
        <v>132826.54999999999</v>
      </c>
    </row>
    <row r="449" spans="2:11" x14ac:dyDescent="0.3">
      <c r="B449" s="43" t="s">
        <v>2115</v>
      </c>
      <c r="C449" s="43" t="s">
        <v>2116</v>
      </c>
      <c r="D449" s="43"/>
      <c r="E449" s="43" t="s">
        <v>2252</v>
      </c>
      <c r="F449" s="43">
        <v>180329</v>
      </c>
      <c r="G449" s="43" t="s">
        <v>2744</v>
      </c>
      <c r="H449" s="45"/>
      <c r="I449" s="43" t="s">
        <v>2133</v>
      </c>
      <c r="J449" s="45" t="s">
        <v>2133</v>
      </c>
      <c r="K449" s="52">
        <v>322932.67</v>
      </c>
    </row>
    <row r="450" spans="2:11" x14ac:dyDescent="0.3">
      <c r="B450" s="43" t="s">
        <v>2115</v>
      </c>
      <c r="C450" s="43" t="s">
        <v>2116</v>
      </c>
      <c r="D450" s="43"/>
      <c r="E450" s="43" t="s">
        <v>2240</v>
      </c>
      <c r="F450" s="43">
        <v>320827</v>
      </c>
      <c r="G450" s="43" t="s">
        <v>2745</v>
      </c>
      <c r="H450" s="45"/>
      <c r="I450" s="43" t="s">
        <v>2133</v>
      </c>
      <c r="J450" s="45" t="s">
        <v>2133</v>
      </c>
      <c r="K450" s="52">
        <v>-5871.6</v>
      </c>
    </row>
    <row r="451" spans="2:11" x14ac:dyDescent="0.3">
      <c r="B451" s="43" t="s">
        <v>2115</v>
      </c>
      <c r="C451" s="43" t="s">
        <v>2116</v>
      </c>
      <c r="D451" s="43"/>
      <c r="E451" s="43" t="s">
        <v>2223</v>
      </c>
      <c r="F451" s="43">
        <v>320829</v>
      </c>
      <c r="G451" s="43" t="s">
        <v>2746</v>
      </c>
      <c r="H451" s="45"/>
      <c r="I451" s="43" t="s">
        <v>2133</v>
      </c>
      <c r="J451" s="45" t="s">
        <v>2133</v>
      </c>
      <c r="K451" s="52">
        <v>-19406.54</v>
      </c>
    </row>
    <row r="452" spans="2:11" x14ac:dyDescent="0.3">
      <c r="B452" s="43" t="s">
        <v>2115</v>
      </c>
      <c r="C452" s="43" t="s">
        <v>2116</v>
      </c>
      <c r="D452" s="43"/>
      <c r="E452" s="43" t="s">
        <v>2223</v>
      </c>
      <c r="F452" s="43">
        <v>320831</v>
      </c>
      <c r="G452" s="43" t="s">
        <v>2747</v>
      </c>
      <c r="H452" s="45"/>
      <c r="I452" s="43" t="s">
        <v>2133</v>
      </c>
      <c r="J452" s="45" t="s">
        <v>2133</v>
      </c>
      <c r="K452" s="52">
        <v>-223335.3</v>
      </c>
    </row>
    <row r="453" spans="2:11" x14ac:dyDescent="0.3">
      <c r="B453" s="43" t="s">
        <v>2115</v>
      </c>
      <c r="C453" s="43" t="s">
        <v>2402</v>
      </c>
      <c r="D453" s="43" t="s">
        <v>2403</v>
      </c>
      <c r="E453" s="43" t="s">
        <v>2404</v>
      </c>
      <c r="F453" s="43">
        <v>680209</v>
      </c>
      <c r="G453" s="43" t="s">
        <v>2748</v>
      </c>
      <c r="H453" s="45"/>
      <c r="I453" s="43" t="s">
        <v>2133</v>
      </c>
      <c r="J453" s="45" t="s">
        <v>2133</v>
      </c>
      <c r="K453" s="52">
        <v>-2001545.22</v>
      </c>
    </row>
    <row r="454" spans="2:11" x14ac:dyDescent="0.3">
      <c r="B454" s="43" t="s">
        <v>2115</v>
      </c>
      <c r="C454" s="43" t="s">
        <v>2402</v>
      </c>
      <c r="D454" s="43" t="s">
        <v>2403</v>
      </c>
      <c r="E454" s="43" t="s">
        <v>2404</v>
      </c>
      <c r="F454" s="43">
        <v>700217</v>
      </c>
      <c r="G454" s="43" t="s">
        <v>2749</v>
      </c>
      <c r="H454" s="45"/>
      <c r="I454" s="43" t="s">
        <v>2133</v>
      </c>
      <c r="J454" s="45" t="s">
        <v>2133</v>
      </c>
      <c r="K454" s="52">
        <v>-5877412.6799999997</v>
      </c>
    </row>
    <row r="455" spans="2:11" x14ac:dyDescent="0.3">
      <c r="B455" s="43" t="s">
        <v>2115</v>
      </c>
      <c r="C455" s="43" t="s">
        <v>2402</v>
      </c>
      <c r="D455" s="43" t="s">
        <v>2403</v>
      </c>
      <c r="E455" s="43" t="s">
        <v>2404</v>
      </c>
      <c r="F455" s="43">
        <v>740215</v>
      </c>
      <c r="G455" s="43" t="s">
        <v>2750</v>
      </c>
      <c r="H455" s="45"/>
      <c r="I455" s="43" t="s">
        <v>2133</v>
      </c>
      <c r="J455" s="45" t="s">
        <v>2133</v>
      </c>
      <c r="K455" s="52">
        <v>-2475534.92</v>
      </c>
    </row>
    <row r="456" spans="2:11" x14ac:dyDescent="0.3">
      <c r="B456" s="43" t="s">
        <v>2115</v>
      </c>
      <c r="C456" s="43" t="s">
        <v>2116</v>
      </c>
      <c r="D456" s="43"/>
      <c r="E456" s="43" t="s">
        <v>2117</v>
      </c>
      <c r="F456" s="43">
        <v>100249</v>
      </c>
      <c r="G456" s="43" t="s">
        <v>2751</v>
      </c>
      <c r="H456" s="45" t="s">
        <v>2124</v>
      </c>
      <c r="I456" s="43" t="s">
        <v>2133</v>
      </c>
      <c r="J456" s="45" t="s">
        <v>2133</v>
      </c>
      <c r="K456" s="52">
        <v>29035480.52</v>
      </c>
    </row>
    <row r="457" spans="2:11" x14ac:dyDescent="0.3">
      <c r="B457" s="43" t="s">
        <v>2115</v>
      </c>
      <c r="C457" s="43" t="s">
        <v>2116</v>
      </c>
      <c r="D457" s="43"/>
      <c r="E457" s="43" t="s">
        <v>2117</v>
      </c>
      <c r="F457" s="43">
        <v>100251</v>
      </c>
      <c r="G457" s="43" t="s">
        <v>2752</v>
      </c>
      <c r="H457" s="45" t="s">
        <v>2124</v>
      </c>
      <c r="I457" s="43" t="s">
        <v>2133</v>
      </c>
      <c r="J457" s="45" t="s">
        <v>2133</v>
      </c>
      <c r="K457" s="52">
        <v>-4531375.83</v>
      </c>
    </row>
    <row r="458" spans="2:11" x14ac:dyDescent="0.3">
      <c r="B458" s="43" t="s">
        <v>2115</v>
      </c>
      <c r="C458" s="43" t="s">
        <v>2116</v>
      </c>
      <c r="D458" s="43" t="s">
        <v>2189</v>
      </c>
      <c r="E458" s="43" t="s">
        <v>2152</v>
      </c>
      <c r="F458" s="43">
        <v>100495</v>
      </c>
      <c r="G458" s="43" t="s">
        <v>2753</v>
      </c>
      <c r="H458" s="45" t="s">
        <v>2191</v>
      </c>
      <c r="I458" s="43" t="s">
        <v>2133</v>
      </c>
      <c r="J458" s="45" t="s">
        <v>2133</v>
      </c>
      <c r="K458" s="52">
        <v>261711.78</v>
      </c>
    </row>
    <row r="459" spans="2:11" x14ac:dyDescent="0.3">
      <c r="B459" s="43" t="s">
        <v>2115</v>
      </c>
      <c r="C459" s="43" t="s">
        <v>2116</v>
      </c>
      <c r="D459" s="43" t="s">
        <v>2189</v>
      </c>
      <c r="E459" s="43" t="s">
        <v>2152</v>
      </c>
      <c r="F459" s="43">
        <v>100497</v>
      </c>
      <c r="G459" s="43" t="s">
        <v>2754</v>
      </c>
      <c r="H459" s="45" t="s">
        <v>2191</v>
      </c>
      <c r="I459" s="43" t="s">
        <v>2133</v>
      </c>
      <c r="J459" s="45" t="s">
        <v>2133</v>
      </c>
      <c r="K459" s="52">
        <v>330943.51</v>
      </c>
    </row>
    <row r="460" spans="2:11" x14ac:dyDescent="0.3">
      <c r="B460" s="43" t="s">
        <v>2115</v>
      </c>
      <c r="C460" s="43" t="s">
        <v>2116</v>
      </c>
      <c r="D460" s="43" t="s">
        <v>2189</v>
      </c>
      <c r="E460" s="43" t="s">
        <v>2152</v>
      </c>
      <c r="F460" s="43">
        <v>100499</v>
      </c>
      <c r="G460" s="43" t="s">
        <v>2755</v>
      </c>
      <c r="H460" s="45" t="s">
        <v>2191</v>
      </c>
      <c r="I460" s="43" t="s">
        <v>2133</v>
      </c>
      <c r="J460" s="45" t="s">
        <v>2133</v>
      </c>
      <c r="K460" s="52">
        <v>143607.9</v>
      </c>
    </row>
    <row r="461" spans="2:11" x14ac:dyDescent="0.3">
      <c r="B461" s="43" t="s">
        <v>2115</v>
      </c>
      <c r="C461" s="43" t="s">
        <v>2116</v>
      </c>
      <c r="D461" s="43"/>
      <c r="E461" s="43" t="s">
        <v>2117</v>
      </c>
      <c r="F461" s="43">
        <v>100501</v>
      </c>
      <c r="G461" s="43" t="s">
        <v>2756</v>
      </c>
      <c r="H461" s="45" t="s">
        <v>2757</v>
      </c>
      <c r="I461" s="43" t="s">
        <v>2133</v>
      </c>
      <c r="J461" s="45" t="s">
        <v>2133</v>
      </c>
      <c r="K461" s="52">
        <v>3399355.54</v>
      </c>
    </row>
    <row r="462" spans="2:11" x14ac:dyDescent="0.3">
      <c r="B462" s="43" t="s">
        <v>2115</v>
      </c>
      <c r="C462" s="43" t="s">
        <v>2116</v>
      </c>
      <c r="D462" s="43"/>
      <c r="E462" s="43" t="s">
        <v>2117</v>
      </c>
      <c r="F462" s="43">
        <v>100503</v>
      </c>
      <c r="G462" s="43" t="s">
        <v>2758</v>
      </c>
      <c r="H462" s="45" t="s">
        <v>2757</v>
      </c>
      <c r="I462" s="43" t="s">
        <v>2133</v>
      </c>
      <c r="J462" s="45" t="s">
        <v>2133</v>
      </c>
      <c r="K462" s="52">
        <v>-1302951.51</v>
      </c>
    </row>
    <row r="463" spans="2:11" x14ac:dyDescent="0.3">
      <c r="B463" s="43" t="s">
        <v>2115</v>
      </c>
      <c r="C463" s="43" t="s">
        <v>2116</v>
      </c>
      <c r="D463" s="43"/>
      <c r="E463" s="43" t="s">
        <v>2223</v>
      </c>
      <c r="F463" s="43">
        <v>140229</v>
      </c>
      <c r="G463" s="43" t="s">
        <v>2759</v>
      </c>
      <c r="H463" s="45"/>
      <c r="I463" s="43" t="s">
        <v>2133</v>
      </c>
      <c r="J463" s="45" t="s">
        <v>2133</v>
      </c>
      <c r="K463" s="52">
        <v>1700391.73</v>
      </c>
    </row>
    <row r="464" spans="2:11" x14ac:dyDescent="0.3">
      <c r="B464" s="43" t="s">
        <v>2115</v>
      </c>
      <c r="C464" s="43" t="s">
        <v>2116</v>
      </c>
      <c r="D464" s="43"/>
      <c r="E464" s="43" t="s">
        <v>2296</v>
      </c>
      <c r="F464" s="43">
        <v>220233</v>
      </c>
      <c r="G464" s="43" t="s">
        <v>2760</v>
      </c>
      <c r="H464" s="45"/>
      <c r="I464" s="43" t="s">
        <v>2133</v>
      </c>
      <c r="J464" s="45" t="s">
        <v>2133</v>
      </c>
      <c r="K464" s="52">
        <v>1075640.1100000001</v>
      </c>
    </row>
    <row r="465" spans="2:11" x14ac:dyDescent="0.3">
      <c r="B465" s="43" t="s">
        <v>2115</v>
      </c>
      <c r="C465" s="43" t="s">
        <v>2116</v>
      </c>
      <c r="D465" s="43"/>
      <c r="E465" s="43" t="s">
        <v>2296</v>
      </c>
      <c r="F465" s="43">
        <v>220235</v>
      </c>
      <c r="G465" s="43" t="s">
        <v>2761</v>
      </c>
      <c r="H465" s="45"/>
      <c r="I465" s="43" t="s">
        <v>2133</v>
      </c>
      <c r="J465" s="45" t="s">
        <v>2133</v>
      </c>
      <c r="K465" s="52">
        <v>-36817.82</v>
      </c>
    </row>
    <row r="466" spans="2:11" x14ac:dyDescent="0.3">
      <c r="B466" s="43" t="s">
        <v>2115</v>
      </c>
      <c r="C466" s="43" t="s">
        <v>2116</v>
      </c>
      <c r="D466" s="43"/>
      <c r="E466" s="43" t="s">
        <v>2284</v>
      </c>
      <c r="F466" s="43">
        <v>280405</v>
      </c>
      <c r="G466" s="43" t="s">
        <v>2762</v>
      </c>
      <c r="H466" s="45"/>
      <c r="I466" s="43" t="s">
        <v>2133</v>
      </c>
      <c r="J466" s="45" t="s">
        <v>2133</v>
      </c>
      <c r="K466" s="52">
        <v>-1445322.96</v>
      </c>
    </row>
    <row r="467" spans="2:11" x14ac:dyDescent="0.3">
      <c r="B467" s="43" t="s">
        <v>2115</v>
      </c>
      <c r="C467" s="43" t="s">
        <v>2116</v>
      </c>
      <c r="D467" s="43"/>
      <c r="E467" s="43" t="s">
        <v>2284</v>
      </c>
      <c r="F467" s="43">
        <v>280407</v>
      </c>
      <c r="G467" s="43" t="s">
        <v>2763</v>
      </c>
      <c r="H467" s="45"/>
      <c r="I467" s="43" t="s">
        <v>2133</v>
      </c>
      <c r="J467" s="45" t="s">
        <v>2133</v>
      </c>
      <c r="K467" s="52">
        <v>-696613.91</v>
      </c>
    </row>
    <row r="468" spans="2:11" x14ac:dyDescent="0.3">
      <c r="B468" s="43" t="s">
        <v>2115</v>
      </c>
      <c r="C468" s="43" t="s">
        <v>2116</v>
      </c>
      <c r="D468" s="43" t="s">
        <v>2189</v>
      </c>
      <c r="E468" s="43" t="s">
        <v>2152</v>
      </c>
      <c r="F468" s="43">
        <v>100509</v>
      </c>
      <c r="G468" s="43" t="s">
        <v>2764</v>
      </c>
      <c r="H468" s="45" t="s">
        <v>2191</v>
      </c>
      <c r="I468" s="43" t="s">
        <v>2133</v>
      </c>
      <c r="J468" s="45" t="s">
        <v>2133</v>
      </c>
      <c r="K468" s="52">
        <v>57320.6</v>
      </c>
    </row>
    <row r="469" spans="2:11" x14ac:dyDescent="0.3">
      <c r="B469" s="43" t="s">
        <v>2115</v>
      </c>
      <c r="C469" s="43" t="s">
        <v>2116</v>
      </c>
      <c r="D469" s="43" t="s">
        <v>2189</v>
      </c>
      <c r="E469" s="43" t="s">
        <v>2152</v>
      </c>
      <c r="F469" s="43">
        <v>100513</v>
      </c>
      <c r="G469" s="43" t="s">
        <v>2765</v>
      </c>
      <c r="H469" s="45" t="s">
        <v>2191</v>
      </c>
      <c r="I469" s="43" t="s">
        <v>2133</v>
      </c>
      <c r="J469" s="45" t="s">
        <v>2133</v>
      </c>
      <c r="K469" s="52">
        <v>411699.71</v>
      </c>
    </row>
    <row r="470" spans="2:11" x14ac:dyDescent="0.3">
      <c r="B470" s="43" t="s">
        <v>2115</v>
      </c>
      <c r="C470" s="43" t="s">
        <v>2116</v>
      </c>
      <c r="D470" s="43" t="s">
        <v>2189</v>
      </c>
      <c r="E470" s="43" t="s">
        <v>2152</v>
      </c>
      <c r="F470" s="43">
        <v>100515</v>
      </c>
      <c r="G470" s="43" t="s">
        <v>2766</v>
      </c>
      <c r="H470" s="45" t="s">
        <v>2191</v>
      </c>
      <c r="I470" s="43" t="s">
        <v>2133</v>
      </c>
      <c r="J470" s="45" t="s">
        <v>2133</v>
      </c>
      <c r="K470" s="52">
        <v>110808.86</v>
      </c>
    </row>
    <row r="471" spans="2:11" x14ac:dyDescent="0.3">
      <c r="B471" s="43" t="s">
        <v>2115</v>
      </c>
      <c r="C471" s="43" t="s">
        <v>2402</v>
      </c>
      <c r="D471" s="43" t="s">
        <v>2413</v>
      </c>
      <c r="E471" s="43" t="s">
        <v>2513</v>
      </c>
      <c r="F471" s="43">
        <v>761605</v>
      </c>
      <c r="G471" s="43" t="s">
        <v>2767</v>
      </c>
      <c r="H471" s="45" t="s">
        <v>2757</v>
      </c>
      <c r="I471" s="43" t="s">
        <v>2133</v>
      </c>
      <c r="J471" s="45" t="s">
        <v>2133</v>
      </c>
      <c r="K471" s="52">
        <v>0</v>
      </c>
    </row>
    <row r="472" spans="2:11" x14ac:dyDescent="0.3">
      <c r="B472" s="43" t="s">
        <v>2115</v>
      </c>
      <c r="C472" s="43" t="s">
        <v>2402</v>
      </c>
      <c r="D472" s="43" t="s">
        <v>2413</v>
      </c>
      <c r="E472" s="43" t="s">
        <v>2414</v>
      </c>
      <c r="F472" s="43">
        <v>900221</v>
      </c>
      <c r="G472" s="43" t="s">
        <v>2736</v>
      </c>
      <c r="H472" s="45"/>
      <c r="I472" s="43" t="s">
        <v>2133</v>
      </c>
      <c r="J472" s="45" t="s">
        <v>2133</v>
      </c>
      <c r="K472" s="52">
        <v>0</v>
      </c>
    </row>
    <row r="473" spans="2:11" x14ac:dyDescent="0.3">
      <c r="B473" s="43" t="s">
        <v>2115</v>
      </c>
      <c r="C473" s="43" t="s">
        <v>2402</v>
      </c>
      <c r="D473" s="43" t="s">
        <v>2413</v>
      </c>
      <c r="E473" s="43" t="s">
        <v>2568</v>
      </c>
      <c r="F473" s="43">
        <v>920219</v>
      </c>
      <c r="G473" s="43" t="s">
        <v>2768</v>
      </c>
      <c r="H473" s="45"/>
      <c r="I473" s="43" t="s">
        <v>2133</v>
      </c>
      <c r="J473" s="45" t="s">
        <v>2133</v>
      </c>
      <c r="K473" s="52">
        <v>0</v>
      </c>
    </row>
    <row r="474" spans="2:11" x14ac:dyDescent="0.3">
      <c r="B474" s="43" t="s">
        <v>2115</v>
      </c>
      <c r="C474" s="43" t="s">
        <v>2402</v>
      </c>
      <c r="D474" s="43" t="s">
        <v>2413</v>
      </c>
      <c r="E474" s="43" t="s">
        <v>2513</v>
      </c>
      <c r="F474" s="43">
        <v>761607</v>
      </c>
      <c r="G474" s="43" t="s">
        <v>2769</v>
      </c>
      <c r="H474" s="45" t="s">
        <v>2124</v>
      </c>
      <c r="I474" s="43" t="s">
        <v>2133</v>
      </c>
      <c r="J474" s="45" t="s">
        <v>2133</v>
      </c>
      <c r="K474" s="52">
        <v>1149429.6000000001</v>
      </c>
    </row>
    <row r="475" spans="2:11" x14ac:dyDescent="0.3">
      <c r="B475" s="43" t="s">
        <v>2115</v>
      </c>
      <c r="C475" s="43" t="s">
        <v>2116</v>
      </c>
      <c r="D475" s="43"/>
      <c r="E475" s="43" t="s">
        <v>2252</v>
      </c>
      <c r="F475" s="43">
        <v>180331</v>
      </c>
      <c r="G475" s="43" t="s">
        <v>2770</v>
      </c>
      <c r="H475" s="45"/>
      <c r="I475" s="43" t="s">
        <v>2133</v>
      </c>
      <c r="J475" s="45" t="s">
        <v>2133</v>
      </c>
      <c r="K475" s="52">
        <v>68270.009999999995</v>
      </c>
    </row>
    <row r="476" spans="2:11" x14ac:dyDescent="0.3">
      <c r="B476" s="43" t="s">
        <v>2115</v>
      </c>
      <c r="C476" s="43" t="s">
        <v>2116</v>
      </c>
      <c r="D476" s="43"/>
      <c r="E476" s="43" t="s">
        <v>2296</v>
      </c>
      <c r="F476" s="43">
        <v>220237</v>
      </c>
      <c r="G476" s="43" t="s">
        <v>2771</v>
      </c>
      <c r="H476" s="45"/>
      <c r="I476" s="43" t="s">
        <v>2133</v>
      </c>
      <c r="J476" s="45" t="s">
        <v>2133</v>
      </c>
      <c r="K476" s="52">
        <v>-16075</v>
      </c>
    </row>
    <row r="477" spans="2:11" x14ac:dyDescent="0.3">
      <c r="B477" s="43" t="s">
        <v>2115</v>
      </c>
      <c r="C477" s="43" t="s">
        <v>2116</v>
      </c>
      <c r="D477" s="43"/>
      <c r="E477" s="43" t="s">
        <v>2284</v>
      </c>
      <c r="F477" s="43">
        <v>280275</v>
      </c>
      <c r="G477" s="43" t="s">
        <v>2772</v>
      </c>
      <c r="H477" s="45"/>
      <c r="I477" s="43" t="s">
        <v>2286</v>
      </c>
      <c r="J477" s="45" t="s">
        <v>2266</v>
      </c>
      <c r="K477" s="52">
        <v>0</v>
      </c>
    </row>
    <row r="478" spans="2:11" x14ac:dyDescent="0.3">
      <c r="B478" s="43" t="s">
        <v>2115</v>
      </c>
      <c r="C478" s="43" t="s">
        <v>2116</v>
      </c>
      <c r="D478" s="43"/>
      <c r="E478" s="43" t="s">
        <v>2284</v>
      </c>
      <c r="F478" s="43">
        <v>280277</v>
      </c>
      <c r="G478" s="43" t="s">
        <v>2773</v>
      </c>
      <c r="H478" s="45"/>
      <c r="I478" s="43" t="s">
        <v>2286</v>
      </c>
      <c r="J478" s="45" t="s">
        <v>2266</v>
      </c>
      <c r="K478" s="52">
        <v>0</v>
      </c>
    </row>
    <row r="479" spans="2:11" x14ac:dyDescent="0.3">
      <c r="B479" s="43" t="s">
        <v>2115</v>
      </c>
      <c r="C479" s="43" t="s">
        <v>2402</v>
      </c>
      <c r="D479" s="43" t="s">
        <v>10</v>
      </c>
      <c r="E479" s="43" t="s">
        <v>2429</v>
      </c>
      <c r="F479" s="43" t="s">
        <v>2774</v>
      </c>
      <c r="G479" s="43" t="s">
        <v>2774</v>
      </c>
      <c r="H479" s="45"/>
      <c r="I479" s="43" t="s">
        <v>2610</v>
      </c>
      <c r="J479" s="45" t="s">
        <v>2611</v>
      </c>
      <c r="K479" s="52">
        <v>-3444</v>
      </c>
    </row>
    <row r="480" spans="2:11" x14ac:dyDescent="0.3">
      <c r="B480" s="43" t="s">
        <v>2115</v>
      </c>
      <c r="C480" s="43" t="s">
        <v>2402</v>
      </c>
      <c r="D480" s="43" t="s">
        <v>10</v>
      </c>
      <c r="E480" s="43" t="s">
        <v>259</v>
      </c>
      <c r="F480" s="43" t="s">
        <v>259</v>
      </c>
      <c r="G480" s="43" t="s">
        <v>259</v>
      </c>
      <c r="H480" s="45"/>
      <c r="I480" s="43" t="s">
        <v>2610</v>
      </c>
      <c r="J480" s="45" t="s">
        <v>2611</v>
      </c>
      <c r="K480" s="52">
        <v>-179090.09</v>
      </c>
    </row>
    <row r="481" spans="2:11" x14ac:dyDescent="0.3">
      <c r="B481" s="43" t="s">
        <v>2115</v>
      </c>
      <c r="C481" s="43" t="s">
        <v>2402</v>
      </c>
      <c r="D481" s="43" t="s">
        <v>10</v>
      </c>
      <c r="E481" s="43" t="s">
        <v>2429</v>
      </c>
      <c r="F481" s="43" t="s">
        <v>202</v>
      </c>
      <c r="G481" s="43" t="s">
        <v>202</v>
      </c>
      <c r="H481" s="45"/>
      <c r="I481" s="43" t="s">
        <v>2610</v>
      </c>
      <c r="J481" s="45" t="s">
        <v>2611</v>
      </c>
      <c r="K481" s="52">
        <v>-327617.44</v>
      </c>
    </row>
    <row r="482" spans="2:11" x14ac:dyDescent="0.3">
      <c r="B482" s="43" t="s">
        <v>2115</v>
      </c>
      <c r="C482" s="43" t="s">
        <v>2116</v>
      </c>
      <c r="D482" s="43" t="s">
        <v>2189</v>
      </c>
      <c r="E482" s="43" t="s">
        <v>2152</v>
      </c>
      <c r="F482" s="43">
        <v>100505</v>
      </c>
      <c r="G482" s="43" t="s">
        <v>2775</v>
      </c>
      <c r="H482" s="45" t="s">
        <v>2191</v>
      </c>
      <c r="I482" s="43" t="s">
        <v>2133</v>
      </c>
      <c r="J482" s="45" t="s">
        <v>2133</v>
      </c>
      <c r="K482" s="52">
        <v>154101.24</v>
      </c>
    </row>
    <row r="483" spans="2:11" x14ac:dyDescent="0.3">
      <c r="B483" s="43" t="s">
        <v>2115</v>
      </c>
      <c r="C483" s="43" t="s">
        <v>2116</v>
      </c>
      <c r="D483" s="43"/>
      <c r="E483" s="43" t="s">
        <v>2207</v>
      </c>
      <c r="F483" s="43">
        <v>160205</v>
      </c>
      <c r="G483" s="43" t="s">
        <v>2776</v>
      </c>
      <c r="H483" s="45"/>
      <c r="I483" s="43" t="s">
        <v>2236</v>
      </c>
      <c r="J483" s="45" t="s">
        <v>2237</v>
      </c>
      <c r="K483" s="52">
        <v>-28579.75</v>
      </c>
    </row>
    <row r="484" spans="2:11" x14ac:dyDescent="0.3">
      <c r="B484" s="43" t="s">
        <v>2115</v>
      </c>
      <c r="C484" s="43" t="s">
        <v>2116</v>
      </c>
      <c r="D484" s="43"/>
      <c r="E484" s="43" t="s">
        <v>2252</v>
      </c>
      <c r="F484" s="43">
        <v>180333</v>
      </c>
      <c r="G484" s="43" t="s">
        <v>2777</v>
      </c>
      <c r="H484" s="45"/>
      <c r="I484" s="43" t="s">
        <v>2133</v>
      </c>
      <c r="J484" s="45" t="s">
        <v>2133</v>
      </c>
      <c r="K484" s="52">
        <v>21886.84</v>
      </c>
    </row>
    <row r="485" spans="2:11" x14ac:dyDescent="0.3">
      <c r="B485" s="43" t="s">
        <v>2115</v>
      </c>
      <c r="C485" s="43" t="s">
        <v>2116</v>
      </c>
      <c r="D485" s="43"/>
      <c r="E485" s="43" t="s">
        <v>2252</v>
      </c>
      <c r="F485" s="43">
        <v>180335</v>
      </c>
      <c r="G485" s="43" t="s">
        <v>2778</v>
      </c>
      <c r="H485" s="45"/>
      <c r="I485" s="43" t="s">
        <v>2133</v>
      </c>
      <c r="J485" s="45" t="s">
        <v>2133</v>
      </c>
      <c r="K485" s="52">
        <v>96.16</v>
      </c>
    </row>
    <row r="486" spans="2:11" x14ac:dyDescent="0.3">
      <c r="B486" s="43" t="s">
        <v>2115</v>
      </c>
      <c r="C486" s="43" t="s">
        <v>2116</v>
      </c>
      <c r="D486" s="43"/>
      <c r="E486" s="43" t="s">
        <v>2252</v>
      </c>
      <c r="F486" s="43">
        <v>180337</v>
      </c>
      <c r="G486" s="43" t="s">
        <v>2779</v>
      </c>
      <c r="H486" s="45"/>
      <c r="I486" s="43" t="s">
        <v>2133</v>
      </c>
      <c r="J486" s="45" t="s">
        <v>2133</v>
      </c>
      <c r="K486" s="52">
        <v>1451695.41</v>
      </c>
    </row>
    <row r="487" spans="2:11" x14ac:dyDescent="0.3">
      <c r="B487" s="43" t="s">
        <v>2115</v>
      </c>
      <c r="C487" s="43" t="s">
        <v>2116</v>
      </c>
      <c r="D487" s="43"/>
      <c r="E487" s="43" t="s">
        <v>2252</v>
      </c>
      <c r="F487" s="43">
        <v>180351</v>
      </c>
      <c r="G487" t="s">
        <v>2780</v>
      </c>
      <c r="H487" s="45"/>
      <c r="I487" s="43" t="s">
        <v>2133</v>
      </c>
      <c r="J487" s="45" t="s">
        <v>2257</v>
      </c>
      <c r="K487" s="52">
        <v>18937.43</v>
      </c>
    </row>
    <row r="488" spans="2:11" x14ac:dyDescent="0.3">
      <c r="B488" s="43" t="s">
        <v>2115</v>
      </c>
      <c r="C488" s="43" t="s">
        <v>2116</v>
      </c>
      <c r="D488" s="43"/>
      <c r="E488" s="43" t="s">
        <v>2284</v>
      </c>
      <c r="F488" s="43">
        <v>280279</v>
      </c>
      <c r="G488" t="s">
        <v>2781</v>
      </c>
      <c r="H488" s="45"/>
      <c r="I488" s="43" t="s">
        <v>2286</v>
      </c>
      <c r="J488" s="45" t="s">
        <v>2266</v>
      </c>
      <c r="K488" s="52">
        <v>-24795591.890000001</v>
      </c>
    </row>
    <row r="489" spans="2:11" x14ac:dyDescent="0.3">
      <c r="B489" s="43" t="s">
        <v>2115</v>
      </c>
      <c r="C489" s="43" t="s">
        <v>2116</v>
      </c>
      <c r="D489" s="43"/>
      <c r="E489" s="43" t="s">
        <v>2370</v>
      </c>
      <c r="F489" s="43">
        <v>320417</v>
      </c>
      <c r="G489" t="s">
        <v>2782</v>
      </c>
      <c r="H489" s="45"/>
      <c r="I489" s="43" t="s">
        <v>2245</v>
      </c>
      <c r="J489" s="45" t="s">
        <v>2212</v>
      </c>
      <c r="K489" s="52">
        <v>-428566.25</v>
      </c>
    </row>
    <row r="490" spans="2:11" x14ac:dyDescent="0.3">
      <c r="B490" s="43" t="s">
        <v>2115</v>
      </c>
      <c r="C490" s="43" t="s">
        <v>2402</v>
      </c>
      <c r="D490" s="43" t="s">
        <v>2413</v>
      </c>
      <c r="E490" s="43" t="s">
        <v>690</v>
      </c>
      <c r="F490" s="43">
        <v>700401</v>
      </c>
      <c r="G490" t="s">
        <v>2783</v>
      </c>
      <c r="H490" s="45"/>
      <c r="I490" s="43" t="s">
        <v>2434</v>
      </c>
      <c r="J490" s="45" t="s">
        <v>2435</v>
      </c>
      <c r="K490" s="52">
        <v>25298.76</v>
      </c>
    </row>
    <row r="491" spans="2:11" x14ac:dyDescent="0.3">
      <c r="B491" s="43" t="s">
        <v>2115</v>
      </c>
      <c r="C491" s="43" t="s">
        <v>2402</v>
      </c>
      <c r="D491" s="43" t="s">
        <v>2413</v>
      </c>
      <c r="E491" s="43" t="s">
        <v>690</v>
      </c>
      <c r="F491" s="43">
        <v>840201</v>
      </c>
      <c r="G491" t="s">
        <v>2784</v>
      </c>
      <c r="H491" s="45"/>
      <c r="I491" s="43" t="s">
        <v>2544</v>
      </c>
      <c r="J491" s="45" t="s">
        <v>2545</v>
      </c>
      <c r="K491" s="52">
        <v>27236.49</v>
      </c>
    </row>
    <row r="492" spans="2:11" x14ac:dyDescent="0.3">
      <c r="B492" s="43" t="s">
        <v>2115</v>
      </c>
      <c r="C492" s="43" t="s">
        <v>2402</v>
      </c>
      <c r="D492" s="43" t="s">
        <v>2413</v>
      </c>
      <c r="E492" s="43" t="s">
        <v>690</v>
      </c>
      <c r="F492" s="43" t="s">
        <v>2785</v>
      </c>
      <c r="G492" t="s">
        <v>2786</v>
      </c>
      <c r="H492" s="45"/>
      <c r="I492" s="43" t="s">
        <v>2133</v>
      </c>
      <c r="J492" s="43" t="s">
        <v>2133</v>
      </c>
      <c r="K492" s="52">
        <v>3355.78</v>
      </c>
    </row>
    <row r="493" spans="2:11" x14ac:dyDescent="0.3">
      <c r="B493" s="43" t="s">
        <v>2115</v>
      </c>
      <c r="C493" s="43" t="s">
        <v>2116</v>
      </c>
      <c r="D493" s="43"/>
      <c r="E493" s="43" t="s">
        <v>2252</v>
      </c>
      <c r="F493" s="43" t="s">
        <v>2787</v>
      </c>
      <c r="G493" t="s">
        <v>2788</v>
      </c>
      <c r="H493" s="45"/>
      <c r="I493" s="43" t="s">
        <v>2133</v>
      </c>
      <c r="J493" s="43" t="s">
        <v>2133</v>
      </c>
      <c r="K493" s="52">
        <v>172828.39</v>
      </c>
    </row>
    <row r="494" spans="2:11" x14ac:dyDescent="0.3">
      <c r="B494" s="43" t="s">
        <v>2115</v>
      </c>
      <c r="C494" s="43" t="s">
        <v>2116</v>
      </c>
      <c r="D494" s="43"/>
      <c r="E494" s="43" t="s">
        <v>2252</v>
      </c>
      <c r="F494" s="43" t="s">
        <v>2789</v>
      </c>
      <c r="G494" t="s">
        <v>2790</v>
      </c>
      <c r="H494" s="45"/>
      <c r="I494" s="43" t="s">
        <v>2133</v>
      </c>
      <c r="J494" s="43" t="s">
        <v>2133</v>
      </c>
      <c r="K494" s="52">
        <v>121605.94</v>
      </c>
    </row>
    <row r="495" spans="2:11" x14ac:dyDescent="0.3">
      <c r="B495" s="43" t="s">
        <v>2115</v>
      </c>
      <c r="C495" s="43" t="s">
        <v>2116</v>
      </c>
      <c r="D495" s="43"/>
      <c r="E495" s="43" t="s">
        <v>2252</v>
      </c>
      <c r="F495" s="43" t="s">
        <v>2791</v>
      </c>
      <c r="G495" t="s">
        <v>2792</v>
      </c>
      <c r="H495" s="45"/>
      <c r="I495" s="43" t="s">
        <v>2133</v>
      </c>
      <c r="J495" s="43" t="s">
        <v>2133</v>
      </c>
      <c r="K495" s="52">
        <v>56.06</v>
      </c>
    </row>
    <row r="496" spans="2:11" x14ac:dyDescent="0.3">
      <c r="B496" s="43" t="s">
        <v>2115</v>
      </c>
      <c r="C496" s="43" t="s">
        <v>2116</v>
      </c>
      <c r="D496" s="43"/>
      <c r="E496" s="43" t="s">
        <v>2219</v>
      </c>
      <c r="F496" s="43">
        <v>120201</v>
      </c>
      <c r="G496" t="s">
        <v>2793</v>
      </c>
      <c r="H496" s="45"/>
      <c r="I496" s="43" t="s">
        <v>2221</v>
      </c>
      <c r="J496" s="43" t="s">
        <v>2222</v>
      </c>
      <c r="K496" s="52">
        <v>111115.03</v>
      </c>
    </row>
    <row r="497" spans="2:11" x14ac:dyDescent="0.3">
      <c r="B497" s="43" t="s">
        <v>2115</v>
      </c>
      <c r="C497" s="43" t="s">
        <v>2116</v>
      </c>
      <c r="D497" s="43"/>
      <c r="E497" s="43" t="s">
        <v>2219</v>
      </c>
      <c r="F497" s="43">
        <v>120205</v>
      </c>
      <c r="G497" s="43" t="s">
        <v>2794</v>
      </c>
      <c r="H497" s="45"/>
      <c r="I497" s="43" t="s">
        <v>2221</v>
      </c>
      <c r="J497" s="43" t="s">
        <v>2222</v>
      </c>
      <c r="K497" s="52">
        <v>23970.69</v>
      </c>
    </row>
    <row r="498" spans="2:11" x14ac:dyDescent="0.3">
      <c r="B498" s="43" t="s">
        <v>2115</v>
      </c>
      <c r="C498" s="43" t="s">
        <v>2402</v>
      </c>
      <c r="D498" s="43" t="s">
        <v>2413</v>
      </c>
      <c r="E498" s="43" t="s">
        <v>690</v>
      </c>
      <c r="F498" s="43">
        <v>881201</v>
      </c>
      <c r="G498" s="43" t="s">
        <v>2795</v>
      </c>
      <c r="H498" s="45"/>
      <c r="I498" s="43" t="s">
        <v>2544</v>
      </c>
      <c r="J498" s="43" t="s">
        <v>2545</v>
      </c>
      <c r="K498" s="52">
        <v>530</v>
      </c>
    </row>
    <row r="499" spans="2:11" x14ac:dyDescent="0.3">
      <c r="K499">
        <v>0</v>
      </c>
    </row>
    <row r="500" spans="2:11" x14ac:dyDescent="0.3">
      <c r="K500">
        <v>0</v>
      </c>
    </row>
    <row r="501" spans="2:11" x14ac:dyDescent="0.3">
      <c r="K501">
        <v>0</v>
      </c>
    </row>
    <row r="502" spans="2:11" x14ac:dyDescent="0.3">
      <c r="K502">
        <v>0</v>
      </c>
    </row>
  </sheetData>
  <conditionalFormatting sqref="F2:F431 F433:F498">
    <cfRule type="duplicateValues" dxfId="1" priority="2"/>
  </conditionalFormatting>
  <conditionalFormatting sqref="F432">
    <cfRule type="duplicateValues" dxfId="0" priority="1"/>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89E04-0C3C-4685-9931-7711DA8DFAC5}">
  <dimension ref="A1:L288"/>
  <sheetViews>
    <sheetView showGridLines="0" workbookViewId="0">
      <selection sqref="A1:XFD1048576"/>
    </sheetView>
  </sheetViews>
  <sheetFormatPr defaultColWidth="9.21875" defaultRowHeight="14.4" outlineLevelCol="1" x14ac:dyDescent="0.3"/>
  <cols>
    <col min="1" max="1" width="3.5546875" style="56" customWidth="1"/>
    <col min="2" max="2" width="55.5546875" style="110" bestFit="1" customWidth="1"/>
    <col min="3" max="3" width="14.44140625" style="60" customWidth="1"/>
    <col min="4" max="4" width="14.44140625" style="60" customWidth="1" outlineLevel="1"/>
    <col min="5" max="5" width="16.5546875" style="60" customWidth="1" outlineLevel="1"/>
    <col min="6" max="6" width="17" style="60" customWidth="1" outlineLevel="1"/>
    <col min="7" max="7" width="15.44140625" style="56" customWidth="1"/>
    <col min="8" max="8" width="14.21875" style="53" bestFit="1" customWidth="1"/>
    <col min="9" max="9" width="15.44140625" style="56" customWidth="1"/>
    <col min="10" max="10" width="20.77734375" style="56" bestFit="1" customWidth="1"/>
    <col min="11" max="11" width="12.5546875" style="56" customWidth="1"/>
    <col min="12" max="12" width="12.44140625" style="56" customWidth="1"/>
    <col min="13" max="16384" width="9.21875" style="56"/>
  </cols>
  <sheetData>
    <row r="1" spans="1:8" s="53" customFormat="1" ht="21.6" thickBot="1" x14ac:dyDescent="0.35">
      <c r="B1" s="54" t="s">
        <v>2797</v>
      </c>
      <c r="C1" s="55"/>
      <c r="D1" s="55"/>
      <c r="E1" s="55"/>
      <c r="F1" s="55"/>
      <c r="G1" s="55"/>
    </row>
    <row r="2" spans="1:8" x14ac:dyDescent="0.3">
      <c r="B2" s="57" t="s">
        <v>2798</v>
      </c>
      <c r="C2" s="58" t="s">
        <v>1369</v>
      </c>
      <c r="D2" s="58" t="s">
        <v>2799</v>
      </c>
      <c r="E2" s="58" t="s">
        <v>2800</v>
      </c>
      <c r="F2" s="58" t="s">
        <v>2801</v>
      </c>
      <c r="G2" s="59" t="s">
        <v>2802</v>
      </c>
    </row>
    <row r="3" spans="1:8" x14ac:dyDescent="0.3">
      <c r="B3" s="57" t="s">
        <v>2803</v>
      </c>
      <c r="G3" s="61"/>
    </row>
    <row r="4" spans="1:8" x14ac:dyDescent="0.3">
      <c r="A4" s="56">
        <v>89</v>
      </c>
      <c r="B4" s="62" t="s">
        <v>2804</v>
      </c>
      <c r="C4" s="60">
        <v>0</v>
      </c>
      <c r="D4" s="60">
        <v>20846.099999999999</v>
      </c>
      <c r="E4" s="60">
        <v>20846.099999999999</v>
      </c>
      <c r="F4" s="60">
        <v>0</v>
      </c>
      <c r="G4" s="63">
        <v>20846.099999999999</v>
      </c>
      <c r="H4" s="64">
        <f>+G4</f>
        <v>20846.099999999999</v>
      </c>
    </row>
    <row r="5" spans="1:8" x14ac:dyDescent="0.3">
      <c r="A5" s="56">
        <v>89</v>
      </c>
      <c r="B5" s="62" t="s">
        <v>2805</v>
      </c>
      <c r="C5" s="60">
        <v>0</v>
      </c>
      <c r="D5" s="60">
        <v>-20471.099999999999</v>
      </c>
      <c r="E5" s="60">
        <v>-20471.099999999999</v>
      </c>
      <c r="F5" s="60">
        <v>0</v>
      </c>
      <c r="G5" s="63">
        <v>-20471.099999999999</v>
      </c>
      <c r="H5" s="64">
        <f t="shared" ref="H5:H68" si="0">+G5</f>
        <v>-20471.099999999999</v>
      </c>
    </row>
    <row r="6" spans="1:8" x14ac:dyDescent="0.3">
      <c r="A6" s="56">
        <v>89</v>
      </c>
      <c r="B6" s="65" t="s">
        <v>2806</v>
      </c>
      <c r="C6" s="60">
        <v>0</v>
      </c>
      <c r="D6" s="60">
        <v>17002.87</v>
      </c>
      <c r="E6" s="60">
        <v>17002.87</v>
      </c>
      <c r="F6" s="60">
        <v>0</v>
      </c>
      <c r="G6" s="63">
        <v>17002.87</v>
      </c>
      <c r="H6" s="64">
        <f t="shared" si="0"/>
        <v>17002.87</v>
      </c>
    </row>
    <row r="7" spans="1:8" x14ac:dyDescent="0.3">
      <c r="A7" s="56">
        <v>89</v>
      </c>
      <c r="B7" s="65" t="s">
        <v>2807</v>
      </c>
      <c r="C7" s="60">
        <v>0</v>
      </c>
      <c r="D7" s="60">
        <v>-17002.87</v>
      </c>
      <c r="E7" s="60">
        <v>-17002.87</v>
      </c>
      <c r="F7" s="60">
        <v>0</v>
      </c>
      <c r="G7" s="63">
        <v>-17002.87</v>
      </c>
      <c r="H7" s="64">
        <f t="shared" si="0"/>
        <v>-17002.87</v>
      </c>
    </row>
    <row r="8" spans="1:8" x14ac:dyDescent="0.3">
      <c r="A8" s="56">
        <v>89</v>
      </c>
      <c r="B8" s="65" t="s">
        <v>2808</v>
      </c>
      <c r="C8" s="60">
        <v>591.53</v>
      </c>
      <c r="D8" s="60">
        <v>0</v>
      </c>
      <c r="E8" s="60">
        <v>591.53</v>
      </c>
      <c r="F8" s="60">
        <v>0</v>
      </c>
      <c r="G8" s="63">
        <v>591.53</v>
      </c>
      <c r="H8" s="64">
        <f t="shared" si="0"/>
        <v>591.53</v>
      </c>
    </row>
    <row r="9" spans="1:8" x14ac:dyDescent="0.3">
      <c r="A9" s="56">
        <v>89</v>
      </c>
      <c r="B9" s="65" t="s">
        <v>2809</v>
      </c>
      <c r="C9" s="60">
        <v>-591.53</v>
      </c>
      <c r="D9" s="60">
        <v>0</v>
      </c>
      <c r="E9" s="60">
        <v>-591.53</v>
      </c>
      <c r="F9" s="60">
        <v>0</v>
      </c>
      <c r="G9" s="63">
        <v>-591.53</v>
      </c>
      <c r="H9" s="64">
        <f t="shared" si="0"/>
        <v>-591.53</v>
      </c>
    </row>
    <row r="10" spans="1:8" x14ac:dyDescent="0.3">
      <c r="A10" s="56">
        <v>89</v>
      </c>
      <c r="B10" s="65" t="s">
        <v>2124</v>
      </c>
      <c r="C10" s="60">
        <v>174652</v>
      </c>
      <c r="D10" s="60">
        <v>0</v>
      </c>
      <c r="E10" s="60">
        <v>174652</v>
      </c>
      <c r="F10" s="60">
        <v>0</v>
      </c>
      <c r="G10" s="63">
        <v>174652</v>
      </c>
      <c r="H10" s="64">
        <f t="shared" si="0"/>
        <v>174652</v>
      </c>
    </row>
    <row r="11" spans="1:8" x14ac:dyDescent="0.3">
      <c r="A11" s="56">
        <v>89</v>
      </c>
      <c r="B11" s="65" t="s">
        <v>2810</v>
      </c>
      <c r="C11" s="60">
        <v>-174652</v>
      </c>
      <c r="D11" s="60">
        <v>0</v>
      </c>
      <c r="E11" s="60">
        <v>-174652</v>
      </c>
      <c r="F11" s="60">
        <v>0</v>
      </c>
      <c r="G11" s="63">
        <v>-174652</v>
      </c>
      <c r="H11" s="64">
        <f t="shared" si="0"/>
        <v>-174652</v>
      </c>
    </row>
    <row r="12" spans="1:8" x14ac:dyDescent="0.3">
      <c r="A12" s="56">
        <v>89</v>
      </c>
      <c r="B12" s="65" t="s">
        <v>2811</v>
      </c>
      <c r="C12" s="60">
        <v>611012.91</v>
      </c>
      <c r="D12" s="60">
        <v>12370493.16</v>
      </c>
      <c r="E12" s="60">
        <v>12981506.07</v>
      </c>
      <c r="F12" s="60">
        <v>0</v>
      </c>
      <c r="G12" s="63">
        <v>12981506.07</v>
      </c>
      <c r="H12" s="64">
        <f t="shared" si="0"/>
        <v>12981506.07</v>
      </c>
    </row>
    <row r="13" spans="1:8" x14ac:dyDescent="0.3">
      <c r="A13" s="56">
        <v>89</v>
      </c>
      <c r="B13" s="65" t="s">
        <v>2812</v>
      </c>
      <c r="C13" s="60">
        <v>0</v>
      </c>
      <c r="D13" s="60">
        <v>0</v>
      </c>
      <c r="E13" s="60">
        <v>0</v>
      </c>
      <c r="F13" s="60">
        <v>0</v>
      </c>
      <c r="G13" s="63">
        <v>0</v>
      </c>
      <c r="H13" s="64">
        <f t="shared" si="0"/>
        <v>0</v>
      </c>
    </row>
    <row r="14" spans="1:8" x14ac:dyDescent="0.3">
      <c r="A14" s="56">
        <v>89</v>
      </c>
      <c r="B14" s="65" t="s">
        <v>2813</v>
      </c>
      <c r="C14" s="60">
        <v>0</v>
      </c>
      <c r="D14" s="60">
        <v>0</v>
      </c>
      <c r="E14" s="60">
        <v>0</v>
      </c>
      <c r="F14" s="60">
        <v>0</v>
      </c>
      <c r="G14" s="63">
        <v>0</v>
      </c>
      <c r="H14" s="64">
        <f t="shared" si="0"/>
        <v>0</v>
      </c>
    </row>
    <row r="15" spans="1:8" ht="15" thickBot="1" x14ac:dyDescent="0.35">
      <c r="A15" s="56">
        <v>89</v>
      </c>
      <c r="B15" s="65" t="s">
        <v>2814</v>
      </c>
      <c r="C15" s="60">
        <v>-454866.93333333335</v>
      </c>
      <c r="D15" s="60">
        <v>-4160489.7578333332</v>
      </c>
      <c r="E15" s="60">
        <v>-4615356.6911666663</v>
      </c>
      <c r="F15" s="60">
        <v>0</v>
      </c>
      <c r="G15" s="63">
        <v>-4615356.6911666663</v>
      </c>
      <c r="H15" s="64">
        <f t="shared" si="0"/>
        <v>-4615356.6911666663</v>
      </c>
    </row>
    <row r="16" spans="1:8" ht="15" thickBot="1" x14ac:dyDescent="0.35">
      <c r="B16" s="66" t="s">
        <v>2815</v>
      </c>
      <c r="C16" s="67">
        <v>156145.97666666668</v>
      </c>
      <c r="D16" s="67">
        <v>8210378.4021666665</v>
      </c>
      <c r="E16" s="67">
        <v>8366524.378833334</v>
      </c>
      <c r="F16" s="67">
        <v>0</v>
      </c>
      <c r="G16" s="68">
        <v>8366524.378833334</v>
      </c>
      <c r="H16" s="53">
        <f t="shared" si="0"/>
        <v>8366524.378833334</v>
      </c>
    </row>
    <row r="17" spans="1:8" x14ac:dyDescent="0.3">
      <c r="A17" s="56">
        <v>90</v>
      </c>
      <c r="B17" s="65" t="s">
        <v>2816</v>
      </c>
      <c r="C17" s="60">
        <v>6863.52</v>
      </c>
      <c r="D17" s="60">
        <v>0</v>
      </c>
      <c r="E17" s="60">
        <v>6863.52</v>
      </c>
      <c r="F17" s="60">
        <v>0</v>
      </c>
      <c r="G17" s="63">
        <v>6863.52</v>
      </c>
      <c r="H17" s="53">
        <f t="shared" si="0"/>
        <v>6863.52</v>
      </c>
    </row>
    <row r="18" spans="1:8" x14ac:dyDescent="0.3">
      <c r="A18" s="56">
        <v>90</v>
      </c>
      <c r="B18" s="65" t="s">
        <v>2817</v>
      </c>
      <c r="C18" s="60">
        <v>-6863.52</v>
      </c>
      <c r="D18" s="60">
        <v>0</v>
      </c>
      <c r="E18" s="60">
        <v>-6863.52</v>
      </c>
      <c r="F18" s="60">
        <v>0</v>
      </c>
      <c r="G18" s="63">
        <v>-6863.52</v>
      </c>
      <c r="H18" s="53">
        <f t="shared" si="0"/>
        <v>-6863.52</v>
      </c>
    </row>
    <row r="19" spans="1:8" x14ac:dyDescent="0.3">
      <c r="A19" s="56">
        <v>90</v>
      </c>
      <c r="B19" s="65" t="s">
        <v>2818</v>
      </c>
      <c r="C19" s="60">
        <v>1381.16</v>
      </c>
      <c r="D19" s="60">
        <v>0</v>
      </c>
      <c r="E19" s="60">
        <v>1381.16</v>
      </c>
      <c r="F19" s="60">
        <v>0</v>
      </c>
      <c r="G19" s="63">
        <v>1381.16</v>
      </c>
      <c r="H19" s="53">
        <f t="shared" si="0"/>
        <v>1381.16</v>
      </c>
    </row>
    <row r="20" spans="1:8" x14ac:dyDescent="0.3">
      <c r="A20" s="56">
        <v>90</v>
      </c>
      <c r="B20" s="65" t="s">
        <v>2819</v>
      </c>
      <c r="C20" s="60">
        <v>17313.32</v>
      </c>
      <c r="D20" s="60">
        <v>0</v>
      </c>
      <c r="E20" s="60">
        <v>17313.32</v>
      </c>
      <c r="F20" s="60">
        <v>0</v>
      </c>
      <c r="G20" s="63">
        <v>17313.32</v>
      </c>
      <c r="H20" s="53">
        <f t="shared" si="0"/>
        <v>17313.32</v>
      </c>
    </row>
    <row r="21" spans="1:8" x14ac:dyDescent="0.3">
      <c r="A21" s="56">
        <v>90</v>
      </c>
      <c r="B21" s="65" t="s">
        <v>2820</v>
      </c>
      <c r="C21" s="60">
        <v>-1381.16</v>
      </c>
      <c r="D21" s="60">
        <v>0</v>
      </c>
      <c r="E21" s="60">
        <v>-1381.16</v>
      </c>
      <c r="F21" s="60">
        <v>0</v>
      </c>
      <c r="G21" s="63">
        <v>-1381.16</v>
      </c>
      <c r="H21" s="53">
        <f t="shared" si="0"/>
        <v>-1381.16</v>
      </c>
    </row>
    <row r="22" spans="1:8" x14ac:dyDescent="0.3">
      <c r="A22" s="56">
        <v>90</v>
      </c>
      <c r="B22" s="65" t="s">
        <v>2821</v>
      </c>
      <c r="C22" s="60">
        <v>-17313.32</v>
      </c>
      <c r="D22" s="60">
        <v>0</v>
      </c>
      <c r="E22" s="60">
        <v>-17313.32</v>
      </c>
      <c r="F22" s="60">
        <v>0</v>
      </c>
      <c r="G22" s="63">
        <v>-17313.32</v>
      </c>
      <c r="H22" s="53">
        <f t="shared" si="0"/>
        <v>-17313.32</v>
      </c>
    </row>
    <row r="23" spans="1:8" ht="15" thickBot="1" x14ac:dyDescent="0.35">
      <c r="A23" s="56">
        <v>90</v>
      </c>
      <c r="B23" s="65" t="s">
        <v>2822</v>
      </c>
      <c r="C23" s="60">
        <v>0</v>
      </c>
      <c r="D23" s="60">
        <v>0</v>
      </c>
      <c r="E23" s="60">
        <v>0</v>
      </c>
      <c r="F23" s="60">
        <v>0</v>
      </c>
      <c r="G23" s="63">
        <v>0</v>
      </c>
      <c r="H23" s="53">
        <f t="shared" si="0"/>
        <v>0</v>
      </c>
    </row>
    <row r="24" spans="1:8" ht="15" thickBot="1" x14ac:dyDescent="0.35">
      <c r="B24" s="66" t="s">
        <v>2823</v>
      </c>
      <c r="C24" s="67">
        <v>0</v>
      </c>
      <c r="D24" s="67">
        <v>0</v>
      </c>
      <c r="E24" s="67">
        <v>0</v>
      </c>
      <c r="F24" s="67">
        <v>0</v>
      </c>
      <c r="G24" s="68">
        <v>0</v>
      </c>
      <c r="H24" s="53">
        <f t="shared" si="0"/>
        <v>0</v>
      </c>
    </row>
    <row r="25" spans="1:8" x14ac:dyDescent="0.3">
      <c r="A25" s="56">
        <v>91</v>
      </c>
      <c r="B25" s="65" t="s">
        <v>2824</v>
      </c>
      <c r="C25" s="60">
        <v>0</v>
      </c>
      <c r="D25" s="60">
        <v>0</v>
      </c>
      <c r="E25" s="60">
        <v>0</v>
      </c>
      <c r="F25" s="60">
        <v>0</v>
      </c>
      <c r="G25" s="63">
        <v>0</v>
      </c>
      <c r="H25" s="53">
        <f t="shared" si="0"/>
        <v>0</v>
      </c>
    </row>
    <row r="26" spans="1:8" x14ac:dyDescent="0.3">
      <c r="A26" s="56">
        <v>91</v>
      </c>
      <c r="B26" s="69" t="s">
        <v>2825</v>
      </c>
      <c r="C26" s="70">
        <v>25688</v>
      </c>
      <c r="D26" s="70">
        <v>0</v>
      </c>
      <c r="E26" s="70">
        <v>25688</v>
      </c>
      <c r="F26" s="70">
        <v>-25688</v>
      </c>
      <c r="G26" s="70">
        <v>0</v>
      </c>
      <c r="H26" s="53">
        <f t="shared" si="0"/>
        <v>0</v>
      </c>
    </row>
    <row r="27" spans="1:8" x14ac:dyDescent="0.3">
      <c r="A27" s="56">
        <v>91</v>
      </c>
      <c r="B27" s="65" t="s">
        <v>2826</v>
      </c>
      <c r="C27" s="60">
        <v>1</v>
      </c>
      <c r="D27" s="60">
        <v>0</v>
      </c>
      <c r="E27" s="60">
        <v>1</v>
      </c>
      <c r="F27" s="60">
        <v>0</v>
      </c>
      <c r="G27" s="63">
        <v>1</v>
      </c>
      <c r="H27" s="53">
        <f t="shared" si="0"/>
        <v>1</v>
      </c>
    </row>
    <row r="28" spans="1:8" x14ac:dyDescent="0.3">
      <c r="A28" s="56">
        <v>91</v>
      </c>
      <c r="B28" s="65" t="s">
        <v>2827</v>
      </c>
      <c r="C28" s="60">
        <v>0</v>
      </c>
      <c r="D28" s="60">
        <v>0</v>
      </c>
      <c r="E28" s="60">
        <v>0</v>
      </c>
      <c r="F28" s="60">
        <v>0</v>
      </c>
      <c r="G28" s="63">
        <v>0</v>
      </c>
      <c r="H28" s="53">
        <f t="shared" si="0"/>
        <v>0</v>
      </c>
    </row>
    <row r="29" spans="1:8" x14ac:dyDescent="0.3">
      <c r="A29" s="56">
        <v>91</v>
      </c>
      <c r="B29" s="65" t="s">
        <v>2828</v>
      </c>
      <c r="C29" s="60">
        <v>0</v>
      </c>
      <c r="D29" s="60">
        <v>0</v>
      </c>
      <c r="E29" s="60">
        <v>0</v>
      </c>
      <c r="F29" s="60">
        <v>0</v>
      </c>
      <c r="G29" s="63">
        <v>0</v>
      </c>
      <c r="H29" s="53">
        <f t="shared" si="0"/>
        <v>0</v>
      </c>
    </row>
    <row r="30" spans="1:8" x14ac:dyDescent="0.3">
      <c r="A30" s="56">
        <v>91</v>
      </c>
      <c r="B30" s="69" t="s">
        <v>2829</v>
      </c>
      <c r="C30" s="70">
        <v>20000</v>
      </c>
      <c r="D30" s="70">
        <v>0</v>
      </c>
      <c r="E30" s="70">
        <v>20000</v>
      </c>
      <c r="F30" s="70">
        <v>-20000</v>
      </c>
      <c r="G30" s="70">
        <v>0</v>
      </c>
      <c r="H30" s="53">
        <f t="shared" si="0"/>
        <v>0</v>
      </c>
    </row>
    <row r="31" spans="1:8" x14ac:dyDescent="0.3">
      <c r="A31" s="56">
        <v>91</v>
      </c>
      <c r="B31" s="71" t="s">
        <v>2830</v>
      </c>
      <c r="C31" s="72">
        <v>10000</v>
      </c>
      <c r="D31" s="72">
        <v>0</v>
      </c>
      <c r="E31" s="72">
        <v>10000</v>
      </c>
      <c r="F31" s="72">
        <v>-10000</v>
      </c>
      <c r="G31" s="72">
        <v>0</v>
      </c>
      <c r="H31" s="53">
        <f t="shared" si="0"/>
        <v>0</v>
      </c>
    </row>
    <row r="32" spans="1:8" x14ac:dyDescent="0.3">
      <c r="A32" s="56">
        <v>91</v>
      </c>
      <c r="B32" s="71" t="s">
        <v>2831</v>
      </c>
      <c r="C32" s="72">
        <v>10000</v>
      </c>
      <c r="D32" s="72">
        <v>0</v>
      </c>
      <c r="E32" s="72">
        <v>10000</v>
      </c>
      <c r="F32" s="72">
        <v>-10000</v>
      </c>
      <c r="G32" s="72">
        <v>0</v>
      </c>
      <c r="H32" s="53">
        <f t="shared" si="0"/>
        <v>0</v>
      </c>
    </row>
    <row r="33" spans="1:10" x14ac:dyDescent="0.3">
      <c r="A33" s="56">
        <v>91</v>
      </c>
      <c r="B33" s="71" t="s">
        <v>2832</v>
      </c>
      <c r="C33" s="72">
        <v>10000</v>
      </c>
      <c r="D33" s="72">
        <v>0</v>
      </c>
      <c r="E33" s="72">
        <v>10000</v>
      </c>
      <c r="F33" s="72">
        <v>-10000</v>
      </c>
      <c r="G33" s="72">
        <v>0</v>
      </c>
      <c r="H33" s="53">
        <f t="shared" si="0"/>
        <v>0</v>
      </c>
    </row>
    <row r="34" spans="1:10" x14ac:dyDescent="0.3">
      <c r="A34" s="56">
        <v>91</v>
      </c>
      <c r="B34" s="73" t="s">
        <v>2833</v>
      </c>
      <c r="C34" s="74">
        <v>10000</v>
      </c>
      <c r="D34" s="74">
        <v>0</v>
      </c>
      <c r="E34" s="74">
        <v>10000</v>
      </c>
      <c r="F34" s="74">
        <v>-10000</v>
      </c>
      <c r="G34" s="74">
        <v>0</v>
      </c>
      <c r="H34" s="53">
        <f t="shared" si="0"/>
        <v>0</v>
      </c>
    </row>
    <row r="35" spans="1:10" x14ac:dyDescent="0.3">
      <c r="A35" s="56">
        <v>91</v>
      </c>
      <c r="B35" s="65" t="s">
        <v>2834</v>
      </c>
      <c r="C35" s="60">
        <v>1000</v>
      </c>
      <c r="D35" s="60">
        <v>0</v>
      </c>
      <c r="E35" s="60">
        <v>1000</v>
      </c>
      <c r="F35" s="60">
        <v>0</v>
      </c>
      <c r="G35" s="63">
        <v>1000</v>
      </c>
      <c r="H35" s="53">
        <f t="shared" si="0"/>
        <v>1000</v>
      </c>
    </row>
    <row r="36" spans="1:10" x14ac:dyDescent="0.3">
      <c r="A36" s="56">
        <v>100</v>
      </c>
      <c r="B36" s="62" t="s">
        <v>2835</v>
      </c>
      <c r="C36" s="60">
        <v>2582.1999999999998</v>
      </c>
      <c r="D36" s="60">
        <v>3873.3</v>
      </c>
      <c r="E36" s="60">
        <v>6455.5</v>
      </c>
      <c r="F36" s="60">
        <v>0</v>
      </c>
      <c r="G36" s="63">
        <v>6455.5</v>
      </c>
      <c r="H36" s="53">
        <f t="shared" si="0"/>
        <v>6455.5</v>
      </c>
    </row>
    <row r="37" spans="1:10" x14ac:dyDescent="0.3">
      <c r="A37" s="56">
        <v>100</v>
      </c>
      <c r="B37" s="62" t="s">
        <v>2836</v>
      </c>
      <c r="C37" s="60">
        <v>0</v>
      </c>
      <c r="D37" s="60">
        <v>6253.92</v>
      </c>
      <c r="E37" s="60">
        <v>6253.92</v>
      </c>
      <c r="F37" s="60">
        <v>0</v>
      </c>
      <c r="G37" s="63">
        <v>6253.92</v>
      </c>
      <c r="H37" s="53">
        <f t="shared" si="0"/>
        <v>6253.92</v>
      </c>
    </row>
    <row r="38" spans="1:10" x14ac:dyDescent="0.3">
      <c r="A38" s="56">
        <v>100</v>
      </c>
      <c r="B38" s="65" t="s">
        <v>2837</v>
      </c>
      <c r="C38" s="60">
        <v>0</v>
      </c>
      <c r="D38" s="60">
        <v>0</v>
      </c>
      <c r="E38" s="60">
        <v>0</v>
      </c>
      <c r="F38" s="60">
        <v>0</v>
      </c>
      <c r="G38" s="63">
        <v>0</v>
      </c>
      <c r="H38" s="53">
        <f t="shared" si="0"/>
        <v>0</v>
      </c>
    </row>
    <row r="39" spans="1:10" x14ac:dyDescent="0.3">
      <c r="A39" s="56">
        <v>100</v>
      </c>
      <c r="B39" s="65" t="s">
        <v>2838</v>
      </c>
      <c r="C39" s="60">
        <v>0</v>
      </c>
      <c r="D39" s="60">
        <v>0</v>
      </c>
      <c r="E39" s="60">
        <v>0</v>
      </c>
      <c r="F39" s="60">
        <v>0</v>
      </c>
      <c r="G39" s="63">
        <v>0</v>
      </c>
      <c r="H39" s="53">
        <f t="shared" si="0"/>
        <v>0</v>
      </c>
    </row>
    <row r="40" spans="1:10" x14ac:dyDescent="0.3">
      <c r="A40" s="56">
        <v>114</v>
      </c>
      <c r="B40" s="75" t="s">
        <v>2839</v>
      </c>
      <c r="C40" s="76">
        <v>7718.07</v>
      </c>
      <c r="D40" s="76">
        <v>0</v>
      </c>
      <c r="E40" s="76">
        <v>7718.07</v>
      </c>
      <c r="F40" s="76">
        <v>-7718.07</v>
      </c>
      <c r="G40" s="76">
        <v>0</v>
      </c>
      <c r="H40" s="53">
        <f t="shared" si="0"/>
        <v>0</v>
      </c>
    </row>
    <row r="41" spans="1:10" x14ac:dyDescent="0.3">
      <c r="A41" s="56">
        <v>114</v>
      </c>
      <c r="B41" s="71" t="s">
        <v>2840</v>
      </c>
      <c r="C41" s="72">
        <v>0</v>
      </c>
      <c r="D41" s="72">
        <v>0</v>
      </c>
      <c r="E41" s="72">
        <v>0</v>
      </c>
      <c r="F41" s="72">
        <v>0</v>
      </c>
      <c r="G41" s="72">
        <v>0</v>
      </c>
      <c r="H41" s="53">
        <f t="shared" si="0"/>
        <v>0</v>
      </c>
    </row>
    <row r="42" spans="1:10" x14ac:dyDescent="0.3">
      <c r="A42" s="56">
        <v>114</v>
      </c>
      <c r="B42" s="71" t="s">
        <v>2841</v>
      </c>
      <c r="C42" s="72">
        <v>0</v>
      </c>
      <c r="D42" s="72">
        <v>0</v>
      </c>
      <c r="E42" s="72">
        <v>0</v>
      </c>
      <c r="F42" s="72">
        <v>0</v>
      </c>
      <c r="G42" s="72">
        <v>0</v>
      </c>
      <c r="H42" s="53">
        <f t="shared" si="0"/>
        <v>0</v>
      </c>
    </row>
    <row r="43" spans="1:10" x14ac:dyDescent="0.3">
      <c r="A43" s="56">
        <v>114</v>
      </c>
      <c r="B43" s="71" t="s">
        <v>2842</v>
      </c>
      <c r="C43" s="72">
        <v>46500</v>
      </c>
      <c r="D43" s="72">
        <v>0</v>
      </c>
      <c r="E43" s="72">
        <v>46500</v>
      </c>
      <c r="F43" s="72">
        <v>-46500</v>
      </c>
      <c r="G43" s="72">
        <v>0</v>
      </c>
      <c r="H43" s="53">
        <f t="shared" si="0"/>
        <v>0</v>
      </c>
    </row>
    <row r="44" spans="1:10" x14ac:dyDescent="0.3">
      <c r="A44" s="56">
        <v>114</v>
      </c>
      <c r="B44" s="71" t="s">
        <v>2843</v>
      </c>
      <c r="C44" s="72">
        <v>54000</v>
      </c>
      <c r="D44" s="72">
        <v>0</v>
      </c>
      <c r="E44" s="72">
        <v>54000</v>
      </c>
      <c r="F44" s="72">
        <v>-54000</v>
      </c>
      <c r="G44" s="72">
        <v>0</v>
      </c>
      <c r="H44" s="53">
        <f t="shared" si="0"/>
        <v>0</v>
      </c>
    </row>
    <row r="45" spans="1:10" x14ac:dyDescent="0.3">
      <c r="A45" s="56">
        <v>114</v>
      </c>
      <c r="B45" s="73" t="s">
        <v>2844</v>
      </c>
      <c r="C45" s="74">
        <v>0</v>
      </c>
      <c r="D45" s="74">
        <v>1471750</v>
      </c>
      <c r="E45" s="74">
        <v>1471750</v>
      </c>
      <c r="F45" s="74">
        <v>-1471750</v>
      </c>
      <c r="G45" s="74">
        <v>0</v>
      </c>
      <c r="H45" s="53">
        <f t="shared" si="0"/>
        <v>0</v>
      </c>
    </row>
    <row r="46" spans="1:10" x14ac:dyDescent="0.3">
      <c r="A46" s="56">
        <v>91</v>
      </c>
      <c r="B46" s="62" t="s">
        <v>2845</v>
      </c>
      <c r="C46" s="60">
        <v>2328.0300000000002</v>
      </c>
      <c r="D46" s="60">
        <v>0</v>
      </c>
      <c r="E46" s="60">
        <v>2328.0300000000002</v>
      </c>
      <c r="F46" s="60">
        <v>0</v>
      </c>
      <c r="G46" s="63">
        <v>2328.0300000000002</v>
      </c>
      <c r="H46" s="53">
        <f t="shared" si="0"/>
        <v>2328.0300000000002</v>
      </c>
    </row>
    <row r="47" spans="1:10" ht="15" thickBot="1" x14ac:dyDescent="0.35">
      <c r="A47" s="56">
        <v>91</v>
      </c>
      <c r="B47" s="62" t="s">
        <v>2846</v>
      </c>
      <c r="C47" s="60">
        <v>0</v>
      </c>
      <c r="D47" s="60">
        <v>0</v>
      </c>
      <c r="E47" s="60">
        <v>0</v>
      </c>
      <c r="F47" s="60">
        <v>0</v>
      </c>
      <c r="G47" s="63">
        <v>0</v>
      </c>
      <c r="H47" s="53">
        <f t="shared" si="0"/>
        <v>0</v>
      </c>
    </row>
    <row r="48" spans="1:10" ht="15" thickBot="1" x14ac:dyDescent="0.35">
      <c r="B48" s="66" t="s">
        <v>2847</v>
      </c>
      <c r="C48" s="67">
        <v>199817.3</v>
      </c>
      <c r="D48" s="67">
        <v>1481877.22</v>
      </c>
      <c r="E48" s="67">
        <v>1681694.52</v>
      </c>
      <c r="F48" s="67">
        <v>-1665656.07</v>
      </c>
      <c r="G48" s="68">
        <v>16038.45</v>
      </c>
      <c r="H48" s="53">
        <f t="shared" si="0"/>
        <v>16038.45</v>
      </c>
      <c r="I48" s="77"/>
      <c r="J48" s="78"/>
    </row>
    <row r="49" spans="1:12" x14ac:dyDescent="0.3">
      <c r="A49" s="56">
        <v>99</v>
      </c>
      <c r="B49" s="65" t="s">
        <v>2848</v>
      </c>
      <c r="C49" s="60">
        <v>0</v>
      </c>
      <c r="D49" s="60">
        <v>0</v>
      </c>
      <c r="E49" s="60">
        <v>0</v>
      </c>
      <c r="F49" s="60">
        <v>0</v>
      </c>
      <c r="G49" s="63">
        <v>0</v>
      </c>
      <c r="H49" s="53">
        <f t="shared" si="0"/>
        <v>0</v>
      </c>
      <c r="I49" s="77"/>
    </row>
    <row r="50" spans="1:12" ht="15" thickBot="1" x14ac:dyDescent="0.35">
      <c r="A50" s="56">
        <v>99</v>
      </c>
      <c r="B50" s="65" t="s">
        <v>2849</v>
      </c>
      <c r="C50" s="60">
        <v>0</v>
      </c>
      <c r="D50" s="60">
        <v>0</v>
      </c>
      <c r="E50" s="60">
        <v>0</v>
      </c>
      <c r="F50" s="60">
        <v>0</v>
      </c>
      <c r="G50" s="63">
        <v>0</v>
      </c>
      <c r="H50" s="53">
        <f t="shared" si="0"/>
        <v>0</v>
      </c>
      <c r="I50" s="77"/>
    </row>
    <row r="51" spans="1:12" ht="15" thickBot="1" x14ac:dyDescent="0.35">
      <c r="B51" s="66" t="s">
        <v>2221</v>
      </c>
      <c r="C51" s="67">
        <v>0</v>
      </c>
      <c r="D51" s="67">
        <v>0</v>
      </c>
      <c r="E51" s="67">
        <v>0</v>
      </c>
      <c r="F51" s="67">
        <v>0</v>
      </c>
      <c r="G51" s="68">
        <v>0</v>
      </c>
      <c r="H51" s="53">
        <f t="shared" si="0"/>
        <v>0</v>
      </c>
      <c r="I51" s="77"/>
      <c r="K51" s="60"/>
    </row>
    <row r="52" spans="1:12" x14ac:dyDescent="0.3">
      <c r="A52" s="56">
        <v>100</v>
      </c>
      <c r="B52" s="65" t="s">
        <v>2850</v>
      </c>
      <c r="C52" s="60">
        <v>1084951.17</v>
      </c>
      <c r="D52" s="60">
        <v>577842.41</v>
      </c>
      <c r="E52" s="60">
        <v>1662793.58</v>
      </c>
      <c r="F52" s="60">
        <v>0</v>
      </c>
      <c r="G52" s="63">
        <v>1662793.58</v>
      </c>
      <c r="H52" s="53">
        <f t="shared" si="0"/>
        <v>1662793.58</v>
      </c>
      <c r="I52" s="77"/>
      <c r="K52" s="60"/>
    </row>
    <row r="53" spans="1:12" x14ac:dyDescent="0.3">
      <c r="A53" s="56">
        <v>100</v>
      </c>
      <c r="B53" s="79" t="s">
        <v>2851</v>
      </c>
      <c r="C53" s="80">
        <v>0</v>
      </c>
      <c r="D53" s="80">
        <v>0</v>
      </c>
      <c r="E53" s="80">
        <v>0</v>
      </c>
      <c r="F53" s="80">
        <v>0</v>
      </c>
      <c r="G53" s="80">
        <v>0</v>
      </c>
      <c r="H53" s="53">
        <f t="shared" si="0"/>
        <v>0</v>
      </c>
      <c r="K53" s="60"/>
    </row>
    <row r="54" spans="1:12" x14ac:dyDescent="0.3">
      <c r="A54" s="56">
        <v>100</v>
      </c>
      <c r="B54" s="65" t="s">
        <v>2852</v>
      </c>
      <c r="C54" s="60">
        <v>0</v>
      </c>
      <c r="D54" s="60">
        <v>0</v>
      </c>
      <c r="E54" s="60">
        <v>0</v>
      </c>
      <c r="F54" s="60">
        <v>0</v>
      </c>
      <c r="G54" s="63">
        <v>0</v>
      </c>
      <c r="H54" s="53">
        <f t="shared" si="0"/>
        <v>0</v>
      </c>
      <c r="I54" s="81"/>
      <c r="K54" s="60"/>
      <c r="L54" s="60"/>
    </row>
    <row r="55" spans="1:12" x14ac:dyDescent="0.3">
      <c r="A55" s="56">
        <v>100</v>
      </c>
      <c r="B55" s="65" t="s">
        <v>2853</v>
      </c>
      <c r="C55" s="60">
        <v>0</v>
      </c>
      <c r="D55" s="60">
        <v>0</v>
      </c>
      <c r="E55" s="60">
        <v>0</v>
      </c>
      <c r="F55" s="60">
        <v>0</v>
      </c>
      <c r="G55" s="63">
        <v>0</v>
      </c>
      <c r="H55" s="53">
        <f t="shared" si="0"/>
        <v>0</v>
      </c>
      <c r="I55" s="77"/>
      <c r="K55" s="60"/>
      <c r="L55" s="60"/>
    </row>
    <row r="56" spans="1:12" x14ac:dyDescent="0.3">
      <c r="A56" s="56">
        <v>100</v>
      </c>
      <c r="B56" s="65" t="s">
        <v>2854</v>
      </c>
      <c r="C56" s="60">
        <v>205066.56</v>
      </c>
      <c r="D56" s="60">
        <v>261790.46</v>
      </c>
      <c r="E56" s="60">
        <v>466857.02</v>
      </c>
      <c r="F56" s="60">
        <v>0</v>
      </c>
      <c r="G56" s="63">
        <v>466857.02</v>
      </c>
      <c r="H56" s="53">
        <f t="shared" si="0"/>
        <v>466857.02</v>
      </c>
      <c r="I56" s="77"/>
      <c r="J56" s="81"/>
      <c r="K56" s="82"/>
      <c r="L56" s="60"/>
    </row>
    <row r="57" spans="1:12" x14ac:dyDescent="0.3">
      <c r="A57" s="56">
        <v>100</v>
      </c>
      <c r="B57" s="79" t="s">
        <v>2855</v>
      </c>
      <c r="C57" s="83">
        <v>5117131.5233333334</v>
      </c>
      <c r="D57" s="80">
        <v>0</v>
      </c>
      <c r="E57" s="80">
        <v>5117131.5233333334</v>
      </c>
      <c r="F57" s="80">
        <v>-5117131.5233333334</v>
      </c>
      <c r="G57" s="80">
        <v>0</v>
      </c>
      <c r="H57" s="53">
        <f t="shared" si="0"/>
        <v>0</v>
      </c>
      <c r="I57" s="77"/>
      <c r="K57" s="80"/>
      <c r="L57" s="60"/>
    </row>
    <row r="58" spans="1:12" x14ac:dyDescent="0.3">
      <c r="B58" s="65"/>
      <c r="C58" s="60">
        <v>0</v>
      </c>
      <c r="D58" s="60">
        <v>0</v>
      </c>
      <c r="E58" s="60">
        <v>0</v>
      </c>
      <c r="F58" s="60">
        <v>0</v>
      </c>
      <c r="G58" s="63">
        <v>0</v>
      </c>
      <c r="H58" s="53">
        <f t="shared" si="0"/>
        <v>0</v>
      </c>
      <c r="I58" s="81"/>
      <c r="K58" s="60"/>
      <c r="L58" s="60"/>
    </row>
    <row r="59" spans="1:12" x14ac:dyDescent="0.3">
      <c r="A59" s="56">
        <v>100</v>
      </c>
      <c r="B59" s="65" t="s">
        <v>2856</v>
      </c>
      <c r="C59" s="60">
        <v>-80000</v>
      </c>
      <c r="D59" s="60">
        <v>0</v>
      </c>
      <c r="E59" s="60">
        <v>-80000</v>
      </c>
      <c r="F59" s="60">
        <v>0</v>
      </c>
      <c r="G59" s="63">
        <v>-80000</v>
      </c>
      <c r="H59" s="53">
        <f t="shared" si="0"/>
        <v>-80000</v>
      </c>
      <c r="I59" s="77"/>
      <c r="K59" s="60"/>
      <c r="L59" s="60"/>
    </row>
    <row r="60" spans="1:12" x14ac:dyDescent="0.3">
      <c r="A60" s="56">
        <v>100</v>
      </c>
      <c r="B60" s="65" t="s">
        <v>2857</v>
      </c>
      <c r="C60" s="60">
        <v>-295819.96000000002</v>
      </c>
      <c r="D60" s="60">
        <v>0</v>
      </c>
      <c r="E60" s="60">
        <v>-295819.96000000002</v>
      </c>
      <c r="F60" s="60">
        <v>0</v>
      </c>
      <c r="G60" s="63">
        <v>-295819.96000000002</v>
      </c>
      <c r="H60" s="53">
        <f t="shared" si="0"/>
        <v>-295819.96000000002</v>
      </c>
      <c r="I60" s="81"/>
      <c r="K60" s="60"/>
      <c r="L60" s="60"/>
    </row>
    <row r="61" spans="1:12" x14ac:dyDescent="0.3">
      <c r="A61" s="56">
        <v>100</v>
      </c>
      <c r="B61" s="65" t="s">
        <v>2858</v>
      </c>
      <c r="C61" s="60">
        <v>0</v>
      </c>
      <c r="D61" s="60">
        <v>0</v>
      </c>
      <c r="E61" s="60">
        <v>0</v>
      </c>
      <c r="F61" s="60">
        <v>0</v>
      </c>
      <c r="G61" s="63">
        <v>0</v>
      </c>
      <c r="H61" s="53">
        <f t="shared" si="0"/>
        <v>0</v>
      </c>
      <c r="I61" s="81"/>
      <c r="K61" s="60"/>
      <c r="L61" s="60"/>
    </row>
    <row r="62" spans="1:12" x14ac:dyDescent="0.3">
      <c r="A62" s="56">
        <v>100</v>
      </c>
      <c r="B62" s="69" t="s">
        <v>2859</v>
      </c>
      <c r="C62" s="70">
        <v>67204.66</v>
      </c>
      <c r="D62" s="70">
        <v>0</v>
      </c>
      <c r="E62" s="70">
        <v>67204.66</v>
      </c>
      <c r="F62" s="70">
        <v>-67204.66</v>
      </c>
      <c r="G62" s="70">
        <v>0</v>
      </c>
      <c r="H62" s="53">
        <f t="shared" si="0"/>
        <v>0</v>
      </c>
      <c r="I62" s="81"/>
      <c r="K62" s="60"/>
      <c r="L62" s="60"/>
    </row>
    <row r="63" spans="1:12" x14ac:dyDescent="0.3">
      <c r="A63" s="56">
        <v>100</v>
      </c>
      <c r="B63" s="71" t="s">
        <v>2860</v>
      </c>
      <c r="C63" s="72">
        <v>0</v>
      </c>
      <c r="D63" s="72">
        <v>0</v>
      </c>
      <c r="E63" s="72">
        <v>0</v>
      </c>
      <c r="F63" s="72">
        <v>0</v>
      </c>
      <c r="G63" s="72">
        <v>0</v>
      </c>
      <c r="H63" s="53">
        <f t="shared" si="0"/>
        <v>0</v>
      </c>
      <c r="I63" s="81"/>
      <c r="K63" s="60"/>
      <c r="L63" s="60"/>
    </row>
    <row r="64" spans="1:12" x14ac:dyDescent="0.3">
      <c r="A64" s="56">
        <v>100</v>
      </c>
      <c r="B64" s="84" t="s">
        <v>2861</v>
      </c>
      <c r="C64" s="74">
        <v>0</v>
      </c>
      <c r="D64" s="74">
        <v>124167.95</v>
      </c>
      <c r="E64" s="74">
        <v>124167.95</v>
      </c>
      <c r="F64" s="74">
        <v>-124167.95</v>
      </c>
      <c r="G64" s="74">
        <v>0</v>
      </c>
      <c r="H64" s="53">
        <f t="shared" si="0"/>
        <v>0</v>
      </c>
      <c r="J64" s="77"/>
      <c r="K64" s="60"/>
      <c r="L64" s="60"/>
    </row>
    <row r="65" spans="1:12" x14ac:dyDescent="0.3">
      <c r="A65" s="56">
        <v>100</v>
      </c>
      <c r="B65" s="65" t="s">
        <v>2862</v>
      </c>
      <c r="C65" s="60">
        <v>0</v>
      </c>
      <c r="D65" s="60">
        <v>0</v>
      </c>
      <c r="E65" s="60">
        <v>0</v>
      </c>
      <c r="F65" s="60">
        <v>0</v>
      </c>
      <c r="G65" s="63">
        <v>0</v>
      </c>
      <c r="H65" s="53">
        <f t="shared" si="0"/>
        <v>0</v>
      </c>
      <c r="I65" s="77"/>
      <c r="J65" s="77"/>
      <c r="K65" s="60"/>
      <c r="L65" s="60"/>
    </row>
    <row r="66" spans="1:12" x14ac:dyDescent="0.3">
      <c r="A66" s="56">
        <v>100</v>
      </c>
      <c r="B66" s="65" t="s">
        <v>2863</v>
      </c>
      <c r="C66" s="60">
        <v>17508</v>
      </c>
      <c r="D66" s="60">
        <v>83631.3</v>
      </c>
      <c r="E66" s="60">
        <v>101139.3</v>
      </c>
      <c r="F66" s="60">
        <v>0</v>
      </c>
      <c r="G66" s="63">
        <v>101139.3</v>
      </c>
      <c r="H66" s="53">
        <f t="shared" si="0"/>
        <v>101139.3</v>
      </c>
      <c r="I66" s="85"/>
      <c r="J66" s="77"/>
      <c r="K66" s="60"/>
      <c r="L66" s="60"/>
    </row>
    <row r="67" spans="1:12" x14ac:dyDescent="0.3">
      <c r="A67" s="56">
        <v>100</v>
      </c>
      <c r="B67" s="65" t="s">
        <v>2864</v>
      </c>
      <c r="C67" s="60">
        <v>317575</v>
      </c>
      <c r="D67" s="60">
        <v>36479.161599999999</v>
      </c>
      <c r="E67" s="60">
        <v>354054.16159999999</v>
      </c>
      <c r="F67" s="60">
        <v>-354054.16159999999</v>
      </c>
      <c r="G67" s="63">
        <v>0</v>
      </c>
      <c r="H67" s="53">
        <f t="shared" si="0"/>
        <v>0</v>
      </c>
      <c r="I67" s="81"/>
      <c r="J67" s="77"/>
      <c r="K67" s="60"/>
      <c r="L67" s="60"/>
    </row>
    <row r="68" spans="1:12" x14ac:dyDescent="0.3">
      <c r="A68" s="56">
        <v>102</v>
      </c>
      <c r="B68" s="65" t="s">
        <v>2865</v>
      </c>
      <c r="C68" s="60">
        <v>80884.850000000006</v>
      </c>
      <c r="D68" s="60">
        <v>424119.77999999997</v>
      </c>
      <c r="E68" s="60">
        <v>505004.63</v>
      </c>
      <c r="F68" s="60">
        <v>0</v>
      </c>
      <c r="G68" s="63">
        <v>505004.63</v>
      </c>
      <c r="H68" s="53">
        <f t="shared" si="0"/>
        <v>505004.63</v>
      </c>
      <c r="I68" s="81"/>
      <c r="J68" s="77"/>
      <c r="K68" s="60"/>
      <c r="L68" s="60"/>
    </row>
    <row r="69" spans="1:12" x14ac:dyDescent="0.3">
      <c r="A69" s="56">
        <v>102</v>
      </c>
      <c r="B69" s="65" t="s">
        <v>2866</v>
      </c>
      <c r="C69" s="60">
        <v>0</v>
      </c>
      <c r="D69" s="60">
        <v>0</v>
      </c>
      <c r="E69" s="60">
        <v>0</v>
      </c>
      <c r="F69" s="60">
        <v>0</v>
      </c>
      <c r="G69" s="63">
        <v>0</v>
      </c>
      <c r="H69" s="53">
        <f t="shared" ref="H69:H90" si="1">+G69</f>
        <v>0</v>
      </c>
      <c r="K69" s="60"/>
      <c r="L69" s="60"/>
    </row>
    <row r="70" spans="1:12" x14ac:dyDescent="0.3">
      <c r="A70" s="56">
        <v>102</v>
      </c>
      <c r="B70" s="65" t="s">
        <v>2867</v>
      </c>
      <c r="C70" s="60">
        <v>0</v>
      </c>
      <c r="D70" s="60">
        <v>2.25</v>
      </c>
      <c r="E70" s="60">
        <v>2.25</v>
      </c>
      <c r="F70" s="60">
        <v>0</v>
      </c>
      <c r="G70" s="63">
        <v>2.25</v>
      </c>
      <c r="H70" s="53">
        <f t="shared" si="1"/>
        <v>2.25</v>
      </c>
      <c r="I70" s="81"/>
      <c r="K70" s="60"/>
    </row>
    <row r="71" spans="1:12" x14ac:dyDescent="0.3">
      <c r="A71" s="56">
        <v>102</v>
      </c>
      <c r="B71" s="65" t="s">
        <v>2868</v>
      </c>
      <c r="C71" s="60">
        <v>936</v>
      </c>
      <c r="D71" s="60">
        <v>1486.44</v>
      </c>
      <c r="E71" s="60">
        <v>2422.44</v>
      </c>
      <c r="F71" s="60">
        <v>0</v>
      </c>
      <c r="G71" s="63">
        <v>2422.44</v>
      </c>
      <c r="H71" s="53">
        <f t="shared" si="1"/>
        <v>2422.44</v>
      </c>
      <c r="K71" s="60"/>
    </row>
    <row r="72" spans="1:12" x14ac:dyDescent="0.3">
      <c r="A72" s="56">
        <v>102</v>
      </c>
      <c r="B72" s="65" t="s">
        <v>2869</v>
      </c>
      <c r="C72" s="60">
        <v>-2753.19</v>
      </c>
      <c r="D72" s="60">
        <v>0</v>
      </c>
      <c r="E72" s="60">
        <v>-2753.19</v>
      </c>
      <c r="F72" s="60">
        <v>0</v>
      </c>
      <c r="G72" s="63">
        <v>-2753.19</v>
      </c>
      <c r="H72" s="53">
        <f t="shared" si="1"/>
        <v>-2753.19</v>
      </c>
      <c r="K72" s="60"/>
    </row>
    <row r="73" spans="1:12" x14ac:dyDescent="0.3">
      <c r="A73" s="56">
        <v>102</v>
      </c>
      <c r="B73" s="65" t="s">
        <v>2870</v>
      </c>
      <c r="C73" s="60">
        <v>10937.31</v>
      </c>
      <c r="D73" s="60">
        <v>31032.86</v>
      </c>
      <c r="E73" s="60">
        <v>41970.17</v>
      </c>
      <c r="F73" s="60">
        <v>0</v>
      </c>
      <c r="G73" s="63">
        <v>41970.17</v>
      </c>
      <c r="H73" s="53">
        <f t="shared" si="1"/>
        <v>41970.17</v>
      </c>
      <c r="K73" s="60"/>
    </row>
    <row r="74" spans="1:12" x14ac:dyDescent="0.3">
      <c r="A74" s="56">
        <v>98</v>
      </c>
      <c r="B74" s="65" t="s">
        <v>2871</v>
      </c>
      <c r="C74" s="60">
        <v>0</v>
      </c>
      <c r="D74" s="60">
        <v>30.04</v>
      </c>
      <c r="E74" s="60">
        <v>30.04</v>
      </c>
      <c r="F74" s="60">
        <v>0</v>
      </c>
      <c r="G74" s="63">
        <v>30.04</v>
      </c>
      <c r="H74" s="53">
        <f t="shared" si="1"/>
        <v>30.04</v>
      </c>
      <c r="J74" s="77"/>
      <c r="K74" s="60"/>
    </row>
    <row r="75" spans="1:12" x14ac:dyDescent="0.3">
      <c r="A75" s="56">
        <v>98</v>
      </c>
      <c r="B75" s="65" t="s">
        <v>2872</v>
      </c>
      <c r="C75" s="60">
        <v>0</v>
      </c>
      <c r="D75" s="60">
        <v>0</v>
      </c>
      <c r="E75" s="60">
        <v>0</v>
      </c>
      <c r="F75" s="60">
        <v>0</v>
      </c>
      <c r="G75" s="63">
        <v>0</v>
      </c>
      <c r="H75" s="53">
        <f t="shared" si="1"/>
        <v>0</v>
      </c>
      <c r="K75" s="60"/>
    </row>
    <row r="76" spans="1:12" x14ac:dyDescent="0.3">
      <c r="A76" s="56">
        <v>98</v>
      </c>
      <c r="B76" s="65" t="s">
        <v>2873</v>
      </c>
      <c r="C76" s="60">
        <v>2237.29</v>
      </c>
      <c r="D76" s="60">
        <v>0</v>
      </c>
      <c r="E76" s="60">
        <v>2237.29</v>
      </c>
      <c r="F76" s="60">
        <v>0</v>
      </c>
      <c r="G76" s="63">
        <v>2237.29</v>
      </c>
      <c r="H76" s="53">
        <f t="shared" si="1"/>
        <v>2237.29</v>
      </c>
      <c r="I76" s="81"/>
      <c r="J76" s="77"/>
      <c r="K76" s="60"/>
    </row>
    <row r="77" spans="1:12" ht="15" thickBot="1" x14ac:dyDescent="0.35">
      <c r="A77" s="56">
        <v>98</v>
      </c>
      <c r="B77" s="65" t="s">
        <v>2874</v>
      </c>
      <c r="C77" s="60">
        <v>0.63</v>
      </c>
      <c r="D77" s="60">
        <v>0</v>
      </c>
      <c r="E77" s="60">
        <v>0.63</v>
      </c>
      <c r="F77" s="60">
        <v>0</v>
      </c>
      <c r="G77" s="63">
        <v>0.63</v>
      </c>
      <c r="H77" s="53">
        <f t="shared" si="1"/>
        <v>0.63</v>
      </c>
      <c r="I77" s="77"/>
      <c r="K77" s="60"/>
    </row>
    <row r="78" spans="1:12" ht="15" thickBot="1" x14ac:dyDescent="0.35">
      <c r="B78" s="66" t="s">
        <v>2875</v>
      </c>
      <c r="C78" s="67">
        <v>6525859.8433333328</v>
      </c>
      <c r="D78" s="67">
        <v>1540582.6516000002</v>
      </c>
      <c r="E78" s="67">
        <v>8066442.4949333332</v>
      </c>
      <c r="F78" s="67">
        <v>-5662558.294933334</v>
      </c>
      <c r="G78" s="68">
        <v>2403884.1999999993</v>
      </c>
      <c r="H78" s="53">
        <f t="shared" si="1"/>
        <v>2403884.1999999993</v>
      </c>
      <c r="I78" s="77"/>
      <c r="K78" s="60"/>
    </row>
    <row r="79" spans="1:12" x14ac:dyDescent="0.3">
      <c r="A79" s="56">
        <v>121</v>
      </c>
      <c r="B79" s="65" t="s">
        <v>2876</v>
      </c>
      <c r="C79" s="60">
        <v>0</v>
      </c>
      <c r="D79" s="60">
        <v>0</v>
      </c>
      <c r="E79" s="60">
        <v>0</v>
      </c>
      <c r="F79" s="60">
        <v>0</v>
      </c>
      <c r="G79" s="63">
        <v>0</v>
      </c>
      <c r="H79" s="53">
        <f t="shared" si="1"/>
        <v>0</v>
      </c>
      <c r="J79" s="77"/>
      <c r="K79" s="60"/>
    </row>
    <row r="80" spans="1:12" x14ac:dyDescent="0.3">
      <c r="A80" s="56">
        <v>121</v>
      </c>
      <c r="B80" s="65" t="s">
        <v>2877</v>
      </c>
      <c r="C80" s="60">
        <v>0</v>
      </c>
      <c r="D80" s="60">
        <v>0</v>
      </c>
      <c r="E80" s="60">
        <v>0</v>
      </c>
      <c r="F80" s="60">
        <v>0</v>
      </c>
      <c r="G80" s="63">
        <v>0</v>
      </c>
      <c r="H80" s="53">
        <f t="shared" si="1"/>
        <v>0</v>
      </c>
      <c r="K80" s="60"/>
    </row>
    <row r="81" spans="1:11" x14ac:dyDescent="0.3">
      <c r="A81" s="56">
        <v>121</v>
      </c>
      <c r="B81" s="65" t="s">
        <v>2878</v>
      </c>
      <c r="C81" s="60">
        <v>0</v>
      </c>
      <c r="D81" s="60">
        <v>0</v>
      </c>
      <c r="E81" s="60">
        <v>0</v>
      </c>
      <c r="F81" s="60">
        <v>0</v>
      </c>
      <c r="G81" s="63">
        <v>0</v>
      </c>
      <c r="H81" s="53">
        <f t="shared" si="1"/>
        <v>0</v>
      </c>
      <c r="J81" s="77"/>
      <c r="K81" s="60"/>
    </row>
    <row r="82" spans="1:11" x14ac:dyDescent="0.3">
      <c r="A82" s="56">
        <v>121</v>
      </c>
      <c r="B82" s="65" t="s">
        <v>2879</v>
      </c>
      <c r="C82" s="60">
        <v>54149.26</v>
      </c>
      <c r="D82" s="60">
        <v>422040.14</v>
      </c>
      <c r="E82" s="60">
        <v>476189.4</v>
      </c>
      <c r="F82" s="60">
        <v>0</v>
      </c>
      <c r="G82" s="63">
        <v>476189.4</v>
      </c>
      <c r="H82" s="53">
        <f t="shared" si="1"/>
        <v>476189.4</v>
      </c>
      <c r="K82" s="60"/>
    </row>
    <row r="83" spans="1:11" x14ac:dyDescent="0.3">
      <c r="A83" s="56">
        <v>121</v>
      </c>
      <c r="B83" s="65" t="s">
        <v>2880</v>
      </c>
      <c r="C83" s="60">
        <v>0</v>
      </c>
      <c r="D83" s="60">
        <v>0</v>
      </c>
      <c r="E83" s="60">
        <v>0</v>
      </c>
      <c r="F83" s="60">
        <v>0</v>
      </c>
      <c r="G83" s="63">
        <v>0</v>
      </c>
      <c r="H83" s="53">
        <f t="shared" si="1"/>
        <v>0</v>
      </c>
      <c r="K83" s="60"/>
    </row>
    <row r="84" spans="1:11" x14ac:dyDescent="0.3">
      <c r="A84" s="56">
        <v>121</v>
      </c>
      <c r="B84" s="65" t="s">
        <v>2881</v>
      </c>
      <c r="C84" s="60">
        <v>0</v>
      </c>
      <c r="D84" s="60">
        <v>573696.07999999996</v>
      </c>
      <c r="E84" s="60">
        <v>573696.07999999996</v>
      </c>
      <c r="F84" s="60">
        <v>0</v>
      </c>
      <c r="G84" s="63">
        <v>573696.07999999996</v>
      </c>
      <c r="H84" s="53">
        <f t="shared" si="1"/>
        <v>573696.07999999996</v>
      </c>
      <c r="K84" s="60"/>
    </row>
    <row r="85" spans="1:11" x14ac:dyDescent="0.3">
      <c r="A85" s="56">
        <v>121</v>
      </c>
      <c r="B85" s="65" t="s">
        <v>2882</v>
      </c>
      <c r="C85" s="60">
        <v>1014.81</v>
      </c>
      <c r="D85" s="60">
        <v>0</v>
      </c>
      <c r="E85" s="60">
        <v>1014.81</v>
      </c>
      <c r="F85" s="60">
        <v>0</v>
      </c>
      <c r="G85" s="63">
        <v>1014.81</v>
      </c>
      <c r="H85" s="53">
        <f t="shared" si="1"/>
        <v>1014.81</v>
      </c>
      <c r="K85" s="60"/>
    </row>
    <row r="86" spans="1:11" ht="15" thickBot="1" x14ac:dyDescent="0.35">
      <c r="A86" s="56">
        <v>121</v>
      </c>
      <c r="B86" s="65" t="s">
        <v>2883</v>
      </c>
      <c r="C86" s="60">
        <v>6.2</v>
      </c>
      <c r="D86" s="60">
        <v>5.13</v>
      </c>
      <c r="E86" s="60">
        <v>11.33</v>
      </c>
      <c r="F86" s="60">
        <v>0</v>
      </c>
      <c r="G86" s="63">
        <v>11.33</v>
      </c>
      <c r="H86" s="53">
        <f t="shared" si="1"/>
        <v>11.33</v>
      </c>
      <c r="K86" s="60"/>
    </row>
    <row r="87" spans="1:11" ht="15" thickBot="1" x14ac:dyDescent="0.35">
      <c r="B87" s="66" t="s">
        <v>2884</v>
      </c>
      <c r="C87" s="67">
        <v>55170.27</v>
      </c>
      <c r="D87" s="67">
        <v>995741.35</v>
      </c>
      <c r="E87" s="67">
        <v>1050911.6199999999</v>
      </c>
      <c r="F87" s="67">
        <v>0</v>
      </c>
      <c r="G87" s="68">
        <v>1050911.6199999999</v>
      </c>
      <c r="H87" s="53">
        <f t="shared" si="1"/>
        <v>1050911.6199999999</v>
      </c>
      <c r="K87" s="60"/>
    </row>
    <row r="88" spans="1:11" ht="15" thickBot="1" x14ac:dyDescent="0.35">
      <c r="A88" s="56">
        <v>115</v>
      </c>
      <c r="B88" s="65" t="s">
        <v>2885</v>
      </c>
      <c r="C88" s="60">
        <v>3027.78</v>
      </c>
      <c r="D88" s="60">
        <v>0</v>
      </c>
      <c r="E88" s="60">
        <v>3027.78</v>
      </c>
      <c r="F88" s="60">
        <v>0</v>
      </c>
      <c r="G88" s="63">
        <v>3027.78</v>
      </c>
      <c r="H88" s="53">
        <f t="shared" si="1"/>
        <v>3027.78</v>
      </c>
      <c r="K88" s="60"/>
    </row>
    <row r="89" spans="1:11" ht="15" thickBot="1" x14ac:dyDescent="0.35">
      <c r="B89" s="66" t="s">
        <v>2886</v>
      </c>
      <c r="C89" s="67">
        <v>3027.78</v>
      </c>
      <c r="D89" s="67">
        <v>0</v>
      </c>
      <c r="E89" s="67">
        <v>3027.78</v>
      </c>
      <c r="F89" s="67">
        <v>0</v>
      </c>
      <c r="G89" s="68">
        <v>3027.78</v>
      </c>
      <c r="H89" s="53">
        <f t="shared" si="1"/>
        <v>3027.78</v>
      </c>
      <c r="K89" s="60"/>
    </row>
    <row r="90" spans="1:11" x14ac:dyDescent="0.3">
      <c r="B90" s="86" t="s">
        <v>2887</v>
      </c>
      <c r="C90" s="87">
        <v>6940021.169999999</v>
      </c>
      <c r="D90" s="87">
        <v>12228579.623766666</v>
      </c>
      <c r="E90" s="87">
        <v>19168600.793766666</v>
      </c>
      <c r="F90" s="87">
        <v>-7328214.3649333343</v>
      </c>
      <c r="G90" s="87">
        <v>11840386.428833334</v>
      </c>
      <c r="H90" s="53">
        <f t="shared" si="1"/>
        <v>11840386.428833334</v>
      </c>
      <c r="K90" s="60"/>
    </row>
    <row r="91" spans="1:11" x14ac:dyDescent="0.3">
      <c r="B91" s="65"/>
    </row>
    <row r="92" spans="1:11" x14ac:dyDescent="0.3">
      <c r="B92" s="57" t="s">
        <v>2888</v>
      </c>
      <c r="C92" s="58" t="s">
        <v>1369</v>
      </c>
      <c r="D92" s="58" t="s">
        <v>2799</v>
      </c>
      <c r="E92" s="58" t="s">
        <v>2800</v>
      </c>
      <c r="F92" s="58" t="s">
        <v>2801</v>
      </c>
      <c r="G92" s="59" t="s">
        <v>2802</v>
      </c>
    </row>
    <row r="93" spans="1:11" x14ac:dyDescent="0.3">
      <c r="A93" s="56">
        <v>107</v>
      </c>
      <c r="B93" s="65" t="s">
        <v>2889</v>
      </c>
      <c r="C93" s="60">
        <v>1000000</v>
      </c>
      <c r="D93" s="60">
        <v>70000</v>
      </c>
      <c r="E93" s="60">
        <v>1070000</v>
      </c>
      <c r="F93" s="60">
        <v>-85688</v>
      </c>
      <c r="G93" s="63">
        <v>984312</v>
      </c>
      <c r="H93" s="53">
        <f>-G93</f>
        <v>-984312</v>
      </c>
    </row>
    <row r="94" spans="1:11" x14ac:dyDescent="0.3">
      <c r="A94" s="56">
        <v>108</v>
      </c>
      <c r="B94" s="65" t="s">
        <v>2890</v>
      </c>
      <c r="C94" s="60">
        <v>102212.54</v>
      </c>
      <c r="D94" s="60">
        <v>26376.62</v>
      </c>
      <c r="E94" s="60">
        <v>128589.15999999999</v>
      </c>
      <c r="F94" s="60">
        <v>0</v>
      </c>
      <c r="G94" s="63">
        <v>128589.15999999999</v>
      </c>
      <c r="H94" s="53">
        <f t="shared" ref="H94:H144" si="2">-G94</f>
        <v>-128589.15999999999</v>
      </c>
    </row>
    <row r="95" spans="1:11" x14ac:dyDescent="0.3">
      <c r="A95" s="56">
        <v>110</v>
      </c>
      <c r="B95" s="65" t="s">
        <v>2891</v>
      </c>
      <c r="C95" s="60">
        <v>372035.9</v>
      </c>
      <c r="D95" s="60">
        <v>778621.14</v>
      </c>
      <c r="E95" s="60">
        <v>1150657.04</v>
      </c>
      <c r="F95" s="60">
        <v>0</v>
      </c>
      <c r="G95" s="63">
        <v>1150657.04</v>
      </c>
      <c r="H95" s="53">
        <f t="shared" si="2"/>
        <v>-1150657.04</v>
      </c>
    </row>
    <row r="96" spans="1:11" x14ac:dyDescent="0.3">
      <c r="A96" s="56">
        <v>108</v>
      </c>
      <c r="B96" s="65" t="s">
        <v>2892</v>
      </c>
      <c r="C96" s="60">
        <v>0</v>
      </c>
      <c r="D96" s="60">
        <v>27074.26</v>
      </c>
      <c r="E96" s="60">
        <v>27074.26</v>
      </c>
      <c r="F96" s="60">
        <v>0</v>
      </c>
      <c r="G96" s="63">
        <v>27074.26</v>
      </c>
      <c r="H96" s="53">
        <f t="shared" si="2"/>
        <v>-27074.26</v>
      </c>
    </row>
    <row r="97" spans="1:9" x14ac:dyDescent="0.3">
      <c r="A97" s="56">
        <v>107</v>
      </c>
      <c r="B97" s="65" t="s">
        <v>2893</v>
      </c>
      <c r="C97" s="60">
        <v>0</v>
      </c>
      <c r="D97" s="60">
        <v>0</v>
      </c>
      <c r="E97" s="60">
        <v>0</v>
      </c>
      <c r="F97" s="60">
        <v>-283485.19</v>
      </c>
      <c r="G97" s="63">
        <v>-283485.19</v>
      </c>
      <c r="H97" s="53">
        <f t="shared" si="2"/>
        <v>283485.19</v>
      </c>
    </row>
    <row r="98" spans="1:9" x14ac:dyDescent="0.3">
      <c r="A98" s="56">
        <v>107</v>
      </c>
      <c r="B98" s="65" t="s">
        <v>2894</v>
      </c>
      <c r="C98" s="60">
        <v>22563.56</v>
      </c>
      <c r="D98" s="60">
        <v>163332.84</v>
      </c>
      <c r="E98" s="60">
        <v>185896.4</v>
      </c>
      <c r="F98" s="60">
        <v>0</v>
      </c>
      <c r="G98" s="63">
        <v>185896.4</v>
      </c>
      <c r="H98" s="53">
        <f t="shared" si="2"/>
        <v>-185896.4</v>
      </c>
    </row>
    <row r="99" spans="1:9" ht="15" thickBot="1" x14ac:dyDescent="0.35">
      <c r="B99" s="65" t="s">
        <v>2895</v>
      </c>
      <c r="C99" s="60">
        <v>251567.16666666669</v>
      </c>
      <c r="D99" s="60">
        <v>4417.6695388332591</v>
      </c>
      <c r="E99" s="60">
        <v>255984.83620549995</v>
      </c>
      <c r="F99" s="60">
        <v>0</v>
      </c>
      <c r="G99" s="63">
        <v>255984.83620549995</v>
      </c>
      <c r="H99" s="53">
        <f t="shared" si="2"/>
        <v>-255984.83620549995</v>
      </c>
    </row>
    <row r="100" spans="1:9" ht="15" thickBot="1" x14ac:dyDescent="0.35">
      <c r="B100" s="66" t="s">
        <v>2896</v>
      </c>
      <c r="C100" s="67">
        <v>1748379.1666666667</v>
      </c>
      <c r="D100" s="67">
        <v>1069822.5295388333</v>
      </c>
      <c r="E100" s="67">
        <v>2818201.6962054996</v>
      </c>
      <c r="F100" s="67">
        <v>-369173.19</v>
      </c>
      <c r="G100" s="68">
        <v>2449028.5062055001</v>
      </c>
      <c r="H100" s="53">
        <f t="shared" si="2"/>
        <v>-2449028.5062055001</v>
      </c>
      <c r="I100" s="81"/>
    </row>
    <row r="101" spans="1:9" ht="15" thickBot="1" x14ac:dyDescent="0.35">
      <c r="A101" s="56">
        <v>94</v>
      </c>
      <c r="B101" s="65" t="s">
        <v>2897</v>
      </c>
      <c r="C101" s="60">
        <v>0</v>
      </c>
      <c r="D101" s="60">
        <v>0</v>
      </c>
      <c r="E101" s="60">
        <v>0</v>
      </c>
      <c r="F101" s="60">
        <v>0</v>
      </c>
      <c r="G101" s="63">
        <v>0</v>
      </c>
      <c r="H101" s="53">
        <f t="shared" si="2"/>
        <v>0</v>
      </c>
    </row>
    <row r="102" spans="1:9" ht="15" thickBot="1" x14ac:dyDescent="0.35">
      <c r="B102" s="66" t="s">
        <v>2898</v>
      </c>
      <c r="C102" s="67">
        <v>0</v>
      </c>
      <c r="D102" s="67">
        <v>0</v>
      </c>
      <c r="E102" s="67">
        <v>0</v>
      </c>
      <c r="F102" s="67">
        <v>0</v>
      </c>
      <c r="G102" s="68">
        <v>0</v>
      </c>
      <c r="H102" s="53">
        <f t="shared" si="2"/>
        <v>0</v>
      </c>
    </row>
    <row r="103" spans="1:9" ht="15" thickBot="1" x14ac:dyDescent="0.35">
      <c r="A103" s="56">
        <v>103</v>
      </c>
      <c r="B103" s="88" t="s">
        <v>2899</v>
      </c>
      <c r="C103" s="89">
        <v>0</v>
      </c>
      <c r="D103" s="89">
        <v>55964.82</v>
      </c>
      <c r="E103" s="67">
        <v>55964.82</v>
      </c>
      <c r="F103" s="67">
        <v>0</v>
      </c>
      <c r="G103" s="68">
        <v>55964.82</v>
      </c>
      <c r="H103" s="53">
        <f t="shared" si="2"/>
        <v>-55964.82</v>
      </c>
    </row>
    <row r="104" spans="1:9" x14ac:dyDescent="0.3">
      <c r="A104" s="56">
        <v>114</v>
      </c>
      <c r="B104" s="90" t="s">
        <v>2900</v>
      </c>
      <c r="C104" s="91">
        <v>0</v>
      </c>
      <c r="D104" s="91">
        <v>108218.07</v>
      </c>
      <c r="E104" s="91">
        <v>108218.07</v>
      </c>
      <c r="F104" s="91">
        <v>-108218.07</v>
      </c>
      <c r="G104" s="91">
        <v>0</v>
      </c>
      <c r="H104" s="53">
        <f t="shared" si="2"/>
        <v>0</v>
      </c>
    </row>
    <row r="105" spans="1:9" x14ac:dyDescent="0.3">
      <c r="A105" s="56">
        <v>114</v>
      </c>
      <c r="B105" s="65" t="s">
        <v>2901</v>
      </c>
      <c r="C105" s="60">
        <v>326995.40000000002</v>
      </c>
      <c r="D105" s="60">
        <v>1611632</v>
      </c>
      <c r="E105" s="60">
        <v>1938627.4</v>
      </c>
      <c r="F105" s="60">
        <v>0</v>
      </c>
      <c r="G105" s="63">
        <v>1938627.4</v>
      </c>
      <c r="H105" s="53">
        <f t="shared" si="2"/>
        <v>-1938627.4</v>
      </c>
      <c r="I105" s="77"/>
    </row>
    <row r="106" spans="1:9" x14ac:dyDescent="0.3">
      <c r="A106" s="56">
        <v>114</v>
      </c>
      <c r="B106" s="65" t="s">
        <v>2902</v>
      </c>
      <c r="C106" s="60">
        <v>0</v>
      </c>
      <c r="D106" s="60">
        <v>0</v>
      </c>
      <c r="E106" s="60">
        <v>0</v>
      </c>
      <c r="F106" s="60">
        <v>0</v>
      </c>
      <c r="G106" s="63">
        <v>0</v>
      </c>
      <c r="H106" s="53">
        <f t="shared" si="2"/>
        <v>0</v>
      </c>
      <c r="I106" s="77"/>
    </row>
    <row r="107" spans="1:9" x14ac:dyDescent="0.3">
      <c r="A107" s="56">
        <v>115</v>
      </c>
      <c r="B107" s="65" t="s">
        <v>2903</v>
      </c>
      <c r="C107" s="60">
        <v>113595.78</v>
      </c>
      <c r="D107" s="60">
        <v>498695.11</v>
      </c>
      <c r="E107" s="60">
        <v>612290.89</v>
      </c>
      <c r="F107" s="60">
        <v>0</v>
      </c>
      <c r="G107" s="63">
        <v>612290.89</v>
      </c>
      <c r="H107" s="53">
        <f t="shared" si="2"/>
        <v>-612290.89</v>
      </c>
      <c r="I107" s="77"/>
    </row>
    <row r="108" spans="1:9" x14ac:dyDescent="0.3">
      <c r="A108" s="56">
        <v>115</v>
      </c>
      <c r="B108" s="65" t="s">
        <v>2904</v>
      </c>
      <c r="C108" s="60">
        <v>0</v>
      </c>
      <c r="D108" s="60">
        <v>0</v>
      </c>
      <c r="E108" s="60">
        <v>0</v>
      </c>
      <c r="F108" s="60">
        <v>0</v>
      </c>
      <c r="G108" s="63">
        <v>0</v>
      </c>
      <c r="H108" s="53">
        <f t="shared" si="2"/>
        <v>0</v>
      </c>
    </row>
    <row r="109" spans="1:9" x14ac:dyDescent="0.3">
      <c r="A109" s="56">
        <v>116</v>
      </c>
      <c r="B109" s="65" t="s">
        <v>2905</v>
      </c>
      <c r="C109" s="60">
        <v>0</v>
      </c>
      <c r="D109" s="60">
        <v>2832076.7199999997</v>
      </c>
      <c r="E109" s="60">
        <v>2832076.7199999997</v>
      </c>
      <c r="F109" s="60">
        <v>0</v>
      </c>
      <c r="G109" s="63">
        <v>2832076.7199999997</v>
      </c>
      <c r="H109" s="53">
        <f t="shared" si="2"/>
        <v>-2832076.7199999997</v>
      </c>
    </row>
    <row r="110" spans="1:9" x14ac:dyDescent="0.3">
      <c r="A110" s="56">
        <v>101</v>
      </c>
      <c r="B110" s="65" t="s">
        <v>2906</v>
      </c>
      <c r="C110" s="60">
        <v>50361.619999999995</v>
      </c>
      <c r="D110" s="60">
        <v>129487.00999999995</v>
      </c>
      <c r="E110" s="60">
        <v>179848.62999999995</v>
      </c>
      <c r="F110" s="60">
        <v>0</v>
      </c>
      <c r="G110" s="63">
        <v>179848.62999999995</v>
      </c>
      <c r="H110" s="64">
        <f t="shared" si="2"/>
        <v>-179848.62999999995</v>
      </c>
    </row>
    <row r="111" spans="1:9" x14ac:dyDescent="0.3">
      <c r="A111" s="56">
        <v>101</v>
      </c>
      <c r="B111" s="79" t="s">
        <v>2907</v>
      </c>
      <c r="C111" s="80">
        <v>0</v>
      </c>
      <c r="D111" s="80">
        <v>630883.99</v>
      </c>
      <c r="E111" s="80">
        <v>630883.99</v>
      </c>
      <c r="F111" s="80">
        <v>0</v>
      </c>
      <c r="G111" s="80">
        <v>630883.99</v>
      </c>
      <c r="H111" s="64">
        <f t="shared" si="2"/>
        <v>-630883.99</v>
      </c>
    </row>
    <row r="112" spans="1:9" x14ac:dyDescent="0.3">
      <c r="A112" s="56">
        <v>101</v>
      </c>
      <c r="B112" s="65" t="s">
        <v>2908</v>
      </c>
      <c r="C112" s="60">
        <v>2725919.82</v>
      </c>
      <c r="D112" s="60">
        <v>17178.54</v>
      </c>
      <c r="E112" s="60">
        <v>2743098.36</v>
      </c>
      <c r="F112" s="60">
        <v>0</v>
      </c>
      <c r="G112" s="63">
        <v>2743098.36</v>
      </c>
      <c r="H112" s="64">
        <f t="shared" si="2"/>
        <v>-2743098.36</v>
      </c>
      <c r="I112" s="77"/>
    </row>
    <row r="113" spans="1:11" x14ac:dyDescent="0.3">
      <c r="A113" s="56">
        <v>101</v>
      </c>
      <c r="B113" s="65" t="s">
        <v>2909</v>
      </c>
      <c r="C113" s="60">
        <v>0</v>
      </c>
      <c r="D113" s="60">
        <v>16004.83</v>
      </c>
      <c r="E113" s="60">
        <v>16004.83</v>
      </c>
      <c r="F113" s="60">
        <v>0</v>
      </c>
      <c r="G113" s="63">
        <v>16004.83</v>
      </c>
      <c r="H113" s="64">
        <f t="shared" si="2"/>
        <v>-16004.83</v>
      </c>
      <c r="I113" s="77"/>
    </row>
    <row r="114" spans="1:11" x14ac:dyDescent="0.3">
      <c r="A114" s="56">
        <v>101</v>
      </c>
      <c r="B114" s="79" t="s">
        <v>2910</v>
      </c>
      <c r="C114" s="80">
        <v>0</v>
      </c>
      <c r="D114" s="80">
        <v>4920738.2966666669</v>
      </c>
      <c r="E114" s="80">
        <v>4920738.2966666669</v>
      </c>
      <c r="F114" s="80">
        <v>-4920738.2966666669</v>
      </c>
      <c r="G114" s="80">
        <v>0</v>
      </c>
      <c r="H114" s="64">
        <f t="shared" si="2"/>
        <v>0</v>
      </c>
      <c r="K114" s="77"/>
    </row>
    <row r="115" spans="1:11" x14ac:dyDescent="0.3">
      <c r="A115" s="56">
        <v>101</v>
      </c>
      <c r="B115" s="65" t="s">
        <v>2911</v>
      </c>
      <c r="C115" s="60">
        <v>9252.58</v>
      </c>
      <c r="D115" s="60">
        <v>6979.88</v>
      </c>
      <c r="E115" s="60">
        <v>16232.46</v>
      </c>
      <c r="F115" s="60">
        <v>0</v>
      </c>
      <c r="G115" s="63">
        <v>16232.46</v>
      </c>
      <c r="H115" s="64">
        <f t="shared" si="2"/>
        <v>-16232.46</v>
      </c>
      <c r="I115" s="77"/>
    </row>
    <row r="116" spans="1:11" x14ac:dyDescent="0.3">
      <c r="A116" s="56">
        <v>101</v>
      </c>
      <c r="B116" s="69" t="s">
        <v>2912</v>
      </c>
      <c r="C116" s="70">
        <v>490950</v>
      </c>
      <c r="D116" s="70">
        <v>0</v>
      </c>
      <c r="E116" s="70">
        <v>490950</v>
      </c>
      <c r="F116" s="70">
        <v>-490950</v>
      </c>
      <c r="G116" s="70">
        <v>0</v>
      </c>
      <c r="H116" s="64">
        <f t="shared" si="2"/>
        <v>0</v>
      </c>
    </row>
    <row r="117" spans="1:11" x14ac:dyDescent="0.3">
      <c r="A117" s="56">
        <v>101</v>
      </c>
      <c r="B117" s="71" t="s">
        <v>2913</v>
      </c>
      <c r="C117" s="72">
        <v>319000</v>
      </c>
      <c r="D117" s="72">
        <v>0</v>
      </c>
      <c r="E117" s="72">
        <v>319000</v>
      </c>
      <c r="F117" s="72">
        <v>-319000</v>
      </c>
      <c r="G117" s="72">
        <v>0</v>
      </c>
      <c r="H117" s="64">
        <f t="shared" si="2"/>
        <v>0</v>
      </c>
      <c r="K117" s="77"/>
    </row>
    <row r="118" spans="1:11" x14ac:dyDescent="0.3">
      <c r="A118" s="56">
        <v>101</v>
      </c>
      <c r="B118" s="71" t="s">
        <v>2914</v>
      </c>
      <c r="C118" s="72">
        <v>180000</v>
      </c>
      <c r="D118" s="72">
        <v>0</v>
      </c>
      <c r="E118" s="72">
        <v>180000</v>
      </c>
      <c r="F118" s="72">
        <v>-180000</v>
      </c>
      <c r="G118" s="72">
        <v>0</v>
      </c>
      <c r="H118" s="64">
        <f t="shared" si="2"/>
        <v>0</v>
      </c>
      <c r="I118" s="77"/>
    </row>
    <row r="119" spans="1:11" x14ac:dyDescent="0.3">
      <c r="A119" s="56">
        <v>101</v>
      </c>
      <c r="B119" s="71" t="s">
        <v>2915</v>
      </c>
      <c r="C119" s="72">
        <v>481800</v>
      </c>
      <c r="D119" s="72">
        <v>0</v>
      </c>
      <c r="E119" s="72">
        <v>481800</v>
      </c>
      <c r="F119" s="72">
        <v>-481800</v>
      </c>
      <c r="G119" s="72">
        <v>0</v>
      </c>
      <c r="H119" s="64">
        <f t="shared" si="2"/>
        <v>0</v>
      </c>
      <c r="I119" s="77"/>
    </row>
    <row r="120" spans="1:11" x14ac:dyDescent="0.3">
      <c r="A120" s="56">
        <v>101</v>
      </c>
      <c r="B120" s="71" t="s">
        <v>2916</v>
      </c>
      <c r="C120" s="72">
        <v>0</v>
      </c>
      <c r="D120" s="72">
        <v>0</v>
      </c>
      <c r="E120" s="72">
        <v>0</v>
      </c>
      <c r="F120" s="72">
        <v>0</v>
      </c>
      <c r="G120" s="72">
        <v>0</v>
      </c>
      <c r="H120" s="64">
        <f t="shared" si="2"/>
        <v>0</v>
      </c>
    </row>
    <row r="121" spans="1:11" x14ac:dyDescent="0.3">
      <c r="A121" s="56">
        <v>101</v>
      </c>
      <c r="B121" s="71" t="s">
        <v>2917</v>
      </c>
      <c r="C121" s="72">
        <v>101116.89</v>
      </c>
      <c r="D121" s="72">
        <v>0</v>
      </c>
      <c r="E121" s="72">
        <v>101116.89</v>
      </c>
      <c r="F121" s="72">
        <v>-101116.89</v>
      </c>
      <c r="G121" s="72">
        <v>0</v>
      </c>
      <c r="H121" s="64">
        <f t="shared" si="2"/>
        <v>0</v>
      </c>
    </row>
    <row r="122" spans="1:11" x14ac:dyDescent="0.3">
      <c r="A122" s="56">
        <v>101</v>
      </c>
      <c r="B122" s="71" t="s">
        <v>2918</v>
      </c>
      <c r="C122" s="72">
        <v>0</v>
      </c>
      <c r="D122" s="72">
        <v>0.89</v>
      </c>
      <c r="E122" s="72">
        <v>0.89</v>
      </c>
      <c r="F122" s="72">
        <v>0</v>
      </c>
      <c r="G122" s="72">
        <v>0.89</v>
      </c>
      <c r="H122" s="64">
        <f t="shared" si="2"/>
        <v>-0.89</v>
      </c>
    </row>
    <row r="123" spans="1:11" x14ac:dyDescent="0.3">
      <c r="A123" s="56">
        <v>101</v>
      </c>
      <c r="B123" s="84" t="s">
        <v>2919</v>
      </c>
      <c r="C123" s="74">
        <v>0</v>
      </c>
      <c r="D123" s="74">
        <v>62200.79</v>
      </c>
      <c r="E123" s="74">
        <v>62200.79</v>
      </c>
      <c r="F123" s="74">
        <v>-62200.79</v>
      </c>
      <c r="G123" s="74">
        <v>0</v>
      </c>
      <c r="H123" s="64">
        <f t="shared" si="2"/>
        <v>0</v>
      </c>
    </row>
    <row r="124" spans="1:11" x14ac:dyDescent="0.3">
      <c r="A124" s="56">
        <v>101</v>
      </c>
      <c r="B124" s="65" t="s">
        <v>2920</v>
      </c>
      <c r="C124" s="60">
        <v>282191.58</v>
      </c>
      <c r="D124" s="60">
        <v>38696.44</v>
      </c>
      <c r="E124" s="60">
        <v>320888.02</v>
      </c>
      <c r="F124" s="60">
        <v>0</v>
      </c>
      <c r="G124" s="63">
        <v>320888.02</v>
      </c>
      <c r="H124" s="64">
        <f t="shared" si="2"/>
        <v>-320888.02</v>
      </c>
      <c r="I124" s="77"/>
    </row>
    <row r="125" spans="1:11" x14ac:dyDescent="0.3">
      <c r="A125" s="56">
        <v>101</v>
      </c>
      <c r="B125" s="65" t="s">
        <v>2921</v>
      </c>
      <c r="C125" s="60">
        <v>23464</v>
      </c>
      <c r="D125" s="60">
        <v>219822.7</v>
      </c>
      <c r="E125" s="60">
        <v>243286.7</v>
      </c>
      <c r="F125" s="60">
        <v>-243286.7</v>
      </c>
      <c r="G125" s="63">
        <v>0</v>
      </c>
      <c r="H125" s="64">
        <f t="shared" si="2"/>
        <v>0</v>
      </c>
      <c r="I125" s="77"/>
    </row>
    <row r="126" spans="1:11" x14ac:dyDescent="0.3">
      <c r="A126" s="56">
        <v>103</v>
      </c>
      <c r="B126" s="65" t="s">
        <v>2922</v>
      </c>
      <c r="C126" s="60">
        <v>49879.43</v>
      </c>
      <c r="D126" s="60">
        <v>7057.13</v>
      </c>
      <c r="E126" s="60">
        <v>56936.56</v>
      </c>
      <c r="F126" s="60">
        <v>-51730.43</v>
      </c>
      <c r="G126" s="63">
        <v>5206.1299999999974</v>
      </c>
      <c r="H126" s="53">
        <f t="shared" si="2"/>
        <v>-5206.1299999999974</v>
      </c>
    </row>
    <row r="127" spans="1:11" x14ac:dyDescent="0.3">
      <c r="A127" s="56">
        <v>103</v>
      </c>
      <c r="B127" s="65" t="s">
        <v>2923</v>
      </c>
      <c r="C127" s="60">
        <v>0</v>
      </c>
      <c r="D127" s="60">
        <v>0.01</v>
      </c>
      <c r="E127" s="60">
        <v>0.01</v>
      </c>
      <c r="F127" s="60">
        <v>0</v>
      </c>
      <c r="G127" s="63">
        <v>0.01</v>
      </c>
      <c r="H127" s="53">
        <f t="shared" si="2"/>
        <v>-0.01</v>
      </c>
    </row>
    <row r="128" spans="1:11" x14ac:dyDescent="0.3">
      <c r="A128" s="56">
        <v>103</v>
      </c>
      <c r="B128" s="65" t="s">
        <v>2899</v>
      </c>
      <c r="C128" s="60">
        <v>0</v>
      </c>
      <c r="D128" s="60">
        <v>0</v>
      </c>
      <c r="E128" s="60">
        <v>0</v>
      </c>
      <c r="F128" s="60">
        <v>0</v>
      </c>
      <c r="G128" s="63">
        <v>0</v>
      </c>
      <c r="H128" s="53">
        <f t="shared" si="2"/>
        <v>0</v>
      </c>
      <c r="I128" s="77"/>
    </row>
    <row r="129" spans="1:9" x14ac:dyDescent="0.3">
      <c r="A129" s="56">
        <v>49</v>
      </c>
      <c r="B129" s="65" t="s">
        <v>2924</v>
      </c>
      <c r="C129" s="60">
        <v>11190.1</v>
      </c>
      <c r="D129" s="60">
        <v>0</v>
      </c>
      <c r="E129" s="60">
        <v>11190.1</v>
      </c>
      <c r="F129" s="60">
        <v>0</v>
      </c>
      <c r="G129" s="63">
        <v>11190.1</v>
      </c>
      <c r="H129" s="53">
        <f t="shared" si="2"/>
        <v>-11190.1</v>
      </c>
      <c r="I129" s="81"/>
    </row>
    <row r="130" spans="1:9" x14ac:dyDescent="0.3">
      <c r="A130" s="56">
        <v>49</v>
      </c>
      <c r="B130" s="65" t="s">
        <v>2925</v>
      </c>
      <c r="C130" s="60">
        <v>0</v>
      </c>
      <c r="D130" s="60">
        <v>0</v>
      </c>
      <c r="E130" s="60">
        <v>0</v>
      </c>
      <c r="F130" s="60">
        <v>0</v>
      </c>
      <c r="G130" s="63">
        <v>0</v>
      </c>
      <c r="H130" s="53">
        <f t="shared" si="2"/>
        <v>0</v>
      </c>
      <c r="I130" s="81"/>
    </row>
    <row r="131" spans="1:9" x14ac:dyDescent="0.3">
      <c r="A131" s="56">
        <v>49</v>
      </c>
      <c r="B131" s="65" t="s">
        <v>2926</v>
      </c>
      <c r="C131" s="60">
        <v>2753.19</v>
      </c>
      <c r="D131" s="60">
        <v>4947.1000000000004</v>
      </c>
      <c r="E131" s="60">
        <v>7700.2900000000009</v>
      </c>
      <c r="F131" s="60">
        <v>0</v>
      </c>
      <c r="G131" s="63">
        <v>7700.2900000000009</v>
      </c>
      <c r="H131" s="53">
        <f t="shared" si="2"/>
        <v>-7700.2900000000009</v>
      </c>
    </row>
    <row r="132" spans="1:9" x14ac:dyDescent="0.3">
      <c r="A132" s="56">
        <v>49</v>
      </c>
      <c r="B132" s="65" t="s">
        <v>2927</v>
      </c>
      <c r="C132" s="60">
        <v>5483.68</v>
      </c>
      <c r="D132" s="60">
        <v>0</v>
      </c>
      <c r="E132" s="60">
        <v>5483.68</v>
      </c>
      <c r="F132" s="60">
        <v>0</v>
      </c>
      <c r="G132" s="63">
        <v>5483.68</v>
      </c>
      <c r="H132" s="53">
        <f t="shared" si="2"/>
        <v>-5483.68</v>
      </c>
    </row>
    <row r="133" spans="1:9" x14ac:dyDescent="0.3">
      <c r="A133" s="56">
        <v>49</v>
      </c>
      <c r="B133" s="65" t="s">
        <v>2928</v>
      </c>
      <c r="C133" s="60">
        <v>3953.37</v>
      </c>
      <c r="D133" s="60">
        <v>-2527.2199999999998</v>
      </c>
      <c r="E133" s="60">
        <v>1426.15</v>
      </c>
      <c r="F133" s="60">
        <v>0</v>
      </c>
      <c r="G133" s="63">
        <v>1426.15</v>
      </c>
      <c r="H133" s="53">
        <f t="shared" si="2"/>
        <v>-1426.15</v>
      </c>
    </row>
    <row r="134" spans="1:9" x14ac:dyDescent="0.3">
      <c r="A134" s="56">
        <v>49</v>
      </c>
      <c r="B134" s="65" t="s">
        <v>2929</v>
      </c>
      <c r="C134" s="60">
        <v>0</v>
      </c>
      <c r="D134" s="60">
        <v>0</v>
      </c>
      <c r="E134" s="60">
        <v>0</v>
      </c>
      <c r="F134" s="60">
        <v>0</v>
      </c>
      <c r="G134" s="63">
        <v>0</v>
      </c>
      <c r="H134" s="53">
        <f t="shared" si="2"/>
        <v>0</v>
      </c>
    </row>
    <row r="135" spans="1:9" x14ac:dyDescent="0.3">
      <c r="A135" s="56">
        <v>49</v>
      </c>
      <c r="B135" s="65" t="s">
        <v>2930</v>
      </c>
      <c r="C135" s="60">
        <v>0</v>
      </c>
      <c r="D135" s="60">
        <v>0</v>
      </c>
      <c r="E135" s="60">
        <v>0</v>
      </c>
      <c r="F135" s="60">
        <v>0</v>
      </c>
      <c r="G135" s="63">
        <v>0</v>
      </c>
      <c r="H135" s="53">
        <f t="shared" si="2"/>
        <v>0</v>
      </c>
    </row>
    <row r="136" spans="1:9" x14ac:dyDescent="0.3">
      <c r="A136" s="56">
        <v>49</v>
      </c>
      <c r="B136" s="65" t="s">
        <v>2931</v>
      </c>
      <c r="C136" s="60">
        <v>0</v>
      </c>
      <c r="D136" s="60">
        <v>0</v>
      </c>
      <c r="E136" s="60">
        <v>0</v>
      </c>
      <c r="F136" s="60">
        <v>0</v>
      </c>
      <c r="G136" s="63">
        <v>0</v>
      </c>
      <c r="H136" s="53">
        <f t="shared" si="2"/>
        <v>0</v>
      </c>
    </row>
    <row r="137" spans="1:9" x14ac:dyDescent="0.3">
      <c r="A137" s="56">
        <v>49</v>
      </c>
      <c r="B137" s="65" t="s">
        <v>2932</v>
      </c>
      <c r="C137" s="60">
        <v>0</v>
      </c>
      <c r="D137" s="60">
        <v>0</v>
      </c>
      <c r="E137" s="60">
        <v>0</v>
      </c>
      <c r="F137" s="60">
        <v>0</v>
      </c>
      <c r="G137" s="63">
        <v>0</v>
      </c>
      <c r="H137" s="53">
        <f t="shared" si="2"/>
        <v>0</v>
      </c>
    </row>
    <row r="138" spans="1:9" x14ac:dyDescent="0.3">
      <c r="A138" s="56">
        <v>49</v>
      </c>
      <c r="B138" s="65" t="s">
        <v>2933</v>
      </c>
      <c r="C138" s="60">
        <v>0</v>
      </c>
      <c r="D138" s="60">
        <v>0</v>
      </c>
      <c r="E138" s="60">
        <v>0.01</v>
      </c>
      <c r="F138" s="60">
        <v>0</v>
      </c>
      <c r="G138" s="63">
        <v>0.01</v>
      </c>
      <c r="H138" s="53">
        <f t="shared" si="2"/>
        <v>-0.01</v>
      </c>
    </row>
    <row r="139" spans="1:9" ht="15" thickBot="1" x14ac:dyDescent="0.35">
      <c r="A139" s="56">
        <v>49</v>
      </c>
      <c r="B139" s="92" t="s">
        <v>2934</v>
      </c>
      <c r="C139" s="60">
        <v>8976.9900000000016</v>
      </c>
      <c r="D139" s="60">
        <v>700</v>
      </c>
      <c r="E139" s="60">
        <v>9676.9900000000016</v>
      </c>
      <c r="F139" s="60">
        <v>0</v>
      </c>
      <c r="G139" s="63">
        <v>9676.9900000000016</v>
      </c>
      <c r="H139" s="53">
        <f t="shared" si="2"/>
        <v>-9676.9900000000016</v>
      </c>
    </row>
    <row r="140" spans="1:9" ht="15" thickBot="1" x14ac:dyDescent="0.35">
      <c r="B140" s="66" t="s">
        <v>2935</v>
      </c>
      <c r="C140" s="67">
        <v>5186884.43</v>
      </c>
      <c r="D140" s="67">
        <v>11102792.286666665</v>
      </c>
      <c r="E140" s="67">
        <v>16289676.726666667</v>
      </c>
      <c r="F140" s="67">
        <v>-6959041.1766666668</v>
      </c>
      <c r="G140" s="68">
        <v>9330635.5500000007</v>
      </c>
      <c r="H140" s="53">
        <f t="shared" si="2"/>
        <v>-9330635.5500000007</v>
      </c>
    </row>
    <row r="141" spans="1:9" x14ac:dyDescent="0.3">
      <c r="A141" s="56">
        <v>96</v>
      </c>
      <c r="B141" s="65" t="s">
        <v>2936</v>
      </c>
      <c r="C141" s="60">
        <v>0</v>
      </c>
      <c r="D141" s="60">
        <v>-0.01</v>
      </c>
      <c r="E141" s="60">
        <v>-0.01</v>
      </c>
      <c r="F141" s="60">
        <v>0</v>
      </c>
      <c r="G141" s="63">
        <v>-0.01</v>
      </c>
      <c r="H141" s="53">
        <f t="shared" si="2"/>
        <v>0.01</v>
      </c>
    </row>
    <row r="142" spans="1:9" ht="15" thickBot="1" x14ac:dyDescent="0.35">
      <c r="A142" s="56">
        <v>96</v>
      </c>
      <c r="B142" s="65" t="s">
        <v>2937</v>
      </c>
      <c r="C142" s="60">
        <v>4757.57</v>
      </c>
      <c r="D142" s="60">
        <v>0</v>
      </c>
      <c r="E142" s="60">
        <v>4757.5599999999995</v>
      </c>
      <c r="F142" s="60">
        <v>0</v>
      </c>
      <c r="G142" s="63">
        <v>4757.5599999999995</v>
      </c>
      <c r="H142" s="53">
        <f t="shared" si="2"/>
        <v>-4757.5599999999995</v>
      </c>
    </row>
    <row r="143" spans="1:9" ht="15" thickBot="1" x14ac:dyDescent="0.35">
      <c r="B143" s="66" t="s">
        <v>2886</v>
      </c>
      <c r="C143" s="67">
        <v>4757.57</v>
      </c>
      <c r="D143" s="67">
        <v>-0.01</v>
      </c>
      <c r="E143" s="67">
        <v>4757.5499999999993</v>
      </c>
      <c r="F143" s="67">
        <v>0</v>
      </c>
      <c r="G143" s="67">
        <v>4757.5499999999993</v>
      </c>
      <c r="H143" s="53">
        <f t="shared" si="2"/>
        <v>-4757.5499999999993</v>
      </c>
    </row>
    <row r="144" spans="1:9" x14ac:dyDescent="0.3">
      <c r="B144" s="86" t="s">
        <v>2938</v>
      </c>
      <c r="C144" s="87">
        <v>6940021.166666667</v>
      </c>
      <c r="D144" s="87">
        <v>12228579.626205498</v>
      </c>
      <c r="E144" s="87">
        <v>19168600.792872168</v>
      </c>
      <c r="F144" s="87">
        <v>-7328214.3666666672</v>
      </c>
      <c r="G144" s="87">
        <v>11840386.426205501</v>
      </c>
      <c r="H144" s="53">
        <f t="shared" si="2"/>
        <v>-11840386.426205501</v>
      </c>
      <c r="I144" s="77"/>
    </row>
    <row r="145" spans="1:10" x14ac:dyDescent="0.3">
      <c r="B145" s="65"/>
      <c r="C145" s="60">
        <v>3.3333320170640945E-3</v>
      </c>
      <c r="D145" s="60">
        <v>-2.4388320744037628E-3</v>
      </c>
      <c r="E145" s="60">
        <v>8.944980800151825E-4</v>
      </c>
      <c r="F145" s="60">
        <v>1.7333328723907471E-3</v>
      </c>
      <c r="G145" s="60">
        <v>2.6278328150510788E-3</v>
      </c>
      <c r="I145" s="77"/>
    </row>
    <row r="146" spans="1:10" x14ac:dyDescent="0.3">
      <c r="B146" s="65"/>
      <c r="G146" s="60"/>
    </row>
    <row r="147" spans="1:10" ht="15" thickBot="1" x14ac:dyDescent="0.35">
      <c r="B147" s="65"/>
      <c r="G147" s="60"/>
    </row>
    <row r="148" spans="1:10" s="53" customFormat="1" ht="21.6" thickBot="1" x14ac:dyDescent="0.35">
      <c r="A148" s="56"/>
      <c r="B148" s="54" t="s">
        <v>2939</v>
      </c>
      <c r="C148" s="55"/>
      <c r="D148" s="55"/>
      <c r="E148" s="55"/>
      <c r="F148" s="55"/>
      <c r="G148" s="55"/>
    </row>
    <row r="149" spans="1:10" x14ac:dyDescent="0.3">
      <c r="B149" s="57" t="s">
        <v>2940</v>
      </c>
      <c r="C149" s="58" t="s">
        <v>1369</v>
      </c>
      <c r="D149" s="58" t="s">
        <v>2799</v>
      </c>
      <c r="E149" s="58" t="s">
        <v>2800</v>
      </c>
      <c r="F149" s="58" t="s">
        <v>2801</v>
      </c>
      <c r="G149" s="59" t="s">
        <v>2802</v>
      </c>
    </row>
    <row r="150" spans="1:10" x14ac:dyDescent="0.3">
      <c r="B150" s="57" t="s">
        <v>2941</v>
      </c>
      <c r="G150" s="61"/>
    </row>
    <row r="151" spans="1:10" x14ac:dyDescent="0.3">
      <c r="A151" s="56">
        <v>5</v>
      </c>
      <c r="B151" s="65" t="s">
        <v>2942</v>
      </c>
      <c r="C151" s="60">
        <v>164978.80666666664</v>
      </c>
      <c r="D151" s="60">
        <v>1259821.5133333332</v>
      </c>
      <c r="E151" s="60">
        <v>1424800.3199999998</v>
      </c>
      <c r="F151" s="60">
        <v>0</v>
      </c>
      <c r="G151" s="63">
        <v>1424800.3199999998</v>
      </c>
      <c r="H151" s="93"/>
      <c r="I151" s="94"/>
    </row>
    <row r="152" spans="1:10" x14ac:dyDescent="0.3">
      <c r="A152" s="56">
        <v>5</v>
      </c>
      <c r="B152" s="95" t="s">
        <v>2943</v>
      </c>
      <c r="C152" s="60">
        <v>0</v>
      </c>
      <c r="D152" s="60">
        <v>0</v>
      </c>
      <c r="E152" s="60">
        <v>0</v>
      </c>
      <c r="F152" s="60">
        <v>0</v>
      </c>
      <c r="G152" s="60">
        <v>0</v>
      </c>
      <c r="I152" s="94"/>
    </row>
    <row r="153" spans="1:10" x14ac:dyDescent="0.3">
      <c r="A153" s="56">
        <v>13</v>
      </c>
      <c r="B153" s="65" t="s">
        <v>2944</v>
      </c>
      <c r="C153" s="60">
        <v>0</v>
      </c>
      <c r="D153" s="60">
        <v>0</v>
      </c>
      <c r="E153" s="60">
        <v>0</v>
      </c>
      <c r="F153" s="60">
        <v>0</v>
      </c>
      <c r="G153" s="63">
        <v>0</v>
      </c>
      <c r="I153" s="94"/>
    </row>
    <row r="154" spans="1:10" ht="13.2" x14ac:dyDescent="0.3">
      <c r="A154" s="56">
        <v>13</v>
      </c>
      <c r="B154" s="96" t="s">
        <v>2945</v>
      </c>
      <c r="C154" s="97">
        <v>333245.33333333337</v>
      </c>
      <c r="D154" s="97">
        <v>0</v>
      </c>
      <c r="E154" s="97">
        <v>333245.33333333337</v>
      </c>
      <c r="F154" s="97">
        <v>-333245.33333333337</v>
      </c>
      <c r="G154" s="63">
        <v>0</v>
      </c>
      <c r="H154" s="98"/>
      <c r="I154" s="94"/>
    </row>
    <row r="155" spans="1:10" ht="13.2" x14ac:dyDescent="0.3">
      <c r="A155" s="56">
        <v>13</v>
      </c>
      <c r="B155" s="65" t="s">
        <v>2946</v>
      </c>
      <c r="C155" s="60">
        <v>0</v>
      </c>
      <c r="D155" s="60">
        <v>0</v>
      </c>
      <c r="E155" s="60">
        <v>0</v>
      </c>
      <c r="F155" s="60">
        <v>0</v>
      </c>
      <c r="G155" s="63">
        <v>0</v>
      </c>
      <c r="H155" s="98"/>
      <c r="I155" s="94"/>
    </row>
    <row r="156" spans="1:10" ht="13.2" x14ac:dyDescent="0.3">
      <c r="A156" s="56">
        <v>13</v>
      </c>
      <c r="B156" s="65" t="s">
        <v>2947</v>
      </c>
      <c r="C156" s="60">
        <v>0</v>
      </c>
      <c r="D156" s="60">
        <v>0</v>
      </c>
      <c r="E156" s="60">
        <v>0</v>
      </c>
      <c r="F156" s="60">
        <v>0</v>
      </c>
      <c r="G156" s="63">
        <v>0</v>
      </c>
      <c r="H156" s="98"/>
      <c r="I156" s="94"/>
      <c r="J156" s="81"/>
    </row>
    <row r="157" spans="1:10" x14ac:dyDescent="0.3">
      <c r="A157" s="56" t="s">
        <v>2948</v>
      </c>
      <c r="B157" s="65" t="s">
        <v>2949</v>
      </c>
      <c r="C157" s="60">
        <v>0</v>
      </c>
      <c r="D157" s="60">
        <v>343310.38</v>
      </c>
      <c r="E157" s="60">
        <v>343310.38</v>
      </c>
      <c r="F157" s="60">
        <v>0</v>
      </c>
      <c r="G157" s="63">
        <v>343310.38</v>
      </c>
      <c r="I157" s="99"/>
    </row>
    <row r="158" spans="1:10" x14ac:dyDescent="0.3">
      <c r="A158" s="56">
        <v>13</v>
      </c>
      <c r="B158" s="65" t="s">
        <v>2950</v>
      </c>
      <c r="C158" s="60">
        <v>0</v>
      </c>
      <c r="D158" s="60">
        <v>0</v>
      </c>
      <c r="E158" s="60">
        <v>0</v>
      </c>
      <c r="F158" s="60">
        <v>0</v>
      </c>
      <c r="G158" s="63">
        <v>0</v>
      </c>
      <c r="I158" s="99"/>
    </row>
    <row r="159" spans="1:10" x14ac:dyDescent="0.3">
      <c r="A159" s="56">
        <v>13</v>
      </c>
      <c r="B159" s="65" t="s">
        <v>2418</v>
      </c>
      <c r="C159" s="60">
        <v>0</v>
      </c>
      <c r="D159" s="60">
        <v>0</v>
      </c>
      <c r="E159" s="60">
        <v>0</v>
      </c>
      <c r="F159" s="60">
        <v>0</v>
      </c>
      <c r="G159" s="63">
        <v>0</v>
      </c>
      <c r="I159" s="99"/>
    </row>
    <row r="160" spans="1:10" ht="15" thickBot="1" x14ac:dyDescent="0.35">
      <c r="A160" s="56">
        <v>13</v>
      </c>
      <c r="B160" s="65" t="s">
        <v>2951</v>
      </c>
      <c r="C160" s="60">
        <v>0.77</v>
      </c>
      <c r="D160" s="60">
        <v>0.19</v>
      </c>
      <c r="E160" s="60">
        <v>0.96</v>
      </c>
      <c r="F160" s="60">
        <v>0</v>
      </c>
      <c r="G160" s="63">
        <v>0.96</v>
      </c>
      <c r="H160" s="93"/>
      <c r="I160" s="99"/>
    </row>
    <row r="161" spans="1:10" ht="15" thickBot="1" x14ac:dyDescent="0.35">
      <c r="B161" s="66" t="s">
        <v>2941</v>
      </c>
      <c r="C161" s="67">
        <v>498224.91000000003</v>
      </c>
      <c r="D161" s="67">
        <v>1603132.083333333</v>
      </c>
      <c r="E161" s="67">
        <v>2101356.9933333332</v>
      </c>
      <c r="F161" s="67">
        <v>-333245.33333333337</v>
      </c>
      <c r="G161" s="68">
        <v>1768111.6599999997</v>
      </c>
      <c r="H161" s="99"/>
      <c r="I161" s="99"/>
    </row>
    <row r="162" spans="1:10" x14ac:dyDescent="0.3">
      <c r="B162" s="57" t="s">
        <v>2952</v>
      </c>
      <c r="C162" s="58"/>
      <c r="D162" s="58"/>
      <c r="E162" s="58"/>
      <c r="F162" s="58"/>
      <c r="G162" s="59"/>
      <c r="H162" s="99"/>
      <c r="I162" s="99"/>
    </row>
    <row r="163" spans="1:10" x14ac:dyDescent="0.3">
      <c r="A163" s="56">
        <v>14</v>
      </c>
      <c r="B163" s="65" t="s">
        <v>2953</v>
      </c>
      <c r="C163" s="60">
        <v>0</v>
      </c>
      <c r="D163" s="60">
        <v>0</v>
      </c>
      <c r="E163" s="60">
        <v>0</v>
      </c>
      <c r="F163" s="60">
        <v>0</v>
      </c>
      <c r="G163" s="63">
        <v>0</v>
      </c>
      <c r="H163" s="99"/>
      <c r="I163" s="99"/>
    </row>
    <row r="164" spans="1:10" x14ac:dyDescent="0.3">
      <c r="A164" s="56">
        <v>14</v>
      </c>
      <c r="B164" s="65" t="s">
        <v>2954</v>
      </c>
      <c r="C164" s="60">
        <v>17792.86</v>
      </c>
      <c r="D164" s="60">
        <v>108776.23000000001</v>
      </c>
      <c r="E164" s="60">
        <v>126569.09000000001</v>
      </c>
      <c r="F164" s="60">
        <v>0</v>
      </c>
      <c r="G164" s="63">
        <v>126569.09000000001</v>
      </c>
      <c r="H164" s="99"/>
      <c r="I164" s="99"/>
    </row>
    <row r="165" spans="1:10" x14ac:dyDescent="0.3">
      <c r="A165" s="56">
        <v>14</v>
      </c>
      <c r="B165" s="65" t="s">
        <v>2955</v>
      </c>
      <c r="C165" s="60">
        <v>0</v>
      </c>
      <c r="D165" s="60">
        <v>0</v>
      </c>
      <c r="E165" s="60">
        <v>0</v>
      </c>
      <c r="F165" s="60">
        <v>0</v>
      </c>
      <c r="G165" s="63">
        <v>0</v>
      </c>
      <c r="H165" s="100"/>
      <c r="I165" s="99"/>
    </row>
    <row r="166" spans="1:10" x14ac:dyDescent="0.3">
      <c r="A166" s="56">
        <v>14</v>
      </c>
      <c r="B166" s="65" t="s">
        <v>2956</v>
      </c>
      <c r="C166" s="60">
        <v>0</v>
      </c>
      <c r="D166" s="60">
        <v>0</v>
      </c>
      <c r="E166" s="60">
        <v>0</v>
      </c>
      <c r="F166" s="60">
        <v>0</v>
      </c>
      <c r="G166" s="63">
        <v>0</v>
      </c>
      <c r="H166" s="99"/>
      <c r="I166" s="99"/>
      <c r="J166" s="101"/>
    </row>
    <row r="167" spans="1:10" ht="15" thickBot="1" x14ac:dyDescent="0.35">
      <c r="A167" s="56">
        <v>13</v>
      </c>
      <c r="B167" s="65" t="s">
        <v>2947</v>
      </c>
      <c r="C167" s="60">
        <v>0</v>
      </c>
      <c r="D167" s="60">
        <v>0</v>
      </c>
      <c r="E167" s="60">
        <v>0</v>
      </c>
      <c r="F167" s="60">
        <v>0</v>
      </c>
      <c r="G167" s="63">
        <v>0</v>
      </c>
      <c r="H167" s="99"/>
      <c r="I167" s="99"/>
    </row>
    <row r="168" spans="1:10" ht="15" thickBot="1" x14ac:dyDescent="0.35">
      <c r="B168" s="66" t="s">
        <v>2957</v>
      </c>
      <c r="C168" s="67">
        <v>17792.86</v>
      </c>
      <c r="D168" s="67">
        <v>108776.23000000001</v>
      </c>
      <c r="E168" s="67">
        <v>126569.09000000001</v>
      </c>
      <c r="F168" s="67">
        <v>0</v>
      </c>
      <c r="G168" s="68">
        <v>126569.09000000001</v>
      </c>
      <c r="H168" s="99"/>
      <c r="I168" s="99"/>
    </row>
    <row r="169" spans="1:10" x14ac:dyDescent="0.3">
      <c r="A169" s="56">
        <v>14</v>
      </c>
      <c r="B169" s="65" t="s">
        <v>2958</v>
      </c>
      <c r="C169" s="60">
        <v>44382.73</v>
      </c>
      <c r="D169" s="60">
        <v>339266.98</v>
      </c>
      <c r="E169" s="60">
        <v>383649.70999999996</v>
      </c>
      <c r="F169" s="60">
        <v>0</v>
      </c>
      <c r="G169" s="63">
        <v>383649.70999999996</v>
      </c>
      <c r="H169" s="100"/>
      <c r="I169" s="102"/>
    </row>
    <row r="170" spans="1:10" x14ac:dyDescent="0.3">
      <c r="A170" s="56">
        <v>21</v>
      </c>
      <c r="B170" s="65" t="s">
        <v>2959</v>
      </c>
      <c r="C170" s="60">
        <v>0</v>
      </c>
      <c r="D170" s="60">
        <v>0</v>
      </c>
      <c r="E170" s="60">
        <v>0</v>
      </c>
      <c r="F170" s="60">
        <v>0</v>
      </c>
      <c r="G170" s="63">
        <v>0</v>
      </c>
      <c r="H170" s="99"/>
      <c r="I170" s="99"/>
    </row>
    <row r="171" spans="1:10" x14ac:dyDescent="0.3">
      <c r="A171" s="56">
        <v>21</v>
      </c>
      <c r="B171" s="65" t="s">
        <v>2960</v>
      </c>
      <c r="C171" s="60">
        <v>0</v>
      </c>
      <c r="D171" s="60">
        <v>0</v>
      </c>
      <c r="E171" s="60">
        <v>0</v>
      </c>
      <c r="F171" s="60">
        <v>0</v>
      </c>
      <c r="G171" s="63">
        <v>0</v>
      </c>
      <c r="H171" s="99"/>
      <c r="I171" s="99"/>
    </row>
    <row r="172" spans="1:10" x14ac:dyDescent="0.3">
      <c r="A172" s="56">
        <v>21</v>
      </c>
      <c r="B172" s="65" t="s">
        <v>2961</v>
      </c>
      <c r="C172" s="60">
        <v>0</v>
      </c>
      <c r="D172" s="60">
        <v>0</v>
      </c>
      <c r="E172" s="60">
        <v>0</v>
      </c>
      <c r="F172" s="60">
        <v>0</v>
      </c>
      <c r="G172" s="63">
        <v>0</v>
      </c>
      <c r="H172" s="99"/>
      <c r="I172" s="99"/>
    </row>
    <row r="173" spans="1:10" x14ac:dyDescent="0.3">
      <c r="A173" s="56">
        <v>21</v>
      </c>
      <c r="B173" s="65" t="s">
        <v>2962</v>
      </c>
      <c r="C173" s="60">
        <v>0</v>
      </c>
      <c r="D173" s="60">
        <v>333245.33333333337</v>
      </c>
      <c r="E173" s="60">
        <v>333245.33333333337</v>
      </c>
      <c r="F173" s="60">
        <v>-333245.33333333337</v>
      </c>
      <c r="G173" s="63">
        <v>0</v>
      </c>
      <c r="H173" s="99"/>
      <c r="I173" s="99"/>
    </row>
    <row r="174" spans="1:10" x14ac:dyDescent="0.3">
      <c r="A174" s="56">
        <v>21</v>
      </c>
      <c r="B174" s="65" t="s">
        <v>2963</v>
      </c>
      <c r="C174" s="60">
        <v>0</v>
      </c>
      <c r="D174" s="60">
        <v>0</v>
      </c>
      <c r="E174" s="60">
        <v>0</v>
      </c>
      <c r="F174" s="60">
        <v>0</v>
      </c>
      <c r="G174" s="63">
        <v>0</v>
      </c>
      <c r="H174" s="99"/>
      <c r="I174" s="99"/>
    </row>
    <row r="175" spans="1:10" ht="15" thickBot="1" x14ac:dyDescent="0.35">
      <c r="A175" s="56">
        <v>14</v>
      </c>
      <c r="B175" s="65" t="s">
        <v>2964</v>
      </c>
      <c r="C175" s="60">
        <v>21782.12</v>
      </c>
      <c r="D175" s="60">
        <v>312617.78999999998</v>
      </c>
      <c r="E175" s="60">
        <v>334399.90999999997</v>
      </c>
      <c r="F175" s="60">
        <v>0</v>
      </c>
      <c r="G175" s="63">
        <v>334399.90999999997</v>
      </c>
      <c r="H175" s="99"/>
      <c r="I175" s="99"/>
      <c r="J175" s="101"/>
    </row>
    <row r="176" spans="1:10" ht="15" thickBot="1" x14ac:dyDescent="0.35">
      <c r="B176" s="66" t="s">
        <v>2965</v>
      </c>
      <c r="C176" s="67">
        <v>66164.850000000006</v>
      </c>
      <c r="D176" s="67">
        <v>985130.10333333327</v>
      </c>
      <c r="E176" s="67">
        <v>1051294.9533333334</v>
      </c>
      <c r="F176" s="67">
        <v>-333245.33333333337</v>
      </c>
      <c r="G176" s="68">
        <v>718049.61999999988</v>
      </c>
      <c r="H176" s="100"/>
      <c r="I176" s="102"/>
    </row>
    <row r="177" spans="1:10" x14ac:dyDescent="0.3">
      <c r="B177" s="103" t="s">
        <v>2966</v>
      </c>
      <c r="C177" s="87">
        <v>414267.20000000007</v>
      </c>
      <c r="D177" s="87">
        <v>509225.74999999977</v>
      </c>
      <c r="E177" s="87">
        <v>923492.94999999972</v>
      </c>
      <c r="F177" s="87">
        <v>0</v>
      </c>
      <c r="G177" s="87">
        <v>923492.94999999972</v>
      </c>
      <c r="H177" s="99"/>
      <c r="I177" s="99"/>
      <c r="J177" s="101"/>
    </row>
    <row r="178" spans="1:10" x14ac:dyDescent="0.3">
      <c r="A178" s="56">
        <v>21</v>
      </c>
      <c r="B178" s="65" t="s">
        <v>2967</v>
      </c>
      <c r="C178" s="60">
        <v>0</v>
      </c>
      <c r="D178" s="60">
        <v>0</v>
      </c>
      <c r="E178" s="60">
        <v>0</v>
      </c>
      <c r="F178" s="60">
        <v>0</v>
      </c>
      <c r="G178" s="63">
        <v>0</v>
      </c>
      <c r="I178" s="99"/>
    </row>
    <row r="179" spans="1:10" x14ac:dyDescent="0.3">
      <c r="A179" s="56">
        <v>21</v>
      </c>
      <c r="B179" s="65" t="s">
        <v>2968</v>
      </c>
      <c r="C179" s="60">
        <v>0</v>
      </c>
      <c r="D179" s="60">
        <v>0</v>
      </c>
      <c r="E179" s="60">
        <v>0</v>
      </c>
      <c r="F179" s="60">
        <v>0</v>
      </c>
      <c r="G179" s="63">
        <v>0</v>
      </c>
      <c r="I179" s="99"/>
    </row>
    <row r="180" spans="1:10" x14ac:dyDescent="0.3">
      <c r="A180" s="56">
        <v>21</v>
      </c>
      <c r="B180" s="65" t="s">
        <v>2969</v>
      </c>
      <c r="C180" s="60">
        <v>0</v>
      </c>
      <c r="D180" s="60">
        <v>0</v>
      </c>
      <c r="E180" s="60">
        <v>0</v>
      </c>
      <c r="F180" s="60">
        <v>0</v>
      </c>
      <c r="G180" s="63">
        <v>0</v>
      </c>
      <c r="H180" s="93"/>
      <c r="I180" s="102"/>
    </row>
    <row r="181" spans="1:10" x14ac:dyDescent="0.3">
      <c r="A181" s="56">
        <v>42</v>
      </c>
      <c r="B181" s="65" t="s">
        <v>2970</v>
      </c>
      <c r="C181" s="60">
        <v>0</v>
      </c>
      <c r="D181" s="60">
        <v>0</v>
      </c>
      <c r="E181" s="60">
        <v>0</v>
      </c>
      <c r="F181" s="60">
        <v>0</v>
      </c>
      <c r="G181" s="63">
        <v>0</v>
      </c>
      <c r="I181" s="99"/>
      <c r="J181" s="101"/>
    </row>
    <row r="182" spans="1:10" x14ac:dyDescent="0.3">
      <c r="A182" s="56">
        <v>42</v>
      </c>
      <c r="B182" s="65" t="s">
        <v>2971</v>
      </c>
      <c r="C182" s="60">
        <v>0</v>
      </c>
      <c r="D182" s="60">
        <v>0</v>
      </c>
      <c r="E182" s="60">
        <v>0</v>
      </c>
      <c r="F182" s="60">
        <v>0</v>
      </c>
      <c r="G182" s="63">
        <v>0</v>
      </c>
      <c r="I182" s="99"/>
    </row>
    <row r="183" spans="1:10" x14ac:dyDescent="0.3">
      <c r="A183" s="56">
        <v>42</v>
      </c>
      <c r="B183" s="65" t="s">
        <v>2972</v>
      </c>
      <c r="C183" s="60">
        <v>0</v>
      </c>
      <c r="D183" s="60">
        <v>0</v>
      </c>
      <c r="E183" s="60">
        <v>0</v>
      </c>
      <c r="F183" s="60">
        <v>0</v>
      </c>
      <c r="G183" s="63">
        <v>0</v>
      </c>
      <c r="I183" s="99"/>
    </row>
    <row r="184" spans="1:10" x14ac:dyDescent="0.3">
      <c r="A184" s="56">
        <v>42</v>
      </c>
      <c r="B184" s="65" t="s">
        <v>2973</v>
      </c>
      <c r="C184" s="60">
        <v>0</v>
      </c>
      <c r="D184" s="60">
        <v>0</v>
      </c>
      <c r="E184" s="60">
        <v>0</v>
      </c>
      <c r="F184" s="60">
        <v>0</v>
      </c>
      <c r="G184" s="63">
        <v>0</v>
      </c>
      <c r="I184" s="99"/>
    </row>
    <row r="185" spans="1:10" x14ac:dyDescent="0.3">
      <c r="A185" s="56">
        <v>42</v>
      </c>
      <c r="B185" s="65" t="s">
        <v>2974</v>
      </c>
      <c r="C185" s="60">
        <v>0</v>
      </c>
      <c r="D185" s="60">
        <v>0</v>
      </c>
      <c r="E185" s="60">
        <v>0</v>
      </c>
      <c r="F185" s="60">
        <v>0</v>
      </c>
      <c r="G185" s="63">
        <v>0</v>
      </c>
      <c r="I185" s="99"/>
    </row>
    <row r="186" spans="1:10" x14ac:dyDescent="0.3">
      <c r="A186" s="56">
        <v>42</v>
      </c>
      <c r="B186" s="65" t="s">
        <v>2975</v>
      </c>
      <c r="C186" s="60">
        <v>0</v>
      </c>
      <c r="D186" s="60">
        <v>0</v>
      </c>
      <c r="E186" s="60">
        <v>0</v>
      </c>
      <c r="F186" s="60">
        <v>0</v>
      </c>
      <c r="G186" s="63">
        <v>0</v>
      </c>
      <c r="I186" s="99"/>
    </row>
    <row r="187" spans="1:10" x14ac:dyDescent="0.3">
      <c r="A187" s="56">
        <v>21</v>
      </c>
      <c r="B187" s="65" t="s">
        <v>2976</v>
      </c>
      <c r="C187" s="60">
        <v>1248</v>
      </c>
      <c r="D187" s="60">
        <v>5472.82</v>
      </c>
      <c r="E187" s="60">
        <v>6720.82</v>
      </c>
      <c r="F187" s="60">
        <v>0</v>
      </c>
      <c r="G187" s="63">
        <v>6720.82</v>
      </c>
      <c r="I187" s="99"/>
    </row>
    <row r="188" spans="1:10" x14ac:dyDescent="0.3">
      <c r="A188" s="56">
        <v>21</v>
      </c>
      <c r="B188" s="65" t="s">
        <v>2977</v>
      </c>
      <c r="C188" s="60">
        <v>21512</v>
      </c>
      <c r="D188" s="60">
        <v>0</v>
      </c>
      <c r="E188" s="60">
        <v>21512</v>
      </c>
      <c r="F188" s="60">
        <v>0</v>
      </c>
      <c r="G188" s="63">
        <v>21512</v>
      </c>
      <c r="H188" s="93"/>
      <c r="I188" s="104"/>
    </row>
    <row r="189" spans="1:10" x14ac:dyDescent="0.3">
      <c r="A189" s="56">
        <v>21</v>
      </c>
      <c r="B189" s="65" t="s">
        <v>2978</v>
      </c>
      <c r="C189" s="60">
        <v>0</v>
      </c>
      <c r="D189" s="60">
        <v>0</v>
      </c>
      <c r="E189" s="60">
        <v>0</v>
      </c>
      <c r="F189" s="60">
        <v>0</v>
      </c>
      <c r="G189" s="63">
        <v>0</v>
      </c>
      <c r="I189" s="99"/>
      <c r="J189" s="101"/>
    </row>
    <row r="190" spans="1:10" x14ac:dyDescent="0.3">
      <c r="A190" s="56">
        <v>21</v>
      </c>
      <c r="B190" s="65" t="s">
        <v>2979</v>
      </c>
      <c r="C190" s="60">
        <v>12112</v>
      </c>
      <c r="D190" s="60">
        <v>14166.999999999998</v>
      </c>
      <c r="E190" s="60">
        <v>26279</v>
      </c>
      <c r="F190" s="60">
        <v>0</v>
      </c>
      <c r="G190" s="63">
        <v>26279</v>
      </c>
      <c r="I190" s="99"/>
    </row>
    <row r="191" spans="1:10" ht="15" thickBot="1" x14ac:dyDescent="0.35">
      <c r="A191" s="56">
        <v>21</v>
      </c>
      <c r="B191" s="105" t="s">
        <v>2980</v>
      </c>
      <c r="C191" s="106">
        <v>177.8</v>
      </c>
      <c r="D191" s="106">
        <v>411.65</v>
      </c>
      <c r="E191" s="106">
        <v>589.45000000000005</v>
      </c>
      <c r="F191" s="106">
        <v>0</v>
      </c>
      <c r="G191" s="107">
        <v>589.45000000000005</v>
      </c>
      <c r="I191" s="99"/>
    </row>
    <row r="192" spans="1:10" ht="15" thickBot="1" x14ac:dyDescent="0.35">
      <c r="B192" s="66" t="s">
        <v>2981</v>
      </c>
      <c r="C192" s="67">
        <v>35049.800000000003</v>
      </c>
      <c r="D192" s="67">
        <v>20051.47</v>
      </c>
      <c r="E192" s="67">
        <v>55101.27</v>
      </c>
      <c r="F192" s="67">
        <v>0</v>
      </c>
      <c r="G192" s="68">
        <v>55101.27</v>
      </c>
      <c r="H192" s="56"/>
      <c r="I192" s="99"/>
    </row>
    <row r="193" spans="1:9" x14ac:dyDescent="0.3">
      <c r="A193" s="56">
        <v>21</v>
      </c>
      <c r="B193" s="65" t="s">
        <v>2982</v>
      </c>
      <c r="C193" s="60">
        <v>2104</v>
      </c>
      <c r="D193" s="60">
        <v>0</v>
      </c>
      <c r="E193" s="60">
        <v>2104</v>
      </c>
      <c r="F193" s="60">
        <v>0</v>
      </c>
      <c r="G193" s="63">
        <v>2104</v>
      </c>
      <c r="I193" s="99"/>
    </row>
    <row r="194" spans="1:9" x14ac:dyDescent="0.3">
      <c r="A194" s="56">
        <v>21</v>
      </c>
      <c r="B194" s="65" t="s">
        <v>2983</v>
      </c>
      <c r="C194" s="60">
        <v>0</v>
      </c>
      <c r="D194" s="60">
        <v>0</v>
      </c>
      <c r="E194" s="60">
        <v>0</v>
      </c>
      <c r="F194" s="60">
        <v>0</v>
      </c>
      <c r="G194" s="63">
        <v>0</v>
      </c>
      <c r="I194" s="99"/>
    </row>
    <row r="195" spans="1:9" x14ac:dyDescent="0.3">
      <c r="A195" s="56">
        <v>21</v>
      </c>
      <c r="B195" s="65" t="s">
        <v>2984</v>
      </c>
      <c r="C195" s="60">
        <v>0</v>
      </c>
      <c r="D195" s="60">
        <v>0</v>
      </c>
      <c r="E195" s="60">
        <v>0</v>
      </c>
      <c r="F195" s="60">
        <v>0</v>
      </c>
      <c r="G195" s="63">
        <v>0</v>
      </c>
      <c r="I195" s="99"/>
    </row>
    <row r="196" spans="1:9" x14ac:dyDescent="0.3">
      <c r="A196" s="56">
        <v>21</v>
      </c>
      <c r="B196" s="65" t="s">
        <v>2985</v>
      </c>
      <c r="C196" s="60">
        <v>0</v>
      </c>
      <c r="D196" s="60">
        <v>0</v>
      </c>
      <c r="E196" s="60">
        <v>0</v>
      </c>
      <c r="F196" s="60">
        <v>0</v>
      </c>
      <c r="G196" s="63">
        <v>0</v>
      </c>
      <c r="I196" s="99"/>
    </row>
    <row r="197" spans="1:9" x14ac:dyDescent="0.3">
      <c r="A197" s="56">
        <v>21</v>
      </c>
      <c r="B197" s="65" t="s">
        <v>2986</v>
      </c>
      <c r="C197" s="60">
        <v>0</v>
      </c>
      <c r="D197" s="60">
        <v>0</v>
      </c>
      <c r="E197" s="60">
        <v>0</v>
      </c>
      <c r="F197" s="60">
        <v>0</v>
      </c>
      <c r="G197" s="63">
        <v>0</v>
      </c>
      <c r="I197" s="99"/>
    </row>
    <row r="198" spans="1:9" ht="15" thickBot="1" x14ac:dyDescent="0.35">
      <c r="A198" s="56">
        <v>21</v>
      </c>
      <c r="B198" s="65" t="s">
        <v>2987</v>
      </c>
      <c r="C198" s="60">
        <v>455</v>
      </c>
      <c r="D198" s="60">
        <v>0</v>
      </c>
      <c r="E198" s="60">
        <v>455</v>
      </c>
      <c r="F198" s="60">
        <v>0</v>
      </c>
      <c r="G198" s="63">
        <v>455</v>
      </c>
      <c r="I198" s="99"/>
    </row>
    <row r="199" spans="1:9" ht="15" thickBot="1" x14ac:dyDescent="0.35">
      <c r="B199" s="66" t="s">
        <v>2988</v>
      </c>
      <c r="C199" s="67">
        <v>2559</v>
      </c>
      <c r="D199" s="67">
        <v>0</v>
      </c>
      <c r="E199" s="67">
        <v>2559</v>
      </c>
      <c r="F199" s="67">
        <v>0</v>
      </c>
      <c r="G199" s="68">
        <v>2559</v>
      </c>
      <c r="I199" s="99"/>
    </row>
    <row r="200" spans="1:9" x14ac:dyDescent="0.3">
      <c r="A200" s="56">
        <v>42</v>
      </c>
      <c r="B200" s="65" t="s">
        <v>2989</v>
      </c>
      <c r="C200" s="60">
        <v>0</v>
      </c>
      <c r="D200" s="60">
        <v>0</v>
      </c>
      <c r="E200" s="60">
        <v>0</v>
      </c>
      <c r="F200" s="60">
        <v>0</v>
      </c>
      <c r="G200" s="63">
        <v>0</v>
      </c>
      <c r="I200" s="99"/>
    </row>
    <row r="201" spans="1:9" x14ac:dyDescent="0.3">
      <c r="A201" s="56">
        <v>42</v>
      </c>
      <c r="B201" s="65" t="s">
        <v>2990</v>
      </c>
      <c r="C201" s="60">
        <v>0</v>
      </c>
      <c r="D201" s="60">
        <v>0</v>
      </c>
      <c r="E201" s="60">
        <v>0</v>
      </c>
      <c r="F201" s="60">
        <v>0</v>
      </c>
      <c r="G201" s="63">
        <v>0</v>
      </c>
      <c r="I201" s="99"/>
    </row>
    <row r="202" spans="1:9" x14ac:dyDescent="0.3">
      <c r="A202" s="56">
        <v>42</v>
      </c>
      <c r="B202" s="65" t="s">
        <v>2991</v>
      </c>
      <c r="C202" s="60">
        <v>0</v>
      </c>
      <c r="D202" s="60">
        <v>0</v>
      </c>
      <c r="E202" s="60">
        <v>0</v>
      </c>
      <c r="F202" s="60">
        <v>0</v>
      </c>
      <c r="G202" s="63">
        <v>0</v>
      </c>
      <c r="I202" s="99"/>
    </row>
    <row r="203" spans="1:9" x14ac:dyDescent="0.3">
      <c r="A203" s="56">
        <v>42</v>
      </c>
      <c r="B203" s="65" t="s">
        <v>2992</v>
      </c>
      <c r="C203" s="60">
        <v>0</v>
      </c>
      <c r="D203" s="60">
        <v>0</v>
      </c>
      <c r="E203" s="60">
        <v>0</v>
      </c>
      <c r="F203" s="60">
        <v>0</v>
      </c>
      <c r="G203" s="63">
        <v>0</v>
      </c>
      <c r="I203" s="99"/>
    </row>
    <row r="204" spans="1:9" x14ac:dyDescent="0.3">
      <c r="A204" s="56">
        <v>42</v>
      </c>
      <c r="B204" s="65" t="s">
        <v>2993</v>
      </c>
      <c r="C204" s="60">
        <v>0</v>
      </c>
      <c r="D204" s="60">
        <v>0</v>
      </c>
      <c r="E204" s="60">
        <v>0</v>
      </c>
      <c r="F204" s="60">
        <v>0</v>
      </c>
      <c r="G204" s="63">
        <v>0</v>
      </c>
      <c r="I204" s="99"/>
    </row>
    <row r="205" spans="1:9" ht="15" thickBot="1" x14ac:dyDescent="0.35">
      <c r="A205" s="56">
        <v>42</v>
      </c>
      <c r="B205" s="65" t="s">
        <v>2994</v>
      </c>
      <c r="C205" s="60">
        <v>0</v>
      </c>
      <c r="D205" s="60">
        <v>0</v>
      </c>
      <c r="E205" s="60">
        <v>0</v>
      </c>
      <c r="F205" s="60">
        <v>0</v>
      </c>
      <c r="G205" s="63">
        <v>0</v>
      </c>
      <c r="I205" s="99"/>
    </row>
    <row r="206" spans="1:9" ht="15" thickBot="1" x14ac:dyDescent="0.35">
      <c r="B206" s="66" t="s">
        <v>2995</v>
      </c>
      <c r="C206" s="67">
        <v>0</v>
      </c>
      <c r="D206" s="67">
        <v>0</v>
      </c>
      <c r="E206" s="67">
        <v>0</v>
      </c>
      <c r="F206" s="67">
        <v>0</v>
      </c>
      <c r="G206" s="68">
        <v>0</v>
      </c>
      <c r="I206" s="99"/>
    </row>
    <row r="207" spans="1:9" x14ac:dyDescent="0.3">
      <c r="A207" s="56">
        <v>21</v>
      </c>
      <c r="B207" s="65" t="s">
        <v>2996</v>
      </c>
      <c r="C207" s="60">
        <v>516.46</v>
      </c>
      <c r="D207" s="60">
        <v>1652.6999999999998</v>
      </c>
      <c r="E207" s="60">
        <v>2169.16</v>
      </c>
      <c r="F207" s="60">
        <v>0</v>
      </c>
      <c r="G207" s="63">
        <v>2169.16</v>
      </c>
      <c r="I207" s="99"/>
    </row>
    <row r="208" spans="1:9" x14ac:dyDescent="0.3">
      <c r="A208" s="56">
        <v>21</v>
      </c>
      <c r="B208" s="65" t="s">
        <v>2997</v>
      </c>
      <c r="C208" s="60">
        <v>0</v>
      </c>
      <c r="D208" s="60">
        <v>0</v>
      </c>
      <c r="E208" s="60">
        <v>0</v>
      </c>
      <c r="F208" s="60">
        <v>0</v>
      </c>
      <c r="G208" s="63">
        <v>0</v>
      </c>
      <c r="I208" s="99"/>
    </row>
    <row r="209" spans="1:9" x14ac:dyDescent="0.3">
      <c r="A209" s="56">
        <v>21</v>
      </c>
      <c r="B209" s="65" t="s">
        <v>2998</v>
      </c>
      <c r="C209" s="60">
        <v>0</v>
      </c>
      <c r="D209" s="60">
        <v>0</v>
      </c>
      <c r="E209" s="60">
        <v>0</v>
      </c>
      <c r="F209" s="60">
        <v>0</v>
      </c>
      <c r="G209" s="63">
        <v>0</v>
      </c>
      <c r="I209" s="99"/>
    </row>
    <row r="210" spans="1:9" x14ac:dyDescent="0.3">
      <c r="A210" s="56">
        <v>21</v>
      </c>
      <c r="B210" s="65" t="s">
        <v>2999</v>
      </c>
      <c r="C210" s="60">
        <v>0</v>
      </c>
      <c r="D210" s="60">
        <v>0</v>
      </c>
      <c r="E210" s="60">
        <v>0</v>
      </c>
      <c r="F210" s="60">
        <v>0</v>
      </c>
      <c r="G210" s="63">
        <v>0</v>
      </c>
      <c r="I210" s="99"/>
    </row>
    <row r="211" spans="1:9" x14ac:dyDescent="0.3">
      <c r="A211" s="56">
        <v>21</v>
      </c>
      <c r="B211" s="65" t="s">
        <v>3000</v>
      </c>
      <c r="C211" s="60">
        <v>0</v>
      </c>
      <c r="D211" s="60">
        <v>156</v>
      </c>
      <c r="E211" s="60">
        <v>156</v>
      </c>
      <c r="F211" s="60">
        <v>0</v>
      </c>
      <c r="G211" s="63">
        <v>156</v>
      </c>
      <c r="I211" s="99"/>
    </row>
    <row r="212" spans="1:9" x14ac:dyDescent="0.3">
      <c r="A212" s="56">
        <v>21</v>
      </c>
      <c r="B212" s="65" t="s">
        <v>3001</v>
      </c>
      <c r="C212" s="60">
        <v>808.51</v>
      </c>
      <c r="D212" s="60">
        <v>0</v>
      </c>
      <c r="E212" s="60">
        <v>808.51</v>
      </c>
      <c r="F212" s="60">
        <v>0</v>
      </c>
      <c r="G212" s="63">
        <v>808.51</v>
      </c>
      <c r="I212" s="99"/>
    </row>
    <row r="213" spans="1:9" x14ac:dyDescent="0.3">
      <c r="A213" s="56">
        <v>21</v>
      </c>
      <c r="B213" s="65" t="s">
        <v>3002</v>
      </c>
      <c r="C213" s="60">
        <v>0</v>
      </c>
      <c r="D213" s="60">
        <v>0</v>
      </c>
      <c r="E213" s="60">
        <v>0</v>
      </c>
      <c r="F213" s="60">
        <v>0</v>
      </c>
      <c r="G213" s="63">
        <v>0</v>
      </c>
      <c r="I213" s="99"/>
    </row>
    <row r="214" spans="1:9" x14ac:dyDescent="0.3">
      <c r="A214" s="56">
        <v>21</v>
      </c>
      <c r="B214" s="65" t="s">
        <v>3003</v>
      </c>
      <c r="C214" s="60">
        <v>0</v>
      </c>
      <c r="D214" s="60">
        <v>0</v>
      </c>
      <c r="E214" s="60">
        <v>0</v>
      </c>
      <c r="F214" s="60">
        <v>0</v>
      </c>
      <c r="G214" s="63">
        <v>0</v>
      </c>
      <c r="I214" s="99"/>
    </row>
    <row r="215" spans="1:9" x14ac:dyDescent="0.3">
      <c r="A215" s="56">
        <v>42</v>
      </c>
      <c r="B215" s="65" t="s">
        <v>3004</v>
      </c>
      <c r="C215" s="60">
        <v>0</v>
      </c>
      <c r="D215" s="60">
        <v>0</v>
      </c>
      <c r="E215" s="60">
        <v>0</v>
      </c>
      <c r="F215" s="60">
        <v>0</v>
      </c>
      <c r="G215" s="63">
        <v>0</v>
      </c>
      <c r="I215" s="99"/>
    </row>
    <row r="216" spans="1:9" x14ac:dyDescent="0.3">
      <c r="A216" s="56">
        <v>42</v>
      </c>
      <c r="B216" s="65" t="s">
        <v>3005</v>
      </c>
      <c r="C216" s="60">
        <v>0</v>
      </c>
      <c r="D216" s="60">
        <v>0</v>
      </c>
      <c r="E216" s="60">
        <v>0</v>
      </c>
      <c r="F216" s="60">
        <v>0</v>
      </c>
      <c r="G216" s="63">
        <v>0</v>
      </c>
      <c r="I216" s="99"/>
    </row>
    <row r="217" spans="1:9" x14ac:dyDescent="0.3">
      <c r="A217" s="56">
        <v>21</v>
      </c>
      <c r="B217" s="65" t="s">
        <v>3006</v>
      </c>
      <c r="C217" s="60">
        <v>0</v>
      </c>
      <c r="D217" s="60">
        <v>0</v>
      </c>
      <c r="E217" s="60">
        <v>0</v>
      </c>
      <c r="F217" s="60">
        <v>0</v>
      </c>
      <c r="G217" s="63">
        <v>0</v>
      </c>
      <c r="I217" s="99"/>
    </row>
    <row r="218" spans="1:9" x14ac:dyDescent="0.3">
      <c r="A218" s="56">
        <v>21</v>
      </c>
      <c r="B218" s="65" t="s">
        <v>3007</v>
      </c>
      <c r="C218" s="60">
        <v>466.75</v>
      </c>
      <c r="D218" s="60">
        <v>2514.96</v>
      </c>
      <c r="E218" s="60">
        <v>2981.71</v>
      </c>
      <c r="F218" s="60">
        <v>0</v>
      </c>
      <c r="G218" s="63">
        <v>2981.71</v>
      </c>
      <c r="I218" s="99"/>
    </row>
    <row r="219" spans="1:9" ht="15" thickBot="1" x14ac:dyDescent="0.35">
      <c r="A219" s="56">
        <v>21</v>
      </c>
      <c r="B219" s="65" t="s">
        <v>3008</v>
      </c>
      <c r="C219" s="60">
        <v>0</v>
      </c>
      <c r="D219" s="60">
        <v>300</v>
      </c>
      <c r="E219" s="60">
        <v>300</v>
      </c>
      <c r="F219" s="60">
        <v>0</v>
      </c>
      <c r="G219" s="63">
        <v>300</v>
      </c>
      <c r="I219" s="99"/>
    </row>
    <row r="220" spans="1:9" ht="15" thickBot="1" x14ac:dyDescent="0.35">
      <c r="B220" s="66" t="s">
        <v>3009</v>
      </c>
      <c r="C220" s="67">
        <v>1791.72</v>
      </c>
      <c r="D220" s="67">
        <v>4623.66</v>
      </c>
      <c r="E220" s="67">
        <v>6415.38</v>
      </c>
      <c r="F220" s="67">
        <v>0</v>
      </c>
      <c r="G220" s="68">
        <v>6415.38</v>
      </c>
      <c r="I220" s="99"/>
    </row>
    <row r="221" spans="1:9" ht="15" thickBot="1" x14ac:dyDescent="0.35">
      <c r="B221" s="66" t="s">
        <v>3010</v>
      </c>
      <c r="C221" s="67">
        <v>39400.520000000004</v>
      </c>
      <c r="D221" s="67">
        <v>24675.13</v>
      </c>
      <c r="E221" s="67">
        <v>64075.649999999994</v>
      </c>
      <c r="F221" s="67">
        <v>0</v>
      </c>
      <c r="G221" s="68">
        <v>64075.649999999994</v>
      </c>
      <c r="I221" s="99"/>
    </row>
    <row r="222" spans="1:9" x14ac:dyDescent="0.3">
      <c r="B222" s="103" t="s">
        <v>3011</v>
      </c>
      <c r="C222" s="87">
        <v>374866.68000000005</v>
      </c>
      <c r="D222" s="87">
        <v>484550.61999999976</v>
      </c>
      <c r="E222" s="87">
        <v>859417.2999999997</v>
      </c>
      <c r="F222" s="87">
        <v>0</v>
      </c>
      <c r="G222" s="87">
        <v>859417.2999999997</v>
      </c>
      <c r="I222" s="99"/>
    </row>
    <row r="223" spans="1:9" x14ac:dyDescent="0.3">
      <c r="A223" s="56">
        <v>65</v>
      </c>
      <c r="B223" s="65" t="s">
        <v>3012</v>
      </c>
      <c r="C223" s="60">
        <v>0</v>
      </c>
      <c r="D223" s="60">
        <v>0</v>
      </c>
      <c r="E223" s="60">
        <v>0</v>
      </c>
      <c r="F223" s="60">
        <v>0</v>
      </c>
      <c r="G223" s="63">
        <v>0</v>
      </c>
      <c r="I223" s="99"/>
    </row>
    <row r="224" spans="1:9" x14ac:dyDescent="0.3">
      <c r="A224" s="56">
        <v>65</v>
      </c>
      <c r="B224" s="65" t="s">
        <v>3013</v>
      </c>
      <c r="C224" s="60">
        <v>0</v>
      </c>
      <c r="D224" s="60">
        <v>375</v>
      </c>
      <c r="E224" s="60">
        <v>375</v>
      </c>
      <c r="F224" s="60">
        <v>0</v>
      </c>
      <c r="G224" s="63">
        <v>375</v>
      </c>
      <c r="I224" s="99"/>
    </row>
    <row r="225" spans="1:9" x14ac:dyDescent="0.3">
      <c r="A225" s="56">
        <v>65</v>
      </c>
      <c r="B225" s="65" t="s">
        <v>3014</v>
      </c>
      <c r="C225" s="60">
        <v>21215.673333333332</v>
      </c>
      <c r="D225" s="60">
        <v>447019.79116666666</v>
      </c>
      <c r="E225" s="60">
        <v>468235.4645</v>
      </c>
      <c r="F225" s="60">
        <v>0</v>
      </c>
      <c r="G225" s="63">
        <v>468235.4645</v>
      </c>
      <c r="I225" s="99"/>
    </row>
    <row r="226" spans="1:9" x14ac:dyDescent="0.3">
      <c r="A226" s="56">
        <v>65</v>
      </c>
      <c r="B226" s="65" t="s">
        <v>3015</v>
      </c>
      <c r="C226" s="60">
        <v>0</v>
      </c>
      <c r="D226" s="60">
        <v>0</v>
      </c>
      <c r="E226" s="60">
        <v>0</v>
      </c>
      <c r="F226" s="60">
        <v>0</v>
      </c>
      <c r="G226" s="63">
        <v>0</v>
      </c>
      <c r="I226" s="99"/>
    </row>
    <row r="227" spans="1:9" x14ac:dyDescent="0.3">
      <c r="A227" s="56">
        <v>65</v>
      </c>
      <c r="B227" s="65" t="s">
        <v>3016</v>
      </c>
      <c r="C227" s="60">
        <v>0</v>
      </c>
      <c r="D227" s="60">
        <v>0</v>
      </c>
      <c r="E227" s="60">
        <v>0</v>
      </c>
      <c r="F227" s="60">
        <v>0</v>
      </c>
      <c r="G227" s="63">
        <v>0</v>
      </c>
      <c r="I227" s="99"/>
    </row>
    <row r="228" spans="1:9" x14ac:dyDescent="0.3">
      <c r="A228" s="56">
        <v>65</v>
      </c>
      <c r="B228" s="65" t="s">
        <v>3017</v>
      </c>
      <c r="C228" s="60">
        <v>0</v>
      </c>
      <c r="D228" s="60">
        <v>0</v>
      </c>
      <c r="E228" s="60">
        <v>0</v>
      </c>
      <c r="F228" s="60">
        <v>0</v>
      </c>
      <c r="G228" s="63">
        <v>0</v>
      </c>
      <c r="I228" s="99"/>
    </row>
    <row r="229" spans="1:9" x14ac:dyDescent="0.3">
      <c r="A229" s="56">
        <v>65</v>
      </c>
      <c r="B229" s="65" t="s">
        <v>3018</v>
      </c>
      <c r="C229" s="60">
        <v>0</v>
      </c>
      <c r="D229" s="60">
        <v>0</v>
      </c>
      <c r="E229" s="60">
        <v>0</v>
      </c>
      <c r="F229" s="60">
        <v>0</v>
      </c>
      <c r="G229" s="63">
        <v>0</v>
      </c>
      <c r="I229" s="99"/>
    </row>
    <row r="230" spans="1:9" x14ac:dyDescent="0.3">
      <c r="A230" s="56">
        <v>65</v>
      </c>
      <c r="B230" s="65" t="s">
        <v>3019</v>
      </c>
      <c r="C230" s="60">
        <v>0</v>
      </c>
      <c r="D230" s="60">
        <v>0</v>
      </c>
      <c r="E230" s="60">
        <v>0</v>
      </c>
      <c r="F230" s="60">
        <v>0</v>
      </c>
      <c r="G230" s="63">
        <v>0</v>
      </c>
      <c r="I230" s="99"/>
    </row>
    <row r="231" spans="1:9" ht="15" thickBot="1" x14ac:dyDescent="0.35">
      <c r="A231" s="56">
        <v>65</v>
      </c>
      <c r="B231" s="65" t="s">
        <v>3020</v>
      </c>
      <c r="C231" s="60">
        <v>0</v>
      </c>
      <c r="D231" s="60">
        <v>0</v>
      </c>
      <c r="E231" s="60">
        <v>0</v>
      </c>
      <c r="F231" s="60">
        <v>0</v>
      </c>
      <c r="G231" s="63">
        <v>0</v>
      </c>
      <c r="I231" s="99"/>
    </row>
    <row r="232" spans="1:9" ht="15" thickBot="1" x14ac:dyDescent="0.35">
      <c r="B232" s="66" t="s">
        <v>3021</v>
      </c>
      <c r="C232" s="67">
        <v>21215.673333333332</v>
      </c>
      <c r="D232" s="67">
        <v>447394.79116666666</v>
      </c>
      <c r="E232" s="67">
        <v>468610.4645</v>
      </c>
      <c r="F232" s="67">
        <v>0</v>
      </c>
      <c r="G232" s="68">
        <v>468610.4645</v>
      </c>
      <c r="I232" s="99"/>
    </row>
    <row r="233" spans="1:9" x14ac:dyDescent="0.3">
      <c r="B233" s="103" t="s">
        <v>3022</v>
      </c>
      <c r="C233" s="87">
        <v>353651.00666666671</v>
      </c>
      <c r="D233" s="87">
        <v>37155.8288333331</v>
      </c>
      <c r="E233" s="87">
        <v>390806.8354999997</v>
      </c>
      <c r="F233" s="87">
        <v>0</v>
      </c>
      <c r="G233" s="87">
        <v>390806.8354999997</v>
      </c>
      <c r="I233" s="99"/>
    </row>
    <row r="234" spans="1:9" x14ac:dyDescent="0.3">
      <c r="B234" s="65" t="s">
        <v>3023</v>
      </c>
      <c r="C234" s="60">
        <v>0</v>
      </c>
      <c r="D234" s="60">
        <v>0</v>
      </c>
      <c r="E234" s="60">
        <v>0</v>
      </c>
      <c r="F234" s="60">
        <v>0</v>
      </c>
      <c r="G234" s="63">
        <v>0</v>
      </c>
      <c r="I234" s="99"/>
    </row>
    <row r="235" spans="1:9" x14ac:dyDescent="0.3">
      <c r="B235" s="65" t="s">
        <v>3024</v>
      </c>
      <c r="C235" s="60">
        <v>-3999.46</v>
      </c>
      <c r="D235" s="60">
        <v>0</v>
      </c>
      <c r="E235" s="60">
        <v>-3999.46</v>
      </c>
      <c r="F235" s="60">
        <v>0</v>
      </c>
      <c r="G235" s="63">
        <v>-3999.46</v>
      </c>
      <c r="I235" s="99"/>
    </row>
    <row r="236" spans="1:9" ht="15" thickBot="1" x14ac:dyDescent="0.35">
      <c r="B236" s="65" t="s">
        <v>3025</v>
      </c>
      <c r="C236" s="60">
        <v>-197.38</v>
      </c>
      <c r="D236" s="60">
        <v>0</v>
      </c>
      <c r="E236" s="60">
        <v>-197.38</v>
      </c>
      <c r="F236" s="60">
        <v>0</v>
      </c>
      <c r="G236" s="63">
        <v>-197.38</v>
      </c>
      <c r="I236" s="99"/>
    </row>
    <row r="237" spans="1:9" ht="15" thickBot="1" x14ac:dyDescent="0.35">
      <c r="A237" s="56">
        <v>72</v>
      </c>
      <c r="B237" s="66" t="s">
        <v>3026</v>
      </c>
      <c r="C237" s="67">
        <v>-4196.84</v>
      </c>
      <c r="D237" s="67">
        <v>0</v>
      </c>
      <c r="E237" s="67">
        <v>-4196.84</v>
      </c>
      <c r="F237" s="67">
        <v>0</v>
      </c>
      <c r="G237" s="68">
        <v>-4196.84</v>
      </c>
      <c r="I237" s="99"/>
    </row>
    <row r="238" spans="1:9" x14ac:dyDescent="0.3">
      <c r="B238" s="108" t="s">
        <v>3027</v>
      </c>
      <c r="C238" s="63">
        <v>0</v>
      </c>
      <c r="D238" s="63">
        <v>120121.97999999998</v>
      </c>
      <c r="E238" s="63">
        <v>120121.97999999998</v>
      </c>
      <c r="F238" s="63">
        <v>0</v>
      </c>
      <c r="G238" s="63">
        <v>120121.97999999998</v>
      </c>
      <c r="I238" s="99"/>
    </row>
    <row r="239" spans="1:9" x14ac:dyDescent="0.3">
      <c r="B239" s="65" t="s">
        <v>3028</v>
      </c>
      <c r="C239" s="60">
        <v>0</v>
      </c>
      <c r="D239" s="60">
        <v>16376.5</v>
      </c>
      <c r="E239" s="60">
        <v>16376.5</v>
      </c>
      <c r="F239" s="60">
        <v>0</v>
      </c>
      <c r="G239" s="63">
        <v>16376.5</v>
      </c>
      <c r="I239" s="99"/>
    </row>
    <row r="240" spans="1:9" ht="15" thickBot="1" x14ac:dyDescent="0.35">
      <c r="B240" s="65" t="s">
        <v>3029</v>
      </c>
      <c r="C240" s="60">
        <v>0</v>
      </c>
      <c r="D240" s="60">
        <v>0</v>
      </c>
      <c r="E240" s="60">
        <v>0</v>
      </c>
      <c r="F240" s="60">
        <v>0</v>
      </c>
      <c r="G240" s="63">
        <v>0</v>
      </c>
      <c r="I240" s="99"/>
    </row>
    <row r="241" spans="1:9" ht="15" thickBot="1" x14ac:dyDescent="0.35">
      <c r="A241" s="56">
        <v>71</v>
      </c>
      <c r="B241" s="66" t="s">
        <v>3030</v>
      </c>
      <c r="C241" s="67">
        <v>0</v>
      </c>
      <c r="D241" s="67">
        <v>136498.47999999998</v>
      </c>
      <c r="E241" s="67">
        <v>136498.47999999998</v>
      </c>
      <c r="F241" s="67">
        <v>0</v>
      </c>
      <c r="G241" s="68">
        <v>136498.47999999998</v>
      </c>
      <c r="I241" s="99"/>
    </row>
    <row r="242" spans="1:9" ht="15" thickBot="1" x14ac:dyDescent="0.35">
      <c r="B242" s="66" t="s">
        <v>3031</v>
      </c>
      <c r="C242" s="67">
        <v>-4196.84</v>
      </c>
      <c r="D242" s="67">
        <v>-136498.47999999998</v>
      </c>
      <c r="E242" s="67">
        <v>-140695.31999999998</v>
      </c>
      <c r="F242" s="67">
        <v>0</v>
      </c>
      <c r="G242" s="68">
        <v>-140695.31999999998</v>
      </c>
      <c r="I242" s="99"/>
    </row>
    <row r="243" spans="1:9" x14ac:dyDescent="0.3">
      <c r="B243" s="65" t="s">
        <v>3032</v>
      </c>
      <c r="C243" s="60">
        <v>0</v>
      </c>
      <c r="D243" s="60">
        <v>1810.96</v>
      </c>
      <c r="E243" s="60">
        <v>1810.96</v>
      </c>
      <c r="F243" s="60">
        <v>0</v>
      </c>
      <c r="G243" s="63">
        <v>1810.96</v>
      </c>
      <c r="I243" s="99"/>
    </row>
    <row r="244" spans="1:9" ht="15" thickBot="1" x14ac:dyDescent="0.35">
      <c r="B244" s="65" t="s">
        <v>3033</v>
      </c>
      <c r="C244" s="60">
        <v>0</v>
      </c>
      <c r="D244" s="60">
        <v>0</v>
      </c>
      <c r="E244" s="60">
        <v>0</v>
      </c>
      <c r="F244" s="60">
        <v>0</v>
      </c>
      <c r="G244" s="63">
        <v>0</v>
      </c>
      <c r="I244" s="99"/>
    </row>
    <row r="245" spans="1:9" ht="15" thickBot="1" x14ac:dyDescent="0.35">
      <c r="A245" s="56">
        <v>72</v>
      </c>
      <c r="B245" s="66" t="s">
        <v>3034</v>
      </c>
      <c r="C245" s="67">
        <v>0</v>
      </c>
      <c r="D245" s="67">
        <v>1810.96</v>
      </c>
      <c r="E245" s="67">
        <v>1810.96</v>
      </c>
      <c r="F245" s="67">
        <v>0</v>
      </c>
      <c r="G245" s="68">
        <v>1810.96</v>
      </c>
      <c r="I245" s="99"/>
    </row>
    <row r="246" spans="1:9" x14ac:dyDescent="0.3">
      <c r="B246" s="103" t="s">
        <v>3035</v>
      </c>
      <c r="C246" s="87">
        <v>349454.16666666669</v>
      </c>
      <c r="D246" s="87">
        <v>-97531.691166666875</v>
      </c>
      <c r="E246" s="87">
        <v>251922.47549999971</v>
      </c>
      <c r="F246" s="87">
        <v>0</v>
      </c>
      <c r="G246" s="87">
        <v>251922.47549999971</v>
      </c>
      <c r="I246" s="99"/>
    </row>
    <row r="247" spans="1:9" x14ac:dyDescent="0.3">
      <c r="A247" s="56">
        <v>73</v>
      </c>
      <c r="B247" s="65" t="s">
        <v>3036</v>
      </c>
      <c r="C247" s="60">
        <v>84063</v>
      </c>
      <c r="D247" s="60">
        <v>105802.09708000004</v>
      </c>
      <c r="E247" s="60">
        <v>-21739.097080000036</v>
      </c>
      <c r="F247" s="60">
        <v>0</v>
      </c>
      <c r="G247" s="63">
        <v>-21739.097080000036</v>
      </c>
      <c r="I247" s="99"/>
    </row>
    <row r="248" spans="1:9" x14ac:dyDescent="0.3">
      <c r="A248" s="56">
        <v>73</v>
      </c>
      <c r="B248" s="65" t="s">
        <v>3037</v>
      </c>
      <c r="C248" s="60">
        <v>13824</v>
      </c>
      <c r="D248" s="60">
        <v>-3852.7363744999971</v>
      </c>
      <c r="E248" s="60">
        <v>17676.736374499997</v>
      </c>
      <c r="F248" s="60">
        <v>0</v>
      </c>
      <c r="G248" s="63">
        <v>17676.736374499997</v>
      </c>
      <c r="I248" s="99"/>
    </row>
    <row r="249" spans="1:9" x14ac:dyDescent="0.3">
      <c r="B249" s="103" t="s">
        <v>3038</v>
      </c>
      <c r="C249" s="87">
        <v>251567.16666666669</v>
      </c>
      <c r="D249" s="109">
        <v>4417.6695388331646</v>
      </c>
      <c r="E249" s="87">
        <v>255984.83620549974</v>
      </c>
      <c r="F249" s="87">
        <v>0</v>
      </c>
      <c r="G249" s="87">
        <v>255984.83620549974</v>
      </c>
      <c r="H249" s="64"/>
      <c r="I249" s="99"/>
    </row>
    <row r="250" spans="1:9" x14ac:dyDescent="0.3">
      <c r="B250" s="62"/>
      <c r="G250" s="60"/>
      <c r="I250" s="99"/>
    </row>
    <row r="251" spans="1:9" x14ac:dyDescent="0.3">
      <c r="B251" s="110" t="s">
        <v>3039</v>
      </c>
      <c r="C251" s="60">
        <v>0</v>
      </c>
      <c r="D251" s="60">
        <v>9.4587448984384537E-11</v>
      </c>
      <c r="E251" s="60">
        <v>0</v>
      </c>
      <c r="F251" s="60">
        <v>0</v>
      </c>
      <c r="G251" s="60">
        <v>0</v>
      </c>
      <c r="I251" s="99"/>
    </row>
    <row r="252" spans="1:9" x14ac:dyDescent="0.3">
      <c r="B252" s="56"/>
      <c r="C252" s="77"/>
      <c r="D252" s="77"/>
      <c r="E252" s="77"/>
      <c r="F252" s="77"/>
      <c r="G252" s="77"/>
      <c r="I252" s="99"/>
    </row>
    <row r="253" spans="1:9" ht="15" thickBot="1" x14ac:dyDescent="0.35">
      <c r="B253" s="86" t="s">
        <v>3040</v>
      </c>
      <c r="C253" s="87"/>
      <c r="G253" s="77"/>
      <c r="I253" s="99"/>
    </row>
    <row r="254" spans="1:9" ht="15" thickBot="1" x14ac:dyDescent="0.35">
      <c r="B254" s="66" t="s">
        <v>3041</v>
      </c>
      <c r="C254" s="77"/>
      <c r="I254" s="99"/>
    </row>
    <row r="255" spans="1:9" ht="15" thickBot="1" x14ac:dyDescent="0.35">
      <c r="B255" s="66" t="s">
        <v>3035</v>
      </c>
      <c r="C255" s="67">
        <v>349454.16666666669</v>
      </c>
      <c r="I255" s="99"/>
    </row>
    <row r="256" spans="1:9" x14ac:dyDescent="0.3">
      <c r="B256" s="111" t="s">
        <v>3042</v>
      </c>
      <c r="I256" s="99"/>
    </row>
    <row r="257" spans="2:9" x14ac:dyDescent="0.3">
      <c r="B257" s="112" t="s">
        <v>2968</v>
      </c>
      <c r="C257" s="72">
        <v>0</v>
      </c>
      <c r="I257" s="99"/>
    </row>
    <row r="258" spans="2:9" x14ac:dyDescent="0.3">
      <c r="B258" s="113" t="s">
        <v>2971</v>
      </c>
      <c r="C258" s="72">
        <v>0</v>
      </c>
      <c r="I258" s="99"/>
    </row>
    <row r="259" spans="2:9" x14ac:dyDescent="0.3">
      <c r="B259" s="114" t="s">
        <v>3043</v>
      </c>
      <c r="C259" s="60">
        <v>0</v>
      </c>
      <c r="I259" s="99"/>
    </row>
    <row r="260" spans="2:9" x14ac:dyDescent="0.3">
      <c r="B260" s="112" t="s">
        <v>3006</v>
      </c>
      <c r="C260" s="72">
        <v>808.51</v>
      </c>
      <c r="I260" s="99"/>
    </row>
    <row r="261" spans="2:9" x14ac:dyDescent="0.3">
      <c r="B261" s="112" t="s">
        <v>3033</v>
      </c>
      <c r="C261" s="72">
        <v>0</v>
      </c>
      <c r="I261" s="99"/>
    </row>
    <row r="262" spans="2:9" ht="15" thickBot="1" x14ac:dyDescent="0.35">
      <c r="B262" s="112" t="s">
        <v>3018</v>
      </c>
      <c r="C262" s="72">
        <v>0</v>
      </c>
      <c r="I262" s="99"/>
    </row>
    <row r="263" spans="2:9" ht="15" thickBot="1" x14ac:dyDescent="0.35">
      <c r="B263" s="66" t="s">
        <v>3044</v>
      </c>
      <c r="C263" s="67">
        <v>808.51</v>
      </c>
      <c r="I263" s="99"/>
    </row>
    <row r="264" spans="2:9" x14ac:dyDescent="0.3">
      <c r="B264" s="111" t="s">
        <v>3045</v>
      </c>
      <c r="I264" s="99"/>
    </row>
    <row r="265" spans="2:9" x14ac:dyDescent="0.3">
      <c r="B265" s="113" t="s">
        <v>2971</v>
      </c>
      <c r="C265" s="72">
        <v>0</v>
      </c>
      <c r="I265" s="99"/>
    </row>
    <row r="266" spans="2:9" x14ac:dyDescent="0.3">
      <c r="B266" s="114" t="s">
        <v>3046</v>
      </c>
      <c r="C266" s="115">
        <v>0</v>
      </c>
      <c r="I266" s="99"/>
    </row>
    <row r="267" spans="2:9" x14ac:dyDescent="0.3">
      <c r="B267" s="114" t="s">
        <v>3047</v>
      </c>
      <c r="C267" s="115">
        <v>0</v>
      </c>
      <c r="I267" s="99"/>
    </row>
    <row r="268" spans="2:9" x14ac:dyDescent="0.3">
      <c r="B268" s="116" t="s">
        <v>3048</v>
      </c>
      <c r="C268" s="117">
        <v>0</v>
      </c>
      <c r="I268" s="99"/>
    </row>
    <row r="269" spans="2:9" ht="15" thickBot="1" x14ac:dyDescent="0.35">
      <c r="B269" s="118" t="s">
        <v>3049</v>
      </c>
      <c r="C269" s="72">
        <v>0</v>
      </c>
      <c r="I269" s="99"/>
    </row>
    <row r="270" spans="2:9" ht="15" thickBot="1" x14ac:dyDescent="0.35">
      <c r="B270" s="66" t="s">
        <v>3050</v>
      </c>
      <c r="C270" s="67">
        <v>0</v>
      </c>
      <c r="I270" s="99"/>
    </row>
    <row r="271" spans="2:9" ht="15" thickBot="1" x14ac:dyDescent="0.35">
      <c r="B271" s="66" t="s">
        <v>3051</v>
      </c>
      <c r="C271" s="67">
        <v>350262.6766666667</v>
      </c>
    </row>
    <row r="272" spans="2:9" ht="15" thickBot="1" x14ac:dyDescent="0.35">
      <c r="B272" s="119" t="s">
        <v>3041</v>
      </c>
      <c r="C272" s="120">
        <v>84063</v>
      </c>
    </row>
    <row r="273" spans="2:12" ht="15" thickBot="1" x14ac:dyDescent="0.35">
      <c r="B273" s="121" t="s">
        <v>3052</v>
      </c>
    </row>
    <row r="274" spans="2:12" ht="15" thickBot="1" x14ac:dyDescent="0.35">
      <c r="B274" s="66" t="s">
        <v>3053</v>
      </c>
      <c r="C274" s="67">
        <v>353651.00666666671</v>
      </c>
      <c r="E274" s="77"/>
    </row>
    <row r="275" spans="2:12" x14ac:dyDescent="0.3">
      <c r="B275" s="111" t="s">
        <v>3054</v>
      </c>
    </row>
    <row r="276" spans="2:12" x14ac:dyDescent="0.3">
      <c r="B276" s="122" t="s">
        <v>2995</v>
      </c>
      <c r="C276" s="72">
        <v>0</v>
      </c>
    </row>
    <row r="277" spans="2:12" x14ac:dyDescent="0.3">
      <c r="B277" s="122" t="s">
        <v>3018</v>
      </c>
      <c r="C277" s="72">
        <v>0</v>
      </c>
    </row>
    <row r="278" spans="2:12" s="60" customFormat="1" x14ac:dyDescent="0.3">
      <c r="B278" s="114" t="s">
        <v>3055</v>
      </c>
      <c r="C278" s="115">
        <v>0</v>
      </c>
      <c r="G278" s="56"/>
      <c r="H278" s="53"/>
      <c r="I278" s="56"/>
      <c r="J278" s="56"/>
      <c r="K278" s="56"/>
      <c r="L278" s="56"/>
    </row>
    <row r="279" spans="2:12" s="60" customFormat="1" x14ac:dyDescent="0.3">
      <c r="B279" s="116" t="s">
        <v>3048</v>
      </c>
      <c r="C279" s="117">
        <v>0</v>
      </c>
      <c r="G279" s="56"/>
      <c r="H279" s="53"/>
      <c r="I279" s="56"/>
      <c r="J279" s="56"/>
      <c r="K279" s="56"/>
      <c r="L279" s="56"/>
    </row>
    <row r="280" spans="2:12" s="60" customFormat="1" x14ac:dyDescent="0.3">
      <c r="B280" s="113" t="s">
        <v>3056</v>
      </c>
      <c r="C280" s="117">
        <v>0</v>
      </c>
      <c r="G280" s="56"/>
      <c r="H280" s="53"/>
      <c r="I280" s="56"/>
      <c r="J280" s="56"/>
      <c r="K280" s="56"/>
      <c r="L280" s="56"/>
    </row>
    <row r="281" spans="2:12" s="60" customFormat="1" x14ac:dyDescent="0.3">
      <c r="B281" s="113" t="s">
        <v>3057</v>
      </c>
      <c r="C281" s="117">
        <v>0</v>
      </c>
      <c r="G281" s="56"/>
      <c r="H281" s="53"/>
      <c r="I281" s="56"/>
      <c r="J281" s="56"/>
      <c r="K281" s="56"/>
      <c r="L281" s="56"/>
    </row>
    <row r="282" spans="2:12" s="60" customFormat="1" x14ac:dyDescent="0.3">
      <c r="B282" s="116" t="s">
        <v>3058</v>
      </c>
      <c r="C282" s="117">
        <v>0</v>
      </c>
      <c r="G282" s="56"/>
      <c r="H282" s="53"/>
      <c r="I282" s="56"/>
      <c r="J282" s="56"/>
      <c r="K282" s="56"/>
      <c r="L282" s="56"/>
    </row>
    <row r="283" spans="2:12" s="60" customFormat="1" x14ac:dyDescent="0.3">
      <c r="B283" s="112" t="s">
        <v>3006</v>
      </c>
      <c r="C283" s="72">
        <v>808.51</v>
      </c>
      <c r="G283" s="56"/>
      <c r="H283" s="53"/>
      <c r="I283" s="56"/>
      <c r="J283" s="56"/>
      <c r="K283" s="56"/>
      <c r="L283" s="56"/>
    </row>
    <row r="284" spans="2:12" s="60" customFormat="1" x14ac:dyDescent="0.3">
      <c r="B284" s="114" t="s">
        <v>3043</v>
      </c>
      <c r="C284" s="115">
        <v>0</v>
      </c>
      <c r="G284" s="56"/>
      <c r="H284" s="53"/>
      <c r="I284" s="56"/>
      <c r="J284" s="56"/>
      <c r="K284" s="56"/>
      <c r="L284" s="56"/>
    </row>
    <row r="285" spans="2:12" s="60" customFormat="1" ht="15" thickBot="1" x14ac:dyDescent="0.35">
      <c r="B285" s="112" t="s">
        <v>3033</v>
      </c>
      <c r="C285" s="72">
        <v>0</v>
      </c>
      <c r="G285" s="56"/>
      <c r="H285" s="53"/>
      <c r="I285" s="56"/>
      <c r="J285" s="56"/>
      <c r="K285" s="56"/>
      <c r="L285" s="56"/>
    </row>
    <row r="286" spans="2:12" s="60" customFormat="1" ht="15" thickBot="1" x14ac:dyDescent="0.35">
      <c r="B286" s="66" t="s">
        <v>3059</v>
      </c>
      <c r="C286" s="67">
        <v>354459.51666666672</v>
      </c>
      <c r="G286" s="56"/>
      <c r="H286" s="53"/>
      <c r="I286" s="56"/>
      <c r="J286" s="56"/>
      <c r="K286" s="56"/>
      <c r="L286" s="56"/>
    </row>
    <row r="287" spans="2:12" s="60" customFormat="1" x14ac:dyDescent="0.3">
      <c r="B287" s="123" t="s">
        <v>3052</v>
      </c>
      <c r="C287" s="124">
        <v>13824</v>
      </c>
      <c r="G287" s="56"/>
      <c r="H287" s="53"/>
      <c r="I287" s="56"/>
      <c r="J287" s="56"/>
      <c r="K287" s="56"/>
      <c r="L287" s="56"/>
    </row>
    <row r="288" spans="2:12" s="60" customFormat="1" x14ac:dyDescent="0.3">
      <c r="B288" s="123" t="s">
        <v>3060</v>
      </c>
      <c r="C288" s="124">
        <v>13824</v>
      </c>
      <c r="G288" s="56"/>
      <c r="H288" s="53"/>
      <c r="I288" s="56"/>
      <c r="J288" s="56"/>
      <c r="K288" s="56"/>
      <c r="L288" s="56"/>
    </row>
  </sheetData>
  <mergeCells count="2">
    <mergeCell ref="B1:G1"/>
    <mergeCell ref="B148:G14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B685F-3CD1-45F9-8C44-563BE8C97B5D}">
  <dimension ref="A1:P498"/>
  <sheetViews>
    <sheetView showGridLines="0" tabSelected="1" workbookViewId="0"/>
  </sheetViews>
  <sheetFormatPr defaultRowHeight="14.4" x14ac:dyDescent="0.3"/>
  <cols>
    <col min="9" max="9" width="78.33203125" bestFit="1" customWidth="1"/>
    <col min="10" max="10" width="18.88671875" bestFit="1" customWidth="1"/>
    <col min="11" max="11" width="23.5546875" bestFit="1" customWidth="1"/>
    <col min="12" max="12" width="15.44140625" customWidth="1"/>
    <col min="15" max="15" width="14.44140625" bestFit="1" customWidth="1"/>
  </cols>
  <sheetData>
    <row r="1" spans="1:16" x14ac:dyDescent="0.3">
      <c r="J1">
        <v>0</v>
      </c>
      <c r="K1">
        <v>0</v>
      </c>
      <c r="O1">
        <v>0</v>
      </c>
    </row>
    <row r="2" spans="1:16" x14ac:dyDescent="0.3">
      <c r="A2" t="s">
        <v>3062</v>
      </c>
      <c r="B2" t="s">
        <v>3063</v>
      </c>
      <c r="C2" t="s">
        <v>3064</v>
      </c>
      <c r="D2" t="s">
        <v>3065</v>
      </c>
      <c r="E2" t="s">
        <v>3066</v>
      </c>
      <c r="F2" t="s">
        <v>3067</v>
      </c>
      <c r="G2" t="s">
        <v>3068</v>
      </c>
      <c r="H2" t="s">
        <v>3069</v>
      </c>
      <c r="I2" t="s">
        <v>3070</v>
      </c>
      <c r="J2" t="s">
        <v>3071</v>
      </c>
      <c r="K2" t="s">
        <v>3072</v>
      </c>
      <c r="L2" t="s">
        <v>3073</v>
      </c>
      <c r="M2" t="s">
        <v>3074</v>
      </c>
      <c r="O2" t="s">
        <v>3075</v>
      </c>
    </row>
    <row r="3" spans="1:16" x14ac:dyDescent="0.3">
      <c r="A3" t="s">
        <v>2115</v>
      </c>
      <c r="B3" t="s">
        <v>2116</v>
      </c>
      <c r="D3" t="s">
        <v>2117</v>
      </c>
      <c r="E3">
        <v>100201</v>
      </c>
      <c r="F3" t="s">
        <v>2118</v>
      </c>
      <c r="G3" t="s">
        <v>2119</v>
      </c>
      <c r="H3" t="s">
        <v>2120</v>
      </c>
      <c r="I3" t="s">
        <v>2121</v>
      </c>
      <c r="J3">
        <v>4214.29</v>
      </c>
      <c r="K3">
        <v>0</v>
      </c>
      <c r="M3" t="s">
        <v>3076</v>
      </c>
      <c r="O3" s="125">
        <v>4214.29</v>
      </c>
      <c r="P3">
        <v>100201</v>
      </c>
    </row>
    <row r="4" spans="1:16" x14ac:dyDescent="0.3">
      <c r="A4" t="s">
        <v>2115</v>
      </c>
      <c r="B4" t="s">
        <v>2116</v>
      </c>
      <c r="D4" t="s">
        <v>2117</v>
      </c>
      <c r="E4">
        <v>100203</v>
      </c>
      <c r="F4" t="s">
        <v>2122</v>
      </c>
      <c r="G4" t="s">
        <v>2122</v>
      </c>
      <c r="H4" t="s">
        <v>2120</v>
      </c>
      <c r="I4" t="s">
        <v>2123</v>
      </c>
      <c r="J4" s="125">
        <v>4758632.5999999996</v>
      </c>
      <c r="K4" s="126">
        <v>33076</v>
      </c>
      <c r="M4" t="s">
        <v>3076</v>
      </c>
      <c r="O4" s="125">
        <v>4791708.5999999996</v>
      </c>
      <c r="P4">
        <v>100203</v>
      </c>
    </row>
    <row r="5" spans="1:16" x14ac:dyDescent="0.3">
      <c r="A5" t="s">
        <v>2115</v>
      </c>
      <c r="B5" t="s">
        <v>2116</v>
      </c>
      <c r="D5" t="s">
        <v>2117</v>
      </c>
      <c r="E5">
        <v>100205</v>
      </c>
      <c r="F5" t="s">
        <v>2124</v>
      </c>
      <c r="G5" t="s">
        <v>2124</v>
      </c>
      <c r="H5" t="s">
        <v>2120</v>
      </c>
      <c r="I5" t="s">
        <v>2125</v>
      </c>
      <c r="J5" s="125">
        <v>50053944.920000002</v>
      </c>
      <c r="K5">
        <v>0</v>
      </c>
      <c r="M5" t="s">
        <v>3076</v>
      </c>
      <c r="O5" s="125">
        <v>50053944.920000002</v>
      </c>
      <c r="P5">
        <v>100205</v>
      </c>
    </row>
    <row r="6" spans="1:16" x14ac:dyDescent="0.3">
      <c r="A6" t="s">
        <v>2115</v>
      </c>
      <c r="B6" t="s">
        <v>2116</v>
      </c>
      <c r="D6" t="s">
        <v>2117</v>
      </c>
      <c r="E6">
        <v>100207</v>
      </c>
      <c r="F6" t="s">
        <v>2126</v>
      </c>
      <c r="G6" t="s">
        <v>2127</v>
      </c>
      <c r="H6" t="s">
        <v>2120</v>
      </c>
      <c r="I6" t="s">
        <v>2128</v>
      </c>
      <c r="J6" s="125">
        <v>120976572.62</v>
      </c>
      <c r="K6" s="125">
        <v>1044800.95</v>
      </c>
      <c r="M6" t="s">
        <v>3076</v>
      </c>
      <c r="O6" s="125">
        <v>122021373.56999999</v>
      </c>
      <c r="P6">
        <v>100207</v>
      </c>
    </row>
    <row r="7" spans="1:16" x14ac:dyDescent="0.3">
      <c r="A7" t="s">
        <v>2115</v>
      </c>
      <c r="B7" t="s">
        <v>2116</v>
      </c>
      <c r="D7" t="s">
        <v>2117</v>
      </c>
      <c r="E7">
        <v>100209</v>
      </c>
      <c r="F7" t="s">
        <v>2129</v>
      </c>
      <c r="G7" t="s">
        <v>2130</v>
      </c>
      <c r="H7" t="s">
        <v>2120</v>
      </c>
      <c r="I7" t="s">
        <v>2128</v>
      </c>
      <c r="J7" s="125">
        <v>21620273.210000001</v>
      </c>
      <c r="K7">
        <v>0</v>
      </c>
      <c r="M7" t="s">
        <v>3076</v>
      </c>
      <c r="O7" s="125">
        <v>21620273.210000001</v>
      </c>
      <c r="P7">
        <v>100209</v>
      </c>
    </row>
    <row r="8" spans="1:16" x14ac:dyDescent="0.3">
      <c r="A8" t="s">
        <v>2115</v>
      </c>
      <c r="B8" t="s">
        <v>2116</v>
      </c>
      <c r="D8" t="s">
        <v>2117</v>
      </c>
      <c r="E8">
        <v>100211</v>
      </c>
      <c r="F8" t="s">
        <v>2136</v>
      </c>
      <c r="G8" t="s">
        <v>2137</v>
      </c>
      <c r="H8" t="s">
        <v>2120</v>
      </c>
      <c r="I8" t="s">
        <v>2138</v>
      </c>
      <c r="J8">
        <v>0</v>
      </c>
      <c r="K8">
        <v>0</v>
      </c>
      <c r="M8" t="s">
        <v>3077</v>
      </c>
      <c r="O8">
        <v>0</v>
      </c>
      <c r="P8">
        <v>100211</v>
      </c>
    </row>
    <row r="9" spans="1:16" x14ac:dyDescent="0.3">
      <c r="A9" t="s">
        <v>2115</v>
      </c>
      <c r="B9" t="s">
        <v>2116</v>
      </c>
      <c r="D9" t="s">
        <v>2117</v>
      </c>
      <c r="E9">
        <v>100215</v>
      </c>
      <c r="F9" t="s">
        <v>2139</v>
      </c>
      <c r="G9" t="s">
        <v>2140</v>
      </c>
      <c r="H9" t="s">
        <v>2120</v>
      </c>
      <c r="I9" t="s">
        <v>2123</v>
      </c>
      <c r="J9" s="125">
        <v>354977.91</v>
      </c>
      <c r="K9">
        <v>0</v>
      </c>
      <c r="M9" t="s">
        <v>3076</v>
      </c>
      <c r="O9" s="125">
        <v>354977.91</v>
      </c>
      <c r="P9">
        <v>100215</v>
      </c>
    </row>
    <row r="10" spans="1:16" x14ac:dyDescent="0.3">
      <c r="A10" t="s">
        <v>2115</v>
      </c>
      <c r="B10" t="s">
        <v>2116</v>
      </c>
      <c r="D10" t="s">
        <v>2117</v>
      </c>
      <c r="E10">
        <v>100217</v>
      </c>
      <c r="F10" t="s">
        <v>2141</v>
      </c>
      <c r="G10" t="s">
        <v>2142</v>
      </c>
      <c r="H10" t="s">
        <v>2120</v>
      </c>
      <c r="I10" t="s">
        <v>2128</v>
      </c>
      <c r="J10" s="125">
        <v>201871.57</v>
      </c>
      <c r="K10">
        <v>8966.25</v>
      </c>
      <c r="M10" t="s">
        <v>3076</v>
      </c>
      <c r="O10" s="125">
        <v>210837.82</v>
      </c>
      <c r="P10">
        <v>100217</v>
      </c>
    </row>
    <row r="11" spans="1:16" x14ac:dyDescent="0.3">
      <c r="A11" t="s">
        <v>2115</v>
      </c>
      <c r="B11" t="s">
        <v>2116</v>
      </c>
      <c r="D11" t="s">
        <v>2117</v>
      </c>
      <c r="E11">
        <v>100223</v>
      </c>
      <c r="F11" t="s">
        <v>2143</v>
      </c>
      <c r="G11" t="s">
        <v>2119</v>
      </c>
      <c r="H11" t="s">
        <v>2120</v>
      </c>
      <c r="I11" t="s">
        <v>2121</v>
      </c>
      <c r="J11">
        <v>-1496.05</v>
      </c>
      <c r="K11">
        <v>0</v>
      </c>
      <c r="M11" t="s">
        <v>3076</v>
      </c>
      <c r="O11" s="125">
        <v>-1496.05</v>
      </c>
      <c r="P11">
        <v>100223</v>
      </c>
    </row>
    <row r="12" spans="1:16" x14ac:dyDescent="0.3">
      <c r="A12" t="s">
        <v>2115</v>
      </c>
      <c r="B12" t="s">
        <v>2116</v>
      </c>
      <c r="D12" t="s">
        <v>2117</v>
      </c>
      <c r="E12">
        <v>100225</v>
      </c>
      <c r="F12" t="s">
        <v>2144</v>
      </c>
      <c r="G12" t="s">
        <v>2122</v>
      </c>
      <c r="H12" t="s">
        <v>2120</v>
      </c>
      <c r="I12" t="s">
        <v>2123</v>
      </c>
      <c r="J12" s="125">
        <v>-2334868.14</v>
      </c>
      <c r="K12" s="126">
        <v>-33076</v>
      </c>
      <c r="M12" t="s">
        <v>3076</v>
      </c>
      <c r="O12" s="125">
        <v>-2367944.14</v>
      </c>
      <c r="P12">
        <v>100225</v>
      </c>
    </row>
    <row r="13" spans="1:16" x14ac:dyDescent="0.3">
      <c r="A13" t="s">
        <v>2115</v>
      </c>
      <c r="B13" t="s">
        <v>2116</v>
      </c>
      <c r="D13" t="s">
        <v>2117</v>
      </c>
      <c r="E13">
        <v>100227</v>
      </c>
      <c r="F13" t="s">
        <v>2145</v>
      </c>
      <c r="G13" t="s">
        <v>2124</v>
      </c>
      <c r="H13" t="s">
        <v>2120</v>
      </c>
      <c r="I13" t="s">
        <v>2125</v>
      </c>
      <c r="J13">
        <v>-8392.14</v>
      </c>
      <c r="K13">
        <v>0</v>
      </c>
      <c r="M13" t="s">
        <v>3076</v>
      </c>
      <c r="O13" s="125">
        <v>-8392.14</v>
      </c>
      <c r="P13">
        <v>100227</v>
      </c>
    </row>
    <row r="14" spans="1:16" x14ac:dyDescent="0.3">
      <c r="A14" t="s">
        <v>2115</v>
      </c>
      <c r="B14" t="s">
        <v>2116</v>
      </c>
      <c r="D14" t="s">
        <v>2117</v>
      </c>
      <c r="E14">
        <v>100231</v>
      </c>
      <c r="F14" t="s">
        <v>2146</v>
      </c>
      <c r="G14" t="s">
        <v>2140</v>
      </c>
      <c r="H14" t="s">
        <v>2120</v>
      </c>
      <c r="I14" t="s">
        <v>2123</v>
      </c>
      <c r="J14" s="125">
        <v>-260807.85</v>
      </c>
      <c r="K14">
        <v>0</v>
      </c>
      <c r="M14" t="s">
        <v>3076</v>
      </c>
      <c r="O14" s="125">
        <v>-260807.85</v>
      </c>
      <c r="P14">
        <v>100231</v>
      </c>
    </row>
    <row r="15" spans="1:16" x14ac:dyDescent="0.3">
      <c r="A15" t="s">
        <v>2115</v>
      </c>
      <c r="B15" t="s">
        <v>2116</v>
      </c>
      <c r="D15" t="s">
        <v>2117</v>
      </c>
      <c r="E15">
        <v>100233</v>
      </c>
      <c r="F15" t="s">
        <v>2147</v>
      </c>
      <c r="G15" t="s">
        <v>2137</v>
      </c>
      <c r="H15" t="s">
        <v>2120</v>
      </c>
      <c r="I15" t="s">
        <v>2138</v>
      </c>
      <c r="J15">
        <v>0</v>
      </c>
      <c r="K15">
        <v>0</v>
      </c>
      <c r="M15" t="s">
        <v>3077</v>
      </c>
      <c r="O15">
        <v>0</v>
      </c>
      <c r="P15">
        <v>100233</v>
      </c>
    </row>
    <row r="16" spans="1:16" x14ac:dyDescent="0.3">
      <c r="A16" t="s">
        <v>2115</v>
      </c>
      <c r="B16" t="s">
        <v>2116</v>
      </c>
      <c r="D16" t="s">
        <v>2117</v>
      </c>
      <c r="E16">
        <v>100235</v>
      </c>
      <c r="F16" t="s">
        <v>2148</v>
      </c>
      <c r="G16" t="s">
        <v>2127</v>
      </c>
      <c r="H16" t="s">
        <v>2120</v>
      </c>
      <c r="I16" t="s">
        <v>2128</v>
      </c>
      <c r="J16" s="125">
        <v>-43002348.350000001</v>
      </c>
      <c r="K16" s="125">
        <v>-466034.54</v>
      </c>
      <c r="M16" t="s">
        <v>3076</v>
      </c>
      <c r="O16" s="125">
        <v>-43468382.890000001</v>
      </c>
      <c r="P16">
        <v>100235</v>
      </c>
    </row>
    <row r="17" spans="1:16" x14ac:dyDescent="0.3">
      <c r="A17" t="s">
        <v>2115</v>
      </c>
      <c r="B17" t="s">
        <v>2116</v>
      </c>
      <c r="D17" t="s">
        <v>2117</v>
      </c>
      <c r="E17">
        <v>100237</v>
      </c>
      <c r="F17" t="s">
        <v>2149</v>
      </c>
      <c r="G17" t="s">
        <v>2142</v>
      </c>
      <c r="H17" t="s">
        <v>2120</v>
      </c>
      <c r="I17" t="s">
        <v>2128</v>
      </c>
      <c r="J17" s="125">
        <v>-196064.56</v>
      </c>
      <c r="K17">
        <v>-8966.25</v>
      </c>
      <c r="M17" t="s">
        <v>3076</v>
      </c>
      <c r="O17" s="125">
        <v>-205030.81</v>
      </c>
      <c r="P17">
        <v>100237</v>
      </c>
    </row>
    <row r="18" spans="1:16" x14ac:dyDescent="0.3">
      <c r="A18" t="s">
        <v>2115</v>
      </c>
      <c r="B18" t="s">
        <v>2116</v>
      </c>
      <c r="D18" t="s">
        <v>2117</v>
      </c>
      <c r="E18">
        <v>100239</v>
      </c>
      <c r="F18" t="s">
        <v>2150</v>
      </c>
      <c r="G18" t="s">
        <v>2142</v>
      </c>
      <c r="H18" t="s">
        <v>2120</v>
      </c>
      <c r="I18" t="s">
        <v>2121</v>
      </c>
      <c r="J18" s="125">
        <v>55778.54</v>
      </c>
      <c r="K18">
        <v>0</v>
      </c>
      <c r="M18" t="s">
        <v>3076</v>
      </c>
      <c r="O18" s="125">
        <v>55778.54</v>
      </c>
      <c r="P18">
        <v>100239</v>
      </c>
    </row>
    <row r="19" spans="1:16" x14ac:dyDescent="0.3">
      <c r="A19" t="s">
        <v>2115</v>
      </c>
      <c r="B19" t="s">
        <v>2116</v>
      </c>
      <c r="D19" t="s">
        <v>2117</v>
      </c>
      <c r="E19">
        <v>100241</v>
      </c>
      <c r="F19" t="s">
        <v>2151</v>
      </c>
      <c r="G19" t="s">
        <v>2142</v>
      </c>
      <c r="H19" t="s">
        <v>2120</v>
      </c>
      <c r="I19" t="s">
        <v>2121</v>
      </c>
      <c r="J19" s="125">
        <v>-55414.19</v>
      </c>
      <c r="K19">
        <v>0</v>
      </c>
      <c r="M19" t="s">
        <v>3076</v>
      </c>
      <c r="O19" s="125">
        <v>-55414.19</v>
      </c>
      <c r="P19">
        <v>100241</v>
      </c>
    </row>
    <row r="20" spans="1:16" x14ac:dyDescent="0.3">
      <c r="A20" t="s">
        <v>2115</v>
      </c>
      <c r="B20" t="s">
        <v>2116</v>
      </c>
      <c r="D20" t="s">
        <v>2117</v>
      </c>
      <c r="E20">
        <v>100243</v>
      </c>
      <c r="F20" t="s">
        <v>2591</v>
      </c>
      <c r="G20" t="s">
        <v>2592</v>
      </c>
      <c r="H20" t="s">
        <v>2120</v>
      </c>
      <c r="I20" t="s">
        <v>2125</v>
      </c>
      <c r="J20">
        <v>0</v>
      </c>
      <c r="K20">
        <v>0</v>
      </c>
      <c r="M20" t="s">
        <v>3077</v>
      </c>
      <c r="O20">
        <v>0</v>
      </c>
      <c r="P20">
        <v>100243</v>
      </c>
    </row>
    <row r="21" spans="1:16" x14ac:dyDescent="0.3">
      <c r="A21" t="s">
        <v>2115</v>
      </c>
      <c r="B21" t="s">
        <v>2116</v>
      </c>
      <c r="D21" t="s">
        <v>2117</v>
      </c>
      <c r="E21">
        <v>100249</v>
      </c>
      <c r="F21" t="s">
        <v>2751</v>
      </c>
      <c r="G21" t="s">
        <v>2124</v>
      </c>
      <c r="H21" t="s">
        <v>2133</v>
      </c>
      <c r="I21" t="s">
        <v>2133</v>
      </c>
      <c r="J21" s="125">
        <v>29035480.52</v>
      </c>
      <c r="K21">
        <v>0</v>
      </c>
      <c r="M21" t="s">
        <v>3076</v>
      </c>
      <c r="O21" s="125">
        <v>29035480.52</v>
      </c>
      <c r="P21">
        <v>100249</v>
      </c>
    </row>
    <row r="22" spans="1:16" x14ac:dyDescent="0.3">
      <c r="A22" t="s">
        <v>2115</v>
      </c>
      <c r="B22" t="s">
        <v>2116</v>
      </c>
      <c r="D22" t="s">
        <v>2117</v>
      </c>
      <c r="E22">
        <v>100251</v>
      </c>
      <c r="F22" t="s">
        <v>2752</v>
      </c>
      <c r="G22" t="s">
        <v>2124</v>
      </c>
      <c r="H22" t="s">
        <v>2133</v>
      </c>
      <c r="I22" t="s">
        <v>2133</v>
      </c>
      <c r="J22" s="125">
        <v>-4531375.83</v>
      </c>
      <c r="K22">
        <v>0</v>
      </c>
      <c r="M22" t="s">
        <v>3076</v>
      </c>
      <c r="O22" s="125">
        <v>-4531375.83</v>
      </c>
      <c r="P22">
        <v>100251</v>
      </c>
    </row>
    <row r="23" spans="1:16" x14ac:dyDescent="0.3">
      <c r="A23" t="s">
        <v>2115</v>
      </c>
      <c r="B23" t="s">
        <v>2116</v>
      </c>
      <c r="D23" t="s">
        <v>2152</v>
      </c>
      <c r="E23">
        <v>100401</v>
      </c>
      <c r="F23" t="s">
        <v>2153</v>
      </c>
      <c r="G23" t="s">
        <v>2154</v>
      </c>
      <c r="H23" t="s">
        <v>2155</v>
      </c>
      <c r="I23" t="s">
        <v>2156</v>
      </c>
      <c r="J23" s="125">
        <v>14238.97</v>
      </c>
      <c r="K23" s="125">
        <v>11857.65</v>
      </c>
      <c r="M23" t="s">
        <v>3076</v>
      </c>
      <c r="O23" s="125">
        <v>26096.62</v>
      </c>
      <c r="P23">
        <v>100401</v>
      </c>
    </row>
    <row r="24" spans="1:16" x14ac:dyDescent="0.3">
      <c r="A24" t="s">
        <v>2115</v>
      </c>
      <c r="B24" t="s">
        <v>2116</v>
      </c>
      <c r="D24" t="s">
        <v>2152</v>
      </c>
      <c r="E24">
        <v>100403</v>
      </c>
      <c r="F24" t="s">
        <v>2157</v>
      </c>
      <c r="G24" t="s">
        <v>2158</v>
      </c>
      <c r="H24" t="s">
        <v>2155</v>
      </c>
      <c r="I24" t="s">
        <v>2159</v>
      </c>
      <c r="J24" s="126">
        <v>18097</v>
      </c>
      <c r="K24">
        <v>0</v>
      </c>
      <c r="M24" t="s">
        <v>3076</v>
      </c>
      <c r="O24" s="125">
        <v>18097</v>
      </c>
      <c r="P24">
        <v>100403</v>
      </c>
    </row>
    <row r="25" spans="1:16" x14ac:dyDescent="0.3">
      <c r="A25" t="s">
        <v>2115</v>
      </c>
      <c r="B25" t="s">
        <v>2116</v>
      </c>
      <c r="D25" t="s">
        <v>2152</v>
      </c>
      <c r="E25">
        <v>100405</v>
      </c>
      <c r="F25" t="s">
        <v>2160</v>
      </c>
      <c r="G25" t="s">
        <v>2154</v>
      </c>
      <c r="H25" t="s">
        <v>2155</v>
      </c>
      <c r="I25" t="s">
        <v>2156</v>
      </c>
      <c r="J25" s="125">
        <v>1050820.3999999999</v>
      </c>
      <c r="K25" s="125">
        <v>385661.11</v>
      </c>
      <c r="M25" t="s">
        <v>3076</v>
      </c>
      <c r="O25" s="125">
        <v>1436481.51</v>
      </c>
      <c r="P25">
        <v>100405</v>
      </c>
    </row>
    <row r="26" spans="1:16" x14ac:dyDescent="0.3">
      <c r="A26" t="s">
        <v>2115</v>
      </c>
      <c r="B26" t="s">
        <v>2116</v>
      </c>
      <c r="D26" t="s">
        <v>2152</v>
      </c>
      <c r="E26">
        <v>100407</v>
      </c>
      <c r="F26" t="s">
        <v>2161</v>
      </c>
      <c r="G26" t="s">
        <v>2154</v>
      </c>
      <c r="H26" t="s">
        <v>2155</v>
      </c>
      <c r="I26" t="s">
        <v>2156</v>
      </c>
      <c r="J26" s="126">
        <v>104546</v>
      </c>
      <c r="K26">
        <v>0</v>
      </c>
      <c r="M26" t="s">
        <v>3076</v>
      </c>
      <c r="O26" s="125">
        <v>104546</v>
      </c>
      <c r="P26">
        <v>100407</v>
      </c>
    </row>
    <row r="27" spans="1:16" x14ac:dyDescent="0.3">
      <c r="A27" t="s">
        <v>2115</v>
      </c>
      <c r="B27" t="s">
        <v>2116</v>
      </c>
      <c r="D27" t="s">
        <v>2152</v>
      </c>
      <c r="E27">
        <v>100409</v>
      </c>
      <c r="F27" t="s">
        <v>2653</v>
      </c>
      <c r="G27" t="s">
        <v>2167</v>
      </c>
      <c r="H27" t="s">
        <v>2133</v>
      </c>
      <c r="I27" t="s">
        <v>2133</v>
      </c>
      <c r="J27" s="126">
        <v>36920</v>
      </c>
      <c r="K27" s="125">
        <v>32895.58</v>
      </c>
      <c r="M27" t="s">
        <v>3076</v>
      </c>
      <c r="O27" s="125">
        <v>69815.58</v>
      </c>
      <c r="P27">
        <v>100409</v>
      </c>
    </row>
    <row r="28" spans="1:16" x14ac:dyDescent="0.3">
      <c r="A28" t="s">
        <v>2115</v>
      </c>
      <c r="B28" t="s">
        <v>2116</v>
      </c>
      <c r="D28" t="s">
        <v>2152</v>
      </c>
      <c r="E28">
        <v>100411</v>
      </c>
      <c r="F28" t="s">
        <v>2162</v>
      </c>
      <c r="G28" t="s">
        <v>2163</v>
      </c>
      <c r="H28" t="s">
        <v>2155</v>
      </c>
      <c r="I28" t="s">
        <v>2164</v>
      </c>
      <c r="J28" s="125">
        <v>717177.2</v>
      </c>
      <c r="K28" s="125">
        <v>41352.67</v>
      </c>
      <c r="M28" t="s">
        <v>3076</v>
      </c>
      <c r="O28" s="125">
        <v>758529.87</v>
      </c>
      <c r="P28">
        <v>100411</v>
      </c>
    </row>
    <row r="29" spans="1:16" x14ac:dyDescent="0.3">
      <c r="A29" t="s">
        <v>2115</v>
      </c>
      <c r="B29" t="s">
        <v>2116</v>
      </c>
      <c r="D29" t="s">
        <v>2152</v>
      </c>
      <c r="E29">
        <v>100413</v>
      </c>
      <c r="F29" t="s">
        <v>2165</v>
      </c>
      <c r="G29" t="s">
        <v>2163</v>
      </c>
      <c r="H29" t="s">
        <v>2155</v>
      </c>
      <c r="I29" t="s">
        <v>2164</v>
      </c>
      <c r="J29" s="125">
        <v>77813.34</v>
      </c>
      <c r="K29" s="125">
        <v>40456.089999999997</v>
      </c>
      <c r="M29" t="s">
        <v>3076</v>
      </c>
      <c r="O29" s="125">
        <v>118269.43</v>
      </c>
      <c r="P29">
        <v>100413</v>
      </c>
    </row>
    <row r="30" spans="1:16" x14ac:dyDescent="0.3">
      <c r="A30" t="s">
        <v>2115</v>
      </c>
      <c r="B30" t="s">
        <v>2116</v>
      </c>
      <c r="D30" t="s">
        <v>2152</v>
      </c>
      <c r="E30">
        <v>100415</v>
      </c>
      <c r="F30" t="s">
        <v>2166</v>
      </c>
      <c r="G30" t="s">
        <v>2167</v>
      </c>
      <c r="H30" t="s">
        <v>2155</v>
      </c>
      <c r="I30" t="s">
        <v>2168</v>
      </c>
      <c r="J30" s="125">
        <v>372327.78</v>
      </c>
      <c r="K30">
        <v>4098.25</v>
      </c>
      <c r="M30" t="s">
        <v>3076</v>
      </c>
      <c r="O30" s="125">
        <v>376426.03</v>
      </c>
      <c r="P30">
        <v>100415</v>
      </c>
    </row>
    <row r="31" spans="1:16" x14ac:dyDescent="0.3">
      <c r="A31" t="s">
        <v>2115</v>
      </c>
      <c r="B31" t="s">
        <v>2116</v>
      </c>
      <c r="D31" t="s">
        <v>2152</v>
      </c>
      <c r="E31">
        <v>100417</v>
      </c>
      <c r="F31" t="s">
        <v>2169</v>
      </c>
      <c r="G31" t="s">
        <v>2167</v>
      </c>
      <c r="H31" t="s">
        <v>2155</v>
      </c>
      <c r="I31" t="s">
        <v>2168</v>
      </c>
      <c r="J31" s="125">
        <v>571065.69999999995</v>
      </c>
      <c r="K31">
        <v>0</v>
      </c>
      <c r="M31" t="s">
        <v>3076</v>
      </c>
      <c r="O31" s="125">
        <v>571065.69999999995</v>
      </c>
      <c r="P31">
        <v>100417</v>
      </c>
    </row>
    <row r="32" spans="1:16" x14ac:dyDescent="0.3">
      <c r="A32" t="s">
        <v>2115</v>
      </c>
      <c r="B32" t="s">
        <v>2116</v>
      </c>
      <c r="D32" t="s">
        <v>2152</v>
      </c>
      <c r="E32">
        <v>100419</v>
      </c>
      <c r="F32" t="s">
        <v>2170</v>
      </c>
      <c r="G32" t="s">
        <v>2171</v>
      </c>
      <c r="H32" t="s">
        <v>2155</v>
      </c>
      <c r="I32" t="s">
        <v>2159</v>
      </c>
      <c r="J32" s="125">
        <v>516770.12</v>
      </c>
      <c r="K32">
        <v>0</v>
      </c>
      <c r="M32" t="s">
        <v>3076</v>
      </c>
      <c r="O32" s="125">
        <v>516770.12</v>
      </c>
      <c r="P32">
        <v>100419</v>
      </c>
    </row>
    <row r="33" spans="1:16" x14ac:dyDescent="0.3">
      <c r="A33" t="s">
        <v>2115</v>
      </c>
      <c r="B33" t="s">
        <v>2116</v>
      </c>
      <c r="D33" t="s">
        <v>2152</v>
      </c>
      <c r="E33">
        <v>100421</v>
      </c>
      <c r="F33" t="s">
        <v>2172</v>
      </c>
      <c r="G33" t="s">
        <v>2171</v>
      </c>
      <c r="H33" t="s">
        <v>2155</v>
      </c>
      <c r="I33" t="s">
        <v>2159</v>
      </c>
      <c r="J33" s="125">
        <v>364211.72</v>
      </c>
      <c r="K33" s="125">
        <v>18720.07</v>
      </c>
      <c r="M33" t="s">
        <v>3076</v>
      </c>
      <c r="O33" s="125">
        <v>382931.79</v>
      </c>
      <c r="P33">
        <v>100421</v>
      </c>
    </row>
    <row r="34" spans="1:16" x14ac:dyDescent="0.3">
      <c r="A34" t="s">
        <v>2115</v>
      </c>
      <c r="B34" t="s">
        <v>2116</v>
      </c>
      <c r="D34" t="s">
        <v>2152</v>
      </c>
      <c r="E34">
        <v>100423</v>
      </c>
      <c r="F34" t="s">
        <v>2173</v>
      </c>
      <c r="G34" t="s">
        <v>2174</v>
      </c>
      <c r="H34" t="s">
        <v>2155</v>
      </c>
      <c r="I34" t="s">
        <v>2159</v>
      </c>
      <c r="J34" s="125">
        <v>710845.27</v>
      </c>
      <c r="K34" s="125">
        <v>214006.57</v>
      </c>
      <c r="M34" t="s">
        <v>3076</v>
      </c>
      <c r="O34" s="125">
        <v>924851.84</v>
      </c>
      <c r="P34">
        <v>100423</v>
      </c>
    </row>
    <row r="35" spans="1:16" x14ac:dyDescent="0.3">
      <c r="A35" t="s">
        <v>2115</v>
      </c>
      <c r="B35" t="s">
        <v>2116</v>
      </c>
      <c r="D35" t="s">
        <v>2152</v>
      </c>
      <c r="E35">
        <v>100425</v>
      </c>
      <c r="F35" t="s">
        <v>2175</v>
      </c>
      <c r="G35" t="s">
        <v>2174</v>
      </c>
      <c r="H35" t="s">
        <v>2155</v>
      </c>
      <c r="I35" t="s">
        <v>2159</v>
      </c>
      <c r="J35" s="125">
        <v>90383.75</v>
      </c>
      <c r="K35" s="125">
        <v>33282.870000000003</v>
      </c>
      <c r="M35" t="s">
        <v>3076</v>
      </c>
      <c r="O35" s="125">
        <v>123666.62</v>
      </c>
      <c r="P35">
        <v>100425</v>
      </c>
    </row>
    <row r="36" spans="1:16" x14ac:dyDescent="0.3">
      <c r="A36" t="s">
        <v>2115</v>
      </c>
      <c r="B36" t="s">
        <v>2116</v>
      </c>
      <c r="D36" t="s">
        <v>2152</v>
      </c>
      <c r="E36">
        <v>100427</v>
      </c>
      <c r="F36" t="s">
        <v>2654</v>
      </c>
      <c r="G36" t="s">
        <v>2171</v>
      </c>
      <c r="H36" t="s">
        <v>2133</v>
      </c>
      <c r="I36" t="s">
        <v>2133</v>
      </c>
      <c r="J36" s="125">
        <v>46069.52</v>
      </c>
      <c r="K36">
        <v>0</v>
      </c>
      <c r="M36" t="s">
        <v>3076</v>
      </c>
      <c r="O36" s="125">
        <v>46069.52</v>
      </c>
      <c r="P36">
        <v>100427</v>
      </c>
    </row>
    <row r="37" spans="1:16" x14ac:dyDescent="0.3">
      <c r="A37" t="s">
        <v>2115</v>
      </c>
      <c r="B37" t="s">
        <v>2116</v>
      </c>
      <c r="D37" t="s">
        <v>2152</v>
      </c>
      <c r="E37">
        <v>100429</v>
      </c>
      <c r="F37" t="s">
        <v>2176</v>
      </c>
      <c r="G37" t="s">
        <v>2154</v>
      </c>
      <c r="H37" t="s">
        <v>2155</v>
      </c>
      <c r="I37" t="s">
        <v>2156</v>
      </c>
      <c r="J37" s="125">
        <v>-299457.09999999998</v>
      </c>
      <c r="K37" s="125">
        <v>-233803.9</v>
      </c>
      <c r="M37" t="s">
        <v>3076</v>
      </c>
      <c r="O37" s="125">
        <v>-533261</v>
      </c>
      <c r="P37">
        <v>100429</v>
      </c>
    </row>
    <row r="38" spans="1:16" x14ac:dyDescent="0.3">
      <c r="A38" t="s">
        <v>2115</v>
      </c>
      <c r="B38" t="s">
        <v>2116</v>
      </c>
      <c r="D38" t="s">
        <v>2152</v>
      </c>
      <c r="E38">
        <v>100431</v>
      </c>
      <c r="F38" t="s">
        <v>2177</v>
      </c>
      <c r="G38" t="s">
        <v>2154</v>
      </c>
      <c r="H38" t="s">
        <v>2155</v>
      </c>
      <c r="I38" t="s">
        <v>2156</v>
      </c>
      <c r="J38" s="126">
        <v>-74989</v>
      </c>
      <c r="K38">
        <v>0</v>
      </c>
      <c r="M38" t="s">
        <v>3076</v>
      </c>
      <c r="O38" s="125">
        <v>-74989</v>
      </c>
      <c r="P38">
        <v>100431</v>
      </c>
    </row>
    <row r="39" spans="1:16" x14ac:dyDescent="0.3">
      <c r="A39" t="s">
        <v>2115</v>
      </c>
      <c r="B39" t="s">
        <v>2116</v>
      </c>
      <c r="D39" t="s">
        <v>2152</v>
      </c>
      <c r="E39">
        <v>100433</v>
      </c>
      <c r="F39" t="s">
        <v>2178</v>
      </c>
      <c r="G39" t="s">
        <v>2167</v>
      </c>
      <c r="H39" t="s">
        <v>2155</v>
      </c>
      <c r="I39" t="s">
        <v>2168</v>
      </c>
      <c r="J39" s="125">
        <v>-36919.339999999997</v>
      </c>
      <c r="K39" s="125">
        <v>-31725.72</v>
      </c>
      <c r="M39" t="s">
        <v>3076</v>
      </c>
      <c r="O39" s="125">
        <v>-68645.06</v>
      </c>
      <c r="P39">
        <v>100433</v>
      </c>
    </row>
    <row r="40" spans="1:16" x14ac:dyDescent="0.3">
      <c r="A40" t="s">
        <v>2115</v>
      </c>
      <c r="B40" t="s">
        <v>2116</v>
      </c>
      <c r="D40" t="s">
        <v>2152</v>
      </c>
      <c r="E40">
        <v>100435</v>
      </c>
      <c r="F40" t="s">
        <v>2179</v>
      </c>
      <c r="G40" t="s">
        <v>2163</v>
      </c>
      <c r="H40" t="s">
        <v>2155</v>
      </c>
      <c r="I40" t="s">
        <v>2164</v>
      </c>
      <c r="J40" s="125">
        <v>-652334.16</v>
      </c>
      <c r="K40" s="125">
        <v>-41194.32</v>
      </c>
      <c r="M40" t="s">
        <v>3076</v>
      </c>
      <c r="O40" s="125">
        <v>-693528.48</v>
      </c>
      <c r="P40">
        <v>100435</v>
      </c>
    </row>
    <row r="41" spans="1:16" x14ac:dyDescent="0.3">
      <c r="A41" t="s">
        <v>2115</v>
      </c>
      <c r="B41" t="s">
        <v>2116</v>
      </c>
      <c r="D41" t="s">
        <v>2152</v>
      </c>
      <c r="E41">
        <v>100437</v>
      </c>
      <c r="F41" t="s">
        <v>2180</v>
      </c>
      <c r="G41" t="s">
        <v>2163</v>
      </c>
      <c r="H41" t="s">
        <v>2155</v>
      </c>
      <c r="I41" t="s">
        <v>2164</v>
      </c>
      <c r="J41" s="125">
        <v>-74803.03</v>
      </c>
      <c r="K41" s="125">
        <v>-40456.089999999997</v>
      </c>
      <c r="M41" t="s">
        <v>3076</v>
      </c>
      <c r="O41" s="125">
        <v>-115259.12</v>
      </c>
      <c r="P41">
        <v>100437</v>
      </c>
    </row>
    <row r="42" spans="1:16" x14ac:dyDescent="0.3">
      <c r="A42" t="s">
        <v>2115</v>
      </c>
      <c r="B42" t="s">
        <v>2116</v>
      </c>
      <c r="D42" t="s">
        <v>2152</v>
      </c>
      <c r="E42">
        <v>100439</v>
      </c>
      <c r="F42" t="s">
        <v>2181</v>
      </c>
      <c r="G42" t="s">
        <v>2167</v>
      </c>
      <c r="H42" t="s">
        <v>2155</v>
      </c>
      <c r="I42" t="s">
        <v>2168</v>
      </c>
      <c r="J42" s="125">
        <v>-329143.84000000003</v>
      </c>
      <c r="K42">
        <v>-3971.97</v>
      </c>
      <c r="M42" t="s">
        <v>3076</v>
      </c>
      <c r="O42" s="125">
        <v>-333115.81</v>
      </c>
      <c r="P42">
        <v>100439</v>
      </c>
    </row>
    <row r="43" spans="1:16" x14ac:dyDescent="0.3">
      <c r="A43" t="s">
        <v>2115</v>
      </c>
      <c r="B43" t="s">
        <v>2116</v>
      </c>
      <c r="D43" t="s">
        <v>2152</v>
      </c>
      <c r="E43">
        <v>100441</v>
      </c>
      <c r="F43" t="s">
        <v>2182</v>
      </c>
      <c r="G43" t="s">
        <v>2167</v>
      </c>
      <c r="H43" t="s">
        <v>2155</v>
      </c>
      <c r="I43" t="s">
        <v>2168</v>
      </c>
      <c r="J43" s="125">
        <v>-478748.5</v>
      </c>
      <c r="K43">
        <v>0</v>
      </c>
      <c r="M43" t="s">
        <v>3076</v>
      </c>
      <c r="O43" s="125">
        <v>-478748.5</v>
      </c>
      <c r="P43">
        <v>100441</v>
      </c>
    </row>
    <row r="44" spans="1:16" x14ac:dyDescent="0.3">
      <c r="A44" t="s">
        <v>2115</v>
      </c>
      <c r="B44" t="s">
        <v>2116</v>
      </c>
      <c r="D44" t="s">
        <v>2152</v>
      </c>
      <c r="E44">
        <v>100443</v>
      </c>
      <c r="F44" t="s">
        <v>2183</v>
      </c>
      <c r="G44" t="s">
        <v>2171</v>
      </c>
      <c r="H44" t="s">
        <v>2155</v>
      </c>
      <c r="I44" t="s">
        <v>2159</v>
      </c>
      <c r="J44" s="125">
        <v>-395317.49</v>
      </c>
      <c r="K44">
        <v>0</v>
      </c>
      <c r="M44" t="s">
        <v>3076</v>
      </c>
      <c r="O44" s="125">
        <v>-395317.49</v>
      </c>
      <c r="P44">
        <v>100443</v>
      </c>
    </row>
    <row r="45" spans="1:16" x14ac:dyDescent="0.3">
      <c r="A45" t="s">
        <v>2115</v>
      </c>
      <c r="B45" t="s">
        <v>2116</v>
      </c>
      <c r="D45" t="s">
        <v>2152</v>
      </c>
      <c r="E45">
        <v>100445</v>
      </c>
      <c r="F45" t="s">
        <v>2184</v>
      </c>
      <c r="G45" t="s">
        <v>2171</v>
      </c>
      <c r="H45" t="s">
        <v>2155</v>
      </c>
      <c r="I45" t="s">
        <v>2159</v>
      </c>
      <c r="J45" s="125">
        <v>-237452.24</v>
      </c>
      <c r="K45" s="125">
        <v>-16375.74</v>
      </c>
      <c r="M45" t="s">
        <v>3076</v>
      </c>
      <c r="O45" s="125">
        <v>-253827.98</v>
      </c>
      <c r="P45">
        <v>100445</v>
      </c>
    </row>
    <row r="46" spans="1:16" x14ac:dyDescent="0.3">
      <c r="A46" t="s">
        <v>2115</v>
      </c>
      <c r="B46" t="s">
        <v>2116</v>
      </c>
      <c r="D46" t="s">
        <v>2152</v>
      </c>
      <c r="E46">
        <v>100447</v>
      </c>
      <c r="F46" t="s">
        <v>2185</v>
      </c>
      <c r="G46" t="s">
        <v>2174</v>
      </c>
      <c r="H46" t="s">
        <v>2155</v>
      </c>
      <c r="I46" t="s">
        <v>2159</v>
      </c>
      <c r="J46" s="125">
        <v>-666067.87</v>
      </c>
      <c r="K46" s="125">
        <v>-155726.01999999999</v>
      </c>
      <c r="M46" t="s">
        <v>3076</v>
      </c>
      <c r="O46" s="125">
        <v>-821793.89</v>
      </c>
      <c r="P46">
        <v>100447</v>
      </c>
    </row>
    <row r="47" spans="1:16" x14ac:dyDescent="0.3">
      <c r="A47" t="s">
        <v>2115</v>
      </c>
      <c r="B47" t="s">
        <v>2116</v>
      </c>
      <c r="D47" t="s">
        <v>2152</v>
      </c>
      <c r="E47">
        <v>100449</v>
      </c>
      <c r="F47" t="s">
        <v>2186</v>
      </c>
      <c r="G47" t="s">
        <v>2174</v>
      </c>
      <c r="H47" t="s">
        <v>2155</v>
      </c>
      <c r="I47" t="s">
        <v>2159</v>
      </c>
      <c r="J47" s="125">
        <v>-88911.25</v>
      </c>
      <c r="K47" s="125">
        <v>-33282.870000000003</v>
      </c>
      <c r="M47" t="s">
        <v>3076</v>
      </c>
      <c r="O47" s="125">
        <v>-122194.12</v>
      </c>
      <c r="P47">
        <v>100449</v>
      </c>
    </row>
    <row r="48" spans="1:16" x14ac:dyDescent="0.3">
      <c r="A48" t="s">
        <v>2115</v>
      </c>
      <c r="B48" t="s">
        <v>2116</v>
      </c>
      <c r="D48" t="s">
        <v>2152</v>
      </c>
      <c r="E48">
        <v>100451</v>
      </c>
      <c r="F48" t="s">
        <v>2655</v>
      </c>
      <c r="G48" t="s">
        <v>2171</v>
      </c>
      <c r="H48" t="s">
        <v>2133</v>
      </c>
      <c r="I48" t="s">
        <v>2133</v>
      </c>
      <c r="J48" s="125">
        <v>-43338.58</v>
      </c>
      <c r="K48">
        <v>0</v>
      </c>
      <c r="M48" t="s">
        <v>3076</v>
      </c>
      <c r="O48" s="125">
        <v>-43338.58</v>
      </c>
      <c r="P48">
        <v>100451</v>
      </c>
    </row>
    <row r="49" spans="1:16" x14ac:dyDescent="0.3">
      <c r="A49" t="s">
        <v>2115</v>
      </c>
      <c r="B49" t="s">
        <v>2116</v>
      </c>
      <c r="D49" t="s">
        <v>2152</v>
      </c>
      <c r="E49">
        <v>100453</v>
      </c>
      <c r="F49" t="s">
        <v>2187</v>
      </c>
      <c r="G49" t="s">
        <v>2171</v>
      </c>
      <c r="H49" t="s">
        <v>2155</v>
      </c>
      <c r="I49" t="s">
        <v>2159</v>
      </c>
      <c r="J49">
        <v>6766</v>
      </c>
      <c r="K49" s="125">
        <v>32643.96</v>
      </c>
      <c r="M49" t="s">
        <v>3076</v>
      </c>
      <c r="O49" s="125">
        <v>39409.96</v>
      </c>
      <c r="P49">
        <v>100453</v>
      </c>
    </row>
    <row r="50" spans="1:16" x14ac:dyDescent="0.3">
      <c r="A50" t="s">
        <v>2115</v>
      </c>
      <c r="B50" t="s">
        <v>2116</v>
      </c>
      <c r="D50" t="s">
        <v>2152</v>
      </c>
      <c r="E50">
        <v>100455</v>
      </c>
      <c r="F50" t="s">
        <v>2188</v>
      </c>
      <c r="G50" t="s">
        <v>2171</v>
      </c>
      <c r="H50" t="s">
        <v>2155</v>
      </c>
      <c r="I50" t="s">
        <v>2159</v>
      </c>
      <c r="J50">
        <v>-6367.3</v>
      </c>
      <c r="K50" s="125">
        <v>-24502.75</v>
      </c>
      <c r="M50" t="s">
        <v>3076</v>
      </c>
      <c r="O50" s="125">
        <v>-30870.05</v>
      </c>
      <c r="P50">
        <v>100455</v>
      </c>
    </row>
    <row r="51" spans="1:16" x14ac:dyDescent="0.3">
      <c r="A51" t="s">
        <v>2115</v>
      </c>
      <c r="B51" t="s">
        <v>2116</v>
      </c>
      <c r="C51" t="s">
        <v>2189</v>
      </c>
      <c r="D51" t="s">
        <v>2152</v>
      </c>
      <c r="E51">
        <v>100457</v>
      </c>
      <c r="F51" t="s">
        <v>2190</v>
      </c>
      <c r="G51" t="s">
        <v>2191</v>
      </c>
      <c r="H51" t="s">
        <v>2155</v>
      </c>
      <c r="I51" t="s">
        <v>2192</v>
      </c>
      <c r="J51" s="125">
        <v>81349.91</v>
      </c>
      <c r="K51">
        <v>0</v>
      </c>
      <c r="M51" t="s">
        <v>3076</v>
      </c>
      <c r="O51" s="125">
        <v>81349.91</v>
      </c>
      <c r="P51">
        <v>100457</v>
      </c>
    </row>
    <row r="52" spans="1:16" x14ac:dyDescent="0.3">
      <c r="A52" t="s">
        <v>2115</v>
      </c>
      <c r="B52" t="s">
        <v>2116</v>
      </c>
      <c r="C52" t="s">
        <v>2189</v>
      </c>
      <c r="D52" t="s">
        <v>2152</v>
      </c>
      <c r="E52">
        <v>100459</v>
      </c>
      <c r="F52" t="s">
        <v>2193</v>
      </c>
      <c r="G52" t="s">
        <v>2191</v>
      </c>
      <c r="H52" t="s">
        <v>2155</v>
      </c>
      <c r="I52" t="s">
        <v>2192</v>
      </c>
      <c r="J52">
        <v>5035.95</v>
      </c>
      <c r="K52">
        <v>0</v>
      </c>
      <c r="M52" t="s">
        <v>3076</v>
      </c>
      <c r="O52" s="125">
        <v>5035.95</v>
      </c>
      <c r="P52">
        <v>100459</v>
      </c>
    </row>
    <row r="53" spans="1:16" x14ac:dyDescent="0.3">
      <c r="A53" t="s">
        <v>2115</v>
      </c>
      <c r="B53" t="s">
        <v>2116</v>
      </c>
      <c r="D53" t="s">
        <v>2152</v>
      </c>
      <c r="E53">
        <v>100461</v>
      </c>
      <c r="F53" t="s">
        <v>2194</v>
      </c>
      <c r="G53" t="s">
        <v>2195</v>
      </c>
      <c r="H53" t="s">
        <v>2155</v>
      </c>
      <c r="I53" t="s">
        <v>2192</v>
      </c>
      <c r="J53" s="125">
        <v>46863.199999999997</v>
      </c>
      <c r="K53">
        <v>0</v>
      </c>
      <c r="M53" t="s">
        <v>3076</v>
      </c>
      <c r="O53" s="125">
        <v>46863.199999999997</v>
      </c>
      <c r="P53">
        <v>100461</v>
      </c>
    </row>
    <row r="54" spans="1:16" x14ac:dyDescent="0.3">
      <c r="A54" t="s">
        <v>2115</v>
      </c>
      <c r="B54" t="s">
        <v>2116</v>
      </c>
      <c r="D54" t="s">
        <v>2152</v>
      </c>
      <c r="E54">
        <v>100463</v>
      </c>
      <c r="F54" t="s">
        <v>2196</v>
      </c>
      <c r="G54" t="s">
        <v>2154</v>
      </c>
      <c r="H54" t="s">
        <v>2155</v>
      </c>
      <c r="I54" t="s">
        <v>2156</v>
      </c>
      <c r="J54" s="125">
        <v>542422.65</v>
      </c>
      <c r="K54">
        <v>0</v>
      </c>
      <c r="M54" t="s">
        <v>3076</v>
      </c>
      <c r="O54" s="125">
        <v>542422.65</v>
      </c>
      <c r="P54">
        <v>100463</v>
      </c>
    </row>
    <row r="55" spans="1:16" x14ac:dyDescent="0.3">
      <c r="A55" t="s">
        <v>2115</v>
      </c>
      <c r="B55" t="s">
        <v>2116</v>
      </c>
      <c r="D55" t="s">
        <v>2152</v>
      </c>
      <c r="E55">
        <v>100465</v>
      </c>
      <c r="F55" t="s">
        <v>2197</v>
      </c>
      <c r="G55" t="s">
        <v>2154</v>
      </c>
      <c r="H55" t="s">
        <v>2155</v>
      </c>
      <c r="I55" t="s">
        <v>2156</v>
      </c>
      <c r="J55" s="125">
        <v>-59135.35</v>
      </c>
      <c r="K55">
        <v>0</v>
      </c>
      <c r="M55" t="s">
        <v>3076</v>
      </c>
      <c r="O55" s="125">
        <v>-59135.35</v>
      </c>
      <c r="P55">
        <v>100465</v>
      </c>
    </row>
    <row r="56" spans="1:16" x14ac:dyDescent="0.3">
      <c r="A56" t="s">
        <v>2115</v>
      </c>
      <c r="B56" t="s">
        <v>2116</v>
      </c>
      <c r="D56" t="s">
        <v>2152</v>
      </c>
      <c r="E56">
        <v>100467</v>
      </c>
      <c r="F56" t="s">
        <v>2198</v>
      </c>
      <c r="G56" t="s">
        <v>2158</v>
      </c>
      <c r="H56" t="s">
        <v>2155</v>
      </c>
      <c r="I56" t="s">
        <v>2159</v>
      </c>
      <c r="J56" s="125">
        <v>-18097.310000000001</v>
      </c>
      <c r="K56">
        <v>0</v>
      </c>
      <c r="M56" t="s">
        <v>3076</v>
      </c>
      <c r="O56" s="125">
        <v>-18097.310000000001</v>
      </c>
      <c r="P56">
        <v>100467</v>
      </c>
    </row>
    <row r="57" spans="1:16" x14ac:dyDescent="0.3">
      <c r="A57" t="s">
        <v>2115</v>
      </c>
      <c r="B57" t="s">
        <v>2116</v>
      </c>
      <c r="C57" t="s">
        <v>2189</v>
      </c>
      <c r="D57" t="s">
        <v>2152</v>
      </c>
      <c r="E57">
        <v>100469</v>
      </c>
      <c r="F57" t="s">
        <v>2648</v>
      </c>
      <c r="G57" t="s">
        <v>2191</v>
      </c>
      <c r="H57" t="s">
        <v>2211</v>
      </c>
      <c r="I57" t="s">
        <v>2212</v>
      </c>
      <c r="J57" s="125">
        <v>1164176.77</v>
      </c>
      <c r="K57">
        <v>0</v>
      </c>
      <c r="M57" t="s">
        <v>3076</v>
      </c>
      <c r="O57" s="125">
        <v>1164176.77</v>
      </c>
      <c r="P57">
        <v>100469</v>
      </c>
    </row>
    <row r="58" spans="1:16" x14ac:dyDescent="0.3">
      <c r="A58" t="s">
        <v>2115</v>
      </c>
      <c r="B58" t="s">
        <v>2116</v>
      </c>
      <c r="C58" t="s">
        <v>2189</v>
      </c>
      <c r="D58" t="s">
        <v>2152</v>
      </c>
      <c r="E58">
        <v>100471</v>
      </c>
      <c r="F58" t="s">
        <v>2649</v>
      </c>
      <c r="G58" t="s">
        <v>2191</v>
      </c>
      <c r="H58" t="s">
        <v>2211</v>
      </c>
      <c r="I58" t="s">
        <v>2212</v>
      </c>
      <c r="J58" s="125">
        <v>1645137.95</v>
      </c>
      <c r="K58">
        <v>0</v>
      </c>
      <c r="M58" t="s">
        <v>3076</v>
      </c>
      <c r="O58" s="125">
        <v>1645137.95</v>
      </c>
      <c r="P58">
        <v>100471</v>
      </c>
    </row>
    <row r="59" spans="1:16" x14ac:dyDescent="0.3">
      <c r="A59" t="s">
        <v>2115</v>
      </c>
      <c r="B59" t="s">
        <v>2116</v>
      </c>
      <c r="C59" t="s">
        <v>2189</v>
      </c>
      <c r="D59" t="s">
        <v>2152</v>
      </c>
      <c r="E59">
        <v>100473</v>
      </c>
      <c r="F59" t="s">
        <v>2656</v>
      </c>
      <c r="G59" t="s">
        <v>2191</v>
      </c>
      <c r="H59" t="s">
        <v>2133</v>
      </c>
      <c r="I59" t="s">
        <v>2133</v>
      </c>
      <c r="J59" s="125">
        <v>921393.76</v>
      </c>
      <c r="K59">
        <v>0</v>
      </c>
      <c r="M59" t="s">
        <v>3076</v>
      </c>
      <c r="O59" s="125">
        <v>921393.76</v>
      </c>
      <c r="P59">
        <v>100473</v>
      </c>
    </row>
    <row r="60" spans="1:16" x14ac:dyDescent="0.3">
      <c r="A60" t="s">
        <v>2115</v>
      </c>
      <c r="B60" t="s">
        <v>2116</v>
      </c>
      <c r="C60" t="s">
        <v>2189</v>
      </c>
      <c r="D60" t="s">
        <v>2152</v>
      </c>
      <c r="E60">
        <v>100475</v>
      </c>
      <c r="F60" t="s">
        <v>2657</v>
      </c>
      <c r="G60" t="s">
        <v>2191</v>
      </c>
      <c r="H60" t="s">
        <v>2133</v>
      </c>
      <c r="I60" t="s">
        <v>2133</v>
      </c>
      <c r="J60" s="125">
        <v>973496.14</v>
      </c>
      <c r="K60">
        <v>0</v>
      </c>
      <c r="M60" t="s">
        <v>3076</v>
      </c>
      <c r="O60" s="125">
        <v>973496.14</v>
      </c>
      <c r="P60">
        <v>100475</v>
      </c>
    </row>
    <row r="61" spans="1:16" x14ac:dyDescent="0.3">
      <c r="A61" t="s">
        <v>2115</v>
      </c>
      <c r="B61" t="s">
        <v>2116</v>
      </c>
      <c r="C61" t="s">
        <v>2189</v>
      </c>
      <c r="D61" t="s">
        <v>2152</v>
      </c>
      <c r="E61">
        <v>100477</v>
      </c>
      <c r="F61" t="s">
        <v>2658</v>
      </c>
      <c r="G61" t="s">
        <v>2191</v>
      </c>
      <c r="H61" t="s">
        <v>2133</v>
      </c>
      <c r="I61" t="s">
        <v>2133</v>
      </c>
      <c r="J61" s="125">
        <v>1115669.57</v>
      </c>
      <c r="K61">
        <v>0</v>
      </c>
      <c r="M61" t="s">
        <v>3076</v>
      </c>
      <c r="O61" s="125">
        <v>1115669.57</v>
      </c>
      <c r="P61">
        <v>100477</v>
      </c>
    </row>
    <row r="62" spans="1:16" x14ac:dyDescent="0.3">
      <c r="A62" t="s">
        <v>2115</v>
      </c>
      <c r="B62" t="s">
        <v>2116</v>
      </c>
      <c r="C62" t="s">
        <v>2189</v>
      </c>
      <c r="D62" t="s">
        <v>2152</v>
      </c>
      <c r="E62">
        <v>100479</v>
      </c>
      <c r="F62" t="s">
        <v>2659</v>
      </c>
      <c r="G62" t="s">
        <v>2191</v>
      </c>
      <c r="H62" t="s">
        <v>2133</v>
      </c>
      <c r="I62" t="s">
        <v>2133</v>
      </c>
      <c r="J62" s="125">
        <v>829090.49</v>
      </c>
      <c r="K62">
        <v>0</v>
      </c>
      <c r="M62" t="s">
        <v>3076</v>
      </c>
      <c r="O62" s="125">
        <v>829090.49</v>
      </c>
      <c r="P62">
        <v>100479</v>
      </c>
    </row>
    <row r="63" spans="1:16" x14ac:dyDescent="0.3">
      <c r="A63" t="s">
        <v>2115</v>
      </c>
      <c r="B63" t="s">
        <v>2116</v>
      </c>
      <c r="C63" t="s">
        <v>2189</v>
      </c>
      <c r="D63" t="s">
        <v>2152</v>
      </c>
      <c r="E63">
        <v>100481</v>
      </c>
      <c r="F63" t="s">
        <v>2660</v>
      </c>
      <c r="G63" t="s">
        <v>2191</v>
      </c>
      <c r="H63" t="s">
        <v>2133</v>
      </c>
      <c r="I63" t="s">
        <v>2133</v>
      </c>
      <c r="J63" s="125">
        <v>1087160.78</v>
      </c>
      <c r="K63">
        <v>0</v>
      </c>
      <c r="M63" t="s">
        <v>3076</v>
      </c>
      <c r="O63" s="125">
        <v>1087160.78</v>
      </c>
      <c r="P63">
        <v>100481</v>
      </c>
    </row>
    <row r="64" spans="1:16" x14ac:dyDescent="0.3">
      <c r="A64" t="s">
        <v>2115</v>
      </c>
      <c r="B64" t="s">
        <v>2116</v>
      </c>
      <c r="C64" t="s">
        <v>2189</v>
      </c>
      <c r="D64" t="s">
        <v>2152</v>
      </c>
      <c r="E64">
        <v>100483</v>
      </c>
      <c r="F64" t="s">
        <v>2661</v>
      </c>
      <c r="G64" t="s">
        <v>2191</v>
      </c>
      <c r="H64" t="s">
        <v>2133</v>
      </c>
      <c r="I64" t="s">
        <v>2133</v>
      </c>
      <c r="J64" s="125">
        <v>991956.75</v>
      </c>
      <c r="K64">
        <v>0</v>
      </c>
      <c r="M64" t="s">
        <v>3076</v>
      </c>
      <c r="O64" s="125">
        <v>991956.75</v>
      </c>
      <c r="P64">
        <v>100483</v>
      </c>
    </row>
    <row r="65" spans="1:16" x14ac:dyDescent="0.3">
      <c r="A65" t="s">
        <v>2115</v>
      </c>
      <c r="B65" t="s">
        <v>2116</v>
      </c>
      <c r="C65" t="s">
        <v>2189</v>
      </c>
      <c r="D65" t="s">
        <v>2152</v>
      </c>
      <c r="E65">
        <v>100485</v>
      </c>
      <c r="F65" t="s">
        <v>2662</v>
      </c>
      <c r="G65" t="s">
        <v>2191</v>
      </c>
      <c r="H65" t="s">
        <v>2133</v>
      </c>
      <c r="I65" t="s">
        <v>2133</v>
      </c>
      <c r="J65" s="125">
        <v>916403.37</v>
      </c>
      <c r="K65">
        <v>0</v>
      </c>
      <c r="M65" t="s">
        <v>3076</v>
      </c>
      <c r="O65" s="125">
        <v>916403.37</v>
      </c>
      <c r="P65">
        <v>100485</v>
      </c>
    </row>
    <row r="66" spans="1:16" x14ac:dyDescent="0.3">
      <c r="A66" t="s">
        <v>2115</v>
      </c>
      <c r="B66" t="s">
        <v>2116</v>
      </c>
      <c r="C66" t="s">
        <v>2189</v>
      </c>
      <c r="D66" t="s">
        <v>2152</v>
      </c>
      <c r="E66">
        <v>100487</v>
      </c>
      <c r="F66" t="s">
        <v>2663</v>
      </c>
      <c r="G66" t="s">
        <v>2191</v>
      </c>
      <c r="H66" t="s">
        <v>2133</v>
      </c>
      <c r="I66" t="s">
        <v>2133</v>
      </c>
      <c r="J66" s="125">
        <v>838538.06</v>
      </c>
      <c r="K66">
        <v>0</v>
      </c>
      <c r="M66" t="s">
        <v>3076</v>
      </c>
      <c r="O66" s="125">
        <v>838538.06</v>
      </c>
      <c r="P66">
        <v>100487</v>
      </c>
    </row>
    <row r="67" spans="1:16" x14ac:dyDescent="0.3">
      <c r="A67" t="s">
        <v>2115</v>
      </c>
      <c r="B67" t="s">
        <v>2116</v>
      </c>
      <c r="C67" t="s">
        <v>2189</v>
      </c>
      <c r="D67" t="s">
        <v>2152</v>
      </c>
      <c r="E67">
        <v>100489</v>
      </c>
      <c r="F67" t="s">
        <v>2664</v>
      </c>
      <c r="G67" t="s">
        <v>2191</v>
      </c>
      <c r="H67" t="s">
        <v>2133</v>
      </c>
      <c r="I67" t="s">
        <v>2133</v>
      </c>
      <c r="J67" s="125">
        <v>1087448.49</v>
      </c>
      <c r="K67">
        <v>0</v>
      </c>
      <c r="M67" t="s">
        <v>3076</v>
      </c>
      <c r="O67" s="125">
        <v>1087448.49</v>
      </c>
      <c r="P67">
        <v>100489</v>
      </c>
    </row>
    <row r="68" spans="1:16" x14ac:dyDescent="0.3">
      <c r="A68" t="s">
        <v>2115</v>
      </c>
      <c r="B68" t="s">
        <v>2116</v>
      </c>
      <c r="C68" t="s">
        <v>2189</v>
      </c>
      <c r="D68" t="s">
        <v>2152</v>
      </c>
      <c r="E68">
        <v>100491</v>
      </c>
      <c r="F68" t="s">
        <v>2665</v>
      </c>
      <c r="G68" t="s">
        <v>2191</v>
      </c>
      <c r="H68" t="s">
        <v>2133</v>
      </c>
      <c r="I68" t="s">
        <v>2133</v>
      </c>
      <c r="J68" s="125">
        <v>766621.33</v>
      </c>
      <c r="K68">
        <v>0</v>
      </c>
      <c r="M68" t="s">
        <v>3076</v>
      </c>
      <c r="O68" s="125">
        <v>766621.33</v>
      </c>
      <c r="P68">
        <v>100491</v>
      </c>
    </row>
    <row r="69" spans="1:16" x14ac:dyDescent="0.3">
      <c r="A69" t="s">
        <v>2115</v>
      </c>
      <c r="B69" t="s">
        <v>2116</v>
      </c>
      <c r="C69" t="s">
        <v>2189</v>
      </c>
      <c r="D69" t="s">
        <v>2152</v>
      </c>
      <c r="E69">
        <v>100493</v>
      </c>
      <c r="F69" t="s">
        <v>2737</v>
      </c>
      <c r="G69" t="s">
        <v>2191</v>
      </c>
      <c r="H69" t="s">
        <v>2133</v>
      </c>
      <c r="I69" t="s">
        <v>2133</v>
      </c>
      <c r="J69" s="125">
        <v>270032.82</v>
      </c>
      <c r="K69">
        <v>0</v>
      </c>
      <c r="M69" t="s">
        <v>3076</v>
      </c>
      <c r="O69" s="125">
        <v>270032.82</v>
      </c>
      <c r="P69">
        <v>100493</v>
      </c>
    </row>
    <row r="70" spans="1:16" x14ac:dyDescent="0.3">
      <c r="A70" t="s">
        <v>2115</v>
      </c>
      <c r="B70" t="s">
        <v>2116</v>
      </c>
      <c r="C70" t="s">
        <v>2189</v>
      </c>
      <c r="D70" t="s">
        <v>2152</v>
      </c>
      <c r="E70">
        <v>100495</v>
      </c>
      <c r="F70" t="s">
        <v>2753</v>
      </c>
      <c r="G70" t="s">
        <v>2191</v>
      </c>
      <c r="H70" t="s">
        <v>2133</v>
      </c>
      <c r="I70" t="s">
        <v>2133</v>
      </c>
      <c r="J70" s="125">
        <v>261711.78</v>
      </c>
      <c r="K70">
        <v>0</v>
      </c>
      <c r="M70" t="s">
        <v>3076</v>
      </c>
      <c r="O70" s="125">
        <v>261711.78</v>
      </c>
      <c r="P70">
        <v>100495</v>
      </c>
    </row>
    <row r="71" spans="1:16" x14ac:dyDescent="0.3">
      <c r="A71" t="s">
        <v>2115</v>
      </c>
      <c r="B71" t="s">
        <v>2116</v>
      </c>
      <c r="C71" t="s">
        <v>2189</v>
      </c>
      <c r="D71" t="s">
        <v>2152</v>
      </c>
      <c r="E71">
        <v>100497</v>
      </c>
      <c r="F71" t="s">
        <v>2754</v>
      </c>
      <c r="G71" t="s">
        <v>2191</v>
      </c>
      <c r="H71" t="s">
        <v>2133</v>
      </c>
      <c r="I71" t="s">
        <v>2133</v>
      </c>
      <c r="J71" s="125">
        <v>330943.51</v>
      </c>
      <c r="K71">
        <v>0</v>
      </c>
      <c r="M71" t="s">
        <v>3076</v>
      </c>
      <c r="O71" s="125">
        <v>330943.51</v>
      </c>
      <c r="P71">
        <v>100497</v>
      </c>
    </row>
    <row r="72" spans="1:16" x14ac:dyDescent="0.3">
      <c r="A72" t="s">
        <v>2115</v>
      </c>
      <c r="B72" t="s">
        <v>2116</v>
      </c>
      <c r="C72" t="s">
        <v>2189</v>
      </c>
      <c r="D72" t="s">
        <v>2152</v>
      </c>
      <c r="E72">
        <v>100499</v>
      </c>
      <c r="F72" t="s">
        <v>2755</v>
      </c>
      <c r="G72" t="s">
        <v>2191</v>
      </c>
      <c r="H72" t="s">
        <v>2133</v>
      </c>
      <c r="I72" t="s">
        <v>2133</v>
      </c>
      <c r="J72" s="125">
        <v>143607.9</v>
      </c>
      <c r="K72">
        <v>0</v>
      </c>
      <c r="M72" t="s">
        <v>3076</v>
      </c>
      <c r="O72" s="125">
        <v>143607.9</v>
      </c>
      <c r="P72">
        <v>100499</v>
      </c>
    </row>
    <row r="73" spans="1:16" x14ac:dyDescent="0.3">
      <c r="A73" t="s">
        <v>2115</v>
      </c>
      <c r="B73" t="s">
        <v>2116</v>
      </c>
      <c r="D73" t="s">
        <v>2117</v>
      </c>
      <c r="E73">
        <v>100501</v>
      </c>
      <c r="F73" t="s">
        <v>2756</v>
      </c>
      <c r="G73" t="s">
        <v>2757</v>
      </c>
      <c r="H73" t="s">
        <v>2133</v>
      </c>
      <c r="I73" t="s">
        <v>2133</v>
      </c>
      <c r="J73" s="125">
        <v>3399355.54</v>
      </c>
      <c r="K73">
        <v>0</v>
      </c>
      <c r="M73" t="s">
        <v>3076</v>
      </c>
      <c r="O73" s="125">
        <v>3399355.54</v>
      </c>
      <c r="P73">
        <v>100501</v>
      </c>
    </row>
    <row r="74" spans="1:16" x14ac:dyDescent="0.3">
      <c r="A74" t="s">
        <v>2115</v>
      </c>
      <c r="B74" t="s">
        <v>2116</v>
      </c>
      <c r="D74" t="s">
        <v>2117</v>
      </c>
      <c r="E74">
        <v>100503</v>
      </c>
      <c r="F74" t="s">
        <v>2758</v>
      </c>
      <c r="G74" t="s">
        <v>2757</v>
      </c>
      <c r="H74" t="s">
        <v>2133</v>
      </c>
      <c r="I74" t="s">
        <v>2133</v>
      </c>
      <c r="J74" s="125">
        <v>-1302951.51</v>
      </c>
      <c r="K74">
        <v>0</v>
      </c>
      <c r="M74" t="s">
        <v>3076</v>
      </c>
      <c r="O74" s="125">
        <v>-1302951.51</v>
      </c>
      <c r="P74">
        <v>100503</v>
      </c>
    </row>
    <row r="75" spans="1:16" x14ac:dyDescent="0.3">
      <c r="A75" t="s">
        <v>2115</v>
      </c>
      <c r="B75" t="s">
        <v>2116</v>
      </c>
      <c r="C75" t="s">
        <v>2189</v>
      </c>
      <c r="D75" t="s">
        <v>2152</v>
      </c>
      <c r="E75">
        <v>100505</v>
      </c>
      <c r="F75" t="s">
        <v>2775</v>
      </c>
      <c r="G75" t="s">
        <v>2191</v>
      </c>
      <c r="H75" t="s">
        <v>2133</v>
      </c>
      <c r="I75" t="s">
        <v>2133</v>
      </c>
      <c r="J75" s="125">
        <v>154101.24</v>
      </c>
      <c r="K75">
        <v>0</v>
      </c>
      <c r="M75" t="s">
        <v>3076</v>
      </c>
      <c r="O75" s="125">
        <v>154101.24</v>
      </c>
      <c r="P75">
        <v>100505</v>
      </c>
    </row>
    <row r="76" spans="1:16" x14ac:dyDescent="0.3">
      <c r="A76" t="s">
        <v>2115</v>
      </c>
      <c r="B76" t="s">
        <v>2116</v>
      </c>
      <c r="C76" t="s">
        <v>2189</v>
      </c>
      <c r="D76" t="s">
        <v>2152</v>
      </c>
      <c r="E76">
        <v>100509</v>
      </c>
      <c r="F76" t="s">
        <v>2764</v>
      </c>
      <c r="G76" t="s">
        <v>2191</v>
      </c>
      <c r="H76" t="s">
        <v>2133</v>
      </c>
      <c r="I76" t="s">
        <v>2133</v>
      </c>
      <c r="J76" s="125">
        <v>57320.6</v>
      </c>
      <c r="K76">
        <v>0</v>
      </c>
      <c r="M76" t="s">
        <v>3076</v>
      </c>
      <c r="O76" s="125">
        <v>57320.6</v>
      </c>
      <c r="P76">
        <v>100509</v>
      </c>
    </row>
    <row r="77" spans="1:16" x14ac:dyDescent="0.3">
      <c r="A77" t="s">
        <v>2115</v>
      </c>
      <c r="B77" t="s">
        <v>2116</v>
      </c>
      <c r="C77" t="s">
        <v>2189</v>
      </c>
      <c r="D77" t="s">
        <v>2152</v>
      </c>
      <c r="E77">
        <v>100513</v>
      </c>
      <c r="F77" t="s">
        <v>2765</v>
      </c>
      <c r="G77" t="s">
        <v>2191</v>
      </c>
      <c r="H77" t="s">
        <v>2133</v>
      </c>
      <c r="I77" t="s">
        <v>2133</v>
      </c>
      <c r="J77" s="125">
        <v>411699.71</v>
      </c>
      <c r="K77">
        <v>0</v>
      </c>
      <c r="M77" t="s">
        <v>3076</v>
      </c>
      <c r="O77" s="125">
        <v>411699.71</v>
      </c>
      <c r="P77">
        <v>100513</v>
      </c>
    </row>
    <row r="78" spans="1:16" x14ac:dyDescent="0.3">
      <c r="A78" t="s">
        <v>2115</v>
      </c>
      <c r="B78" t="s">
        <v>2116</v>
      </c>
      <c r="C78" t="s">
        <v>2189</v>
      </c>
      <c r="D78" t="s">
        <v>2152</v>
      </c>
      <c r="E78">
        <v>100515</v>
      </c>
      <c r="F78" t="s">
        <v>2766</v>
      </c>
      <c r="G78" t="s">
        <v>2191</v>
      </c>
      <c r="H78" t="s">
        <v>2133</v>
      </c>
      <c r="I78" t="s">
        <v>2133</v>
      </c>
      <c r="J78" s="125">
        <v>110808.86</v>
      </c>
      <c r="K78">
        <v>0</v>
      </c>
      <c r="M78" t="s">
        <v>3076</v>
      </c>
      <c r="O78" s="125">
        <v>110808.86</v>
      </c>
      <c r="P78">
        <v>100515</v>
      </c>
    </row>
    <row r="79" spans="1:16" x14ac:dyDescent="0.3">
      <c r="A79" t="s">
        <v>2115</v>
      </c>
      <c r="B79" t="s">
        <v>2116</v>
      </c>
      <c r="D79" t="s">
        <v>2199</v>
      </c>
      <c r="E79">
        <v>100601</v>
      </c>
      <c r="F79" t="s">
        <v>2200</v>
      </c>
      <c r="G79" t="s">
        <v>2201</v>
      </c>
      <c r="H79" t="s">
        <v>2202</v>
      </c>
      <c r="I79" t="s">
        <v>2203</v>
      </c>
      <c r="J79" s="125">
        <v>12654421.800000001</v>
      </c>
      <c r="K79">
        <v>0</v>
      </c>
      <c r="M79" t="s">
        <v>3076</v>
      </c>
      <c r="O79" s="125">
        <v>12654421.800000001</v>
      </c>
      <c r="P79">
        <v>100601</v>
      </c>
    </row>
    <row r="80" spans="1:16" x14ac:dyDescent="0.3">
      <c r="A80" t="s">
        <v>2115</v>
      </c>
      <c r="B80" t="s">
        <v>2116</v>
      </c>
      <c r="D80" t="s">
        <v>2199</v>
      </c>
      <c r="E80">
        <v>100603</v>
      </c>
      <c r="F80" t="s">
        <v>2666</v>
      </c>
      <c r="G80" t="s">
        <v>2667</v>
      </c>
      <c r="H80" t="s">
        <v>2133</v>
      </c>
      <c r="I80" t="s">
        <v>2133</v>
      </c>
      <c r="J80" s="125">
        <v>491899.5</v>
      </c>
      <c r="K80">
        <v>0</v>
      </c>
      <c r="M80" t="s">
        <v>3076</v>
      </c>
      <c r="O80" s="125">
        <v>491899.5</v>
      </c>
      <c r="P80">
        <v>100603</v>
      </c>
    </row>
    <row r="81" spans="1:16" x14ac:dyDescent="0.3">
      <c r="A81" t="s">
        <v>2115</v>
      </c>
      <c r="B81" t="s">
        <v>2116</v>
      </c>
      <c r="D81" t="s">
        <v>2199</v>
      </c>
      <c r="E81">
        <v>100605</v>
      </c>
      <c r="F81" t="s">
        <v>2204</v>
      </c>
      <c r="G81" t="s">
        <v>2205</v>
      </c>
      <c r="H81" t="s">
        <v>2202</v>
      </c>
      <c r="I81" t="s">
        <v>2206</v>
      </c>
      <c r="J81" s="125">
        <v>46954.62</v>
      </c>
      <c r="K81">
        <v>2066</v>
      </c>
      <c r="M81" t="s">
        <v>3076</v>
      </c>
      <c r="O81" s="125">
        <v>49020.62</v>
      </c>
      <c r="P81">
        <v>100605</v>
      </c>
    </row>
    <row r="82" spans="1:16" x14ac:dyDescent="0.3">
      <c r="A82" t="s">
        <v>2115</v>
      </c>
      <c r="B82" t="s">
        <v>2116</v>
      </c>
      <c r="D82" t="s">
        <v>2207</v>
      </c>
      <c r="E82">
        <v>100607</v>
      </c>
      <c r="F82" t="s">
        <v>2208</v>
      </c>
      <c r="H82" t="s">
        <v>2202</v>
      </c>
      <c r="I82" t="s">
        <v>2209</v>
      </c>
      <c r="J82" s="125">
        <v>17114347.02</v>
      </c>
      <c r="K82">
        <v>0</v>
      </c>
      <c r="M82" t="s">
        <v>3076</v>
      </c>
      <c r="O82" s="125">
        <v>17114347.02</v>
      </c>
      <c r="P82">
        <v>100607</v>
      </c>
    </row>
    <row r="83" spans="1:16" x14ac:dyDescent="0.3">
      <c r="A83" t="s">
        <v>2115</v>
      </c>
      <c r="B83" t="s">
        <v>2116</v>
      </c>
      <c r="D83" t="s">
        <v>2207</v>
      </c>
      <c r="E83">
        <v>100609</v>
      </c>
      <c r="F83" t="s">
        <v>2210</v>
      </c>
      <c r="H83" t="s">
        <v>2211</v>
      </c>
      <c r="I83" t="s">
        <v>2212</v>
      </c>
      <c r="J83">
        <v>0</v>
      </c>
      <c r="K83">
        <v>0</v>
      </c>
      <c r="M83" t="s">
        <v>3077</v>
      </c>
      <c r="O83">
        <v>0</v>
      </c>
      <c r="P83">
        <v>100609</v>
      </c>
    </row>
    <row r="84" spans="1:16" x14ac:dyDescent="0.3">
      <c r="A84" t="s">
        <v>2115</v>
      </c>
      <c r="B84" t="s">
        <v>2116</v>
      </c>
      <c r="D84" t="s">
        <v>2207</v>
      </c>
      <c r="E84">
        <v>100611</v>
      </c>
      <c r="F84" t="s">
        <v>2213</v>
      </c>
      <c r="H84" t="s">
        <v>2211</v>
      </c>
      <c r="I84" t="s">
        <v>2212</v>
      </c>
      <c r="J84">
        <v>3992</v>
      </c>
      <c r="K84">
        <v>0</v>
      </c>
      <c r="M84" t="s">
        <v>3076</v>
      </c>
      <c r="O84" s="125">
        <v>3992</v>
      </c>
      <c r="P84">
        <v>100611</v>
      </c>
    </row>
    <row r="85" spans="1:16" x14ac:dyDescent="0.3">
      <c r="A85" t="s">
        <v>2115</v>
      </c>
      <c r="B85" t="s">
        <v>2116</v>
      </c>
      <c r="D85" t="s">
        <v>2207</v>
      </c>
      <c r="E85">
        <v>100615</v>
      </c>
      <c r="F85" t="s">
        <v>2214</v>
      </c>
      <c r="H85" t="s">
        <v>2202</v>
      </c>
      <c r="I85" t="s">
        <v>2215</v>
      </c>
      <c r="J85" s="125">
        <v>120180.32</v>
      </c>
      <c r="K85">
        <v>0</v>
      </c>
      <c r="M85" t="s">
        <v>3076</v>
      </c>
      <c r="O85" s="125">
        <v>120180.32</v>
      </c>
      <c r="P85">
        <v>100615</v>
      </c>
    </row>
    <row r="86" spans="1:16" x14ac:dyDescent="0.3">
      <c r="A86" t="s">
        <v>2115</v>
      </c>
      <c r="B86" t="s">
        <v>2116</v>
      </c>
      <c r="D86" t="s">
        <v>2207</v>
      </c>
      <c r="E86">
        <v>100621</v>
      </c>
      <c r="F86" t="s">
        <v>2216</v>
      </c>
      <c r="H86" t="s">
        <v>2202</v>
      </c>
      <c r="I86" t="s">
        <v>2215</v>
      </c>
      <c r="J86" s="125">
        <v>135934.92000000001</v>
      </c>
      <c r="K86">
        <v>0</v>
      </c>
      <c r="M86" t="s">
        <v>3076</v>
      </c>
      <c r="O86" s="125">
        <v>135934.92000000001</v>
      </c>
      <c r="P86">
        <v>100621</v>
      </c>
    </row>
    <row r="87" spans="1:16" x14ac:dyDescent="0.3">
      <c r="A87" t="s">
        <v>2115</v>
      </c>
      <c r="B87" t="s">
        <v>2116</v>
      </c>
      <c r="D87" t="s">
        <v>2217</v>
      </c>
      <c r="E87">
        <v>100622</v>
      </c>
      <c r="F87" t="s">
        <v>2218</v>
      </c>
      <c r="H87" t="s">
        <v>2211</v>
      </c>
      <c r="I87" t="s">
        <v>2212</v>
      </c>
      <c r="J87" s="126">
        <v>108000</v>
      </c>
      <c r="K87">
        <v>0</v>
      </c>
      <c r="M87" t="s">
        <v>3076</v>
      </c>
      <c r="O87" s="125">
        <v>108000</v>
      </c>
      <c r="P87">
        <v>100622</v>
      </c>
    </row>
    <row r="88" spans="1:16" x14ac:dyDescent="0.3">
      <c r="A88" t="s">
        <v>2115</v>
      </c>
      <c r="B88" t="s">
        <v>2116</v>
      </c>
      <c r="D88" t="s">
        <v>2199</v>
      </c>
      <c r="E88">
        <v>100623</v>
      </c>
      <c r="F88" t="s">
        <v>2668</v>
      </c>
      <c r="G88" t="s">
        <v>2669</v>
      </c>
      <c r="H88" t="s">
        <v>2133</v>
      </c>
      <c r="I88" t="s">
        <v>2133</v>
      </c>
      <c r="J88" s="125">
        <v>2888550.21</v>
      </c>
      <c r="K88">
        <v>0</v>
      </c>
      <c r="M88" t="s">
        <v>3076</v>
      </c>
      <c r="O88" s="125">
        <v>2888550.21</v>
      </c>
      <c r="P88">
        <v>100623</v>
      </c>
    </row>
    <row r="89" spans="1:16" x14ac:dyDescent="0.3">
      <c r="A89" t="s">
        <v>2115</v>
      </c>
      <c r="B89" t="s">
        <v>2116</v>
      </c>
      <c r="D89" t="s">
        <v>2199</v>
      </c>
      <c r="E89">
        <v>100625</v>
      </c>
      <c r="F89" t="s">
        <v>2670</v>
      </c>
      <c r="G89" t="s">
        <v>2669</v>
      </c>
      <c r="H89" t="s">
        <v>2133</v>
      </c>
      <c r="I89" t="s">
        <v>2133</v>
      </c>
      <c r="J89" s="125">
        <v>894050.18</v>
      </c>
      <c r="K89">
        <v>0</v>
      </c>
      <c r="M89" t="s">
        <v>3076</v>
      </c>
      <c r="O89" s="125">
        <v>894050.18</v>
      </c>
      <c r="P89">
        <v>100625</v>
      </c>
    </row>
    <row r="90" spans="1:16" x14ac:dyDescent="0.3">
      <c r="A90" t="s">
        <v>2115</v>
      </c>
      <c r="B90" t="s">
        <v>2116</v>
      </c>
      <c r="D90" t="s">
        <v>2199</v>
      </c>
      <c r="E90">
        <v>100627</v>
      </c>
      <c r="F90" t="s">
        <v>2671</v>
      </c>
      <c r="G90" t="s">
        <v>2669</v>
      </c>
      <c r="H90" t="s">
        <v>2133</v>
      </c>
      <c r="I90" t="s">
        <v>2133</v>
      </c>
      <c r="J90" s="125">
        <v>978336.66</v>
      </c>
      <c r="K90">
        <v>0</v>
      </c>
      <c r="M90" t="s">
        <v>3076</v>
      </c>
      <c r="O90" s="125">
        <v>978336.66</v>
      </c>
      <c r="P90">
        <v>100627</v>
      </c>
    </row>
    <row r="91" spans="1:16" x14ac:dyDescent="0.3">
      <c r="A91" t="s">
        <v>2115</v>
      </c>
      <c r="B91" t="s">
        <v>2116</v>
      </c>
      <c r="D91" t="s">
        <v>2207</v>
      </c>
      <c r="E91">
        <v>100629</v>
      </c>
      <c r="F91" t="s">
        <v>2703</v>
      </c>
      <c r="H91" t="s">
        <v>2133</v>
      </c>
      <c r="I91" t="s">
        <v>2133</v>
      </c>
      <c r="J91">
        <v>0</v>
      </c>
      <c r="K91">
        <v>0</v>
      </c>
      <c r="M91" t="s">
        <v>3077</v>
      </c>
      <c r="O91">
        <v>0</v>
      </c>
      <c r="P91">
        <v>100629</v>
      </c>
    </row>
    <row r="92" spans="1:16" x14ac:dyDescent="0.3">
      <c r="A92" t="s">
        <v>2115</v>
      </c>
      <c r="B92" t="s">
        <v>2116</v>
      </c>
      <c r="D92" t="s">
        <v>2207</v>
      </c>
      <c r="E92">
        <v>100631</v>
      </c>
      <c r="F92" t="s">
        <v>2704</v>
      </c>
      <c r="H92" t="s">
        <v>2133</v>
      </c>
      <c r="I92" t="s">
        <v>2133</v>
      </c>
      <c r="J92">
        <v>0</v>
      </c>
      <c r="K92">
        <v>0</v>
      </c>
      <c r="M92" t="s">
        <v>3077</v>
      </c>
      <c r="O92">
        <v>0</v>
      </c>
      <c r="P92">
        <v>100631</v>
      </c>
    </row>
    <row r="93" spans="1:16" x14ac:dyDescent="0.3">
      <c r="A93" t="s">
        <v>2115</v>
      </c>
      <c r="B93" t="s">
        <v>2116</v>
      </c>
      <c r="D93" t="s">
        <v>2199</v>
      </c>
      <c r="E93">
        <v>100635</v>
      </c>
      <c r="F93" t="s">
        <v>2726</v>
      </c>
      <c r="G93" t="s">
        <v>2727</v>
      </c>
      <c r="H93" t="s">
        <v>2133</v>
      </c>
      <c r="I93" t="s">
        <v>2133</v>
      </c>
      <c r="J93" s="126">
        <v>7918688</v>
      </c>
      <c r="K93">
        <v>0</v>
      </c>
      <c r="M93" t="s">
        <v>3076</v>
      </c>
      <c r="O93" s="125">
        <v>7918688</v>
      </c>
      <c r="P93">
        <v>100635</v>
      </c>
    </row>
    <row r="94" spans="1:16" x14ac:dyDescent="0.3">
      <c r="A94" t="s">
        <v>2115</v>
      </c>
      <c r="B94" t="s">
        <v>2116</v>
      </c>
      <c r="D94" t="s">
        <v>2207</v>
      </c>
      <c r="E94">
        <v>100637</v>
      </c>
      <c r="F94" t="s">
        <v>2738</v>
      </c>
      <c r="H94" t="s">
        <v>2133</v>
      </c>
      <c r="I94" t="s">
        <v>2133</v>
      </c>
      <c r="J94">
        <v>44.98</v>
      </c>
      <c r="K94">
        <v>0</v>
      </c>
      <c r="M94" t="s">
        <v>3076</v>
      </c>
      <c r="O94">
        <v>44.98</v>
      </c>
      <c r="P94">
        <v>100637</v>
      </c>
    </row>
    <row r="95" spans="1:16" x14ac:dyDescent="0.3">
      <c r="A95" t="s">
        <v>2115</v>
      </c>
      <c r="B95" t="s">
        <v>2116</v>
      </c>
      <c r="D95" t="s">
        <v>2219</v>
      </c>
      <c r="E95">
        <v>120209</v>
      </c>
      <c r="F95" t="s">
        <v>2220</v>
      </c>
      <c r="H95" t="s">
        <v>2221</v>
      </c>
      <c r="I95" t="s">
        <v>2222</v>
      </c>
      <c r="J95" s="125">
        <v>5244545.07</v>
      </c>
      <c r="K95">
        <v>0</v>
      </c>
      <c r="M95" t="s">
        <v>3076</v>
      </c>
      <c r="O95" s="125">
        <v>5244545.07</v>
      </c>
      <c r="P95">
        <v>120209</v>
      </c>
    </row>
    <row r="96" spans="1:16" x14ac:dyDescent="0.3">
      <c r="A96" t="s">
        <v>2115</v>
      </c>
      <c r="B96" t="s">
        <v>2116</v>
      </c>
      <c r="D96" t="s">
        <v>2223</v>
      </c>
      <c r="E96">
        <v>140201</v>
      </c>
      <c r="F96" t="s">
        <v>2224</v>
      </c>
      <c r="H96" t="s">
        <v>2225</v>
      </c>
      <c r="I96" t="s">
        <v>2226</v>
      </c>
      <c r="J96" s="125">
        <v>13611788.140000001</v>
      </c>
      <c r="K96" s="125">
        <v>167319.49</v>
      </c>
      <c r="M96" t="s">
        <v>3076</v>
      </c>
      <c r="O96" s="125">
        <v>13779107.630000001</v>
      </c>
      <c r="P96">
        <v>140201</v>
      </c>
    </row>
    <row r="97" spans="1:16" x14ac:dyDescent="0.3">
      <c r="A97" t="s">
        <v>2115</v>
      </c>
      <c r="B97" t="s">
        <v>2116</v>
      </c>
      <c r="D97" t="s">
        <v>2223</v>
      </c>
      <c r="E97">
        <v>140205</v>
      </c>
      <c r="F97" t="s">
        <v>2227</v>
      </c>
      <c r="H97" t="s">
        <v>2225</v>
      </c>
      <c r="I97" t="s">
        <v>2226</v>
      </c>
      <c r="J97" s="125">
        <v>-590461.28</v>
      </c>
      <c r="K97">
        <v>0</v>
      </c>
      <c r="M97" t="s">
        <v>3076</v>
      </c>
      <c r="O97" s="125">
        <v>-590461.28</v>
      </c>
      <c r="P97">
        <v>140205</v>
      </c>
    </row>
    <row r="98" spans="1:16" x14ac:dyDescent="0.3">
      <c r="A98" t="s">
        <v>2115</v>
      </c>
      <c r="B98" t="s">
        <v>2116</v>
      </c>
      <c r="D98" t="s">
        <v>2223</v>
      </c>
      <c r="E98">
        <v>140219</v>
      </c>
      <c r="F98" t="s">
        <v>2228</v>
      </c>
      <c r="H98" t="s">
        <v>2225</v>
      </c>
      <c r="I98" t="s">
        <v>2229</v>
      </c>
      <c r="J98">
        <v>146.4</v>
      </c>
      <c r="K98">
        <v>0</v>
      </c>
      <c r="M98" t="s">
        <v>3076</v>
      </c>
      <c r="O98">
        <v>146.4</v>
      </c>
      <c r="P98">
        <v>140219</v>
      </c>
    </row>
    <row r="99" spans="1:16" x14ac:dyDescent="0.3">
      <c r="A99" t="s">
        <v>2115</v>
      </c>
      <c r="B99" t="s">
        <v>2116</v>
      </c>
      <c r="D99" t="s">
        <v>2223</v>
      </c>
      <c r="E99">
        <v>140221</v>
      </c>
      <c r="F99" t="s">
        <v>2230</v>
      </c>
      <c r="H99" t="s">
        <v>2225</v>
      </c>
      <c r="I99" t="s">
        <v>2229</v>
      </c>
      <c r="J99" s="125">
        <v>113167.29</v>
      </c>
      <c r="K99">
        <v>0</v>
      </c>
      <c r="M99" t="s">
        <v>3076</v>
      </c>
      <c r="O99" s="125">
        <v>113167.29</v>
      </c>
      <c r="P99">
        <v>140221</v>
      </c>
    </row>
    <row r="100" spans="1:16" x14ac:dyDescent="0.3">
      <c r="A100" t="s">
        <v>2115</v>
      </c>
      <c r="B100" t="s">
        <v>2116</v>
      </c>
      <c r="D100" t="s">
        <v>2231</v>
      </c>
      <c r="E100">
        <v>140223</v>
      </c>
      <c r="F100" t="s">
        <v>2232</v>
      </c>
      <c r="H100" t="s">
        <v>2225</v>
      </c>
      <c r="I100" t="s">
        <v>2229</v>
      </c>
      <c r="J100" s="125">
        <v>116452.71</v>
      </c>
      <c r="K100">
        <v>0</v>
      </c>
      <c r="M100" t="s">
        <v>3076</v>
      </c>
      <c r="O100" s="125">
        <v>116452.71</v>
      </c>
      <c r="P100">
        <v>140223</v>
      </c>
    </row>
    <row r="101" spans="1:16" x14ac:dyDescent="0.3">
      <c r="A101" t="s">
        <v>2115</v>
      </c>
      <c r="B101" t="s">
        <v>2116</v>
      </c>
      <c r="D101" t="s">
        <v>2223</v>
      </c>
      <c r="E101">
        <v>140225</v>
      </c>
      <c r="F101" t="s">
        <v>2233</v>
      </c>
      <c r="H101" t="s">
        <v>2225</v>
      </c>
      <c r="I101" t="s">
        <v>2226</v>
      </c>
      <c r="J101">
        <v>1525</v>
      </c>
      <c r="K101">
        <v>0</v>
      </c>
      <c r="M101" t="s">
        <v>3076</v>
      </c>
      <c r="O101" s="125">
        <v>1525</v>
      </c>
      <c r="P101">
        <v>140225</v>
      </c>
    </row>
    <row r="102" spans="1:16" x14ac:dyDescent="0.3">
      <c r="A102" t="s">
        <v>2115</v>
      </c>
      <c r="B102" t="s">
        <v>2116</v>
      </c>
      <c r="D102" t="s">
        <v>2207</v>
      </c>
      <c r="E102">
        <v>140227</v>
      </c>
      <c r="F102" t="s">
        <v>2234</v>
      </c>
      <c r="H102" t="s">
        <v>2211</v>
      </c>
      <c r="I102" t="s">
        <v>2212</v>
      </c>
      <c r="J102" s="125">
        <v>563849.75</v>
      </c>
      <c r="K102">
        <v>0</v>
      </c>
      <c r="M102" t="s">
        <v>3076</v>
      </c>
      <c r="O102" s="125">
        <v>563849.75</v>
      </c>
      <c r="P102">
        <v>140227</v>
      </c>
    </row>
    <row r="103" spans="1:16" x14ac:dyDescent="0.3">
      <c r="A103" t="s">
        <v>2115</v>
      </c>
      <c r="B103" t="s">
        <v>2116</v>
      </c>
      <c r="D103" t="s">
        <v>2223</v>
      </c>
      <c r="E103">
        <v>140229</v>
      </c>
      <c r="F103" t="s">
        <v>2759</v>
      </c>
      <c r="H103" t="s">
        <v>2133</v>
      </c>
      <c r="I103" t="s">
        <v>2133</v>
      </c>
      <c r="J103" s="125">
        <v>1700391.73</v>
      </c>
      <c r="K103">
        <v>0</v>
      </c>
      <c r="M103" t="s">
        <v>3076</v>
      </c>
      <c r="O103" s="125">
        <v>1700391.73</v>
      </c>
      <c r="P103">
        <v>140229</v>
      </c>
    </row>
    <row r="104" spans="1:16" x14ac:dyDescent="0.3">
      <c r="A104" t="s">
        <v>2115</v>
      </c>
      <c r="B104" t="s">
        <v>2116</v>
      </c>
      <c r="D104" t="s">
        <v>2199</v>
      </c>
      <c r="E104">
        <v>160201</v>
      </c>
      <c r="F104" t="s">
        <v>2235</v>
      </c>
      <c r="G104" t="s">
        <v>2205</v>
      </c>
      <c r="H104" t="s">
        <v>2236</v>
      </c>
      <c r="I104" t="s">
        <v>2237</v>
      </c>
      <c r="J104" s="125">
        <v>461829.21</v>
      </c>
      <c r="K104">
        <v>0</v>
      </c>
      <c r="M104" t="s">
        <v>3076</v>
      </c>
      <c r="O104" s="125">
        <v>461829.21</v>
      </c>
      <c r="P104">
        <v>160201</v>
      </c>
    </row>
    <row r="105" spans="1:16" x14ac:dyDescent="0.3">
      <c r="A105" t="s">
        <v>2115</v>
      </c>
      <c r="B105" t="s">
        <v>2402</v>
      </c>
      <c r="C105" t="s">
        <v>2403</v>
      </c>
      <c r="D105" t="s">
        <v>2408</v>
      </c>
      <c r="E105">
        <v>160203</v>
      </c>
      <c r="F105" t="s">
        <v>2645</v>
      </c>
      <c r="H105" t="s">
        <v>2211</v>
      </c>
      <c r="I105" t="s">
        <v>2212</v>
      </c>
      <c r="J105">
        <v>-756.79</v>
      </c>
      <c r="K105">
        <v>0</v>
      </c>
      <c r="M105" t="s">
        <v>3076</v>
      </c>
      <c r="O105">
        <v>-756.79</v>
      </c>
      <c r="P105">
        <v>160203</v>
      </c>
    </row>
    <row r="106" spans="1:16" x14ac:dyDescent="0.3">
      <c r="A106" t="s">
        <v>2115</v>
      </c>
      <c r="B106" t="s">
        <v>2116</v>
      </c>
      <c r="D106" t="s">
        <v>2207</v>
      </c>
      <c r="E106">
        <v>160205</v>
      </c>
      <c r="F106" t="s">
        <v>2776</v>
      </c>
      <c r="H106" t="s">
        <v>2236</v>
      </c>
      <c r="I106" t="s">
        <v>2237</v>
      </c>
      <c r="J106" s="125">
        <v>-28579.75</v>
      </c>
      <c r="K106">
        <v>0</v>
      </c>
      <c r="M106" t="s">
        <v>3076</v>
      </c>
      <c r="O106" s="125">
        <v>-28579.75</v>
      </c>
      <c r="P106">
        <v>160205</v>
      </c>
    </row>
    <row r="107" spans="1:16" x14ac:dyDescent="0.3">
      <c r="A107" t="s">
        <v>2115</v>
      </c>
      <c r="B107" t="s">
        <v>2116</v>
      </c>
      <c r="D107" t="s">
        <v>2223</v>
      </c>
      <c r="E107">
        <v>160207</v>
      </c>
      <c r="F107" t="s">
        <v>2238</v>
      </c>
      <c r="H107" t="s">
        <v>2236</v>
      </c>
      <c r="I107" t="s">
        <v>2226</v>
      </c>
      <c r="J107" s="125">
        <v>17628920.23</v>
      </c>
      <c r="K107" s="125">
        <v>33623.11</v>
      </c>
      <c r="M107" t="s">
        <v>3076</v>
      </c>
      <c r="O107" s="125">
        <v>17662543.34</v>
      </c>
      <c r="P107">
        <v>160207</v>
      </c>
    </row>
    <row r="108" spans="1:16" x14ac:dyDescent="0.3">
      <c r="A108" t="s">
        <v>2115</v>
      </c>
      <c r="B108" t="s">
        <v>2116</v>
      </c>
      <c r="D108" t="s">
        <v>2207</v>
      </c>
      <c r="E108">
        <v>160208</v>
      </c>
      <c r="F108" t="s">
        <v>2239</v>
      </c>
      <c r="H108" t="s">
        <v>2236</v>
      </c>
      <c r="I108" t="s">
        <v>2229</v>
      </c>
      <c r="J108" s="125">
        <v>353316.06</v>
      </c>
      <c r="K108">
        <v>0</v>
      </c>
      <c r="M108" t="s">
        <v>3076</v>
      </c>
      <c r="O108" s="125">
        <v>353316.06</v>
      </c>
      <c r="P108">
        <v>160208</v>
      </c>
    </row>
    <row r="109" spans="1:16" x14ac:dyDescent="0.3">
      <c r="A109" t="s">
        <v>2115</v>
      </c>
      <c r="B109" t="s">
        <v>2116</v>
      </c>
      <c r="D109" t="s">
        <v>2240</v>
      </c>
      <c r="E109">
        <v>160210</v>
      </c>
      <c r="F109" t="s">
        <v>2241</v>
      </c>
      <c r="H109" t="s">
        <v>2242</v>
      </c>
      <c r="I109" t="s">
        <v>2243</v>
      </c>
      <c r="J109" s="125">
        <v>147938.91</v>
      </c>
      <c r="K109">
        <v>0</v>
      </c>
      <c r="M109" t="s">
        <v>3076</v>
      </c>
      <c r="O109" s="125">
        <v>147938.91</v>
      </c>
      <c r="P109">
        <v>160210</v>
      </c>
    </row>
    <row r="110" spans="1:16" x14ac:dyDescent="0.3">
      <c r="A110" t="s">
        <v>2115</v>
      </c>
      <c r="B110" t="s">
        <v>2116</v>
      </c>
      <c r="D110" t="s">
        <v>2240</v>
      </c>
      <c r="E110">
        <v>160212</v>
      </c>
      <c r="F110" t="s">
        <v>2593</v>
      </c>
      <c r="H110" t="s">
        <v>2236</v>
      </c>
      <c r="I110" t="s">
        <v>2229</v>
      </c>
      <c r="J110" s="125">
        <v>166102.54999999999</v>
      </c>
      <c r="K110">
        <v>0</v>
      </c>
      <c r="M110" t="s">
        <v>3076</v>
      </c>
      <c r="O110" s="125">
        <v>166102.54999999999</v>
      </c>
      <c r="P110">
        <v>160212</v>
      </c>
    </row>
    <row r="111" spans="1:16" x14ac:dyDescent="0.3">
      <c r="A111" t="s">
        <v>2115</v>
      </c>
      <c r="B111" t="s">
        <v>2116</v>
      </c>
      <c r="D111" t="s">
        <v>2207</v>
      </c>
      <c r="E111">
        <v>160214</v>
      </c>
      <c r="F111" t="s">
        <v>2594</v>
      </c>
      <c r="H111" t="s">
        <v>2211</v>
      </c>
      <c r="I111" t="s">
        <v>2212</v>
      </c>
      <c r="J111">
        <v>0</v>
      </c>
      <c r="K111">
        <v>0</v>
      </c>
      <c r="M111" t="s">
        <v>3077</v>
      </c>
      <c r="O111">
        <v>0</v>
      </c>
      <c r="P111">
        <v>160214</v>
      </c>
    </row>
    <row r="112" spans="1:16" x14ac:dyDescent="0.3">
      <c r="A112" t="s">
        <v>2115</v>
      </c>
      <c r="B112" t="s">
        <v>2116</v>
      </c>
      <c r="D112" t="s">
        <v>2207</v>
      </c>
      <c r="E112">
        <v>160216</v>
      </c>
      <c r="F112" t="s">
        <v>2672</v>
      </c>
      <c r="H112" t="s">
        <v>2133</v>
      </c>
      <c r="I112" t="s">
        <v>2133</v>
      </c>
      <c r="J112" s="125">
        <v>641999.5</v>
      </c>
      <c r="K112">
        <v>0</v>
      </c>
      <c r="M112" t="s">
        <v>3076</v>
      </c>
      <c r="O112" s="125">
        <v>641999.5</v>
      </c>
      <c r="P112">
        <v>160216</v>
      </c>
    </row>
    <row r="113" spans="1:16" x14ac:dyDescent="0.3">
      <c r="A113" t="s">
        <v>2115</v>
      </c>
      <c r="B113" t="s">
        <v>2116</v>
      </c>
      <c r="D113" t="s">
        <v>2207</v>
      </c>
      <c r="E113">
        <v>160218</v>
      </c>
      <c r="F113" t="s">
        <v>2673</v>
      </c>
      <c r="H113" t="s">
        <v>2133</v>
      </c>
      <c r="I113" t="s">
        <v>2133</v>
      </c>
      <c r="J113">
        <v>3335</v>
      </c>
      <c r="K113">
        <v>0</v>
      </c>
      <c r="M113" t="s">
        <v>3076</v>
      </c>
      <c r="O113" s="125">
        <v>3335</v>
      </c>
      <c r="P113">
        <v>160218</v>
      </c>
    </row>
    <row r="114" spans="1:16" x14ac:dyDescent="0.3">
      <c r="A114" t="s">
        <v>2115</v>
      </c>
      <c r="B114" t="s">
        <v>2116</v>
      </c>
      <c r="D114" t="s">
        <v>2207</v>
      </c>
      <c r="E114">
        <v>160220</v>
      </c>
      <c r="F114" t="s">
        <v>2739</v>
      </c>
      <c r="H114" t="s">
        <v>2133</v>
      </c>
      <c r="I114" t="s">
        <v>2133</v>
      </c>
      <c r="J114">
        <v>5062.5</v>
      </c>
      <c r="K114">
        <v>0</v>
      </c>
      <c r="M114" t="s">
        <v>3076</v>
      </c>
      <c r="O114" s="125">
        <v>5062.5</v>
      </c>
      <c r="P114">
        <v>160220</v>
      </c>
    </row>
    <row r="115" spans="1:16" x14ac:dyDescent="0.3">
      <c r="A115" t="s">
        <v>2115</v>
      </c>
      <c r="B115" t="s">
        <v>2116</v>
      </c>
      <c r="D115" t="s">
        <v>2207</v>
      </c>
      <c r="E115">
        <v>160222</v>
      </c>
      <c r="F115" t="s">
        <v>2740</v>
      </c>
      <c r="H115" t="s">
        <v>2133</v>
      </c>
      <c r="I115" t="s">
        <v>2133</v>
      </c>
      <c r="J115" s="125">
        <v>137585.87</v>
      </c>
      <c r="K115">
        <v>0</v>
      </c>
      <c r="M115" t="s">
        <v>3076</v>
      </c>
      <c r="O115" s="125">
        <v>137585.87</v>
      </c>
      <c r="P115">
        <v>160222</v>
      </c>
    </row>
    <row r="116" spans="1:16" x14ac:dyDescent="0.3">
      <c r="A116" t="s">
        <v>2115</v>
      </c>
      <c r="B116" t="s">
        <v>2116</v>
      </c>
      <c r="D116" t="s">
        <v>2223</v>
      </c>
      <c r="E116">
        <v>160224</v>
      </c>
      <c r="F116" t="s">
        <v>2741</v>
      </c>
      <c r="H116" t="s">
        <v>2133</v>
      </c>
      <c r="I116" t="s">
        <v>2133</v>
      </c>
      <c r="J116">
        <v>16.75</v>
      </c>
      <c r="K116">
        <v>0</v>
      </c>
      <c r="M116" t="s">
        <v>3076</v>
      </c>
      <c r="O116">
        <v>16.75</v>
      </c>
      <c r="P116">
        <v>160224</v>
      </c>
    </row>
    <row r="117" spans="1:16" x14ac:dyDescent="0.3">
      <c r="A117" t="s">
        <v>2115</v>
      </c>
      <c r="B117" t="s">
        <v>2116</v>
      </c>
      <c r="D117" t="s">
        <v>2231</v>
      </c>
      <c r="E117">
        <v>160401</v>
      </c>
      <c r="F117" t="s">
        <v>2244</v>
      </c>
      <c r="H117" t="s">
        <v>2245</v>
      </c>
      <c r="I117" t="s">
        <v>2246</v>
      </c>
      <c r="J117" s="125">
        <v>1012821.4</v>
      </c>
      <c r="K117" s="125">
        <v>131602.09</v>
      </c>
      <c r="M117" t="s">
        <v>3076</v>
      </c>
      <c r="O117" s="125">
        <v>1144423.49</v>
      </c>
      <c r="P117">
        <v>160401</v>
      </c>
    </row>
    <row r="118" spans="1:16" x14ac:dyDescent="0.3">
      <c r="A118" t="s">
        <v>2115</v>
      </c>
      <c r="B118" t="s">
        <v>2116</v>
      </c>
      <c r="D118" t="s">
        <v>2231</v>
      </c>
      <c r="E118">
        <v>160403</v>
      </c>
      <c r="F118" t="s">
        <v>2247</v>
      </c>
      <c r="H118" t="s">
        <v>2245</v>
      </c>
      <c r="I118" t="s">
        <v>2246</v>
      </c>
      <c r="J118" s="125">
        <v>2942929.78</v>
      </c>
      <c r="K118">
        <v>0</v>
      </c>
      <c r="M118" t="s">
        <v>3076</v>
      </c>
      <c r="O118" s="125">
        <v>2942929.78</v>
      </c>
      <c r="P118">
        <v>160403</v>
      </c>
    </row>
    <row r="119" spans="1:16" x14ac:dyDescent="0.3">
      <c r="A119" t="s">
        <v>2115</v>
      </c>
      <c r="B119" t="s">
        <v>2116</v>
      </c>
      <c r="D119" t="s">
        <v>2231</v>
      </c>
      <c r="E119">
        <v>160405</v>
      </c>
      <c r="F119" t="s">
        <v>2248</v>
      </c>
      <c r="H119" t="s">
        <v>2245</v>
      </c>
      <c r="I119" t="s">
        <v>2246</v>
      </c>
      <c r="J119">
        <v>909.42</v>
      </c>
      <c r="K119">
        <v>0</v>
      </c>
      <c r="M119" t="s">
        <v>3076</v>
      </c>
      <c r="O119">
        <v>909.42</v>
      </c>
      <c r="P119">
        <v>160405</v>
      </c>
    </row>
    <row r="120" spans="1:16" x14ac:dyDescent="0.3">
      <c r="A120" t="s">
        <v>2115</v>
      </c>
      <c r="B120" t="s">
        <v>2116</v>
      </c>
      <c r="D120" t="s">
        <v>2231</v>
      </c>
      <c r="E120">
        <v>160407</v>
      </c>
      <c r="F120" t="s">
        <v>2249</v>
      </c>
      <c r="H120" t="s">
        <v>2245</v>
      </c>
      <c r="I120" t="s">
        <v>2250</v>
      </c>
      <c r="J120" s="125">
        <v>673332.24</v>
      </c>
      <c r="K120">
        <v>0</v>
      </c>
      <c r="M120" t="s">
        <v>3076</v>
      </c>
      <c r="O120" s="125">
        <v>673332.24</v>
      </c>
      <c r="P120">
        <v>160407</v>
      </c>
    </row>
    <row r="121" spans="1:16" x14ac:dyDescent="0.3">
      <c r="A121" t="s">
        <v>2115</v>
      </c>
      <c r="B121" t="s">
        <v>2116</v>
      </c>
      <c r="D121" t="s">
        <v>2231</v>
      </c>
      <c r="E121">
        <v>160409</v>
      </c>
      <c r="F121" t="s">
        <v>2251</v>
      </c>
      <c r="H121" t="s">
        <v>2245</v>
      </c>
      <c r="I121" t="s">
        <v>2246</v>
      </c>
      <c r="J121" s="125">
        <v>16924.23</v>
      </c>
      <c r="K121">
        <v>0</v>
      </c>
      <c r="M121" t="s">
        <v>3076</v>
      </c>
      <c r="O121" s="125">
        <v>16924.23</v>
      </c>
      <c r="P121">
        <v>160409</v>
      </c>
    </row>
    <row r="122" spans="1:16" x14ac:dyDescent="0.3">
      <c r="A122" t="s">
        <v>2115</v>
      </c>
      <c r="B122" t="s">
        <v>2116</v>
      </c>
      <c r="D122" t="s">
        <v>2231</v>
      </c>
      <c r="E122">
        <v>160411</v>
      </c>
      <c r="F122" t="s">
        <v>2595</v>
      </c>
      <c r="H122" t="s">
        <v>2211</v>
      </c>
      <c r="I122" t="s">
        <v>2212</v>
      </c>
      <c r="J122" s="125">
        <v>2334868.4500000002</v>
      </c>
      <c r="K122">
        <v>0</v>
      </c>
      <c r="M122" t="s">
        <v>3076</v>
      </c>
      <c r="O122" s="125">
        <v>2334868.4500000002</v>
      </c>
      <c r="P122">
        <v>160411</v>
      </c>
    </row>
    <row r="123" spans="1:16" x14ac:dyDescent="0.3">
      <c r="A123" t="s">
        <v>2115</v>
      </c>
      <c r="B123" t="s">
        <v>2116</v>
      </c>
      <c r="D123" t="s">
        <v>2231</v>
      </c>
      <c r="E123">
        <v>160413</v>
      </c>
      <c r="F123" t="s">
        <v>2742</v>
      </c>
      <c r="H123" t="s">
        <v>2133</v>
      </c>
      <c r="I123" t="s">
        <v>2133</v>
      </c>
      <c r="J123">
        <v>1305.52</v>
      </c>
      <c r="K123">
        <v>6119.97</v>
      </c>
      <c r="M123" t="s">
        <v>3076</v>
      </c>
      <c r="O123" s="125">
        <v>7425.49</v>
      </c>
      <c r="P123">
        <v>160413</v>
      </c>
    </row>
    <row r="124" spans="1:16" x14ac:dyDescent="0.3">
      <c r="A124" t="s">
        <v>2115</v>
      </c>
      <c r="B124" t="s">
        <v>2116</v>
      </c>
      <c r="D124" t="s">
        <v>2252</v>
      </c>
      <c r="E124">
        <v>180201</v>
      </c>
      <c r="F124" t="s">
        <v>2253</v>
      </c>
      <c r="H124" t="s">
        <v>2254</v>
      </c>
      <c r="I124" t="s">
        <v>2255</v>
      </c>
      <c r="J124">
        <v>7566.21</v>
      </c>
      <c r="K124">
        <v>6.87</v>
      </c>
      <c r="M124" t="s">
        <v>3076</v>
      </c>
      <c r="O124" s="125">
        <v>7573.08</v>
      </c>
      <c r="P124">
        <v>180201</v>
      </c>
    </row>
    <row r="125" spans="1:16" x14ac:dyDescent="0.3">
      <c r="A125" t="s">
        <v>2115</v>
      </c>
      <c r="B125" t="s">
        <v>2116</v>
      </c>
      <c r="D125" t="s">
        <v>2284</v>
      </c>
      <c r="E125">
        <v>180203</v>
      </c>
      <c r="F125" t="s">
        <v>2596</v>
      </c>
      <c r="H125" t="s">
        <v>2265</v>
      </c>
      <c r="I125" t="s">
        <v>2266</v>
      </c>
      <c r="J125">
        <v>0</v>
      </c>
      <c r="K125">
        <v>0</v>
      </c>
      <c r="M125" t="s">
        <v>3077</v>
      </c>
      <c r="O125">
        <v>0</v>
      </c>
      <c r="P125">
        <v>180203</v>
      </c>
    </row>
    <row r="126" spans="1:16" x14ac:dyDescent="0.3">
      <c r="A126" t="s">
        <v>2115</v>
      </c>
      <c r="B126" t="s">
        <v>2116</v>
      </c>
      <c r="D126" t="s">
        <v>2252</v>
      </c>
      <c r="E126">
        <v>180205</v>
      </c>
      <c r="F126" t="s">
        <v>2258</v>
      </c>
      <c r="H126" t="s">
        <v>2254</v>
      </c>
      <c r="I126" t="s">
        <v>2257</v>
      </c>
      <c r="J126">
        <v>9661.7099999999991</v>
      </c>
      <c r="K126">
        <v>0</v>
      </c>
      <c r="M126" t="s">
        <v>3076</v>
      </c>
      <c r="O126" s="125">
        <v>9661.7099999999991</v>
      </c>
      <c r="P126">
        <v>180205</v>
      </c>
    </row>
    <row r="127" spans="1:16" x14ac:dyDescent="0.3">
      <c r="A127" t="s">
        <v>2115</v>
      </c>
      <c r="B127" t="s">
        <v>2116</v>
      </c>
      <c r="D127" t="s">
        <v>2252</v>
      </c>
      <c r="E127">
        <v>180207</v>
      </c>
      <c r="F127" t="s">
        <v>2259</v>
      </c>
      <c r="H127" t="s">
        <v>2254</v>
      </c>
      <c r="I127" t="s">
        <v>2257</v>
      </c>
      <c r="J127" s="125">
        <v>29778.39</v>
      </c>
      <c r="K127">
        <v>0</v>
      </c>
      <c r="M127" t="s">
        <v>3076</v>
      </c>
      <c r="O127" s="125">
        <v>29778.39</v>
      </c>
      <c r="P127">
        <v>180207</v>
      </c>
    </row>
    <row r="128" spans="1:16" x14ac:dyDescent="0.3">
      <c r="A128" t="s">
        <v>2115</v>
      </c>
      <c r="B128" t="s">
        <v>2116</v>
      </c>
      <c r="D128" t="s">
        <v>2252</v>
      </c>
      <c r="E128">
        <v>180209</v>
      </c>
      <c r="F128" t="s">
        <v>2256</v>
      </c>
      <c r="H128" t="s">
        <v>2254</v>
      </c>
      <c r="I128" t="s">
        <v>2257</v>
      </c>
      <c r="J128" s="125">
        <v>30939.31</v>
      </c>
      <c r="K128">
        <v>0</v>
      </c>
      <c r="M128" t="s">
        <v>3076</v>
      </c>
      <c r="O128" s="125">
        <v>30939.31</v>
      </c>
      <c r="P128">
        <v>180209</v>
      </c>
    </row>
    <row r="129" spans="1:16" x14ac:dyDescent="0.3">
      <c r="A129" t="s">
        <v>2115</v>
      </c>
      <c r="B129" t="s">
        <v>2116</v>
      </c>
      <c r="D129" t="s">
        <v>2252</v>
      </c>
      <c r="E129">
        <v>180211</v>
      </c>
      <c r="F129" t="s">
        <v>2260</v>
      </c>
      <c r="H129" t="s">
        <v>2254</v>
      </c>
      <c r="I129" t="s">
        <v>2257</v>
      </c>
      <c r="J129">
        <v>5286.42</v>
      </c>
      <c r="K129">
        <v>0</v>
      </c>
      <c r="M129" t="s">
        <v>3076</v>
      </c>
      <c r="O129" s="125">
        <v>5286.42</v>
      </c>
      <c r="P129">
        <v>180211</v>
      </c>
    </row>
    <row r="130" spans="1:16" x14ac:dyDescent="0.3">
      <c r="A130" t="s">
        <v>2115</v>
      </c>
      <c r="B130" t="s">
        <v>2116</v>
      </c>
      <c r="D130" t="s">
        <v>2252</v>
      </c>
      <c r="E130">
        <v>180213</v>
      </c>
      <c r="F130" t="s">
        <v>2261</v>
      </c>
      <c r="H130" t="s">
        <v>2254</v>
      </c>
      <c r="I130" t="s">
        <v>2257</v>
      </c>
      <c r="J130" s="125">
        <v>41308.019999999997</v>
      </c>
      <c r="K130">
        <v>0</v>
      </c>
      <c r="M130" t="s">
        <v>3076</v>
      </c>
      <c r="O130" s="125">
        <v>41308.019999999997</v>
      </c>
      <c r="P130">
        <v>180213</v>
      </c>
    </row>
    <row r="131" spans="1:16" x14ac:dyDescent="0.3">
      <c r="A131" t="s">
        <v>2115</v>
      </c>
      <c r="B131" t="s">
        <v>2116</v>
      </c>
      <c r="D131" t="s">
        <v>2252</v>
      </c>
      <c r="E131">
        <v>180215</v>
      </c>
      <c r="F131" t="s">
        <v>2262</v>
      </c>
      <c r="H131" t="s">
        <v>2254</v>
      </c>
      <c r="I131" t="s">
        <v>2257</v>
      </c>
      <c r="J131" s="125">
        <v>426672.56</v>
      </c>
      <c r="K131">
        <v>0</v>
      </c>
      <c r="M131" t="s">
        <v>3076</v>
      </c>
      <c r="O131" s="125">
        <v>426672.56</v>
      </c>
      <c r="P131">
        <v>180215</v>
      </c>
    </row>
    <row r="132" spans="1:16" x14ac:dyDescent="0.3">
      <c r="A132" t="s">
        <v>2115</v>
      </c>
      <c r="B132" t="s">
        <v>2116</v>
      </c>
      <c r="D132" t="s">
        <v>2252</v>
      </c>
      <c r="E132">
        <v>180217</v>
      </c>
      <c r="F132" t="s">
        <v>2263</v>
      </c>
      <c r="H132" t="s">
        <v>2254</v>
      </c>
      <c r="I132" t="s">
        <v>2257</v>
      </c>
      <c r="J132" s="125">
        <v>178406.61</v>
      </c>
      <c r="K132">
        <v>0</v>
      </c>
      <c r="M132" t="s">
        <v>3076</v>
      </c>
      <c r="O132" s="125">
        <v>178406.61</v>
      </c>
      <c r="P132">
        <v>180217</v>
      </c>
    </row>
    <row r="133" spans="1:16" x14ac:dyDescent="0.3">
      <c r="A133" t="s">
        <v>2115</v>
      </c>
      <c r="B133" t="s">
        <v>2116</v>
      </c>
      <c r="D133" t="s">
        <v>2252</v>
      </c>
      <c r="E133">
        <v>180219</v>
      </c>
      <c r="F133" t="s">
        <v>2264</v>
      </c>
      <c r="H133" t="s">
        <v>2265</v>
      </c>
      <c r="I133" t="s">
        <v>2266</v>
      </c>
      <c r="J133" s="125">
        <v>77656.77</v>
      </c>
      <c r="K133">
        <v>0</v>
      </c>
      <c r="M133" t="s">
        <v>3076</v>
      </c>
      <c r="O133" s="125">
        <v>77656.77</v>
      </c>
      <c r="P133">
        <v>180219</v>
      </c>
    </row>
    <row r="134" spans="1:16" x14ac:dyDescent="0.3">
      <c r="A134" t="s">
        <v>2115</v>
      </c>
      <c r="B134" t="s">
        <v>2116</v>
      </c>
      <c r="D134" t="s">
        <v>2252</v>
      </c>
      <c r="E134">
        <v>180221</v>
      </c>
      <c r="F134" t="s">
        <v>2267</v>
      </c>
      <c r="H134" t="s">
        <v>2254</v>
      </c>
      <c r="I134" t="s">
        <v>2257</v>
      </c>
      <c r="J134" s="125">
        <v>85435.26</v>
      </c>
      <c r="K134">
        <v>0</v>
      </c>
      <c r="M134" t="s">
        <v>3076</v>
      </c>
      <c r="O134" s="125">
        <v>85435.26</v>
      </c>
      <c r="P134">
        <v>180221</v>
      </c>
    </row>
    <row r="135" spans="1:16" x14ac:dyDescent="0.3">
      <c r="A135" t="s">
        <v>2115</v>
      </c>
      <c r="B135" t="s">
        <v>2116</v>
      </c>
      <c r="D135" t="s">
        <v>2252</v>
      </c>
      <c r="E135">
        <v>180223</v>
      </c>
      <c r="F135" t="s">
        <v>2268</v>
      </c>
      <c r="H135" t="s">
        <v>2254</v>
      </c>
      <c r="I135" t="s">
        <v>2257</v>
      </c>
      <c r="J135" s="125">
        <v>30800.9</v>
      </c>
      <c r="K135">
        <v>0</v>
      </c>
      <c r="M135" t="s">
        <v>3076</v>
      </c>
      <c r="O135" s="125">
        <v>30800.9</v>
      </c>
      <c r="P135">
        <v>180223</v>
      </c>
    </row>
    <row r="136" spans="1:16" x14ac:dyDescent="0.3">
      <c r="A136" t="s">
        <v>2115</v>
      </c>
      <c r="B136" t="s">
        <v>2116</v>
      </c>
      <c r="D136" t="s">
        <v>2252</v>
      </c>
      <c r="E136">
        <v>180225</v>
      </c>
      <c r="F136" t="s">
        <v>2269</v>
      </c>
      <c r="H136" t="s">
        <v>2254</v>
      </c>
      <c r="I136" t="s">
        <v>2257</v>
      </c>
      <c r="J136" s="125">
        <v>77231.710000000006</v>
      </c>
      <c r="K136">
        <v>0</v>
      </c>
      <c r="M136" t="s">
        <v>3076</v>
      </c>
      <c r="O136" s="125">
        <v>77231.710000000006</v>
      </c>
      <c r="P136">
        <v>180225</v>
      </c>
    </row>
    <row r="137" spans="1:16" x14ac:dyDescent="0.3">
      <c r="A137" t="s">
        <v>2115</v>
      </c>
      <c r="B137" t="s">
        <v>2116</v>
      </c>
      <c r="D137" t="s">
        <v>2252</v>
      </c>
      <c r="E137">
        <v>180227</v>
      </c>
      <c r="F137" t="s">
        <v>2270</v>
      </c>
      <c r="H137" t="s">
        <v>2254</v>
      </c>
      <c r="I137" t="s">
        <v>2257</v>
      </c>
      <c r="J137" s="125">
        <v>4198567.6100000003</v>
      </c>
      <c r="K137">
        <v>0</v>
      </c>
      <c r="M137" t="s">
        <v>3076</v>
      </c>
      <c r="O137" s="125">
        <v>4198567.6100000003</v>
      </c>
      <c r="P137">
        <v>180227</v>
      </c>
    </row>
    <row r="138" spans="1:16" x14ac:dyDescent="0.3">
      <c r="A138" t="s">
        <v>2115</v>
      </c>
      <c r="B138" t="s">
        <v>2116</v>
      </c>
      <c r="D138" t="s">
        <v>2252</v>
      </c>
      <c r="E138">
        <v>180229</v>
      </c>
      <c r="F138" t="s">
        <v>2271</v>
      </c>
      <c r="H138" t="s">
        <v>2254</v>
      </c>
      <c r="I138" t="s">
        <v>2257</v>
      </c>
      <c r="J138">
        <v>0</v>
      </c>
      <c r="K138">
        <v>0</v>
      </c>
      <c r="M138" t="s">
        <v>3077</v>
      </c>
      <c r="O138">
        <v>0</v>
      </c>
      <c r="P138">
        <v>180229</v>
      </c>
    </row>
    <row r="139" spans="1:16" x14ac:dyDescent="0.3">
      <c r="A139" t="s">
        <v>2115</v>
      </c>
      <c r="B139" t="s">
        <v>2116</v>
      </c>
      <c r="D139" t="s">
        <v>2252</v>
      </c>
      <c r="E139">
        <v>180231</v>
      </c>
      <c r="F139" t="s">
        <v>2272</v>
      </c>
      <c r="H139" t="s">
        <v>2254</v>
      </c>
      <c r="I139" t="s">
        <v>2257</v>
      </c>
      <c r="J139">
        <v>448.71</v>
      </c>
      <c r="K139">
        <v>0</v>
      </c>
      <c r="M139" t="s">
        <v>3076</v>
      </c>
      <c r="O139">
        <v>448.71</v>
      </c>
      <c r="P139">
        <v>180231</v>
      </c>
    </row>
    <row r="140" spans="1:16" x14ac:dyDescent="0.3">
      <c r="A140" t="s">
        <v>2115</v>
      </c>
      <c r="B140" t="s">
        <v>2116</v>
      </c>
      <c r="D140" t="s">
        <v>2252</v>
      </c>
      <c r="E140">
        <v>180235</v>
      </c>
      <c r="F140" t="s">
        <v>2274</v>
      </c>
      <c r="H140" t="s">
        <v>2254</v>
      </c>
      <c r="I140" t="s">
        <v>2257</v>
      </c>
      <c r="J140">
        <v>0</v>
      </c>
      <c r="K140">
        <v>0</v>
      </c>
      <c r="M140" t="s">
        <v>3077</v>
      </c>
      <c r="O140">
        <v>0</v>
      </c>
      <c r="P140">
        <v>180235</v>
      </c>
    </row>
    <row r="141" spans="1:16" x14ac:dyDescent="0.3">
      <c r="A141" t="s">
        <v>2115</v>
      </c>
      <c r="B141" t="s">
        <v>2116</v>
      </c>
      <c r="D141" t="s">
        <v>2252</v>
      </c>
      <c r="E141">
        <v>180239</v>
      </c>
      <c r="F141" t="s">
        <v>2275</v>
      </c>
      <c r="H141" t="s">
        <v>2254</v>
      </c>
      <c r="I141" t="s">
        <v>2257</v>
      </c>
      <c r="J141">
        <v>0</v>
      </c>
      <c r="K141">
        <v>0</v>
      </c>
      <c r="M141" t="s">
        <v>3077</v>
      </c>
      <c r="O141">
        <v>0</v>
      </c>
      <c r="P141">
        <v>180239</v>
      </c>
    </row>
    <row r="142" spans="1:16" x14ac:dyDescent="0.3">
      <c r="A142" t="s">
        <v>2115</v>
      </c>
      <c r="B142" t="s">
        <v>2116</v>
      </c>
      <c r="D142" t="s">
        <v>2252</v>
      </c>
      <c r="E142">
        <v>180241</v>
      </c>
      <c r="F142" t="s">
        <v>2276</v>
      </c>
      <c r="H142" t="s">
        <v>2254</v>
      </c>
      <c r="I142" t="s">
        <v>2257</v>
      </c>
      <c r="J142">
        <v>0</v>
      </c>
      <c r="K142">
        <v>0</v>
      </c>
      <c r="M142" t="s">
        <v>3077</v>
      </c>
      <c r="O142">
        <v>0</v>
      </c>
      <c r="P142">
        <v>180241</v>
      </c>
    </row>
    <row r="143" spans="1:16" x14ac:dyDescent="0.3">
      <c r="A143" t="s">
        <v>2115</v>
      </c>
      <c r="B143" t="s">
        <v>2116</v>
      </c>
      <c r="D143" t="s">
        <v>2252</v>
      </c>
      <c r="E143">
        <v>180243</v>
      </c>
      <c r="F143" t="s">
        <v>2277</v>
      </c>
      <c r="H143" t="s">
        <v>2211</v>
      </c>
      <c r="I143" t="s">
        <v>2212</v>
      </c>
      <c r="J143" s="125">
        <v>1053391.3999999999</v>
      </c>
      <c r="K143">
        <v>0</v>
      </c>
      <c r="M143" t="s">
        <v>3076</v>
      </c>
      <c r="O143" s="125">
        <v>1053391.3999999999</v>
      </c>
      <c r="P143">
        <v>180243</v>
      </c>
    </row>
    <row r="144" spans="1:16" x14ac:dyDescent="0.3">
      <c r="A144" t="s">
        <v>2115</v>
      </c>
      <c r="B144" t="s">
        <v>2116</v>
      </c>
      <c r="D144" t="s">
        <v>2252</v>
      </c>
      <c r="E144">
        <v>180245</v>
      </c>
      <c r="F144" t="s">
        <v>2278</v>
      </c>
      <c r="H144" t="s">
        <v>2211</v>
      </c>
      <c r="I144" t="s">
        <v>2212</v>
      </c>
      <c r="J144">
        <v>0</v>
      </c>
      <c r="K144">
        <v>0</v>
      </c>
      <c r="M144" t="s">
        <v>3077</v>
      </c>
      <c r="O144">
        <v>0</v>
      </c>
      <c r="P144">
        <v>180245</v>
      </c>
    </row>
    <row r="145" spans="1:16" x14ac:dyDescent="0.3">
      <c r="A145" t="s">
        <v>2115</v>
      </c>
      <c r="B145" t="s">
        <v>2116</v>
      </c>
      <c r="D145" t="s">
        <v>2252</v>
      </c>
      <c r="E145">
        <v>180246</v>
      </c>
      <c r="F145" t="s">
        <v>2674</v>
      </c>
      <c r="H145" t="s">
        <v>2133</v>
      </c>
      <c r="I145" t="s">
        <v>2133</v>
      </c>
      <c r="J145">
        <v>0</v>
      </c>
      <c r="K145">
        <v>0</v>
      </c>
      <c r="M145" t="s">
        <v>3077</v>
      </c>
      <c r="O145">
        <v>0</v>
      </c>
      <c r="P145">
        <v>180246</v>
      </c>
    </row>
    <row r="146" spans="1:16" x14ac:dyDescent="0.3">
      <c r="A146" t="s">
        <v>2115</v>
      </c>
      <c r="B146" t="s">
        <v>2116</v>
      </c>
      <c r="D146" t="s">
        <v>2252</v>
      </c>
      <c r="E146">
        <v>180247</v>
      </c>
      <c r="F146" t="s">
        <v>2279</v>
      </c>
      <c r="H146" t="s">
        <v>2211</v>
      </c>
      <c r="I146" t="s">
        <v>2212</v>
      </c>
      <c r="J146" s="125">
        <v>140937.60000000001</v>
      </c>
      <c r="K146">
        <v>0</v>
      </c>
      <c r="M146" t="s">
        <v>3076</v>
      </c>
      <c r="O146" s="125">
        <v>140937.60000000001</v>
      </c>
      <c r="P146">
        <v>180247</v>
      </c>
    </row>
    <row r="147" spans="1:16" x14ac:dyDescent="0.3">
      <c r="A147" t="s">
        <v>2115</v>
      </c>
      <c r="B147" t="s">
        <v>2116</v>
      </c>
      <c r="D147" t="s">
        <v>2252</v>
      </c>
      <c r="E147">
        <v>180249</v>
      </c>
      <c r="F147" t="s">
        <v>2280</v>
      </c>
      <c r="H147" t="s">
        <v>2211</v>
      </c>
      <c r="I147" t="s">
        <v>2212</v>
      </c>
      <c r="J147" s="125">
        <v>27903.26</v>
      </c>
      <c r="K147">
        <v>0</v>
      </c>
      <c r="M147" t="s">
        <v>3076</v>
      </c>
      <c r="O147" s="125">
        <v>27903.26</v>
      </c>
      <c r="P147">
        <v>180249</v>
      </c>
    </row>
    <row r="148" spans="1:16" x14ac:dyDescent="0.3">
      <c r="A148" t="s">
        <v>2115</v>
      </c>
      <c r="B148" t="s">
        <v>2116</v>
      </c>
      <c r="D148" t="s">
        <v>2252</v>
      </c>
      <c r="E148">
        <v>180251</v>
      </c>
      <c r="F148" t="s">
        <v>2281</v>
      </c>
      <c r="H148" t="s">
        <v>2211</v>
      </c>
      <c r="I148" t="s">
        <v>2212</v>
      </c>
      <c r="J148" s="125">
        <v>464584.3</v>
      </c>
      <c r="K148">
        <v>0</v>
      </c>
      <c r="M148" t="s">
        <v>3076</v>
      </c>
      <c r="O148" s="125">
        <v>464584.3</v>
      </c>
      <c r="P148">
        <v>180251</v>
      </c>
    </row>
    <row r="149" spans="1:16" x14ac:dyDescent="0.3">
      <c r="A149" t="s">
        <v>2115</v>
      </c>
      <c r="B149" t="s">
        <v>2116</v>
      </c>
      <c r="D149" t="s">
        <v>2252</v>
      </c>
      <c r="E149">
        <v>180253</v>
      </c>
      <c r="F149" t="s">
        <v>2282</v>
      </c>
      <c r="H149" t="s">
        <v>2211</v>
      </c>
      <c r="I149" t="s">
        <v>2212</v>
      </c>
      <c r="J149" s="125">
        <v>88654.57</v>
      </c>
      <c r="K149">
        <v>0</v>
      </c>
      <c r="M149" t="s">
        <v>3076</v>
      </c>
      <c r="O149" s="125">
        <v>88654.57</v>
      </c>
      <c r="P149">
        <v>180253</v>
      </c>
    </row>
    <row r="150" spans="1:16" x14ac:dyDescent="0.3">
      <c r="A150" t="s">
        <v>2115</v>
      </c>
      <c r="B150" t="s">
        <v>2116</v>
      </c>
      <c r="D150" t="s">
        <v>2252</v>
      </c>
      <c r="E150">
        <v>180255</v>
      </c>
      <c r="F150" t="s">
        <v>2283</v>
      </c>
      <c r="H150" t="s">
        <v>2254</v>
      </c>
      <c r="I150" t="s">
        <v>2257</v>
      </c>
      <c r="J150" s="125">
        <v>13823.53</v>
      </c>
      <c r="K150">
        <v>0</v>
      </c>
      <c r="M150" t="s">
        <v>3076</v>
      </c>
      <c r="O150" s="125">
        <v>13823.53</v>
      </c>
      <c r="P150">
        <v>180255</v>
      </c>
    </row>
    <row r="151" spans="1:16" x14ac:dyDescent="0.3">
      <c r="A151" t="s">
        <v>2115</v>
      </c>
      <c r="B151" t="s">
        <v>2116</v>
      </c>
      <c r="D151" t="s">
        <v>2284</v>
      </c>
      <c r="E151">
        <v>180257</v>
      </c>
      <c r="F151" t="s">
        <v>2285</v>
      </c>
      <c r="H151" t="s">
        <v>2286</v>
      </c>
      <c r="I151" t="s">
        <v>2266</v>
      </c>
      <c r="J151">
        <v>268</v>
      </c>
      <c r="K151">
        <v>0</v>
      </c>
      <c r="M151" t="s">
        <v>3076</v>
      </c>
      <c r="O151">
        <v>268</v>
      </c>
      <c r="P151">
        <v>180257</v>
      </c>
    </row>
    <row r="152" spans="1:16" x14ac:dyDescent="0.3">
      <c r="A152" t="s">
        <v>2115</v>
      </c>
      <c r="B152" t="s">
        <v>2116</v>
      </c>
      <c r="D152" t="s">
        <v>2284</v>
      </c>
      <c r="E152">
        <v>180259</v>
      </c>
      <c r="F152" t="s">
        <v>2287</v>
      </c>
      <c r="H152" t="s">
        <v>2254</v>
      </c>
      <c r="I152" t="s">
        <v>2266</v>
      </c>
      <c r="J152">
        <v>-1628.5</v>
      </c>
      <c r="K152">
        <v>0</v>
      </c>
      <c r="M152" t="s">
        <v>3076</v>
      </c>
      <c r="O152" s="125">
        <v>-1628.5</v>
      </c>
      <c r="P152">
        <v>180259</v>
      </c>
    </row>
    <row r="153" spans="1:16" x14ac:dyDescent="0.3">
      <c r="A153" t="s">
        <v>2115</v>
      </c>
      <c r="B153" t="s">
        <v>2116</v>
      </c>
      <c r="D153" t="s">
        <v>2284</v>
      </c>
      <c r="E153">
        <v>180261</v>
      </c>
      <c r="F153" t="s">
        <v>2288</v>
      </c>
      <c r="H153" t="s">
        <v>2254</v>
      </c>
      <c r="I153" t="s">
        <v>2266</v>
      </c>
      <c r="J153">
        <v>1808.5</v>
      </c>
      <c r="K153">
        <v>0</v>
      </c>
      <c r="M153" t="s">
        <v>3076</v>
      </c>
      <c r="O153" s="125">
        <v>1808.5</v>
      </c>
      <c r="P153">
        <v>180261</v>
      </c>
    </row>
    <row r="154" spans="1:16" x14ac:dyDescent="0.3">
      <c r="A154" t="s">
        <v>2115</v>
      </c>
      <c r="B154" t="s">
        <v>2116</v>
      </c>
      <c r="D154" t="s">
        <v>2252</v>
      </c>
      <c r="E154">
        <v>180263</v>
      </c>
      <c r="F154" t="s">
        <v>2289</v>
      </c>
      <c r="H154" t="s">
        <v>2254</v>
      </c>
      <c r="I154" t="s">
        <v>2257</v>
      </c>
      <c r="J154">
        <v>0</v>
      </c>
      <c r="K154">
        <v>0</v>
      </c>
      <c r="M154" t="s">
        <v>3077</v>
      </c>
      <c r="O154">
        <v>0</v>
      </c>
      <c r="P154">
        <v>180263</v>
      </c>
    </row>
    <row r="155" spans="1:16" x14ac:dyDescent="0.3">
      <c r="A155" t="s">
        <v>2115</v>
      </c>
      <c r="B155" t="s">
        <v>2116</v>
      </c>
      <c r="D155" t="s">
        <v>2252</v>
      </c>
      <c r="E155">
        <v>180265</v>
      </c>
      <c r="F155" t="s">
        <v>2647</v>
      </c>
      <c r="H155" t="s">
        <v>2211</v>
      </c>
      <c r="I155" t="s">
        <v>2212</v>
      </c>
      <c r="J155">
        <v>-1.5</v>
      </c>
      <c r="K155">
        <v>0</v>
      </c>
      <c r="M155" t="s">
        <v>3076</v>
      </c>
      <c r="O155">
        <v>-1.5</v>
      </c>
      <c r="P155">
        <v>180265</v>
      </c>
    </row>
    <row r="156" spans="1:16" x14ac:dyDescent="0.3">
      <c r="A156" t="s">
        <v>2115</v>
      </c>
      <c r="B156" t="s">
        <v>2116</v>
      </c>
      <c r="D156" t="s">
        <v>2252</v>
      </c>
      <c r="E156">
        <v>180267</v>
      </c>
      <c r="F156" t="s">
        <v>2290</v>
      </c>
      <c r="H156" t="s">
        <v>2254</v>
      </c>
      <c r="I156" t="s">
        <v>2257</v>
      </c>
      <c r="J156" s="125">
        <v>26202.67</v>
      </c>
      <c r="K156">
        <v>0</v>
      </c>
      <c r="M156" t="s">
        <v>3076</v>
      </c>
      <c r="O156" s="125">
        <v>26202.67</v>
      </c>
      <c r="P156">
        <v>180267</v>
      </c>
    </row>
    <row r="157" spans="1:16" x14ac:dyDescent="0.3">
      <c r="A157" t="s">
        <v>2115</v>
      </c>
      <c r="B157" t="s">
        <v>2116</v>
      </c>
      <c r="D157" t="s">
        <v>2252</v>
      </c>
      <c r="E157">
        <v>180271</v>
      </c>
      <c r="F157" t="s">
        <v>2597</v>
      </c>
      <c r="H157" t="s">
        <v>2254</v>
      </c>
      <c r="I157" t="s">
        <v>2257</v>
      </c>
      <c r="J157">
        <v>0</v>
      </c>
      <c r="K157">
        <v>0</v>
      </c>
      <c r="M157" t="s">
        <v>3077</v>
      </c>
      <c r="O157">
        <v>0</v>
      </c>
      <c r="P157">
        <v>180271</v>
      </c>
    </row>
    <row r="158" spans="1:16" x14ac:dyDescent="0.3">
      <c r="A158" t="s">
        <v>2115</v>
      </c>
      <c r="B158" t="s">
        <v>2116</v>
      </c>
      <c r="D158" t="s">
        <v>2252</v>
      </c>
      <c r="E158">
        <v>180273</v>
      </c>
      <c r="F158" t="s">
        <v>2598</v>
      </c>
      <c r="H158" t="s">
        <v>2211</v>
      </c>
      <c r="I158" t="s">
        <v>2212</v>
      </c>
      <c r="J158" s="125">
        <v>162028.18</v>
      </c>
      <c r="K158">
        <v>0</v>
      </c>
      <c r="M158" t="s">
        <v>3076</v>
      </c>
      <c r="O158" s="125">
        <v>162028.18</v>
      </c>
      <c r="P158">
        <v>180273</v>
      </c>
    </row>
    <row r="159" spans="1:16" x14ac:dyDescent="0.3">
      <c r="A159" t="s">
        <v>2115</v>
      </c>
      <c r="B159" t="s">
        <v>2116</v>
      </c>
      <c r="D159" t="s">
        <v>2252</v>
      </c>
      <c r="E159">
        <v>180275</v>
      </c>
      <c r="F159" t="s">
        <v>2599</v>
      </c>
      <c r="H159" t="s">
        <v>2211</v>
      </c>
      <c r="I159" t="s">
        <v>2212</v>
      </c>
      <c r="J159">
        <v>172.48</v>
      </c>
      <c r="K159">
        <v>0</v>
      </c>
      <c r="M159" t="s">
        <v>3076</v>
      </c>
      <c r="O159">
        <v>172.48</v>
      </c>
      <c r="P159">
        <v>180275</v>
      </c>
    </row>
    <row r="160" spans="1:16" x14ac:dyDescent="0.3">
      <c r="A160" t="s">
        <v>2115</v>
      </c>
      <c r="B160" t="s">
        <v>2116</v>
      </c>
      <c r="D160" t="s">
        <v>2252</v>
      </c>
      <c r="E160">
        <v>180277</v>
      </c>
      <c r="F160" t="s">
        <v>2600</v>
      </c>
      <c r="H160" t="s">
        <v>2211</v>
      </c>
      <c r="I160" t="s">
        <v>2212</v>
      </c>
      <c r="J160">
        <v>1784.6</v>
      </c>
      <c r="K160">
        <v>0</v>
      </c>
      <c r="M160" t="s">
        <v>3076</v>
      </c>
      <c r="O160" s="125">
        <v>1784.6</v>
      </c>
      <c r="P160">
        <v>180277</v>
      </c>
    </row>
    <row r="161" spans="1:16" x14ac:dyDescent="0.3">
      <c r="A161" t="s">
        <v>2115</v>
      </c>
      <c r="B161" t="s">
        <v>2116</v>
      </c>
      <c r="D161" t="s">
        <v>2252</v>
      </c>
      <c r="E161">
        <v>180279</v>
      </c>
      <c r="F161" t="s">
        <v>2601</v>
      </c>
      <c r="H161" t="s">
        <v>2211</v>
      </c>
      <c r="I161" t="s">
        <v>2212</v>
      </c>
      <c r="J161">
        <v>1.76</v>
      </c>
      <c r="K161">
        <v>0</v>
      </c>
      <c r="M161" t="s">
        <v>3076</v>
      </c>
      <c r="O161">
        <v>1.76</v>
      </c>
      <c r="P161">
        <v>180279</v>
      </c>
    </row>
    <row r="162" spans="1:16" x14ac:dyDescent="0.3">
      <c r="A162" t="s">
        <v>2115</v>
      </c>
      <c r="B162" t="s">
        <v>2116</v>
      </c>
      <c r="D162" t="s">
        <v>2252</v>
      </c>
      <c r="E162">
        <v>180281</v>
      </c>
      <c r="F162" t="s">
        <v>2273</v>
      </c>
      <c r="H162" t="s">
        <v>2211</v>
      </c>
      <c r="I162" t="s">
        <v>2212</v>
      </c>
      <c r="J162">
        <v>311.85000000000002</v>
      </c>
      <c r="K162">
        <v>0</v>
      </c>
      <c r="M162" t="s">
        <v>3076</v>
      </c>
      <c r="O162">
        <v>311.85000000000002</v>
      </c>
      <c r="P162">
        <v>180281</v>
      </c>
    </row>
    <row r="163" spans="1:16" x14ac:dyDescent="0.3">
      <c r="A163" t="s">
        <v>2115</v>
      </c>
      <c r="B163" t="s">
        <v>2116</v>
      </c>
      <c r="D163" t="s">
        <v>2252</v>
      </c>
      <c r="E163">
        <v>180283</v>
      </c>
      <c r="F163" t="s">
        <v>2291</v>
      </c>
      <c r="H163" t="s">
        <v>2211</v>
      </c>
      <c r="I163" t="s">
        <v>2212</v>
      </c>
      <c r="J163">
        <v>869.98</v>
      </c>
      <c r="K163">
        <v>0</v>
      </c>
      <c r="M163" t="s">
        <v>3076</v>
      </c>
      <c r="O163">
        <v>869.98</v>
      </c>
      <c r="P163">
        <v>180283</v>
      </c>
    </row>
    <row r="164" spans="1:16" x14ac:dyDescent="0.3">
      <c r="A164" t="s">
        <v>2115</v>
      </c>
      <c r="B164" t="s">
        <v>2116</v>
      </c>
      <c r="D164" t="s">
        <v>2252</v>
      </c>
      <c r="E164">
        <v>180285</v>
      </c>
      <c r="F164" t="s">
        <v>2650</v>
      </c>
      <c r="H164" t="s">
        <v>2211</v>
      </c>
      <c r="I164" t="s">
        <v>2212</v>
      </c>
      <c r="J164">
        <v>2756.07</v>
      </c>
      <c r="K164">
        <v>0</v>
      </c>
      <c r="M164" t="s">
        <v>3076</v>
      </c>
      <c r="O164" s="125">
        <v>2756.07</v>
      </c>
      <c r="P164">
        <v>180285</v>
      </c>
    </row>
    <row r="165" spans="1:16" x14ac:dyDescent="0.3">
      <c r="A165" t="s">
        <v>2115</v>
      </c>
      <c r="B165" t="s">
        <v>2116</v>
      </c>
      <c r="D165" t="s">
        <v>2252</v>
      </c>
      <c r="E165">
        <v>180287</v>
      </c>
      <c r="F165" t="s">
        <v>2675</v>
      </c>
      <c r="H165" t="s">
        <v>2133</v>
      </c>
      <c r="I165" t="s">
        <v>2133</v>
      </c>
      <c r="J165" s="125">
        <v>1318575.45</v>
      </c>
      <c r="K165">
        <v>0</v>
      </c>
      <c r="M165" t="s">
        <v>3076</v>
      </c>
      <c r="O165" s="125">
        <v>1318575.45</v>
      </c>
      <c r="P165">
        <v>180287</v>
      </c>
    </row>
    <row r="166" spans="1:16" x14ac:dyDescent="0.3">
      <c r="A166" t="s">
        <v>2115</v>
      </c>
      <c r="B166" t="s">
        <v>2116</v>
      </c>
      <c r="D166" t="s">
        <v>2252</v>
      </c>
      <c r="E166">
        <v>180289</v>
      </c>
      <c r="F166" t="s">
        <v>2676</v>
      </c>
      <c r="H166" t="s">
        <v>2133</v>
      </c>
      <c r="I166" t="s">
        <v>2133</v>
      </c>
      <c r="J166">
        <v>2984.46</v>
      </c>
      <c r="K166">
        <v>0</v>
      </c>
      <c r="M166" t="s">
        <v>3076</v>
      </c>
      <c r="O166" s="125">
        <v>2984.46</v>
      </c>
      <c r="P166">
        <v>180289</v>
      </c>
    </row>
    <row r="167" spans="1:16" x14ac:dyDescent="0.3">
      <c r="A167" t="s">
        <v>2115</v>
      </c>
      <c r="B167" t="s">
        <v>2116</v>
      </c>
      <c r="D167" t="s">
        <v>2252</v>
      </c>
      <c r="E167">
        <v>180291</v>
      </c>
      <c r="F167" t="s">
        <v>2677</v>
      </c>
      <c r="H167" t="s">
        <v>2133</v>
      </c>
      <c r="I167" t="s">
        <v>2133</v>
      </c>
      <c r="J167">
        <v>395.41</v>
      </c>
      <c r="K167">
        <v>0</v>
      </c>
      <c r="M167" t="s">
        <v>3076</v>
      </c>
      <c r="O167">
        <v>395.41</v>
      </c>
      <c r="P167">
        <v>180291</v>
      </c>
    </row>
    <row r="168" spans="1:16" x14ac:dyDescent="0.3">
      <c r="A168" t="s">
        <v>2115</v>
      </c>
      <c r="B168" t="s">
        <v>2116</v>
      </c>
      <c r="D168" t="s">
        <v>2252</v>
      </c>
      <c r="E168">
        <v>180295</v>
      </c>
      <c r="F168" t="s">
        <v>2678</v>
      </c>
      <c r="H168" t="s">
        <v>2133</v>
      </c>
      <c r="I168" t="s">
        <v>2133</v>
      </c>
      <c r="J168">
        <v>-2.25</v>
      </c>
      <c r="K168">
        <v>0</v>
      </c>
      <c r="M168" t="s">
        <v>3076</v>
      </c>
      <c r="O168">
        <v>-2.25</v>
      </c>
      <c r="P168">
        <v>180295</v>
      </c>
    </row>
    <row r="169" spans="1:16" x14ac:dyDescent="0.3">
      <c r="A169" t="s">
        <v>2115</v>
      </c>
      <c r="B169" t="s">
        <v>2116</v>
      </c>
      <c r="D169" t="s">
        <v>2252</v>
      </c>
      <c r="E169">
        <v>180297</v>
      </c>
      <c r="F169" t="s">
        <v>2679</v>
      </c>
      <c r="H169" t="s">
        <v>2133</v>
      </c>
      <c r="I169" t="s">
        <v>2133</v>
      </c>
      <c r="J169">
        <v>0</v>
      </c>
      <c r="K169">
        <v>0</v>
      </c>
      <c r="M169" t="s">
        <v>3077</v>
      </c>
      <c r="O169">
        <v>0</v>
      </c>
      <c r="P169">
        <v>180297</v>
      </c>
    </row>
    <row r="170" spans="1:16" x14ac:dyDescent="0.3">
      <c r="A170" t="s">
        <v>2115</v>
      </c>
      <c r="B170" t="s">
        <v>2116</v>
      </c>
      <c r="D170" t="s">
        <v>2252</v>
      </c>
      <c r="E170">
        <v>180299</v>
      </c>
      <c r="F170" t="s">
        <v>2680</v>
      </c>
      <c r="H170" t="s">
        <v>2133</v>
      </c>
      <c r="I170" t="s">
        <v>2133</v>
      </c>
      <c r="J170">
        <v>460.52</v>
      </c>
      <c r="K170">
        <v>0</v>
      </c>
      <c r="M170" t="s">
        <v>3076</v>
      </c>
      <c r="O170">
        <v>460.52</v>
      </c>
      <c r="P170">
        <v>180299</v>
      </c>
    </row>
    <row r="171" spans="1:16" x14ac:dyDescent="0.3">
      <c r="A171" t="s">
        <v>2115</v>
      </c>
      <c r="B171" t="s">
        <v>2116</v>
      </c>
      <c r="D171" t="s">
        <v>2252</v>
      </c>
      <c r="E171">
        <v>180301</v>
      </c>
      <c r="F171" t="s">
        <v>2681</v>
      </c>
      <c r="H171" t="s">
        <v>2133</v>
      </c>
      <c r="I171" t="s">
        <v>2133</v>
      </c>
      <c r="J171">
        <v>87.78</v>
      </c>
      <c r="K171">
        <v>0</v>
      </c>
      <c r="M171" t="s">
        <v>3076</v>
      </c>
      <c r="O171">
        <v>87.78</v>
      </c>
      <c r="P171">
        <v>180301</v>
      </c>
    </row>
    <row r="172" spans="1:16" x14ac:dyDescent="0.3">
      <c r="A172" t="s">
        <v>2115</v>
      </c>
      <c r="B172" t="s">
        <v>2116</v>
      </c>
      <c r="D172" t="s">
        <v>2252</v>
      </c>
      <c r="E172">
        <v>180303</v>
      </c>
      <c r="F172" t="s">
        <v>2682</v>
      </c>
      <c r="H172" t="s">
        <v>2133</v>
      </c>
      <c r="I172" t="s">
        <v>2133</v>
      </c>
      <c r="J172">
        <v>0.61</v>
      </c>
      <c r="K172">
        <v>0</v>
      </c>
      <c r="M172" t="s">
        <v>3076</v>
      </c>
      <c r="O172">
        <v>0.61</v>
      </c>
      <c r="P172">
        <v>180303</v>
      </c>
    </row>
    <row r="173" spans="1:16" x14ac:dyDescent="0.3">
      <c r="A173" t="s">
        <v>2115</v>
      </c>
      <c r="B173" t="s">
        <v>2116</v>
      </c>
      <c r="D173" t="s">
        <v>2252</v>
      </c>
      <c r="E173">
        <v>180307</v>
      </c>
      <c r="F173" t="s">
        <v>2683</v>
      </c>
      <c r="H173" t="s">
        <v>2133</v>
      </c>
      <c r="I173" t="s">
        <v>2133</v>
      </c>
      <c r="J173">
        <v>-621.03</v>
      </c>
      <c r="K173">
        <v>0</v>
      </c>
      <c r="M173" t="s">
        <v>3076</v>
      </c>
      <c r="O173">
        <v>-621.03</v>
      </c>
      <c r="P173">
        <v>180307</v>
      </c>
    </row>
    <row r="174" spans="1:16" x14ac:dyDescent="0.3">
      <c r="A174" t="s">
        <v>2115</v>
      </c>
      <c r="B174" t="s">
        <v>2116</v>
      </c>
      <c r="D174" t="s">
        <v>2252</v>
      </c>
      <c r="E174">
        <v>180309</v>
      </c>
      <c r="F174" t="s">
        <v>2684</v>
      </c>
      <c r="H174" t="s">
        <v>2133</v>
      </c>
      <c r="I174" t="s">
        <v>2133</v>
      </c>
      <c r="J174">
        <v>3338.42</v>
      </c>
      <c r="K174">
        <v>0</v>
      </c>
      <c r="M174" t="s">
        <v>3076</v>
      </c>
      <c r="O174" s="125">
        <v>3338.42</v>
      </c>
      <c r="P174">
        <v>180309</v>
      </c>
    </row>
    <row r="175" spans="1:16" x14ac:dyDescent="0.3">
      <c r="A175" t="s">
        <v>2115</v>
      </c>
      <c r="B175" t="s">
        <v>2116</v>
      </c>
      <c r="D175" t="s">
        <v>2252</v>
      </c>
      <c r="E175">
        <v>180311</v>
      </c>
      <c r="F175" t="s">
        <v>2685</v>
      </c>
      <c r="H175" t="s">
        <v>2133</v>
      </c>
      <c r="I175" t="s">
        <v>2133</v>
      </c>
      <c r="J175">
        <v>-779.27</v>
      </c>
      <c r="K175">
        <v>0</v>
      </c>
      <c r="M175" t="s">
        <v>3076</v>
      </c>
      <c r="O175">
        <v>-779.27</v>
      </c>
      <c r="P175">
        <v>180311</v>
      </c>
    </row>
    <row r="176" spans="1:16" x14ac:dyDescent="0.3">
      <c r="A176" t="s">
        <v>2115</v>
      </c>
      <c r="B176" t="s">
        <v>2116</v>
      </c>
      <c r="D176" t="s">
        <v>2252</v>
      </c>
      <c r="E176">
        <v>180313</v>
      </c>
      <c r="F176" t="s">
        <v>2686</v>
      </c>
      <c r="H176" t="s">
        <v>2133</v>
      </c>
      <c r="I176" t="s">
        <v>2133</v>
      </c>
      <c r="J176" s="125">
        <v>524561.23</v>
      </c>
      <c r="K176">
        <v>0</v>
      </c>
      <c r="M176" t="s">
        <v>3076</v>
      </c>
      <c r="O176" s="125">
        <v>524561.23</v>
      </c>
      <c r="P176">
        <v>180313</v>
      </c>
    </row>
    <row r="177" spans="1:16" x14ac:dyDescent="0.3">
      <c r="A177" t="s">
        <v>2115</v>
      </c>
      <c r="B177" t="s">
        <v>2116</v>
      </c>
      <c r="D177" t="s">
        <v>2252</v>
      </c>
      <c r="E177">
        <v>180315</v>
      </c>
      <c r="F177" t="s">
        <v>2725</v>
      </c>
      <c r="H177" t="s">
        <v>2133</v>
      </c>
      <c r="I177" t="s">
        <v>2133</v>
      </c>
      <c r="J177">
        <v>0.01</v>
      </c>
      <c r="K177">
        <v>0</v>
      </c>
      <c r="M177" t="s">
        <v>3076</v>
      </c>
      <c r="O177">
        <v>0.01</v>
      </c>
      <c r="P177">
        <v>180315</v>
      </c>
    </row>
    <row r="178" spans="1:16" x14ac:dyDescent="0.3">
      <c r="A178" t="s">
        <v>2115</v>
      </c>
      <c r="B178" t="s">
        <v>2116</v>
      </c>
      <c r="D178" t="s">
        <v>2252</v>
      </c>
      <c r="E178">
        <v>180317</v>
      </c>
      <c r="F178" t="s">
        <v>2687</v>
      </c>
      <c r="H178" t="s">
        <v>2133</v>
      </c>
      <c r="I178" t="s">
        <v>2133</v>
      </c>
      <c r="J178">
        <v>-587.39</v>
      </c>
      <c r="K178">
        <v>0</v>
      </c>
      <c r="M178" t="s">
        <v>3076</v>
      </c>
      <c r="O178">
        <v>-587.39</v>
      </c>
      <c r="P178">
        <v>180317</v>
      </c>
    </row>
    <row r="179" spans="1:16" x14ac:dyDescent="0.3">
      <c r="A179" t="s">
        <v>2115</v>
      </c>
      <c r="B179" t="s">
        <v>2116</v>
      </c>
      <c r="D179" t="s">
        <v>2252</v>
      </c>
      <c r="E179">
        <v>180319</v>
      </c>
      <c r="F179" t="s">
        <v>2728</v>
      </c>
      <c r="H179" t="s">
        <v>2133</v>
      </c>
      <c r="I179" t="s">
        <v>2133</v>
      </c>
      <c r="J179" s="125">
        <v>39673.79</v>
      </c>
      <c r="K179">
        <v>0</v>
      </c>
      <c r="M179" t="s">
        <v>3076</v>
      </c>
      <c r="O179" s="125">
        <v>39673.79</v>
      </c>
      <c r="P179">
        <v>180319</v>
      </c>
    </row>
    <row r="180" spans="1:16" x14ac:dyDescent="0.3">
      <c r="A180" t="s">
        <v>2115</v>
      </c>
      <c r="B180" t="s">
        <v>2116</v>
      </c>
      <c r="D180" t="s">
        <v>2252</v>
      </c>
      <c r="E180">
        <v>180321</v>
      </c>
      <c r="F180" t="s">
        <v>2729</v>
      </c>
      <c r="H180" t="s">
        <v>2133</v>
      </c>
      <c r="I180" t="s">
        <v>2133</v>
      </c>
      <c r="J180" s="125">
        <v>344830.48</v>
      </c>
      <c r="K180">
        <v>0</v>
      </c>
      <c r="M180" t="s">
        <v>3076</v>
      </c>
      <c r="O180" s="125">
        <v>344830.48</v>
      </c>
      <c r="P180">
        <v>180321</v>
      </c>
    </row>
    <row r="181" spans="1:16" x14ac:dyDescent="0.3">
      <c r="A181" t="s">
        <v>2115</v>
      </c>
      <c r="B181" t="s">
        <v>2116</v>
      </c>
      <c r="D181" t="s">
        <v>2252</v>
      </c>
      <c r="E181">
        <v>180323</v>
      </c>
      <c r="F181" t="s">
        <v>2730</v>
      </c>
      <c r="H181" t="s">
        <v>2133</v>
      </c>
      <c r="I181" t="s">
        <v>2133</v>
      </c>
      <c r="J181">
        <v>105.35</v>
      </c>
      <c r="K181">
        <v>0</v>
      </c>
      <c r="M181" t="s">
        <v>3076</v>
      </c>
      <c r="O181">
        <v>105.35</v>
      </c>
      <c r="P181">
        <v>180323</v>
      </c>
    </row>
    <row r="182" spans="1:16" x14ac:dyDescent="0.3">
      <c r="A182" t="s">
        <v>2115</v>
      </c>
      <c r="B182" t="s">
        <v>2116</v>
      </c>
      <c r="D182" t="s">
        <v>2252</v>
      </c>
      <c r="E182">
        <v>180325</v>
      </c>
      <c r="F182" t="s">
        <v>2731</v>
      </c>
      <c r="H182" t="s">
        <v>2133</v>
      </c>
      <c r="I182" t="s">
        <v>2133</v>
      </c>
      <c r="J182" s="125">
        <v>240562.87</v>
      </c>
      <c r="K182">
        <v>0</v>
      </c>
      <c r="M182" t="s">
        <v>3076</v>
      </c>
      <c r="O182" s="125">
        <v>240562.87</v>
      </c>
      <c r="P182">
        <v>180325</v>
      </c>
    </row>
    <row r="183" spans="1:16" x14ac:dyDescent="0.3">
      <c r="A183" t="s">
        <v>2115</v>
      </c>
      <c r="B183" t="s">
        <v>2116</v>
      </c>
      <c r="D183" t="s">
        <v>2252</v>
      </c>
      <c r="E183">
        <v>180327</v>
      </c>
      <c r="F183" t="s">
        <v>2743</v>
      </c>
      <c r="H183" t="s">
        <v>2133</v>
      </c>
      <c r="I183" t="s">
        <v>2133</v>
      </c>
      <c r="J183" s="125">
        <v>132826.54999999999</v>
      </c>
      <c r="K183">
        <v>0</v>
      </c>
      <c r="M183" t="s">
        <v>3076</v>
      </c>
      <c r="O183" s="125">
        <v>132826.54999999999</v>
      </c>
      <c r="P183">
        <v>180327</v>
      </c>
    </row>
    <row r="184" spans="1:16" x14ac:dyDescent="0.3">
      <c r="A184" t="s">
        <v>2115</v>
      </c>
      <c r="B184" t="s">
        <v>2116</v>
      </c>
      <c r="D184" t="s">
        <v>2252</v>
      </c>
      <c r="E184">
        <v>180329</v>
      </c>
      <c r="F184" t="s">
        <v>2744</v>
      </c>
      <c r="H184" t="s">
        <v>2133</v>
      </c>
      <c r="I184" t="s">
        <v>2133</v>
      </c>
      <c r="J184" s="125">
        <v>322932.67</v>
      </c>
      <c r="K184">
        <v>0</v>
      </c>
      <c r="M184" t="s">
        <v>3076</v>
      </c>
      <c r="O184" s="125">
        <v>322932.67</v>
      </c>
      <c r="P184">
        <v>180329</v>
      </c>
    </row>
    <row r="185" spans="1:16" x14ac:dyDescent="0.3">
      <c r="A185" t="s">
        <v>2115</v>
      </c>
      <c r="B185" t="s">
        <v>2116</v>
      </c>
      <c r="D185" t="s">
        <v>2252</v>
      </c>
      <c r="E185">
        <v>180331</v>
      </c>
      <c r="F185" t="s">
        <v>2770</v>
      </c>
      <c r="H185" t="s">
        <v>2133</v>
      </c>
      <c r="I185" t="s">
        <v>2133</v>
      </c>
      <c r="J185" s="125">
        <v>68270.009999999995</v>
      </c>
      <c r="K185">
        <v>0</v>
      </c>
      <c r="M185" t="s">
        <v>3076</v>
      </c>
      <c r="O185" s="125">
        <v>68270.009999999995</v>
      </c>
      <c r="P185">
        <v>180331</v>
      </c>
    </row>
    <row r="186" spans="1:16" x14ac:dyDescent="0.3">
      <c r="A186" t="s">
        <v>2115</v>
      </c>
      <c r="B186" t="s">
        <v>2116</v>
      </c>
      <c r="D186" t="s">
        <v>2252</v>
      </c>
      <c r="E186">
        <v>180333</v>
      </c>
      <c r="F186" t="s">
        <v>2777</v>
      </c>
      <c r="H186" t="s">
        <v>2133</v>
      </c>
      <c r="I186" t="s">
        <v>2133</v>
      </c>
      <c r="J186" s="125">
        <v>21886.84</v>
      </c>
      <c r="K186">
        <v>0</v>
      </c>
      <c r="M186" t="s">
        <v>3076</v>
      </c>
      <c r="O186" s="125">
        <v>21886.84</v>
      </c>
      <c r="P186">
        <v>180333</v>
      </c>
    </row>
    <row r="187" spans="1:16" x14ac:dyDescent="0.3">
      <c r="A187" t="s">
        <v>2115</v>
      </c>
      <c r="B187" t="s">
        <v>2116</v>
      </c>
      <c r="D187" t="s">
        <v>2252</v>
      </c>
      <c r="E187">
        <v>180335</v>
      </c>
      <c r="F187" t="s">
        <v>2778</v>
      </c>
      <c r="H187" t="s">
        <v>2133</v>
      </c>
      <c r="I187" t="s">
        <v>2133</v>
      </c>
      <c r="J187">
        <v>96.16</v>
      </c>
      <c r="K187">
        <v>0</v>
      </c>
      <c r="M187" t="s">
        <v>3076</v>
      </c>
      <c r="O187">
        <v>96.16</v>
      </c>
      <c r="P187">
        <v>180335</v>
      </c>
    </row>
    <row r="188" spans="1:16" x14ac:dyDescent="0.3">
      <c r="A188" t="s">
        <v>2115</v>
      </c>
      <c r="B188" t="s">
        <v>2116</v>
      </c>
      <c r="D188" t="s">
        <v>2252</v>
      </c>
      <c r="E188">
        <v>180337</v>
      </c>
      <c r="F188" t="s">
        <v>2779</v>
      </c>
      <c r="H188" t="s">
        <v>2133</v>
      </c>
      <c r="I188" t="s">
        <v>2133</v>
      </c>
      <c r="J188" s="125">
        <v>1451695.41</v>
      </c>
      <c r="K188">
        <v>0</v>
      </c>
      <c r="M188" t="s">
        <v>3076</v>
      </c>
      <c r="O188" s="125">
        <v>1451695.41</v>
      </c>
      <c r="P188">
        <v>180337</v>
      </c>
    </row>
    <row r="189" spans="1:16" x14ac:dyDescent="0.3">
      <c r="A189" t="s">
        <v>2115</v>
      </c>
      <c r="B189" t="s">
        <v>2116</v>
      </c>
      <c r="D189" t="s">
        <v>2252</v>
      </c>
      <c r="E189">
        <v>180351</v>
      </c>
      <c r="F189" t="s">
        <v>2780</v>
      </c>
      <c r="H189" t="s">
        <v>2133</v>
      </c>
      <c r="I189" t="s">
        <v>2257</v>
      </c>
      <c r="J189" s="125">
        <v>18937.43</v>
      </c>
      <c r="K189">
        <v>0</v>
      </c>
      <c r="M189" t="s">
        <v>3076</v>
      </c>
      <c r="O189" s="125">
        <v>18937.43</v>
      </c>
      <c r="P189">
        <v>180351</v>
      </c>
    </row>
    <row r="190" spans="1:16" x14ac:dyDescent="0.3">
      <c r="A190" t="s">
        <v>2115</v>
      </c>
      <c r="B190" t="s">
        <v>2116</v>
      </c>
      <c r="D190" t="s">
        <v>2292</v>
      </c>
      <c r="E190">
        <v>200203</v>
      </c>
      <c r="F190" t="s">
        <v>2293</v>
      </c>
      <c r="H190" t="s">
        <v>2294</v>
      </c>
      <c r="I190" t="s">
        <v>2295</v>
      </c>
      <c r="J190" s="125">
        <v>-214497.64</v>
      </c>
      <c r="K190">
        <v>-994.37</v>
      </c>
      <c r="M190" t="s">
        <v>3076</v>
      </c>
      <c r="O190" s="125">
        <v>-215492.01</v>
      </c>
      <c r="P190">
        <v>200203</v>
      </c>
    </row>
    <row r="191" spans="1:16" x14ac:dyDescent="0.3">
      <c r="A191" t="s">
        <v>2115</v>
      </c>
      <c r="B191" t="s">
        <v>2116</v>
      </c>
      <c r="D191" t="s">
        <v>2296</v>
      </c>
      <c r="E191">
        <v>220201</v>
      </c>
      <c r="F191" t="s">
        <v>2297</v>
      </c>
      <c r="H191" t="s">
        <v>2298</v>
      </c>
      <c r="I191" t="s">
        <v>2299</v>
      </c>
      <c r="J191" s="126">
        <v>-1699000</v>
      </c>
      <c r="K191" s="126">
        <v>-100000</v>
      </c>
      <c r="M191" t="s">
        <v>3076</v>
      </c>
      <c r="O191" s="125">
        <v>-1799000</v>
      </c>
      <c r="P191">
        <v>220201</v>
      </c>
    </row>
    <row r="192" spans="1:16" x14ac:dyDescent="0.3">
      <c r="A192" t="s">
        <v>2115</v>
      </c>
      <c r="B192" t="s">
        <v>2116</v>
      </c>
      <c r="D192" t="s">
        <v>2217</v>
      </c>
      <c r="E192">
        <v>220203</v>
      </c>
      <c r="F192" t="s">
        <v>2688</v>
      </c>
      <c r="H192" t="s">
        <v>2133</v>
      </c>
      <c r="I192" t="s">
        <v>2133</v>
      </c>
      <c r="J192">
        <v>0</v>
      </c>
      <c r="K192">
        <v>0</v>
      </c>
      <c r="M192" t="s">
        <v>3077</v>
      </c>
      <c r="O192">
        <v>0</v>
      </c>
      <c r="P192">
        <v>220203</v>
      </c>
    </row>
    <row r="193" spans="1:16" x14ac:dyDescent="0.3">
      <c r="A193" t="s">
        <v>2115</v>
      </c>
      <c r="B193" t="s">
        <v>2116</v>
      </c>
      <c r="D193" t="s">
        <v>2300</v>
      </c>
      <c r="E193">
        <v>220207</v>
      </c>
      <c r="F193" t="s">
        <v>2301</v>
      </c>
      <c r="H193" t="s">
        <v>2302</v>
      </c>
      <c r="I193" t="s">
        <v>2303</v>
      </c>
      <c r="J193" s="125">
        <v>-320642.71999999997</v>
      </c>
      <c r="K193" s="126">
        <v>-20000</v>
      </c>
      <c r="M193" t="s">
        <v>3076</v>
      </c>
      <c r="O193" s="125">
        <v>-340642.72</v>
      </c>
      <c r="P193">
        <v>220207</v>
      </c>
    </row>
    <row r="194" spans="1:16" x14ac:dyDescent="0.3">
      <c r="A194" t="s">
        <v>2115</v>
      </c>
      <c r="B194" t="s">
        <v>2116</v>
      </c>
      <c r="D194" t="s">
        <v>2217</v>
      </c>
      <c r="E194">
        <v>220209</v>
      </c>
      <c r="F194" t="s">
        <v>2304</v>
      </c>
      <c r="H194" t="s">
        <v>2211</v>
      </c>
      <c r="I194" t="s">
        <v>2212</v>
      </c>
      <c r="J194" s="125">
        <v>-1369957.26</v>
      </c>
      <c r="K194" s="125">
        <v>-1316043.9099999999</v>
      </c>
      <c r="M194" t="s">
        <v>3076</v>
      </c>
      <c r="O194" s="125">
        <v>-2686001.17</v>
      </c>
      <c r="P194">
        <v>220209</v>
      </c>
    </row>
    <row r="195" spans="1:16" x14ac:dyDescent="0.3">
      <c r="A195" t="s">
        <v>2115</v>
      </c>
      <c r="B195" t="s">
        <v>2116</v>
      </c>
      <c r="D195" t="s">
        <v>2217</v>
      </c>
      <c r="E195">
        <v>220213</v>
      </c>
      <c r="F195" t="s">
        <v>2305</v>
      </c>
      <c r="H195" t="s">
        <v>2306</v>
      </c>
      <c r="I195" t="s">
        <v>2307</v>
      </c>
      <c r="J195">
        <v>6367.63</v>
      </c>
      <c r="K195">
        <v>0</v>
      </c>
      <c r="M195" t="s">
        <v>3076</v>
      </c>
      <c r="O195" s="125">
        <v>6367.63</v>
      </c>
      <c r="P195">
        <v>220213</v>
      </c>
    </row>
    <row r="196" spans="1:16" x14ac:dyDescent="0.3">
      <c r="A196" t="s">
        <v>2115</v>
      </c>
      <c r="B196" t="s">
        <v>2116</v>
      </c>
      <c r="D196" t="s">
        <v>2308</v>
      </c>
      <c r="E196">
        <v>220215</v>
      </c>
      <c r="F196" t="s">
        <v>2309</v>
      </c>
      <c r="H196" t="s">
        <v>2309</v>
      </c>
      <c r="I196" t="s">
        <v>2310</v>
      </c>
      <c r="J196" s="126">
        <v>-193410191</v>
      </c>
      <c r="K196">
        <v>0</v>
      </c>
      <c r="M196" t="s">
        <v>3076</v>
      </c>
      <c r="O196" s="125">
        <v>-193410191</v>
      </c>
      <c r="P196">
        <v>220215</v>
      </c>
    </row>
    <row r="197" spans="1:16" x14ac:dyDescent="0.3">
      <c r="A197" t="s">
        <v>2115</v>
      </c>
      <c r="B197" t="s">
        <v>2116</v>
      </c>
      <c r="D197" t="s">
        <v>2311</v>
      </c>
      <c r="E197">
        <v>220217</v>
      </c>
      <c r="F197" t="s">
        <v>2312</v>
      </c>
      <c r="H197" t="s">
        <v>2313</v>
      </c>
      <c r="I197" t="s">
        <v>2314</v>
      </c>
      <c r="J197" s="125">
        <v>-3547477.14</v>
      </c>
      <c r="K197">
        <v>0</v>
      </c>
      <c r="M197" t="s">
        <v>3076</v>
      </c>
      <c r="O197" s="125">
        <v>-3547477.14</v>
      </c>
      <c r="P197">
        <v>220217</v>
      </c>
    </row>
    <row r="198" spans="1:16" x14ac:dyDescent="0.3">
      <c r="A198" t="s">
        <v>2115</v>
      </c>
      <c r="B198" t="s">
        <v>2116</v>
      </c>
      <c r="D198" t="s">
        <v>2311</v>
      </c>
      <c r="E198">
        <v>220219</v>
      </c>
      <c r="F198" t="s">
        <v>2315</v>
      </c>
      <c r="H198" t="s">
        <v>2211</v>
      </c>
      <c r="I198" t="s">
        <v>2212</v>
      </c>
      <c r="J198">
        <v>1405</v>
      </c>
      <c r="K198">
        <v>0</v>
      </c>
      <c r="M198" t="s">
        <v>3076</v>
      </c>
      <c r="O198" s="125">
        <v>1405</v>
      </c>
      <c r="P198">
        <v>220219</v>
      </c>
    </row>
    <row r="199" spans="1:16" x14ac:dyDescent="0.3">
      <c r="A199" t="s">
        <v>2115</v>
      </c>
      <c r="B199" t="s">
        <v>2116</v>
      </c>
      <c r="D199" t="s">
        <v>2311</v>
      </c>
      <c r="E199">
        <v>220221</v>
      </c>
      <c r="F199" t="s">
        <v>2316</v>
      </c>
      <c r="H199" t="s">
        <v>2306</v>
      </c>
      <c r="I199" t="s">
        <v>2317</v>
      </c>
      <c r="J199">
        <v>-1</v>
      </c>
      <c r="K199">
        <v>0</v>
      </c>
      <c r="M199" t="s">
        <v>3076</v>
      </c>
      <c r="O199">
        <v>-1</v>
      </c>
      <c r="P199">
        <v>220221</v>
      </c>
    </row>
    <row r="200" spans="1:16" x14ac:dyDescent="0.3">
      <c r="A200" t="s">
        <v>2115</v>
      </c>
      <c r="B200" t="s">
        <v>2116</v>
      </c>
      <c r="D200" t="s">
        <v>2217</v>
      </c>
      <c r="E200">
        <v>220225</v>
      </c>
      <c r="F200" t="s">
        <v>2318</v>
      </c>
      <c r="H200" t="s">
        <v>2306</v>
      </c>
      <c r="I200" t="s">
        <v>2310</v>
      </c>
      <c r="J200" s="125">
        <v>-19537123.109999999</v>
      </c>
      <c r="K200">
        <v>0</v>
      </c>
      <c r="M200" t="s">
        <v>3076</v>
      </c>
      <c r="O200" s="125">
        <v>-19537123.109999999</v>
      </c>
      <c r="P200">
        <v>220225</v>
      </c>
    </row>
    <row r="201" spans="1:16" x14ac:dyDescent="0.3">
      <c r="A201" t="s">
        <v>2115</v>
      </c>
      <c r="B201" t="s">
        <v>2116</v>
      </c>
      <c r="D201" t="s">
        <v>2217</v>
      </c>
      <c r="E201">
        <v>220227</v>
      </c>
      <c r="F201" t="s">
        <v>2319</v>
      </c>
      <c r="H201" t="s">
        <v>2306</v>
      </c>
      <c r="I201" t="s">
        <v>2310</v>
      </c>
      <c r="J201" s="126">
        <v>-747631</v>
      </c>
      <c r="K201">
        <v>0</v>
      </c>
      <c r="M201" t="s">
        <v>3076</v>
      </c>
      <c r="O201" s="125">
        <v>-747631</v>
      </c>
      <c r="P201">
        <v>220227</v>
      </c>
    </row>
    <row r="202" spans="1:16" x14ac:dyDescent="0.3">
      <c r="A202" t="s">
        <v>2115</v>
      </c>
      <c r="B202" t="s">
        <v>2116</v>
      </c>
      <c r="D202" t="s">
        <v>2296</v>
      </c>
      <c r="E202">
        <v>220229</v>
      </c>
      <c r="F202" t="s">
        <v>2705</v>
      </c>
      <c r="H202" t="s">
        <v>2133</v>
      </c>
      <c r="I202" t="s">
        <v>2133</v>
      </c>
      <c r="J202">
        <v>0</v>
      </c>
      <c r="K202">
        <v>0</v>
      </c>
      <c r="M202" t="s">
        <v>3077</v>
      </c>
      <c r="O202">
        <v>0</v>
      </c>
      <c r="P202">
        <v>220229</v>
      </c>
    </row>
    <row r="203" spans="1:16" x14ac:dyDescent="0.3">
      <c r="A203" t="s">
        <v>2115</v>
      </c>
      <c r="B203" t="s">
        <v>2116</v>
      </c>
      <c r="D203" t="s">
        <v>2296</v>
      </c>
      <c r="E203">
        <v>220233</v>
      </c>
      <c r="F203" t="s">
        <v>2760</v>
      </c>
      <c r="H203" t="s">
        <v>2133</v>
      </c>
      <c r="I203" t="s">
        <v>2133</v>
      </c>
      <c r="J203" s="125">
        <v>1075640.1100000001</v>
      </c>
      <c r="K203">
        <v>0</v>
      </c>
      <c r="M203" t="s">
        <v>3076</v>
      </c>
      <c r="O203" s="125">
        <v>1075640.1100000001</v>
      </c>
      <c r="P203">
        <v>220233</v>
      </c>
    </row>
    <row r="204" spans="1:16" x14ac:dyDescent="0.3">
      <c r="A204" t="s">
        <v>2115</v>
      </c>
      <c r="B204" t="s">
        <v>2116</v>
      </c>
      <c r="D204" t="s">
        <v>2296</v>
      </c>
      <c r="E204">
        <v>220235</v>
      </c>
      <c r="F204" t="s">
        <v>2761</v>
      </c>
      <c r="H204" t="s">
        <v>2133</v>
      </c>
      <c r="I204" t="s">
        <v>2133</v>
      </c>
      <c r="J204" s="125">
        <v>-36817.82</v>
      </c>
      <c r="K204">
        <v>0</v>
      </c>
      <c r="M204" t="s">
        <v>3076</v>
      </c>
      <c r="O204" s="125">
        <v>-36817.82</v>
      </c>
      <c r="P204">
        <v>220235</v>
      </c>
    </row>
    <row r="205" spans="1:16" x14ac:dyDescent="0.3">
      <c r="A205" t="s">
        <v>2115</v>
      </c>
      <c r="B205" t="s">
        <v>2116</v>
      </c>
      <c r="D205" t="s">
        <v>2296</v>
      </c>
      <c r="E205">
        <v>220237</v>
      </c>
      <c r="F205" t="s">
        <v>2771</v>
      </c>
      <c r="H205" t="s">
        <v>2133</v>
      </c>
      <c r="I205" t="s">
        <v>2133</v>
      </c>
      <c r="J205" s="126">
        <v>-16075</v>
      </c>
      <c r="K205">
        <v>0</v>
      </c>
      <c r="M205" t="s">
        <v>3076</v>
      </c>
      <c r="O205" s="125">
        <v>-16075</v>
      </c>
      <c r="P205">
        <v>220237</v>
      </c>
    </row>
    <row r="206" spans="1:16" x14ac:dyDescent="0.3">
      <c r="A206" t="s">
        <v>2115</v>
      </c>
      <c r="B206" t="s">
        <v>2116</v>
      </c>
      <c r="D206" t="s">
        <v>2320</v>
      </c>
      <c r="E206">
        <v>240201</v>
      </c>
      <c r="F206" t="s">
        <v>2321</v>
      </c>
      <c r="H206" t="s">
        <v>2322</v>
      </c>
      <c r="I206" t="s">
        <v>2323</v>
      </c>
      <c r="J206">
        <v>-524</v>
      </c>
      <c r="K206">
        <v>0</v>
      </c>
      <c r="M206" t="s">
        <v>3076</v>
      </c>
      <c r="O206">
        <v>-524</v>
      </c>
      <c r="P206">
        <v>240201</v>
      </c>
    </row>
    <row r="207" spans="1:16" x14ac:dyDescent="0.3">
      <c r="A207" t="s">
        <v>2115</v>
      </c>
      <c r="B207" t="s">
        <v>2116</v>
      </c>
      <c r="D207" t="s">
        <v>2324</v>
      </c>
      <c r="E207">
        <v>240219</v>
      </c>
      <c r="F207" t="s">
        <v>2325</v>
      </c>
      <c r="H207" t="s">
        <v>2322</v>
      </c>
      <c r="I207" t="s">
        <v>2326</v>
      </c>
      <c r="J207" s="125">
        <v>-6867686.9100000001</v>
      </c>
      <c r="K207" s="125">
        <v>-12332.93</v>
      </c>
      <c r="M207" t="s">
        <v>3076</v>
      </c>
      <c r="O207" s="125">
        <v>-6880019.8399999999</v>
      </c>
      <c r="P207">
        <v>240219</v>
      </c>
    </row>
    <row r="208" spans="1:16" x14ac:dyDescent="0.3">
      <c r="A208" t="s">
        <v>2115</v>
      </c>
      <c r="B208" t="s">
        <v>2116</v>
      </c>
      <c r="D208" t="s">
        <v>2327</v>
      </c>
      <c r="E208">
        <v>240221</v>
      </c>
      <c r="F208" t="s">
        <v>2328</v>
      </c>
      <c r="H208" t="s">
        <v>2322</v>
      </c>
      <c r="I208" t="s">
        <v>2323</v>
      </c>
      <c r="J208">
        <v>0</v>
      </c>
      <c r="K208">
        <v>0</v>
      </c>
      <c r="M208" t="s">
        <v>3077</v>
      </c>
      <c r="O208">
        <v>0</v>
      </c>
      <c r="P208">
        <v>240221</v>
      </c>
    </row>
    <row r="209" spans="1:16" x14ac:dyDescent="0.3">
      <c r="A209" t="s">
        <v>2115</v>
      </c>
      <c r="B209" t="s">
        <v>2116</v>
      </c>
      <c r="D209" t="s">
        <v>2320</v>
      </c>
      <c r="E209">
        <v>240223</v>
      </c>
      <c r="F209" t="s">
        <v>2329</v>
      </c>
      <c r="H209" t="s">
        <v>2322</v>
      </c>
      <c r="I209" t="s">
        <v>2323</v>
      </c>
      <c r="J209" s="125">
        <v>-689613.15</v>
      </c>
      <c r="K209">
        <v>0</v>
      </c>
      <c r="M209" t="s">
        <v>3076</v>
      </c>
      <c r="O209" s="125">
        <v>-689613.15</v>
      </c>
      <c r="P209">
        <v>240223</v>
      </c>
    </row>
    <row r="210" spans="1:16" x14ac:dyDescent="0.3">
      <c r="A210" t="s">
        <v>2115</v>
      </c>
      <c r="B210" t="s">
        <v>2116</v>
      </c>
      <c r="D210" t="s">
        <v>2320</v>
      </c>
      <c r="E210">
        <v>240225</v>
      </c>
      <c r="F210" t="s">
        <v>2330</v>
      </c>
      <c r="H210" t="s">
        <v>2322</v>
      </c>
      <c r="I210" t="s">
        <v>2331</v>
      </c>
      <c r="J210">
        <v>-8390.2999999999993</v>
      </c>
      <c r="K210">
        <v>0</v>
      </c>
      <c r="M210" t="s">
        <v>3076</v>
      </c>
      <c r="O210" s="125">
        <v>-8390.2999999999993</v>
      </c>
      <c r="P210">
        <v>240225</v>
      </c>
    </row>
    <row r="211" spans="1:16" x14ac:dyDescent="0.3">
      <c r="A211" t="s">
        <v>2115</v>
      </c>
      <c r="B211" t="s">
        <v>2116</v>
      </c>
      <c r="D211" t="s">
        <v>2320</v>
      </c>
      <c r="E211">
        <v>240227</v>
      </c>
      <c r="F211" t="s">
        <v>2706</v>
      </c>
      <c r="H211" t="s">
        <v>2133</v>
      </c>
      <c r="I211" t="s">
        <v>2133</v>
      </c>
      <c r="J211" s="125">
        <v>-721576.75</v>
      </c>
      <c r="K211">
        <v>0</v>
      </c>
      <c r="M211" t="s">
        <v>3076</v>
      </c>
      <c r="O211" s="125">
        <v>-721576.75</v>
      </c>
      <c r="P211">
        <v>240227</v>
      </c>
    </row>
    <row r="212" spans="1:16" x14ac:dyDescent="0.3">
      <c r="A212" t="s">
        <v>2115</v>
      </c>
      <c r="B212" t="s">
        <v>2116</v>
      </c>
      <c r="D212" t="s">
        <v>2327</v>
      </c>
      <c r="E212">
        <v>260201</v>
      </c>
      <c r="F212" t="s">
        <v>2332</v>
      </c>
      <c r="H212" t="s">
        <v>2333</v>
      </c>
      <c r="I212" t="s">
        <v>2334</v>
      </c>
      <c r="J212" s="125">
        <v>-952563.54</v>
      </c>
      <c r="K212" s="125">
        <v>-56206.46</v>
      </c>
      <c r="M212" t="s">
        <v>3076</v>
      </c>
      <c r="O212" s="125">
        <v>-1008770</v>
      </c>
      <c r="P212">
        <v>260201</v>
      </c>
    </row>
    <row r="213" spans="1:16" x14ac:dyDescent="0.3">
      <c r="A213" t="s">
        <v>2115</v>
      </c>
      <c r="B213" t="s">
        <v>2116</v>
      </c>
      <c r="D213" t="s">
        <v>2284</v>
      </c>
      <c r="E213">
        <v>280211</v>
      </c>
      <c r="F213" t="s">
        <v>2335</v>
      </c>
      <c r="H213" t="s">
        <v>2286</v>
      </c>
      <c r="I213" t="s">
        <v>2266</v>
      </c>
      <c r="J213">
        <v>0</v>
      </c>
      <c r="K213">
        <v>0</v>
      </c>
      <c r="M213" t="s">
        <v>3077</v>
      </c>
      <c r="O213">
        <v>0</v>
      </c>
      <c r="P213">
        <v>280211</v>
      </c>
    </row>
    <row r="214" spans="1:16" x14ac:dyDescent="0.3">
      <c r="A214" t="s">
        <v>2115</v>
      </c>
      <c r="B214" t="s">
        <v>2116</v>
      </c>
      <c r="D214" t="s">
        <v>2284</v>
      </c>
      <c r="E214">
        <v>280217</v>
      </c>
      <c r="F214" t="s">
        <v>2602</v>
      </c>
      <c r="H214" t="s">
        <v>2286</v>
      </c>
      <c r="I214" t="s">
        <v>2266</v>
      </c>
      <c r="J214">
        <v>0</v>
      </c>
      <c r="K214">
        <v>0</v>
      </c>
      <c r="M214" t="s">
        <v>3077</v>
      </c>
      <c r="O214">
        <v>0</v>
      </c>
      <c r="P214">
        <v>280217</v>
      </c>
    </row>
    <row r="215" spans="1:16" x14ac:dyDescent="0.3">
      <c r="A215" t="s">
        <v>2115</v>
      </c>
      <c r="B215" t="s">
        <v>2116</v>
      </c>
      <c r="D215" t="s">
        <v>2284</v>
      </c>
      <c r="E215">
        <v>280221</v>
      </c>
      <c r="F215" t="s">
        <v>2336</v>
      </c>
      <c r="H215" t="s">
        <v>2286</v>
      </c>
      <c r="I215" t="s">
        <v>2266</v>
      </c>
      <c r="J215" s="125">
        <v>327623.67999999999</v>
      </c>
      <c r="K215">
        <v>0</v>
      </c>
      <c r="M215" t="s">
        <v>3076</v>
      </c>
      <c r="O215" s="125">
        <v>327623.67999999999</v>
      </c>
      <c r="P215">
        <v>280221</v>
      </c>
    </row>
    <row r="216" spans="1:16" x14ac:dyDescent="0.3">
      <c r="A216" t="s">
        <v>2115</v>
      </c>
      <c r="B216" t="s">
        <v>2116</v>
      </c>
      <c r="D216" t="s">
        <v>2284</v>
      </c>
      <c r="E216">
        <v>280225</v>
      </c>
      <c r="F216" t="s">
        <v>2337</v>
      </c>
      <c r="H216" t="s">
        <v>2286</v>
      </c>
      <c r="I216" t="s">
        <v>2266</v>
      </c>
      <c r="J216">
        <v>0</v>
      </c>
      <c r="K216">
        <v>0</v>
      </c>
      <c r="M216" t="s">
        <v>3077</v>
      </c>
      <c r="O216">
        <v>0</v>
      </c>
      <c r="P216">
        <v>280225</v>
      </c>
    </row>
    <row r="217" spans="1:16" x14ac:dyDescent="0.3">
      <c r="A217" t="s">
        <v>2115</v>
      </c>
      <c r="B217" t="s">
        <v>2116</v>
      </c>
      <c r="D217" t="s">
        <v>2284</v>
      </c>
      <c r="E217">
        <v>280227</v>
      </c>
      <c r="F217" t="s">
        <v>2338</v>
      </c>
      <c r="H217" t="s">
        <v>2286</v>
      </c>
      <c r="I217" t="s">
        <v>2266</v>
      </c>
      <c r="J217">
        <v>0</v>
      </c>
      <c r="K217">
        <v>0</v>
      </c>
      <c r="M217" t="s">
        <v>3077</v>
      </c>
      <c r="O217">
        <v>0</v>
      </c>
      <c r="P217">
        <v>280227</v>
      </c>
    </row>
    <row r="218" spans="1:16" x14ac:dyDescent="0.3">
      <c r="A218" t="s">
        <v>2115</v>
      </c>
      <c r="B218" t="s">
        <v>2116</v>
      </c>
      <c r="D218" t="s">
        <v>2284</v>
      </c>
      <c r="E218">
        <v>280229</v>
      </c>
      <c r="F218" t="s">
        <v>2339</v>
      </c>
      <c r="H218" t="s">
        <v>2286</v>
      </c>
      <c r="I218" t="s">
        <v>2266</v>
      </c>
      <c r="J218">
        <v>0</v>
      </c>
      <c r="K218">
        <v>0</v>
      </c>
      <c r="M218" t="s">
        <v>3077</v>
      </c>
      <c r="O218">
        <v>0</v>
      </c>
      <c r="P218">
        <v>280229</v>
      </c>
    </row>
    <row r="219" spans="1:16" x14ac:dyDescent="0.3">
      <c r="A219" t="s">
        <v>2115</v>
      </c>
      <c r="B219" t="s">
        <v>2116</v>
      </c>
      <c r="D219" t="s">
        <v>2284</v>
      </c>
      <c r="E219">
        <v>280231</v>
      </c>
      <c r="F219" t="s">
        <v>2340</v>
      </c>
      <c r="H219" t="s">
        <v>2286</v>
      </c>
      <c r="I219" t="s">
        <v>2266</v>
      </c>
      <c r="J219">
        <v>0</v>
      </c>
      <c r="K219">
        <v>0</v>
      </c>
      <c r="M219" t="s">
        <v>3077</v>
      </c>
      <c r="O219">
        <v>0</v>
      </c>
      <c r="P219">
        <v>280231</v>
      </c>
    </row>
    <row r="220" spans="1:16" x14ac:dyDescent="0.3">
      <c r="A220" t="s">
        <v>2115</v>
      </c>
      <c r="B220" t="s">
        <v>2116</v>
      </c>
      <c r="D220" t="s">
        <v>2284</v>
      </c>
      <c r="E220">
        <v>280233</v>
      </c>
      <c r="F220" t="s">
        <v>2341</v>
      </c>
      <c r="H220" t="s">
        <v>2286</v>
      </c>
      <c r="I220" t="s">
        <v>2266</v>
      </c>
      <c r="J220">
        <v>0</v>
      </c>
      <c r="K220">
        <v>0</v>
      </c>
      <c r="M220" t="s">
        <v>3077</v>
      </c>
      <c r="O220">
        <v>0</v>
      </c>
      <c r="P220">
        <v>280233</v>
      </c>
    </row>
    <row r="221" spans="1:16" x14ac:dyDescent="0.3">
      <c r="A221" t="s">
        <v>2115</v>
      </c>
      <c r="B221" t="s">
        <v>2116</v>
      </c>
      <c r="D221" t="s">
        <v>2284</v>
      </c>
      <c r="E221">
        <v>280235</v>
      </c>
      <c r="F221" t="s">
        <v>2342</v>
      </c>
      <c r="H221" t="s">
        <v>2286</v>
      </c>
      <c r="I221" t="s">
        <v>2266</v>
      </c>
      <c r="J221">
        <v>0</v>
      </c>
      <c r="K221">
        <v>0</v>
      </c>
      <c r="M221" t="s">
        <v>3077</v>
      </c>
      <c r="O221">
        <v>0</v>
      </c>
      <c r="P221">
        <v>280235</v>
      </c>
    </row>
    <row r="222" spans="1:16" x14ac:dyDescent="0.3">
      <c r="A222" t="s">
        <v>2115</v>
      </c>
      <c r="B222" t="s">
        <v>2116</v>
      </c>
      <c r="D222" t="s">
        <v>2284</v>
      </c>
      <c r="E222">
        <v>280237</v>
      </c>
      <c r="F222" t="s">
        <v>2343</v>
      </c>
      <c r="H222" t="s">
        <v>2286</v>
      </c>
      <c r="I222" t="s">
        <v>2266</v>
      </c>
      <c r="J222">
        <v>0</v>
      </c>
      <c r="K222">
        <v>0</v>
      </c>
      <c r="M222" t="s">
        <v>3077</v>
      </c>
      <c r="O222">
        <v>0</v>
      </c>
      <c r="P222">
        <v>280237</v>
      </c>
    </row>
    <row r="223" spans="1:16" x14ac:dyDescent="0.3">
      <c r="A223" t="s">
        <v>2115</v>
      </c>
      <c r="B223" t="s">
        <v>2116</v>
      </c>
      <c r="D223" t="s">
        <v>2284</v>
      </c>
      <c r="E223">
        <v>280239</v>
      </c>
      <c r="F223" t="s">
        <v>2344</v>
      </c>
      <c r="H223" t="s">
        <v>2286</v>
      </c>
      <c r="I223" t="s">
        <v>2266</v>
      </c>
      <c r="J223">
        <v>0</v>
      </c>
      <c r="K223">
        <v>0</v>
      </c>
      <c r="M223" t="s">
        <v>3077</v>
      </c>
      <c r="O223">
        <v>0</v>
      </c>
      <c r="P223">
        <v>280239</v>
      </c>
    </row>
    <row r="224" spans="1:16" x14ac:dyDescent="0.3">
      <c r="A224" t="s">
        <v>2115</v>
      </c>
      <c r="B224" t="s">
        <v>2116</v>
      </c>
      <c r="D224" t="s">
        <v>2284</v>
      </c>
      <c r="E224">
        <v>280241</v>
      </c>
      <c r="F224" t="s">
        <v>2345</v>
      </c>
      <c r="H224" t="s">
        <v>2286</v>
      </c>
      <c r="I224" t="s">
        <v>2266</v>
      </c>
      <c r="J224">
        <v>0</v>
      </c>
      <c r="K224">
        <v>0</v>
      </c>
      <c r="M224" t="s">
        <v>3077</v>
      </c>
      <c r="O224">
        <v>0</v>
      </c>
      <c r="P224">
        <v>280241</v>
      </c>
    </row>
    <row r="225" spans="1:16" x14ac:dyDescent="0.3">
      <c r="A225" t="s">
        <v>2115</v>
      </c>
      <c r="B225" t="s">
        <v>2116</v>
      </c>
      <c r="D225" t="s">
        <v>2284</v>
      </c>
      <c r="E225">
        <v>280243</v>
      </c>
      <c r="F225" t="s">
        <v>2346</v>
      </c>
      <c r="H225" t="s">
        <v>2286</v>
      </c>
      <c r="I225" t="s">
        <v>2266</v>
      </c>
      <c r="J225">
        <v>0</v>
      </c>
      <c r="K225">
        <v>0</v>
      </c>
      <c r="M225" t="s">
        <v>3077</v>
      </c>
      <c r="O225">
        <v>0</v>
      </c>
      <c r="P225">
        <v>280243</v>
      </c>
    </row>
    <row r="226" spans="1:16" x14ac:dyDescent="0.3">
      <c r="A226" t="s">
        <v>2115</v>
      </c>
      <c r="B226" t="s">
        <v>2116</v>
      </c>
      <c r="D226" t="s">
        <v>2284</v>
      </c>
      <c r="E226">
        <v>280245</v>
      </c>
      <c r="F226" t="s">
        <v>2347</v>
      </c>
      <c r="H226" t="s">
        <v>2286</v>
      </c>
      <c r="I226" t="s">
        <v>2266</v>
      </c>
      <c r="J226">
        <v>0</v>
      </c>
      <c r="K226">
        <v>0</v>
      </c>
      <c r="M226" t="s">
        <v>3077</v>
      </c>
      <c r="O226">
        <v>0</v>
      </c>
      <c r="P226">
        <v>280245</v>
      </c>
    </row>
    <row r="227" spans="1:16" x14ac:dyDescent="0.3">
      <c r="A227" t="s">
        <v>2115</v>
      </c>
      <c r="B227" t="s">
        <v>2116</v>
      </c>
      <c r="D227" t="s">
        <v>2284</v>
      </c>
      <c r="E227">
        <v>280247</v>
      </c>
      <c r="F227" t="s">
        <v>2348</v>
      </c>
      <c r="H227" t="s">
        <v>2286</v>
      </c>
      <c r="I227" t="s">
        <v>2266</v>
      </c>
      <c r="J227">
        <v>0</v>
      </c>
      <c r="K227">
        <v>0</v>
      </c>
      <c r="M227" t="s">
        <v>3077</v>
      </c>
      <c r="O227">
        <v>0</v>
      </c>
      <c r="P227">
        <v>280247</v>
      </c>
    </row>
    <row r="228" spans="1:16" x14ac:dyDescent="0.3">
      <c r="A228" t="s">
        <v>2115</v>
      </c>
      <c r="B228" t="s">
        <v>2116</v>
      </c>
      <c r="D228" t="s">
        <v>2284</v>
      </c>
      <c r="E228">
        <v>280249</v>
      </c>
      <c r="F228" t="s">
        <v>2349</v>
      </c>
      <c r="H228" t="s">
        <v>2286</v>
      </c>
      <c r="I228" t="s">
        <v>2266</v>
      </c>
      <c r="J228">
        <v>0</v>
      </c>
      <c r="K228">
        <v>0</v>
      </c>
      <c r="M228" t="s">
        <v>3077</v>
      </c>
      <c r="O228">
        <v>0</v>
      </c>
      <c r="P228">
        <v>280249</v>
      </c>
    </row>
    <row r="229" spans="1:16" x14ac:dyDescent="0.3">
      <c r="A229" t="s">
        <v>2115</v>
      </c>
      <c r="B229" t="s">
        <v>2116</v>
      </c>
      <c r="D229" t="s">
        <v>2284</v>
      </c>
      <c r="E229">
        <v>280251</v>
      </c>
      <c r="F229" t="s">
        <v>2350</v>
      </c>
      <c r="H229" t="s">
        <v>2286</v>
      </c>
      <c r="I229" t="s">
        <v>2266</v>
      </c>
      <c r="J229">
        <v>0</v>
      </c>
      <c r="K229">
        <v>0</v>
      </c>
      <c r="M229" t="s">
        <v>3077</v>
      </c>
      <c r="O229">
        <v>0</v>
      </c>
      <c r="P229">
        <v>280251</v>
      </c>
    </row>
    <row r="230" spans="1:16" x14ac:dyDescent="0.3">
      <c r="A230" t="s">
        <v>2115</v>
      </c>
      <c r="B230" t="s">
        <v>2116</v>
      </c>
      <c r="D230" t="s">
        <v>2284</v>
      </c>
      <c r="E230">
        <v>280253</v>
      </c>
      <c r="F230" t="s">
        <v>2351</v>
      </c>
      <c r="H230" t="s">
        <v>2286</v>
      </c>
      <c r="I230" t="s">
        <v>2266</v>
      </c>
      <c r="J230">
        <v>0</v>
      </c>
      <c r="K230">
        <v>0</v>
      </c>
      <c r="M230" t="s">
        <v>3077</v>
      </c>
      <c r="O230">
        <v>0</v>
      </c>
      <c r="P230">
        <v>280253</v>
      </c>
    </row>
    <row r="231" spans="1:16" x14ac:dyDescent="0.3">
      <c r="A231" t="s">
        <v>2115</v>
      </c>
      <c r="B231" t="s">
        <v>2116</v>
      </c>
      <c r="D231" t="s">
        <v>2284</v>
      </c>
      <c r="E231">
        <v>280255</v>
      </c>
      <c r="F231" t="s">
        <v>2352</v>
      </c>
      <c r="H231" t="s">
        <v>2286</v>
      </c>
      <c r="I231" t="s">
        <v>2266</v>
      </c>
      <c r="J231">
        <v>0</v>
      </c>
      <c r="K231">
        <v>0</v>
      </c>
      <c r="M231" t="s">
        <v>3077</v>
      </c>
      <c r="O231">
        <v>0</v>
      </c>
      <c r="P231">
        <v>280255</v>
      </c>
    </row>
    <row r="232" spans="1:16" x14ac:dyDescent="0.3">
      <c r="A232" t="s">
        <v>2115</v>
      </c>
      <c r="B232" t="s">
        <v>2116</v>
      </c>
      <c r="D232" t="s">
        <v>2284</v>
      </c>
      <c r="E232">
        <v>280257</v>
      </c>
      <c r="F232" t="s">
        <v>2353</v>
      </c>
      <c r="H232" t="s">
        <v>2286</v>
      </c>
      <c r="I232" t="s">
        <v>2266</v>
      </c>
      <c r="J232">
        <v>0</v>
      </c>
      <c r="K232">
        <v>0</v>
      </c>
      <c r="M232" t="s">
        <v>3077</v>
      </c>
      <c r="O232">
        <v>0</v>
      </c>
      <c r="P232">
        <v>280257</v>
      </c>
    </row>
    <row r="233" spans="1:16" x14ac:dyDescent="0.3">
      <c r="A233" t="s">
        <v>2115</v>
      </c>
      <c r="B233" t="s">
        <v>2116</v>
      </c>
      <c r="D233" t="s">
        <v>2284</v>
      </c>
      <c r="E233">
        <v>280259</v>
      </c>
      <c r="F233" t="s">
        <v>2354</v>
      </c>
      <c r="H233" t="s">
        <v>2286</v>
      </c>
      <c r="I233" t="s">
        <v>2266</v>
      </c>
      <c r="J233">
        <v>0</v>
      </c>
      <c r="K233">
        <v>0</v>
      </c>
      <c r="M233" t="s">
        <v>3077</v>
      </c>
      <c r="O233">
        <v>0</v>
      </c>
      <c r="P233">
        <v>280259</v>
      </c>
    </row>
    <row r="234" spans="1:16" x14ac:dyDescent="0.3">
      <c r="A234" t="s">
        <v>2115</v>
      </c>
      <c r="B234" t="s">
        <v>2116</v>
      </c>
      <c r="D234" t="s">
        <v>2284</v>
      </c>
      <c r="E234">
        <v>280261</v>
      </c>
      <c r="F234" t="s">
        <v>2355</v>
      </c>
      <c r="H234" t="s">
        <v>2286</v>
      </c>
      <c r="I234" t="s">
        <v>2266</v>
      </c>
      <c r="J234">
        <v>0</v>
      </c>
      <c r="K234">
        <v>0</v>
      </c>
      <c r="M234" t="s">
        <v>3077</v>
      </c>
      <c r="O234">
        <v>0</v>
      </c>
      <c r="P234">
        <v>280261</v>
      </c>
    </row>
    <row r="235" spans="1:16" x14ac:dyDescent="0.3">
      <c r="A235" t="s">
        <v>2115</v>
      </c>
      <c r="B235" t="s">
        <v>2116</v>
      </c>
      <c r="D235" t="s">
        <v>2284</v>
      </c>
      <c r="E235">
        <v>280265</v>
      </c>
      <c r="F235" t="s">
        <v>2356</v>
      </c>
      <c r="H235" t="s">
        <v>2286</v>
      </c>
      <c r="I235" t="s">
        <v>2266</v>
      </c>
      <c r="J235">
        <v>0</v>
      </c>
      <c r="K235">
        <v>0</v>
      </c>
      <c r="M235" t="s">
        <v>3077</v>
      </c>
      <c r="O235">
        <v>0</v>
      </c>
      <c r="P235">
        <v>280265</v>
      </c>
    </row>
    <row r="236" spans="1:16" x14ac:dyDescent="0.3">
      <c r="A236" t="s">
        <v>2115</v>
      </c>
      <c r="B236" t="s">
        <v>2116</v>
      </c>
      <c r="D236" t="s">
        <v>2284</v>
      </c>
      <c r="E236">
        <v>280271</v>
      </c>
      <c r="F236" t="s">
        <v>2689</v>
      </c>
      <c r="H236" t="s">
        <v>2286</v>
      </c>
      <c r="I236" t="s">
        <v>2266</v>
      </c>
      <c r="J236">
        <v>0</v>
      </c>
      <c r="K236">
        <v>0</v>
      </c>
      <c r="M236" t="s">
        <v>3077</v>
      </c>
      <c r="O236">
        <v>0</v>
      </c>
      <c r="P236">
        <v>280271</v>
      </c>
    </row>
    <row r="237" spans="1:16" x14ac:dyDescent="0.3">
      <c r="A237" t="s">
        <v>2115</v>
      </c>
      <c r="B237" t="s">
        <v>2116</v>
      </c>
      <c r="D237" t="s">
        <v>2284</v>
      </c>
      <c r="E237">
        <v>280275</v>
      </c>
      <c r="F237" t="s">
        <v>2772</v>
      </c>
      <c r="H237" t="s">
        <v>2286</v>
      </c>
      <c r="I237" t="s">
        <v>2266</v>
      </c>
      <c r="J237">
        <v>0</v>
      </c>
      <c r="K237">
        <v>0</v>
      </c>
      <c r="M237" t="s">
        <v>3077</v>
      </c>
      <c r="O237">
        <v>0</v>
      </c>
      <c r="P237">
        <v>280275</v>
      </c>
    </row>
    <row r="238" spans="1:16" x14ac:dyDescent="0.3">
      <c r="A238" t="s">
        <v>2115</v>
      </c>
      <c r="B238" t="s">
        <v>2116</v>
      </c>
      <c r="D238" t="s">
        <v>2284</v>
      </c>
      <c r="E238">
        <v>280277</v>
      </c>
      <c r="F238" t="s">
        <v>2773</v>
      </c>
      <c r="H238" t="s">
        <v>2286</v>
      </c>
      <c r="I238" t="s">
        <v>2266</v>
      </c>
      <c r="J238">
        <v>0</v>
      </c>
      <c r="K238">
        <v>0</v>
      </c>
      <c r="M238" t="s">
        <v>3077</v>
      </c>
      <c r="O238">
        <v>0</v>
      </c>
      <c r="P238">
        <v>280277</v>
      </c>
    </row>
    <row r="239" spans="1:16" x14ac:dyDescent="0.3">
      <c r="A239" t="s">
        <v>2115</v>
      </c>
      <c r="B239" t="s">
        <v>2116</v>
      </c>
      <c r="D239" t="s">
        <v>2284</v>
      </c>
      <c r="E239">
        <v>280279</v>
      </c>
      <c r="F239" t="s">
        <v>2781</v>
      </c>
      <c r="H239" t="s">
        <v>2286</v>
      </c>
      <c r="I239" t="s">
        <v>2266</v>
      </c>
      <c r="J239" s="125">
        <v>-24795591.890000001</v>
      </c>
      <c r="K239">
        <v>0</v>
      </c>
      <c r="M239" t="s">
        <v>3076</v>
      </c>
      <c r="O239" s="125">
        <v>-24795591.890000001</v>
      </c>
      <c r="P239">
        <v>280279</v>
      </c>
    </row>
    <row r="240" spans="1:16" x14ac:dyDescent="0.3">
      <c r="A240" t="s">
        <v>2115</v>
      </c>
      <c r="B240" t="s">
        <v>2116</v>
      </c>
      <c r="D240" t="s">
        <v>2284</v>
      </c>
      <c r="E240">
        <v>280401</v>
      </c>
      <c r="F240" t="s">
        <v>2357</v>
      </c>
      <c r="H240" t="s">
        <v>2358</v>
      </c>
      <c r="I240" t="s">
        <v>2359</v>
      </c>
      <c r="J240">
        <v>0</v>
      </c>
      <c r="K240">
        <v>0</v>
      </c>
      <c r="M240" t="s">
        <v>3077</v>
      </c>
      <c r="O240">
        <v>0</v>
      </c>
      <c r="P240">
        <v>280401</v>
      </c>
    </row>
    <row r="241" spans="1:16" x14ac:dyDescent="0.3">
      <c r="A241" t="s">
        <v>2115</v>
      </c>
      <c r="B241" t="s">
        <v>2116</v>
      </c>
      <c r="D241" t="s">
        <v>2360</v>
      </c>
      <c r="E241">
        <v>280403</v>
      </c>
      <c r="F241" t="s">
        <v>2358</v>
      </c>
      <c r="H241" t="s">
        <v>2358</v>
      </c>
      <c r="I241" t="s">
        <v>2359</v>
      </c>
      <c r="J241" s="125">
        <v>-263994.92</v>
      </c>
      <c r="K241">
        <v>0</v>
      </c>
      <c r="M241" t="s">
        <v>3076</v>
      </c>
      <c r="O241" s="125">
        <v>-263994.92</v>
      </c>
      <c r="P241">
        <v>280403</v>
      </c>
    </row>
    <row r="242" spans="1:16" x14ac:dyDescent="0.3">
      <c r="A242" t="s">
        <v>2115</v>
      </c>
      <c r="B242" t="s">
        <v>2116</v>
      </c>
      <c r="D242" t="s">
        <v>2284</v>
      </c>
      <c r="E242">
        <v>280405</v>
      </c>
      <c r="F242" t="s">
        <v>2762</v>
      </c>
      <c r="H242" t="s">
        <v>2133</v>
      </c>
      <c r="I242" t="s">
        <v>2133</v>
      </c>
      <c r="J242" s="125">
        <v>-1445322.96</v>
      </c>
      <c r="K242">
        <v>0</v>
      </c>
      <c r="M242" t="s">
        <v>3076</v>
      </c>
      <c r="O242" s="125">
        <v>-1445322.96</v>
      </c>
      <c r="P242">
        <v>280405</v>
      </c>
    </row>
    <row r="243" spans="1:16" x14ac:dyDescent="0.3">
      <c r="A243" t="s">
        <v>2115</v>
      </c>
      <c r="B243" t="s">
        <v>2116</v>
      </c>
      <c r="D243" t="s">
        <v>2284</v>
      </c>
      <c r="E243">
        <v>280407</v>
      </c>
      <c r="F243" t="s">
        <v>2763</v>
      </c>
      <c r="H243" t="s">
        <v>2133</v>
      </c>
      <c r="I243" t="s">
        <v>2133</v>
      </c>
      <c r="J243" s="125">
        <v>-696613.91</v>
      </c>
      <c r="K243">
        <v>0</v>
      </c>
      <c r="M243" t="s">
        <v>3076</v>
      </c>
      <c r="O243" s="125">
        <v>-696613.91</v>
      </c>
      <c r="P243">
        <v>280407</v>
      </c>
    </row>
    <row r="244" spans="1:16" x14ac:dyDescent="0.3">
      <c r="A244" t="s">
        <v>2115</v>
      </c>
      <c r="B244" t="s">
        <v>2116</v>
      </c>
      <c r="D244" t="s">
        <v>2240</v>
      </c>
      <c r="E244">
        <v>300203</v>
      </c>
      <c r="F244" t="s">
        <v>2361</v>
      </c>
      <c r="H244" t="s">
        <v>2362</v>
      </c>
      <c r="I244" t="s">
        <v>2243</v>
      </c>
      <c r="J244">
        <v>937.47</v>
      </c>
      <c r="K244">
        <v>0</v>
      </c>
      <c r="M244" t="s">
        <v>3076</v>
      </c>
      <c r="O244">
        <v>937.47</v>
      </c>
      <c r="P244">
        <v>300203</v>
      </c>
    </row>
    <row r="245" spans="1:16" x14ac:dyDescent="0.3">
      <c r="A245" t="s">
        <v>2115</v>
      </c>
      <c r="B245" t="s">
        <v>2116</v>
      </c>
      <c r="D245" t="s">
        <v>2240</v>
      </c>
      <c r="E245">
        <v>300205</v>
      </c>
      <c r="F245" t="s">
        <v>2363</v>
      </c>
      <c r="H245" t="s">
        <v>2362</v>
      </c>
      <c r="I245" t="s">
        <v>2243</v>
      </c>
      <c r="J245" s="125">
        <v>-11376460.640000001</v>
      </c>
      <c r="K245" s="125">
        <v>-12098.85</v>
      </c>
      <c r="M245" t="s">
        <v>3076</v>
      </c>
      <c r="O245" s="125">
        <v>-11388559.49</v>
      </c>
      <c r="P245">
        <v>300205</v>
      </c>
    </row>
    <row r="246" spans="1:16" x14ac:dyDescent="0.3">
      <c r="A246" t="s">
        <v>2115</v>
      </c>
      <c r="B246" t="s">
        <v>2116</v>
      </c>
      <c r="D246" t="s">
        <v>2240</v>
      </c>
      <c r="E246">
        <v>300207</v>
      </c>
      <c r="F246" t="s">
        <v>2364</v>
      </c>
      <c r="H246" t="s">
        <v>2362</v>
      </c>
      <c r="I246" t="s">
        <v>2243</v>
      </c>
      <c r="J246" s="125">
        <v>-125938.44</v>
      </c>
      <c r="K246">
        <v>0</v>
      </c>
      <c r="M246" t="s">
        <v>3076</v>
      </c>
      <c r="O246" s="125">
        <v>-125938.44</v>
      </c>
      <c r="P246">
        <v>300207</v>
      </c>
    </row>
    <row r="247" spans="1:16" x14ac:dyDescent="0.3">
      <c r="A247" t="s">
        <v>2115</v>
      </c>
      <c r="B247" t="s">
        <v>2116</v>
      </c>
      <c r="D247" t="s">
        <v>2292</v>
      </c>
      <c r="E247">
        <v>300209</v>
      </c>
      <c r="F247" t="s">
        <v>2603</v>
      </c>
      <c r="H247" t="s">
        <v>2211</v>
      </c>
      <c r="I247" t="s">
        <v>2212</v>
      </c>
      <c r="J247" s="125">
        <v>-555236.14</v>
      </c>
      <c r="K247">
        <v>0</v>
      </c>
      <c r="M247" t="s">
        <v>3076</v>
      </c>
      <c r="O247" s="125">
        <v>-555236.14</v>
      </c>
      <c r="P247">
        <v>300209</v>
      </c>
    </row>
    <row r="248" spans="1:16" x14ac:dyDescent="0.3">
      <c r="A248" t="s">
        <v>2115</v>
      </c>
      <c r="B248" t="s">
        <v>2116</v>
      </c>
      <c r="D248" t="s">
        <v>2360</v>
      </c>
      <c r="E248">
        <v>320201</v>
      </c>
      <c r="F248" t="s">
        <v>2365</v>
      </c>
      <c r="H248" t="s">
        <v>2366</v>
      </c>
      <c r="I248" t="s">
        <v>2367</v>
      </c>
      <c r="J248">
        <v>0</v>
      </c>
      <c r="K248">
        <v>0</v>
      </c>
      <c r="M248" t="s">
        <v>3077</v>
      </c>
      <c r="O248">
        <v>0</v>
      </c>
      <c r="P248">
        <v>320201</v>
      </c>
    </row>
    <row r="249" spans="1:16" x14ac:dyDescent="0.3">
      <c r="A249" t="s">
        <v>2115</v>
      </c>
      <c r="B249" t="s">
        <v>2116</v>
      </c>
      <c r="D249" t="s">
        <v>2292</v>
      </c>
      <c r="E249">
        <v>320203</v>
      </c>
      <c r="F249" t="s">
        <v>2368</v>
      </c>
      <c r="H249" t="s">
        <v>2366</v>
      </c>
      <c r="I249" t="s">
        <v>2367</v>
      </c>
      <c r="J249">
        <v>-52.5</v>
      </c>
      <c r="K249">
        <v>0</v>
      </c>
      <c r="M249" t="s">
        <v>3076</v>
      </c>
      <c r="O249">
        <v>-52.5</v>
      </c>
      <c r="P249">
        <v>320203</v>
      </c>
    </row>
    <row r="250" spans="1:16" x14ac:dyDescent="0.3">
      <c r="A250" t="s">
        <v>2115</v>
      </c>
      <c r="B250" t="s">
        <v>2116</v>
      </c>
      <c r="D250" t="s">
        <v>2292</v>
      </c>
      <c r="E250">
        <v>320207</v>
      </c>
      <c r="F250" t="s">
        <v>2690</v>
      </c>
      <c r="H250" t="s">
        <v>2133</v>
      </c>
      <c r="I250" t="s">
        <v>2133</v>
      </c>
      <c r="J250" s="125">
        <v>-18872.54</v>
      </c>
      <c r="K250">
        <v>0</v>
      </c>
      <c r="M250" t="s">
        <v>3076</v>
      </c>
      <c r="O250" s="125">
        <v>-18872.54</v>
      </c>
      <c r="P250">
        <v>320207</v>
      </c>
    </row>
    <row r="251" spans="1:16" x14ac:dyDescent="0.3">
      <c r="A251" t="s">
        <v>2115</v>
      </c>
      <c r="B251" t="s">
        <v>2116</v>
      </c>
      <c r="D251" t="s">
        <v>2292</v>
      </c>
      <c r="E251">
        <v>320209</v>
      </c>
      <c r="F251" t="s">
        <v>2369</v>
      </c>
      <c r="H251" t="s">
        <v>2366</v>
      </c>
      <c r="I251" t="s">
        <v>2367</v>
      </c>
      <c r="J251" s="125">
        <v>-8403086.1899999995</v>
      </c>
      <c r="K251">
        <v>0</v>
      </c>
      <c r="M251" t="s">
        <v>3076</v>
      </c>
      <c r="O251" s="125">
        <v>-8403086.1899999995</v>
      </c>
      <c r="P251">
        <v>320209</v>
      </c>
    </row>
    <row r="252" spans="1:16" x14ac:dyDescent="0.3">
      <c r="A252" t="s">
        <v>2115</v>
      </c>
      <c r="B252" t="s">
        <v>2116</v>
      </c>
      <c r="D252" t="s">
        <v>2370</v>
      </c>
      <c r="E252">
        <v>320401</v>
      </c>
      <c r="F252" t="s">
        <v>2371</v>
      </c>
      <c r="H252" t="s">
        <v>2245</v>
      </c>
      <c r="I252" t="s">
        <v>2246</v>
      </c>
      <c r="J252">
        <v>-4441.3599999999997</v>
      </c>
      <c r="K252">
        <v>0</v>
      </c>
      <c r="M252" t="s">
        <v>3076</v>
      </c>
      <c r="O252" s="125">
        <v>-4441.3599999999997</v>
      </c>
      <c r="P252">
        <v>320401</v>
      </c>
    </row>
    <row r="253" spans="1:16" x14ac:dyDescent="0.3">
      <c r="A253" t="s">
        <v>2115</v>
      </c>
      <c r="B253" t="s">
        <v>2116</v>
      </c>
      <c r="D253" t="s">
        <v>2370</v>
      </c>
      <c r="E253">
        <v>320403</v>
      </c>
      <c r="F253" t="s">
        <v>2372</v>
      </c>
      <c r="H253" t="s">
        <v>2373</v>
      </c>
      <c r="I253" t="s">
        <v>2374</v>
      </c>
      <c r="J253" s="125">
        <v>-1240534.82</v>
      </c>
      <c r="K253">
        <v>5761.5</v>
      </c>
      <c r="M253" t="s">
        <v>3076</v>
      </c>
      <c r="O253" s="125">
        <v>-1234773.32</v>
      </c>
      <c r="P253">
        <v>320403</v>
      </c>
    </row>
    <row r="254" spans="1:16" x14ac:dyDescent="0.3">
      <c r="A254" t="s">
        <v>2115</v>
      </c>
      <c r="B254" t="s">
        <v>2116</v>
      </c>
      <c r="D254" t="s">
        <v>2231</v>
      </c>
      <c r="E254">
        <v>320405</v>
      </c>
      <c r="F254" t="s">
        <v>2375</v>
      </c>
      <c r="H254" t="s">
        <v>2245</v>
      </c>
      <c r="I254" t="s">
        <v>2246</v>
      </c>
      <c r="J254" s="125">
        <v>-245102.92</v>
      </c>
      <c r="K254">
        <v>4339</v>
      </c>
      <c r="M254" t="s">
        <v>3076</v>
      </c>
      <c r="O254" s="125">
        <v>-240763.92</v>
      </c>
      <c r="P254">
        <v>320405</v>
      </c>
    </row>
    <row r="255" spans="1:16" x14ac:dyDescent="0.3">
      <c r="A255" t="s">
        <v>2115</v>
      </c>
      <c r="B255" t="s">
        <v>2116</v>
      </c>
      <c r="D255" t="s">
        <v>2370</v>
      </c>
      <c r="E255">
        <v>320407</v>
      </c>
      <c r="F255" t="s">
        <v>2604</v>
      </c>
      <c r="H255" t="s">
        <v>2211</v>
      </c>
      <c r="I255" t="s">
        <v>2212</v>
      </c>
      <c r="J255">
        <v>0</v>
      </c>
      <c r="K255">
        <v>-3868.18</v>
      </c>
      <c r="M255" t="s">
        <v>3077</v>
      </c>
      <c r="O255" s="125">
        <v>-3868.18</v>
      </c>
      <c r="P255">
        <v>320407</v>
      </c>
    </row>
    <row r="256" spans="1:16" x14ac:dyDescent="0.3">
      <c r="A256" t="s">
        <v>2115</v>
      </c>
      <c r="B256" t="s">
        <v>2116</v>
      </c>
      <c r="D256" t="s">
        <v>2231</v>
      </c>
      <c r="E256">
        <v>320409</v>
      </c>
      <c r="F256" t="s">
        <v>2376</v>
      </c>
      <c r="H256" t="s">
        <v>2245</v>
      </c>
      <c r="I256" t="s">
        <v>2246</v>
      </c>
      <c r="J256" s="125">
        <v>291886.3</v>
      </c>
      <c r="K256">
        <v>3253.16</v>
      </c>
      <c r="M256" t="s">
        <v>3076</v>
      </c>
      <c r="O256" s="125">
        <v>295139.46000000002</v>
      </c>
      <c r="P256">
        <v>320409</v>
      </c>
    </row>
    <row r="257" spans="1:16" x14ac:dyDescent="0.3">
      <c r="A257" t="s">
        <v>2115</v>
      </c>
      <c r="B257" t="s">
        <v>2116</v>
      </c>
      <c r="D257" t="s">
        <v>2370</v>
      </c>
      <c r="E257">
        <v>320411</v>
      </c>
      <c r="F257" t="s">
        <v>2377</v>
      </c>
      <c r="H257" t="s">
        <v>2211</v>
      </c>
      <c r="I257" t="s">
        <v>2212</v>
      </c>
      <c r="J257" s="125">
        <v>1777219.46</v>
      </c>
      <c r="K257">
        <v>0</v>
      </c>
      <c r="M257" t="s">
        <v>3076</v>
      </c>
      <c r="O257" s="125">
        <v>1777219.46</v>
      </c>
      <c r="P257">
        <v>320411</v>
      </c>
    </row>
    <row r="258" spans="1:16" x14ac:dyDescent="0.3">
      <c r="A258" t="s">
        <v>2115</v>
      </c>
      <c r="B258" t="s">
        <v>2116</v>
      </c>
      <c r="D258" t="s">
        <v>2370</v>
      </c>
      <c r="E258">
        <v>320413</v>
      </c>
      <c r="F258" t="s">
        <v>2378</v>
      </c>
      <c r="H258" t="s">
        <v>2245</v>
      </c>
      <c r="I258" t="s">
        <v>2246</v>
      </c>
      <c r="J258" s="125">
        <v>-543337.47</v>
      </c>
      <c r="K258">
        <v>0</v>
      </c>
      <c r="M258" t="s">
        <v>3076</v>
      </c>
      <c r="O258" s="125">
        <v>-543337.47</v>
      </c>
      <c r="P258">
        <v>320413</v>
      </c>
    </row>
    <row r="259" spans="1:16" x14ac:dyDescent="0.3">
      <c r="A259" t="s">
        <v>2115</v>
      </c>
      <c r="B259" t="s">
        <v>2116</v>
      </c>
      <c r="D259" t="s">
        <v>2370</v>
      </c>
      <c r="E259">
        <v>320415</v>
      </c>
      <c r="F259" t="s">
        <v>2651</v>
      </c>
      <c r="H259" t="s">
        <v>2245</v>
      </c>
      <c r="I259" t="s">
        <v>2246</v>
      </c>
      <c r="J259">
        <v>0</v>
      </c>
      <c r="K259">
        <v>0</v>
      </c>
      <c r="M259" t="s">
        <v>3077</v>
      </c>
      <c r="O259">
        <v>0</v>
      </c>
      <c r="P259">
        <v>320415</v>
      </c>
    </row>
    <row r="260" spans="1:16" x14ac:dyDescent="0.3">
      <c r="A260" t="s">
        <v>2115</v>
      </c>
      <c r="B260" t="s">
        <v>2116</v>
      </c>
      <c r="D260" t="s">
        <v>2370</v>
      </c>
      <c r="E260">
        <v>320417</v>
      </c>
      <c r="F260" t="s">
        <v>2782</v>
      </c>
      <c r="H260" t="s">
        <v>2245</v>
      </c>
      <c r="I260" t="s">
        <v>2212</v>
      </c>
      <c r="J260" s="125">
        <v>-428566.25</v>
      </c>
      <c r="K260">
        <v>0</v>
      </c>
      <c r="M260" t="s">
        <v>3076</v>
      </c>
      <c r="O260" s="125">
        <v>-428566.25</v>
      </c>
      <c r="P260">
        <v>320417</v>
      </c>
    </row>
    <row r="261" spans="1:16" x14ac:dyDescent="0.3">
      <c r="A261" t="s">
        <v>2115</v>
      </c>
      <c r="B261" t="s">
        <v>2116</v>
      </c>
      <c r="D261" t="s">
        <v>2370</v>
      </c>
      <c r="E261">
        <v>320601</v>
      </c>
      <c r="F261" t="s">
        <v>2379</v>
      </c>
      <c r="H261" t="s">
        <v>2380</v>
      </c>
      <c r="I261" t="s">
        <v>2374</v>
      </c>
      <c r="J261" s="125">
        <v>-29791.33</v>
      </c>
      <c r="K261">
        <v>1725.15</v>
      </c>
      <c r="M261" t="s">
        <v>3076</v>
      </c>
      <c r="O261" s="125">
        <v>-28066.18</v>
      </c>
      <c r="P261">
        <v>320601</v>
      </c>
    </row>
    <row r="262" spans="1:16" x14ac:dyDescent="0.3">
      <c r="A262" t="s">
        <v>2115</v>
      </c>
      <c r="B262" t="s">
        <v>2116</v>
      </c>
      <c r="D262" t="s">
        <v>2370</v>
      </c>
      <c r="E262">
        <v>320603</v>
      </c>
      <c r="F262" t="s">
        <v>2381</v>
      </c>
      <c r="H262" t="s">
        <v>2380</v>
      </c>
      <c r="I262" t="s">
        <v>2374</v>
      </c>
      <c r="J262" s="125">
        <v>-62404.02</v>
      </c>
      <c r="K262">
        <v>-1238.0899999999999</v>
      </c>
      <c r="M262" t="s">
        <v>3076</v>
      </c>
      <c r="O262" s="125">
        <v>-63642.11</v>
      </c>
      <c r="P262">
        <v>320603</v>
      </c>
    </row>
    <row r="263" spans="1:16" x14ac:dyDescent="0.3">
      <c r="A263" t="s">
        <v>2115</v>
      </c>
      <c r="B263" t="s">
        <v>2116</v>
      </c>
      <c r="D263" t="s">
        <v>2370</v>
      </c>
      <c r="E263">
        <v>320605</v>
      </c>
      <c r="F263" t="s">
        <v>2382</v>
      </c>
      <c r="H263" t="s">
        <v>2380</v>
      </c>
      <c r="I263" t="s">
        <v>2383</v>
      </c>
      <c r="J263" s="125">
        <v>-52035.17</v>
      </c>
      <c r="K263">
        <v>0</v>
      </c>
      <c r="M263" t="s">
        <v>3076</v>
      </c>
      <c r="O263" s="125">
        <v>-52035.17</v>
      </c>
      <c r="P263">
        <v>320605</v>
      </c>
    </row>
    <row r="264" spans="1:16" x14ac:dyDescent="0.3">
      <c r="A264" t="s">
        <v>2115</v>
      </c>
      <c r="B264" t="s">
        <v>2116</v>
      </c>
      <c r="D264" t="s">
        <v>2292</v>
      </c>
      <c r="E264">
        <v>320611</v>
      </c>
      <c r="F264" t="s">
        <v>2691</v>
      </c>
      <c r="H264" t="s">
        <v>2133</v>
      </c>
      <c r="I264" t="s">
        <v>2133</v>
      </c>
      <c r="J264">
        <v>315.39</v>
      </c>
      <c r="K264">
        <v>0</v>
      </c>
      <c r="M264" t="s">
        <v>3076</v>
      </c>
      <c r="O264">
        <v>315.39</v>
      </c>
      <c r="P264">
        <v>320611</v>
      </c>
    </row>
    <row r="265" spans="1:16" x14ac:dyDescent="0.3">
      <c r="A265" t="s">
        <v>2115</v>
      </c>
      <c r="B265" t="s">
        <v>2116</v>
      </c>
      <c r="D265" t="s">
        <v>2370</v>
      </c>
      <c r="E265">
        <v>320613</v>
      </c>
      <c r="F265" t="s">
        <v>2384</v>
      </c>
      <c r="H265" t="s">
        <v>2380</v>
      </c>
      <c r="I265" t="s">
        <v>2383</v>
      </c>
      <c r="J265" s="125">
        <v>-178842.75</v>
      </c>
      <c r="K265">
        <v>0</v>
      </c>
      <c r="M265" t="s">
        <v>3076</v>
      </c>
      <c r="O265" s="125">
        <v>-178842.75</v>
      </c>
      <c r="P265">
        <v>320613</v>
      </c>
    </row>
    <row r="266" spans="1:16" x14ac:dyDescent="0.3">
      <c r="A266" t="s">
        <v>2115</v>
      </c>
      <c r="B266" t="s">
        <v>2116</v>
      </c>
      <c r="D266" t="s">
        <v>2370</v>
      </c>
      <c r="E266">
        <v>320617</v>
      </c>
      <c r="F266" t="s">
        <v>2385</v>
      </c>
      <c r="H266" t="s">
        <v>2380</v>
      </c>
      <c r="I266" t="s">
        <v>2383</v>
      </c>
      <c r="J266" s="125">
        <v>-11542.3</v>
      </c>
      <c r="K266">
        <v>-338.59</v>
      </c>
      <c r="M266" t="s">
        <v>3076</v>
      </c>
      <c r="O266" s="125">
        <v>-11880.89</v>
      </c>
      <c r="P266">
        <v>320617</v>
      </c>
    </row>
    <row r="267" spans="1:16" x14ac:dyDescent="0.3">
      <c r="A267" t="s">
        <v>2115</v>
      </c>
      <c r="B267" t="s">
        <v>2116</v>
      </c>
      <c r="D267" t="s">
        <v>2292</v>
      </c>
      <c r="E267">
        <v>320803</v>
      </c>
      <c r="F267" t="s">
        <v>2386</v>
      </c>
      <c r="H267" t="s">
        <v>2387</v>
      </c>
      <c r="I267" t="s">
        <v>2388</v>
      </c>
      <c r="J267">
        <v>-882.83</v>
      </c>
      <c r="K267">
        <v>-8573.76</v>
      </c>
      <c r="M267" t="s">
        <v>3076</v>
      </c>
      <c r="O267" s="125">
        <v>-9456.59</v>
      </c>
      <c r="P267">
        <v>320803</v>
      </c>
    </row>
    <row r="268" spans="1:16" x14ac:dyDescent="0.3">
      <c r="A268" t="s">
        <v>2115</v>
      </c>
      <c r="B268" t="s">
        <v>2116</v>
      </c>
      <c r="D268" t="s">
        <v>2360</v>
      </c>
      <c r="E268">
        <v>320811</v>
      </c>
      <c r="F268" t="s">
        <v>2389</v>
      </c>
      <c r="H268" t="s">
        <v>2387</v>
      </c>
      <c r="I268" t="s">
        <v>2388</v>
      </c>
      <c r="J268" s="125">
        <v>-10079537.039999999</v>
      </c>
      <c r="K268">
        <v>0</v>
      </c>
      <c r="M268" t="s">
        <v>3076</v>
      </c>
      <c r="O268" s="125">
        <v>-10079537.039999999</v>
      </c>
      <c r="P268">
        <v>320811</v>
      </c>
    </row>
    <row r="269" spans="1:16" x14ac:dyDescent="0.3">
      <c r="A269" t="s">
        <v>2115</v>
      </c>
      <c r="B269" t="s">
        <v>2116</v>
      </c>
      <c r="D269" t="s">
        <v>2240</v>
      </c>
      <c r="E269">
        <v>320813</v>
      </c>
      <c r="F269" t="s">
        <v>2390</v>
      </c>
      <c r="H269" t="s">
        <v>2387</v>
      </c>
      <c r="I269" t="s">
        <v>2243</v>
      </c>
      <c r="J269" s="125">
        <v>-3513488.77</v>
      </c>
      <c r="K269" s="125">
        <v>-31761.15</v>
      </c>
      <c r="M269" t="s">
        <v>3076</v>
      </c>
      <c r="O269" s="125">
        <v>-3545249.92</v>
      </c>
      <c r="P269">
        <v>320813</v>
      </c>
    </row>
    <row r="270" spans="1:16" x14ac:dyDescent="0.3">
      <c r="A270" t="s">
        <v>2115</v>
      </c>
      <c r="B270" t="s">
        <v>2116</v>
      </c>
      <c r="D270" t="s">
        <v>2223</v>
      </c>
      <c r="E270">
        <v>320815</v>
      </c>
      <c r="F270" t="s">
        <v>2391</v>
      </c>
      <c r="H270" t="s">
        <v>2387</v>
      </c>
      <c r="I270" t="s">
        <v>2388</v>
      </c>
      <c r="J270">
        <v>646.59</v>
      </c>
      <c r="K270">
        <v>-5000</v>
      </c>
      <c r="M270" t="s">
        <v>3076</v>
      </c>
      <c r="O270" s="125">
        <v>-4353.41</v>
      </c>
      <c r="P270">
        <v>320815</v>
      </c>
    </row>
    <row r="271" spans="1:16" x14ac:dyDescent="0.3">
      <c r="A271" t="s">
        <v>2115</v>
      </c>
      <c r="B271" t="s">
        <v>2116</v>
      </c>
      <c r="D271" t="s">
        <v>2292</v>
      </c>
      <c r="E271">
        <v>320817</v>
      </c>
      <c r="F271" t="s">
        <v>2392</v>
      </c>
      <c r="H271" t="s">
        <v>2387</v>
      </c>
      <c r="I271" t="s">
        <v>2388</v>
      </c>
      <c r="J271">
        <v>345.42</v>
      </c>
      <c r="K271">
        <v>0</v>
      </c>
      <c r="M271" t="s">
        <v>3076</v>
      </c>
      <c r="O271">
        <v>345.42</v>
      </c>
      <c r="P271">
        <v>320817</v>
      </c>
    </row>
    <row r="272" spans="1:16" x14ac:dyDescent="0.3">
      <c r="A272" t="s">
        <v>2115</v>
      </c>
      <c r="B272" t="s">
        <v>2116</v>
      </c>
      <c r="D272" t="s">
        <v>2240</v>
      </c>
      <c r="E272">
        <v>320819</v>
      </c>
      <c r="F272" t="s">
        <v>2393</v>
      </c>
      <c r="H272" t="s">
        <v>2387</v>
      </c>
      <c r="I272" t="s">
        <v>2226</v>
      </c>
      <c r="J272" s="125">
        <v>-553689.18000000005</v>
      </c>
      <c r="K272">
        <v>0</v>
      </c>
      <c r="M272" t="s">
        <v>3076</v>
      </c>
      <c r="O272" s="125">
        <v>-553689.18000000005</v>
      </c>
      <c r="P272">
        <v>320819</v>
      </c>
    </row>
    <row r="273" spans="1:16" x14ac:dyDescent="0.3">
      <c r="A273" t="s">
        <v>2115</v>
      </c>
      <c r="B273" t="s">
        <v>2116</v>
      </c>
      <c r="D273" t="s">
        <v>2292</v>
      </c>
      <c r="E273">
        <v>320821</v>
      </c>
      <c r="F273" t="s">
        <v>2394</v>
      </c>
      <c r="H273" t="s">
        <v>2387</v>
      </c>
      <c r="I273" t="s">
        <v>2388</v>
      </c>
      <c r="J273" s="125">
        <v>-185691.83</v>
      </c>
      <c r="K273">
        <v>-2229.23</v>
      </c>
      <c r="M273" t="s">
        <v>3076</v>
      </c>
      <c r="O273" s="125">
        <v>-187921.06</v>
      </c>
      <c r="P273">
        <v>320821</v>
      </c>
    </row>
    <row r="274" spans="1:16" x14ac:dyDescent="0.3">
      <c r="A274" t="s">
        <v>2115</v>
      </c>
      <c r="B274" t="s">
        <v>2116</v>
      </c>
      <c r="D274" t="s">
        <v>2292</v>
      </c>
      <c r="E274">
        <v>320825</v>
      </c>
      <c r="F274" t="s">
        <v>2641</v>
      </c>
      <c r="H274" t="s">
        <v>2387</v>
      </c>
      <c r="I274" t="s">
        <v>2388</v>
      </c>
      <c r="J274" s="125">
        <v>-391531.25</v>
      </c>
      <c r="K274">
        <v>0</v>
      </c>
      <c r="M274" t="s">
        <v>3076</v>
      </c>
      <c r="O274" s="125">
        <v>-391531.25</v>
      </c>
      <c r="P274">
        <v>320825</v>
      </c>
    </row>
    <row r="275" spans="1:16" x14ac:dyDescent="0.3">
      <c r="A275" t="s">
        <v>2115</v>
      </c>
      <c r="B275" t="s">
        <v>2116</v>
      </c>
      <c r="D275" t="s">
        <v>2240</v>
      </c>
      <c r="E275">
        <v>320827</v>
      </c>
      <c r="F275" t="s">
        <v>2745</v>
      </c>
      <c r="H275" t="s">
        <v>2133</v>
      </c>
      <c r="I275" t="s">
        <v>2133</v>
      </c>
      <c r="J275">
        <v>-5871.6</v>
      </c>
      <c r="K275">
        <v>0</v>
      </c>
      <c r="M275" t="s">
        <v>3076</v>
      </c>
      <c r="O275" s="125">
        <v>-5871.6</v>
      </c>
      <c r="P275">
        <v>320827</v>
      </c>
    </row>
    <row r="276" spans="1:16" x14ac:dyDescent="0.3">
      <c r="A276" t="s">
        <v>2115</v>
      </c>
      <c r="B276" t="s">
        <v>2116</v>
      </c>
      <c r="D276" t="s">
        <v>2223</v>
      </c>
      <c r="E276">
        <v>320829</v>
      </c>
      <c r="F276" t="s">
        <v>2746</v>
      </c>
      <c r="H276" t="s">
        <v>2133</v>
      </c>
      <c r="I276" t="s">
        <v>2133</v>
      </c>
      <c r="J276" s="125">
        <v>-19406.54</v>
      </c>
      <c r="K276">
        <v>0</v>
      </c>
      <c r="M276" t="s">
        <v>3076</v>
      </c>
      <c r="O276" s="125">
        <v>-19406.54</v>
      </c>
      <c r="P276">
        <v>320829</v>
      </c>
    </row>
    <row r="277" spans="1:16" x14ac:dyDescent="0.3">
      <c r="A277" t="s">
        <v>2115</v>
      </c>
      <c r="B277" t="s">
        <v>2116</v>
      </c>
      <c r="D277" t="s">
        <v>2223</v>
      </c>
      <c r="E277">
        <v>320831</v>
      </c>
      <c r="F277" t="s">
        <v>2747</v>
      </c>
      <c r="H277" t="s">
        <v>2133</v>
      </c>
      <c r="I277" t="s">
        <v>2133</v>
      </c>
      <c r="J277" s="125">
        <v>-223335.3</v>
      </c>
      <c r="K277">
        <v>0</v>
      </c>
      <c r="M277" t="s">
        <v>3076</v>
      </c>
      <c r="O277" s="125">
        <v>-223335.3</v>
      </c>
      <c r="P277">
        <v>320831</v>
      </c>
    </row>
    <row r="278" spans="1:16" x14ac:dyDescent="0.3">
      <c r="A278" t="s">
        <v>2115</v>
      </c>
      <c r="B278" t="s">
        <v>2116</v>
      </c>
      <c r="D278" t="s">
        <v>2292</v>
      </c>
      <c r="E278">
        <v>340213</v>
      </c>
      <c r="F278" t="s">
        <v>2395</v>
      </c>
      <c r="H278" t="s">
        <v>2387</v>
      </c>
      <c r="I278" t="s">
        <v>2388</v>
      </c>
      <c r="J278" s="125">
        <v>-1001544.81</v>
      </c>
      <c r="K278">
        <v>0</v>
      </c>
      <c r="M278" t="s">
        <v>3076</v>
      </c>
      <c r="O278" s="125">
        <v>-1001544.81</v>
      </c>
      <c r="P278">
        <v>340213</v>
      </c>
    </row>
    <row r="279" spans="1:16" x14ac:dyDescent="0.3">
      <c r="A279" t="s">
        <v>2115</v>
      </c>
      <c r="B279" t="s">
        <v>2116</v>
      </c>
      <c r="D279" t="s">
        <v>2292</v>
      </c>
      <c r="E279">
        <v>340215</v>
      </c>
      <c r="F279" t="s">
        <v>2396</v>
      </c>
      <c r="H279" t="s">
        <v>2380</v>
      </c>
      <c r="I279" t="s">
        <v>2383</v>
      </c>
      <c r="J279" s="125">
        <v>-263435.83</v>
      </c>
      <c r="K279">
        <v>0</v>
      </c>
      <c r="M279" t="s">
        <v>3076</v>
      </c>
      <c r="O279" s="125">
        <v>-263435.83</v>
      </c>
      <c r="P279">
        <v>340215</v>
      </c>
    </row>
    <row r="280" spans="1:16" x14ac:dyDescent="0.3">
      <c r="A280" t="s">
        <v>2115</v>
      </c>
      <c r="B280" t="s">
        <v>2116</v>
      </c>
      <c r="D280" t="s">
        <v>2292</v>
      </c>
      <c r="E280">
        <v>340217</v>
      </c>
      <c r="F280" t="s">
        <v>2397</v>
      </c>
      <c r="H280" t="s">
        <v>2387</v>
      </c>
      <c r="I280" t="s">
        <v>2388</v>
      </c>
      <c r="J280">
        <v>-7498.69</v>
      </c>
      <c r="K280">
        <v>0</v>
      </c>
      <c r="M280" t="s">
        <v>3076</v>
      </c>
      <c r="O280" s="125">
        <v>-7498.69</v>
      </c>
      <c r="P280">
        <v>340217</v>
      </c>
    </row>
    <row r="281" spans="1:16" x14ac:dyDescent="0.3">
      <c r="A281" t="s">
        <v>2115</v>
      </c>
      <c r="B281" t="s">
        <v>2116</v>
      </c>
      <c r="D281" t="s">
        <v>2207</v>
      </c>
      <c r="E281">
        <v>360201</v>
      </c>
      <c r="F281" t="s">
        <v>2398</v>
      </c>
      <c r="H281" t="s">
        <v>2399</v>
      </c>
      <c r="I281" t="s">
        <v>2400</v>
      </c>
      <c r="J281" s="125">
        <v>314967.42</v>
      </c>
      <c r="K281">
        <v>5531.99</v>
      </c>
      <c r="M281" t="s">
        <v>3076</v>
      </c>
      <c r="O281" s="125">
        <v>320499.40999999997</v>
      </c>
      <c r="P281">
        <v>360201</v>
      </c>
    </row>
    <row r="282" spans="1:16" x14ac:dyDescent="0.3">
      <c r="A282" t="s">
        <v>2115</v>
      </c>
      <c r="B282" t="s">
        <v>2116</v>
      </c>
      <c r="D282" t="s">
        <v>2292</v>
      </c>
      <c r="E282">
        <v>360203</v>
      </c>
      <c r="F282" t="s">
        <v>2401</v>
      </c>
      <c r="H282" t="s">
        <v>2294</v>
      </c>
      <c r="I282" t="s">
        <v>2295</v>
      </c>
      <c r="J282" s="125">
        <v>-22386.38</v>
      </c>
      <c r="K282">
        <v>0</v>
      </c>
      <c r="M282" t="s">
        <v>3076</v>
      </c>
      <c r="O282" s="125">
        <v>-22386.38</v>
      </c>
      <c r="P282">
        <v>360203</v>
      </c>
    </row>
    <row r="283" spans="1:16" x14ac:dyDescent="0.3">
      <c r="A283" t="s">
        <v>2115</v>
      </c>
      <c r="B283" t="s">
        <v>2402</v>
      </c>
      <c r="C283" t="s">
        <v>10</v>
      </c>
      <c r="D283" t="s">
        <v>2429</v>
      </c>
      <c r="E283">
        <v>620201</v>
      </c>
      <c r="F283" t="s">
        <v>2605</v>
      </c>
      <c r="H283" t="s">
        <v>2606</v>
      </c>
      <c r="I283" t="s">
        <v>2607</v>
      </c>
      <c r="J283">
        <v>0</v>
      </c>
      <c r="K283">
        <v>0</v>
      </c>
      <c r="M283" t="s">
        <v>3078</v>
      </c>
      <c r="O283">
        <v>0</v>
      </c>
      <c r="P283">
        <v>620201</v>
      </c>
    </row>
    <row r="284" spans="1:16" x14ac:dyDescent="0.3">
      <c r="A284" t="s">
        <v>2115</v>
      </c>
      <c r="B284" t="s">
        <v>2402</v>
      </c>
      <c r="C284" t="s">
        <v>10</v>
      </c>
      <c r="D284" t="s">
        <v>2429</v>
      </c>
      <c r="E284">
        <v>620203</v>
      </c>
      <c r="F284" t="s">
        <v>2608</v>
      </c>
      <c r="H284" t="s">
        <v>2211</v>
      </c>
      <c r="I284" t="s">
        <v>2212</v>
      </c>
      <c r="J284" s="125">
        <v>-789276.15</v>
      </c>
      <c r="K284">
        <v>0</v>
      </c>
      <c r="M284" t="s">
        <v>3076</v>
      </c>
      <c r="O284" s="125">
        <v>-789276.15</v>
      </c>
      <c r="P284">
        <v>620203</v>
      </c>
    </row>
    <row r="285" spans="1:16" x14ac:dyDescent="0.3">
      <c r="A285" t="s">
        <v>2115</v>
      </c>
      <c r="B285" t="s">
        <v>2402</v>
      </c>
      <c r="C285" t="s">
        <v>2403</v>
      </c>
      <c r="D285" t="s">
        <v>2404</v>
      </c>
      <c r="E285">
        <v>640201</v>
      </c>
      <c r="F285" t="s">
        <v>2405</v>
      </c>
      <c r="H285" t="s">
        <v>2406</v>
      </c>
      <c r="I285" t="s">
        <v>2407</v>
      </c>
      <c r="J285" s="125">
        <v>-2824723.56</v>
      </c>
      <c r="K285">
        <v>0</v>
      </c>
      <c r="M285" t="s">
        <v>3076</v>
      </c>
      <c r="O285" s="125">
        <v>-2824723.56</v>
      </c>
      <c r="P285">
        <v>640201</v>
      </c>
    </row>
    <row r="286" spans="1:16" x14ac:dyDescent="0.3">
      <c r="A286" t="s">
        <v>2115</v>
      </c>
      <c r="B286" t="s">
        <v>2402</v>
      </c>
      <c r="C286" t="s">
        <v>2403</v>
      </c>
      <c r="D286" t="s">
        <v>2408</v>
      </c>
      <c r="E286">
        <v>660201</v>
      </c>
      <c r="F286" t="s">
        <v>2409</v>
      </c>
      <c r="H286" t="s">
        <v>2410</v>
      </c>
      <c r="I286" t="e">
        <v>#NAME?</v>
      </c>
      <c r="J286">
        <v>-7206.23</v>
      </c>
      <c r="K286">
        <v>-0.97</v>
      </c>
      <c r="M286" t="s">
        <v>3076</v>
      </c>
      <c r="O286" s="125">
        <v>-7207.2</v>
      </c>
      <c r="P286">
        <v>660201</v>
      </c>
    </row>
    <row r="287" spans="1:16" x14ac:dyDescent="0.3">
      <c r="A287" t="s">
        <v>2115</v>
      </c>
      <c r="B287" t="s">
        <v>2402</v>
      </c>
      <c r="C287" t="s">
        <v>2403</v>
      </c>
      <c r="D287" t="s">
        <v>2408</v>
      </c>
      <c r="E287">
        <v>660203</v>
      </c>
      <c r="F287" t="s">
        <v>2412</v>
      </c>
      <c r="H287" t="s">
        <v>2410</v>
      </c>
      <c r="I287" t="e">
        <v>#NAME?</v>
      </c>
      <c r="J287">
        <v>-9498.5</v>
      </c>
      <c r="K287">
        <v>-3770</v>
      </c>
      <c r="M287" t="s">
        <v>3076</v>
      </c>
      <c r="O287" s="125">
        <v>-13268.5</v>
      </c>
      <c r="P287">
        <v>660203</v>
      </c>
    </row>
    <row r="288" spans="1:16" x14ac:dyDescent="0.3">
      <c r="A288" t="s">
        <v>2115</v>
      </c>
      <c r="B288" t="s">
        <v>2402</v>
      </c>
      <c r="C288" t="s">
        <v>2413</v>
      </c>
      <c r="D288" t="s">
        <v>2414</v>
      </c>
      <c r="E288">
        <v>660205</v>
      </c>
      <c r="F288" t="s">
        <v>2415</v>
      </c>
      <c r="H288" t="s">
        <v>2410</v>
      </c>
      <c r="I288" t="s">
        <v>2416</v>
      </c>
      <c r="J288">
        <v>0</v>
      </c>
      <c r="K288">
        <v>0</v>
      </c>
      <c r="M288" t="s">
        <v>3077</v>
      </c>
      <c r="O288">
        <v>0</v>
      </c>
      <c r="P288">
        <v>660205</v>
      </c>
    </row>
    <row r="289" spans="1:16" x14ac:dyDescent="0.3">
      <c r="A289" t="s">
        <v>2115</v>
      </c>
      <c r="B289" t="s">
        <v>2402</v>
      </c>
      <c r="C289" t="s">
        <v>2403</v>
      </c>
      <c r="D289" t="s">
        <v>2408</v>
      </c>
      <c r="E289">
        <v>660207</v>
      </c>
      <c r="F289" t="s">
        <v>2417</v>
      </c>
      <c r="H289" t="s">
        <v>2410</v>
      </c>
      <c r="I289" t="e">
        <v>#NAME?</v>
      </c>
      <c r="J289">
        <v>0</v>
      </c>
      <c r="K289">
        <v>0</v>
      </c>
      <c r="M289" t="s">
        <v>3077</v>
      </c>
      <c r="O289">
        <v>0</v>
      </c>
      <c r="P289">
        <v>660207</v>
      </c>
    </row>
    <row r="290" spans="1:16" x14ac:dyDescent="0.3">
      <c r="A290" t="s">
        <v>2115</v>
      </c>
      <c r="B290" t="s">
        <v>2402</v>
      </c>
      <c r="C290" t="s">
        <v>2403</v>
      </c>
      <c r="D290" t="s">
        <v>2408</v>
      </c>
      <c r="E290">
        <v>660403</v>
      </c>
      <c r="F290" t="s">
        <v>2418</v>
      </c>
      <c r="H290" t="s">
        <v>2410</v>
      </c>
      <c r="I290" t="e">
        <v>#NAME?</v>
      </c>
      <c r="J290">
        <v>-3152.3</v>
      </c>
      <c r="K290">
        <v>0</v>
      </c>
      <c r="M290" t="s">
        <v>3076</v>
      </c>
      <c r="O290" s="125">
        <v>-3152.3</v>
      </c>
      <c r="P290">
        <v>660403</v>
      </c>
    </row>
    <row r="291" spans="1:16" x14ac:dyDescent="0.3">
      <c r="A291" t="s">
        <v>2115</v>
      </c>
      <c r="B291" t="s">
        <v>2402</v>
      </c>
      <c r="C291" t="s">
        <v>2403</v>
      </c>
      <c r="D291" t="s">
        <v>2419</v>
      </c>
      <c r="E291">
        <v>660407</v>
      </c>
      <c r="F291" t="s">
        <v>2420</v>
      </c>
      <c r="H291" t="s">
        <v>2410</v>
      </c>
      <c r="I291" t="e">
        <v>#NAME?</v>
      </c>
      <c r="J291" s="125">
        <v>-23438.42</v>
      </c>
      <c r="K291">
        <v>-70</v>
      </c>
      <c r="M291" t="s">
        <v>3076</v>
      </c>
      <c r="O291" s="125">
        <v>-23508.42</v>
      </c>
      <c r="P291">
        <v>660407</v>
      </c>
    </row>
    <row r="292" spans="1:16" x14ac:dyDescent="0.3">
      <c r="A292" t="s">
        <v>2115</v>
      </c>
      <c r="B292" t="s">
        <v>2402</v>
      </c>
      <c r="C292" t="s">
        <v>2403</v>
      </c>
      <c r="D292" t="s">
        <v>2419</v>
      </c>
      <c r="E292">
        <v>660409</v>
      </c>
      <c r="F292" t="s">
        <v>2421</v>
      </c>
      <c r="H292" t="s">
        <v>2410</v>
      </c>
      <c r="I292" t="e">
        <v>#NAME?</v>
      </c>
      <c r="J292">
        <v>-1691.99</v>
      </c>
      <c r="K292">
        <v>0</v>
      </c>
      <c r="M292" t="s">
        <v>3076</v>
      </c>
      <c r="O292" s="125">
        <v>-1691.99</v>
      </c>
      <c r="P292">
        <v>660409</v>
      </c>
    </row>
    <row r="293" spans="1:16" x14ac:dyDescent="0.3">
      <c r="A293" t="s">
        <v>2115</v>
      </c>
      <c r="B293" t="s">
        <v>2402</v>
      </c>
      <c r="C293" t="s">
        <v>2413</v>
      </c>
      <c r="D293" t="s">
        <v>2408</v>
      </c>
      <c r="E293">
        <v>660411</v>
      </c>
      <c r="F293" t="s">
        <v>2581</v>
      </c>
      <c r="H293" t="s">
        <v>2410</v>
      </c>
      <c r="I293" t="e">
        <v>#NAME?</v>
      </c>
      <c r="J293">
        <v>0</v>
      </c>
      <c r="K293">
        <v>-1980.62</v>
      </c>
      <c r="M293" t="s">
        <v>3077</v>
      </c>
      <c r="O293" s="125">
        <v>-1980.62</v>
      </c>
      <c r="P293">
        <v>660411</v>
      </c>
    </row>
    <row r="294" spans="1:16" x14ac:dyDescent="0.3">
      <c r="A294" t="s">
        <v>2115</v>
      </c>
      <c r="B294" t="s">
        <v>2402</v>
      </c>
      <c r="C294" t="s">
        <v>2403</v>
      </c>
      <c r="D294" t="s">
        <v>2408</v>
      </c>
      <c r="E294">
        <v>660413</v>
      </c>
      <c r="F294" t="s">
        <v>2422</v>
      </c>
      <c r="H294" t="s">
        <v>2410</v>
      </c>
      <c r="I294" t="s">
        <v>2423</v>
      </c>
      <c r="J294" s="125">
        <v>-18677.46</v>
      </c>
      <c r="K294">
        <v>0</v>
      </c>
      <c r="M294" t="s">
        <v>3076</v>
      </c>
      <c r="O294" s="125">
        <v>-18677.46</v>
      </c>
      <c r="P294">
        <v>660413</v>
      </c>
    </row>
    <row r="295" spans="1:16" x14ac:dyDescent="0.3">
      <c r="A295" t="s">
        <v>2115</v>
      </c>
      <c r="B295" t="s">
        <v>2402</v>
      </c>
      <c r="C295" t="s">
        <v>2413</v>
      </c>
      <c r="D295" t="s">
        <v>2424</v>
      </c>
      <c r="E295">
        <v>680201</v>
      </c>
      <c r="F295" t="s">
        <v>2425</v>
      </c>
      <c r="H295" t="s">
        <v>2426</v>
      </c>
      <c r="I295" t="s">
        <v>2427</v>
      </c>
      <c r="J295" s="125">
        <v>7647933.29</v>
      </c>
      <c r="K295" s="125">
        <v>75376.38</v>
      </c>
      <c r="M295" t="s">
        <v>3076</v>
      </c>
      <c r="O295" s="125">
        <v>7723309.6699999999</v>
      </c>
      <c r="P295">
        <v>680201</v>
      </c>
    </row>
    <row r="296" spans="1:16" x14ac:dyDescent="0.3">
      <c r="A296" t="s">
        <v>2115</v>
      </c>
      <c r="B296" t="s">
        <v>2402</v>
      </c>
      <c r="C296" t="s">
        <v>2413</v>
      </c>
      <c r="D296" t="s">
        <v>2424</v>
      </c>
      <c r="E296">
        <v>680205</v>
      </c>
      <c r="F296" t="s">
        <v>2428</v>
      </c>
      <c r="H296" t="s">
        <v>2426</v>
      </c>
      <c r="I296" t="s">
        <v>2427</v>
      </c>
      <c r="J296">
        <v>0</v>
      </c>
      <c r="K296">
        <v>0</v>
      </c>
      <c r="M296" t="s">
        <v>3077</v>
      </c>
      <c r="O296">
        <v>0</v>
      </c>
      <c r="P296">
        <v>680205</v>
      </c>
    </row>
    <row r="297" spans="1:16" x14ac:dyDescent="0.3">
      <c r="A297" t="s">
        <v>2115</v>
      </c>
      <c r="B297" t="s">
        <v>2402</v>
      </c>
      <c r="C297" t="s">
        <v>2413</v>
      </c>
      <c r="D297" t="s">
        <v>2429</v>
      </c>
      <c r="E297">
        <v>680207</v>
      </c>
      <c r="F297" t="s">
        <v>2430</v>
      </c>
      <c r="H297" t="s">
        <v>2426</v>
      </c>
      <c r="I297" t="s">
        <v>2427</v>
      </c>
      <c r="J297">
        <v>0</v>
      </c>
      <c r="K297">
        <v>0</v>
      </c>
      <c r="M297" t="s">
        <v>3077</v>
      </c>
      <c r="O297">
        <v>0</v>
      </c>
      <c r="P297">
        <v>680207</v>
      </c>
    </row>
    <row r="298" spans="1:16" x14ac:dyDescent="0.3">
      <c r="A298" t="s">
        <v>2115</v>
      </c>
      <c r="B298" t="s">
        <v>2402</v>
      </c>
      <c r="C298" t="s">
        <v>2403</v>
      </c>
      <c r="D298" t="s">
        <v>2404</v>
      </c>
      <c r="E298">
        <v>680209</v>
      </c>
      <c r="F298" t="s">
        <v>2748</v>
      </c>
      <c r="H298" t="s">
        <v>2133</v>
      </c>
      <c r="I298" t="s">
        <v>2133</v>
      </c>
      <c r="J298" s="125">
        <v>-2001545.22</v>
      </c>
      <c r="K298">
        <v>0</v>
      </c>
      <c r="M298" t="s">
        <v>3076</v>
      </c>
      <c r="O298" s="125">
        <v>-2001545.22</v>
      </c>
      <c r="P298">
        <v>680209</v>
      </c>
    </row>
    <row r="299" spans="1:16" x14ac:dyDescent="0.3">
      <c r="A299" t="s">
        <v>2115</v>
      </c>
      <c r="B299" t="s">
        <v>2402</v>
      </c>
      <c r="C299" t="s">
        <v>2413</v>
      </c>
      <c r="D299" t="s">
        <v>690</v>
      </c>
      <c r="E299">
        <v>680401</v>
      </c>
      <c r="F299" t="s">
        <v>2692</v>
      </c>
      <c r="H299" t="s">
        <v>2133</v>
      </c>
      <c r="I299" t="s">
        <v>2133</v>
      </c>
      <c r="J299">
        <v>81.89</v>
      </c>
      <c r="K299">
        <v>0</v>
      </c>
      <c r="M299" t="s">
        <v>3076</v>
      </c>
      <c r="O299">
        <v>81.89</v>
      </c>
      <c r="P299">
        <v>680401</v>
      </c>
    </row>
    <row r="300" spans="1:16" x14ac:dyDescent="0.3">
      <c r="A300" t="s">
        <v>2115</v>
      </c>
      <c r="B300" t="s">
        <v>2402</v>
      </c>
      <c r="C300" t="s">
        <v>2413</v>
      </c>
      <c r="D300" t="s">
        <v>690</v>
      </c>
      <c r="E300">
        <v>680403</v>
      </c>
      <c r="F300" t="s">
        <v>2693</v>
      </c>
      <c r="H300" t="s">
        <v>2133</v>
      </c>
      <c r="I300" t="s">
        <v>2133</v>
      </c>
      <c r="J300">
        <v>0</v>
      </c>
      <c r="K300">
        <v>220</v>
      </c>
      <c r="M300" t="s">
        <v>3077</v>
      </c>
      <c r="O300">
        <v>220</v>
      </c>
      <c r="P300">
        <v>680403</v>
      </c>
    </row>
    <row r="301" spans="1:16" x14ac:dyDescent="0.3">
      <c r="A301" t="s">
        <v>2115</v>
      </c>
      <c r="B301" t="s">
        <v>2402</v>
      </c>
      <c r="C301" t="s">
        <v>2413</v>
      </c>
      <c r="D301" t="s">
        <v>690</v>
      </c>
      <c r="E301">
        <v>680601</v>
      </c>
      <c r="F301" t="s">
        <v>2431</v>
      </c>
      <c r="H301" t="s">
        <v>2426</v>
      </c>
      <c r="I301" t="s">
        <v>2427</v>
      </c>
      <c r="J301" s="125">
        <v>79349.64</v>
      </c>
      <c r="K301">
        <v>2683.18</v>
      </c>
      <c r="M301" t="s">
        <v>3076</v>
      </c>
      <c r="O301" s="125">
        <v>82032.820000000007</v>
      </c>
      <c r="P301">
        <v>680601</v>
      </c>
    </row>
    <row r="302" spans="1:16" x14ac:dyDescent="0.3">
      <c r="A302" t="s">
        <v>2115</v>
      </c>
      <c r="B302" t="s">
        <v>2402</v>
      </c>
      <c r="C302" t="s">
        <v>2413</v>
      </c>
      <c r="D302" t="s">
        <v>690</v>
      </c>
      <c r="E302">
        <v>680603</v>
      </c>
      <c r="F302" t="s">
        <v>2432</v>
      </c>
      <c r="H302" t="s">
        <v>2426</v>
      </c>
      <c r="I302" t="s">
        <v>2427</v>
      </c>
      <c r="J302" s="125">
        <v>173653.03</v>
      </c>
      <c r="K302">
        <v>1832.81</v>
      </c>
      <c r="M302" t="s">
        <v>3076</v>
      </c>
      <c r="O302" s="125">
        <v>175485.84</v>
      </c>
      <c r="P302">
        <v>680603</v>
      </c>
    </row>
    <row r="303" spans="1:16" x14ac:dyDescent="0.3">
      <c r="A303" t="s">
        <v>2115</v>
      </c>
      <c r="B303" t="s">
        <v>2402</v>
      </c>
      <c r="C303" t="s">
        <v>2413</v>
      </c>
      <c r="D303" t="s">
        <v>2424</v>
      </c>
      <c r="E303">
        <v>700201</v>
      </c>
      <c r="F303" t="s">
        <v>2433</v>
      </c>
      <c r="H303" t="s">
        <v>2434</v>
      </c>
      <c r="I303" t="s">
        <v>2435</v>
      </c>
      <c r="J303" s="125">
        <v>13306.66</v>
      </c>
      <c r="K303" s="126">
        <v>12925</v>
      </c>
      <c r="M303" t="s">
        <v>3076</v>
      </c>
      <c r="O303" s="125">
        <v>26231.66</v>
      </c>
      <c r="P303">
        <v>700201</v>
      </c>
    </row>
    <row r="304" spans="1:16" x14ac:dyDescent="0.3">
      <c r="A304" t="s">
        <v>2115</v>
      </c>
      <c r="B304" t="s">
        <v>2402</v>
      </c>
      <c r="C304" t="s">
        <v>2413</v>
      </c>
      <c r="D304" t="s">
        <v>2424</v>
      </c>
      <c r="E304">
        <v>700203</v>
      </c>
      <c r="F304" t="s">
        <v>2436</v>
      </c>
      <c r="H304" t="s">
        <v>2434</v>
      </c>
      <c r="I304" t="s">
        <v>2435</v>
      </c>
      <c r="J304" s="125">
        <v>11105304.789999999</v>
      </c>
      <c r="K304" s="125">
        <v>151955.07</v>
      </c>
      <c r="M304" t="s">
        <v>3076</v>
      </c>
      <c r="O304" s="125">
        <v>11257259.859999999</v>
      </c>
      <c r="P304">
        <v>700203</v>
      </c>
    </row>
    <row r="305" spans="1:16" x14ac:dyDescent="0.3">
      <c r="A305" t="s">
        <v>2115</v>
      </c>
      <c r="B305" t="s">
        <v>2402</v>
      </c>
      <c r="C305" t="s">
        <v>2413</v>
      </c>
      <c r="D305" t="s">
        <v>2424</v>
      </c>
      <c r="E305">
        <v>700205</v>
      </c>
      <c r="F305" t="s">
        <v>2437</v>
      </c>
      <c r="H305" t="s">
        <v>2434</v>
      </c>
      <c r="I305" t="s">
        <v>2435</v>
      </c>
      <c r="J305">
        <v>9061.2000000000007</v>
      </c>
      <c r="K305">
        <v>5500.9</v>
      </c>
      <c r="M305" t="s">
        <v>3076</v>
      </c>
      <c r="O305" s="125">
        <v>14562.1</v>
      </c>
      <c r="P305">
        <v>700205</v>
      </c>
    </row>
    <row r="306" spans="1:16" x14ac:dyDescent="0.3">
      <c r="A306" t="s">
        <v>2115</v>
      </c>
      <c r="B306" t="s">
        <v>2402</v>
      </c>
      <c r="C306" t="s">
        <v>2413</v>
      </c>
      <c r="D306" t="s">
        <v>2424</v>
      </c>
      <c r="E306">
        <v>700207</v>
      </c>
      <c r="F306" t="s">
        <v>2438</v>
      </c>
      <c r="H306" t="s">
        <v>2434</v>
      </c>
      <c r="I306" t="s">
        <v>2435</v>
      </c>
      <c r="J306">
        <v>8491.2900000000009</v>
      </c>
      <c r="K306">
        <v>479.67</v>
      </c>
      <c r="M306" t="s">
        <v>3076</v>
      </c>
      <c r="O306" s="125">
        <v>8970.9599999999991</v>
      </c>
      <c r="P306">
        <v>700207</v>
      </c>
    </row>
    <row r="307" spans="1:16" x14ac:dyDescent="0.3">
      <c r="A307" t="s">
        <v>2115</v>
      </c>
      <c r="B307" t="s">
        <v>2402</v>
      </c>
      <c r="C307" t="s">
        <v>2413</v>
      </c>
      <c r="D307" t="s">
        <v>690</v>
      </c>
      <c r="E307">
        <v>700209</v>
      </c>
      <c r="F307" t="s">
        <v>2439</v>
      </c>
      <c r="H307" t="s">
        <v>2434</v>
      </c>
      <c r="I307" t="s">
        <v>2435</v>
      </c>
      <c r="J307" s="125">
        <v>58945.79</v>
      </c>
      <c r="K307">
        <v>2000</v>
      </c>
      <c r="M307" t="s">
        <v>3076</v>
      </c>
      <c r="O307" s="125">
        <v>60945.79</v>
      </c>
      <c r="P307">
        <v>700209</v>
      </c>
    </row>
    <row r="308" spans="1:16" x14ac:dyDescent="0.3">
      <c r="A308" t="s">
        <v>2115</v>
      </c>
      <c r="B308" t="s">
        <v>2402</v>
      </c>
      <c r="C308" t="s">
        <v>2413</v>
      </c>
      <c r="D308" t="s">
        <v>690</v>
      </c>
      <c r="E308">
        <v>700211</v>
      </c>
      <c r="F308" t="s">
        <v>2440</v>
      </c>
      <c r="H308" t="s">
        <v>2434</v>
      </c>
      <c r="I308" t="s">
        <v>2435</v>
      </c>
      <c r="J308">
        <v>5279.23</v>
      </c>
      <c r="K308">
        <v>0</v>
      </c>
      <c r="M308" t="s">
        <v>3076</v>
      </c>
      <c r="O308" s="125">
        <v>5279.23</v>
      </c>
      <c r="P308">
        <v>700211</v>
      </c>
    </row>
    <row r="309" spans="1:16" x14ac:dyDescent="0.3">
      <c r="A309" t="s">
        <v>2115</v>
      </c>
      <c r="B309" t="s">
        <v>2402</v>
      </c>
      <c r="C309" t="s">
        <v>2413</v>
      </c>
      <c r="D309" t="s">
        <v>690</v>
      </c>
      <c r="E309">
        <v>700213</v>
      </c>
      <c r="F309" t="s">
        <v>2441</v>
      </c>
      <c r="H309" t="s">
        <v>2434</v>
      </c>
      <c r="I309" t="s">
        <v>2435</v>
      </c>
      <c r="J309" s="125">
        <v>77150.23</v>
      </c>
      <c r="K309">
        <v>0</v>
      </c>
      <c r="M309" t="s">
        <v>3076</v>
      </c>
      <c r="O309" s="125">
        <v>77150.23</v>
      </c>
      <c r="P309">
        <v>700213</v>
      </c>
    </row>
    <row r="310" spans="1:16" x14ac:dyDescent="0.3">
      <c r="A310" t="s">
        <v>2115</v>
      </c>
      <c r="B310" t="s">
        <v>2402</v>
      </c>
      <c r="C310" t="s">
        <v>2413</v>
      </c>
      <c r="D310" t="s">
        <v>690</v>
      </c>
      <c r="E310">
        <v>700215</v>
      </c>
      <c r="F310" t="s">
        <v>2442</v>
      </c>
      <c r="H310" t="s">
        <v>2434</v>
      </c>
      <c r="I310" t="s">
        <v>2435</v>
      </c>
      <c r="J310">
        <v>0</v>
      </c>
      <c r="K310">
        <v>0</v>
      </c>
      <c r="M310" t="s">
        <v>3077</v>
      </c>
      <c r="O310">
        <v>0</v>
      </c>
      <c r="P310">
        <v>700215</v>
      </c>
    </row>
    <row r="311" spans="1:16" x14ac:dyDescent="0.3">
      <c r="A311" t="s">
        <v>2115</v>
      </c>
      <c r="B311" t="s">
        <v>2402</v>
      </c>
      <c r="C311" t="s">
        <v>2403</v>
      </c>
      <c r="D311" t="s">
        <v>2404</v>
      </c>
      <c r="E311">
        <v>700217</v>
      </c>
      <c r="F311" t="s">
        <v>2749</v>
      </c>
      <c r="H311" t="s">
        <v>2133</v>
      </c>
      <c r="I311" t="s">
        <v>2133</v>
      </c>
      <c r="J311" s="125">
        <v>-5877412.6799999997</v>
      </c>
      <c r="K311">
        <v>0</v>
      </c>
      <c r="M311" t="s">
        <v>3076</v>
      </c>
      <c r="O311" s="125">
        <v>-5877412.6799999997</v>
      </c>
      <c r="P311">
        <v>700217</v>
      </c>
    </row>
    <row r="312" spans="1:16" x14ac:dyDescent="0.3">
      <c r="A312" t="s">
        <v>2115</v>
      </c>
      <c r="B312" t="s">
        <v>2402</v>
      </c>
      <c r="D312" t="s">
        <v>690</v>
      </c>
      <c r="E312">
        <v>700401</v>
      </c>
      <c r="F312" t="s">
        <v>2783</v>
      </c>
      <c r="H312" t="s">
        <v>2434</v>
      </c>
      <c r="I312" t="s">
        <v>2435</v>
      </c>
      <c r="J312" s="125">
        <v>25298.76</v>
      </c>
      <c r="K312">
        <v>0</v>
      </c>
      <c r="M312" t="s">
        <v>3076</v>
      </c>
      <c r="O312" s="125">
        <v>25298.76</v>
      </c>
      <c r="P312">
        <v>700401</v>
      </c>
    </row>
    <row r="313" spans="1:16" x14ac:dyDescent="0.3">
      <c r="A313" t="s">
        <v>2115</v>
      </c>
      <c r="B313" t="s">
        <v>2402</v>
      </c>
      <c r="C313" t="s">
        <v>2413</v>
      </c>
      <c r="D313" t="s">
        <v>2443</v>
      </c>
      <c r="E313">
        <v>700403</v>
      </c>
      <c r="F313" t="s">
        <v>2444</v>
      </c>
      <c r="H313" t="s">
        <v>2434</v>
      </c>
      <c r="I313" t="s">
        <v>2435</v>
      </c>
      <c r="J313" s="125">
        <v>242668.54</v>
      </c>
      <c r="K313" s="125">
        <v>15283.31</v>
      </c>
      <c r="M313" t="s">
        <v>3076</v>
      </c>
      <c r="O313" s="125">
        <v>257951.85</v>
      </c>
      <c r="P313">
        <v>700403</v>
      </c>
    </row>
    <row r="314" spans="1:16" x14ac:dyDescent="0.3">
      <c r="A314" t="s">
        <v>2115</v>
      </c>
      <c r="B314" t="s">
        <v>2402</v>
      </c>
      <c r="C314" t="s">
        <v>2413</v>
      </c>
      <c r="D314" t="s">
        <v>690</v>
      </c>
      <c r="E314">
        <v>700405</v>
      </c>
      <c r="F314" t="s">
        <v>2445</v>
      </c>
      <c r="H314" t="s">
        <v>2434</v>
      </c>
      <c r="I314" t="s">
        <v>2435</v>
      </c>
      <c r="J314" s="125">
        <v>568887.39</v>
      </c>
      <c r="K314">
        <v>0</v>
      </c>
      <c r="M314" t="s">
        <v>3076</v>
      </c>
      <c r="O314" s="125">
        <v>568887.39</v>
      </c>
      <c r="P314">
        <v>700405</v>
      </c>
    </row>
    <row r="315" spans="1:16" x14ac:dyDescent="0.3">
      <c r="A315" t="s">
        <v>2115</v>
      </c>
      <c r="B315" t="s">
        <v>2402</v>
      </c>
      <c r="C315" t="s">
        <v>2413</v>
      </c>
      <c r="D315" t="s">
        <v>690</v>
      </c>
      <c r="E315">
        <v>700407</v>
      </c>
      <c r="F315" t="s">
        <v>2446</v>
      </c>
      <c r="H315" t="s">
        <v>2434</v>
      </c>
      <c r="I315" t="s">
        <v>2435</v>
      </c>
      <c r="J315" s="125">
        <v>1078802.76</v>
      </c>
      <c r="K315">
        <v>0</v>
      </c>
      <c r="M315" t="s">
        <v>3076</v>
      </c>
      <c r="O315" s="125">
        <v>1078802.76</v>
      </c>
      <c r="P315">
        <v>700407</v>
      </c>
    </row>
    <row r="316" spans="1:16" x14ac:dyDescent="0.3">
      <c r="A316" t="s">
        <v>2115</v>
      </c>
      <c r="B316" t="s">
        <v>2402</v>
      </c>
      <c r="C316" t="s">
        <v>2413</v>
      </c>
      <c r="D316" t="s">
        <v>690</v>
      </c>
      <c r="E316">
        <v>700409</v>
      </c>
      <c r="F316" t="s">
        <v>2447</v>
      </c>
      <c r="H316" t="s">
        <v>2434</v>
      </c>
      <c r="I316" t="s">
        <v>2435</v>
      </c>
      <c r="J316" s="125">
        <v>403472.76</v>
      </c>
      <c r="K316" s="126">
        <v>15306</v>
      </c>
      <c r="M316" t="s">
        <v>3076</v>
      </c>
      <c r="O316" s="125">
        <v>418778.76</v>
      </c>
      <c r="P316">
        <v>700409</v>
      </c>
    </row>
    <row r="317" spans="1:16" x14ac:dyDescent="0.3">
      <c r="A317" t="s">
        <v>2115</v>
      </c>
      <c r="B317" t="s">
        <v>2402</v>
      </c>
      <c r="C317" t="s">
        <v>2413</v>
      </c>
      <c r="D317" t="s">
        <v>2443</v>
      </c>
      <c r="E317">
        <v>700411</v>
      </c>
      <c r="F317" t="s">
        <v>2448</v>
      </c>
      <c r="H317" t="s">
        <v>2434</v>
      </c>
      <c r="I317" t="s">
        <v>2435</v>
      </c>
      <c r="J317" s="125">
        <v>39190.76</v>
      </c>
      <c r="K317">
        <v>3568.08</v>
      </c>
      <c r="M317" t="s">
        <v>3076</v>
      </c>
      <c r="O317" s="125">
        <v>42758.84</v>
      </c>
      <c r="P317">
        <v>700411</v>
      </c>
    </row>
    <row r="318" spans="1:16" x14ac:dyDescent="0.3">
      <c r="A318" t="s">
        <v>2115</v>
      </c>
      <c r="B318" t="s">
        <v>2402</v>
      </c>
      <c r="C318" t="s">
        <v>2413</v>
      </c>
      <c r="D318" t="s">
        <v>2424</v>
      </c>
      <c r="E318">
        <v>700601</v>
      </c>
      <c r="F318" t="s">
        <v>2449</v>
      </c>
      <c r="H318" t="s">
        <v>2434</v>
      </c>
      <c r="I318" t="s">
        <v>2435</v>
      </c>
      <c r="J318" s="125">
        <v>9600242.3800000008</v>
      </c>
      <c r="K318" s="125">
        <v>151289.26</v>
      </c>
      <c r="M318" t="s">
        <v>3076</v>
      </c>
      <c r="O318" s="125">
        <v>9751531.6400000006</v>
      </c>
      <c r="P318">
        <v>700601</v>
      </c>
    </row>
    <row r="319" spans="1:16" x14ac:dyDescent="0.3">
      <c r="A319" t="s">
        <v>2115</v>
      </c>
      <c r="B319" t="s">
        <v>2402</v>
      </c>
      <c r="C319" t="s">
        <v>2413</v>
      </c>
      <c r="D319" t="s">
        <v>690</v>
      </c>
      <c r="E319">
        <v>700603</v>
      </c>
      <c r="F319" t="s">
        <v>2638</v>
      </c>
      <c r="H319" t="s">
        <v>2434</v>
      </c>
      <c r="I319" t="s">
        <v>2435</v>
      </c>
      <c r="J319" s="125">
        <v>23936.02</v>
      </c>
      <c r="K319">
        <v>2878.92</v>
      </c>
      <c r="M319" t="s">
        <v>3076</v>
      </c>
      <c r="O319" s="125">
        <v>26814.94</v>
      </c>
      <c r="P319">
        <v>700603</v>
      </c>
    </row>
    <row r="320" spans="1:16" x14ac:dyDescent="0.3">
      <c r="A320" t="s">
        <v>2115</v>
      </c>
      <c r="B320" t="s">
        <v>2402</v>
      </c>
      <c r="C320" t="s">
        <v>2413</v>
      </c>
      <c r="D320" t="s">
        <v>690</v>
      </c>
      <c r="E320">
        <v>700801</v>
      </c>
      <c r="F320" t="s">
        <v>2450</v>
      </c>
      <c r="H320" t="s">
        <v>2434</v>
      </c>
      <c r="I320" t="s">
        <v>2435</v>
      </c>
      <c r="J320" s="125">
        <v>80784.009999999995</v>
      </c>
      <c r="K320">
        <v>0</v>
      </c>
      <c r="M320" t="s">
        <v>3076</v>
      </c>
      <c r="O320" s="125">
        <v>80784.009999999995</v>
      </c>
      <c r="P320">
        <v>700801</v>
      </c>
    </row>
    <row r="321" spans="1:16" x14ac:dyDescent="0.3">
      <c r="A321" t="s">
        <v>2115</v>
      </c>
      <c r="B321" t="s">
        <v>2402</v>
      </c>
      <c r="C321" t="s">
        <v>2413</v>
      </c>
      <c r="D321" t="s">
        <v>690</v>
      </c>
      <c r="E321">
        <v>700803</v>
      </c>
      <c r="F321" t="s">
        <v>2451</v>
      </c>
      <c r="H321" t="s">
        <v>2434</v>
      </c>
      <c r="I321" t="s">
        <v>2435</v>
      </c>
      <c r="J321" s="125">
        <v>12047.23</v>
      </c>
      <c r="K321">
        <v>335.88</v>
      </c>
      <c r="M321" t="s">
        <v>3076</v>
      </c>
      <c r="O321" s="125">
        <v>12383.11</v>
      </c>
      <c r="P321">
        <v>700803</v>
      </c>
    </row>
    <row r="322" spans="1:16" x14ac:dyDescent="0.3">
      <c r="A322" t="s">
        <v>2115</v>
      </c>
      <c r="B322" t="s">
        <v>2402</v>
      </c>
      <c r="C322" t="s">
        <v>2413</v>
      </c>
      <c r="D322" t="s">
        <v>690</v>
      </c>
      <c r="E322">
        <v>700805</v>
      </c>
      <c r="F322" t="s">
        <v>2452</v>
      </c>
      <c r="H322" t="s">
        <v>2434</v>
      </c>
      <c r="I322" t="s">
        <v>2435</v>
      </c>
      <c r="J322">
        <v>7274.19</v>
      </c>
      <c r="K322">
        <v>29.62</v>
      </c>
      <c r="M322" t="s">
        <v>3076</v>
      </c>
      <c r="O322" s="125">
        <v>7303.81</v>
      </c>
      <c r="P322">
        <v>700805</v>
      </c>
    </row>
    <row r="323" spans="1:16" x14ac:dyDescent="0.3">
      <c r="A323" t="s">
        <v>2115</v>
      </c>
      <c r="B323" t="s">
        <v>2402</v>
      </c>
      <c r="C323" t="s">
        <v>2413</v>
      </c>
      <c r="D323" t="s">
        <v>690</v>
      </c>
      <c r="E323">
        <v>700807</v>
      </c>
      <c r="F323" t="s">
        <v>2639</v>
      </c>
      <c r="H323" t="s">
        <v>2434</v>
      </c>
      <c r="I323" t="s">
        <v>2435</v>
      </c>
      <c r="J323" s="125">
        <v>31325.5</v>
      </c>
      <c r="K323">
        <v>0</v>
      </c>
      <c r="M323" t="s">
        <v>3076</v>
      </c>
      <c r="O323" s="125">
        <v>31325.5</v>
      </c>
      <c r="P323">
        <v>700807</v>
      </c>
    </row>
    <row r="324" spans="1:16" x14ac:dyDescent="0.3">
      <c r="A324" t="s">
        <v>2115</v>
      </c>
      <c r="B324" t="s">
        <v>2402</v>
      </c>
      <c r="C324" t="s">
        <v>2413</v>
      </c>
      <c r="D324" t="s">
        <v>690</v>
      </c>
      <c r="E324">
        <v>700809</v>
      </c>
      <c r="F324" t="s">
        <v>2453</v>
      </c>
      <c r="H324" t="s">
        <v>2434</v>
      </c>
      <c r="I324" t="s">
        <v>2435</v>
      </c>
      <c r="J324" s="125">
        <v>73216.83</v>
      </c>
      <c r="K324">
        <v>0</v>
      </c>
      <c r="M324" t="s">
        <v>3076</v>
      </c>
      <c r="O324" s="125">
        <v>73216.83</v>
      </c>
      <c r="P324">
        <v>700809</v>
      </c>
    </row>
    <row r="325" spans="1:16" x14ac:dyDescent="0.3">
      <c r="A325" t="s">
        <v>2115</v>
      </c>
      <c r="B325" t="s">
        <v>2402</v>
      </c>
      <c r="C325" t="s">
        <v>2413</v>
      </c>
      <c r="D325" t="s">
        <v>690</v>
      </c>
      <c r="E325">
        <v>700811</v>
      </c>
      <c r="F325" t="s">
        <v>2454</v>
      </c>
      <c r="H325" t="s">
        <v>2434</v>
      </c>
      <c r="I325" t="s">
        <v>2435</v>
      </c>
      <c r="J325">
        <v>69.900000000000006</v>
      </c>
      <c r="K325">
        <v>0</v>
      </c>
      <c r="M325" t="s">
        <v>3076</v>
      </c>
      <c r="O325">
        <v>69.900000000000006</v>
      </c>
      <c r="P325">
        <v>700811</v>
      </c>
    </row>
    <row r="326" spans="1:16" x14ac:dyDescent="0.3">
      <c r="A326" t="s">
        <v>2115</v>
      </c>
      <c r="B326" t="s">
        <v>2402</v>
      </c>
      <c r="C326" t="s">
        <v>2413</v>
      </c>
      <c r="D326" t="s">
        <v>690</v>
      </c>
      <c r="E326">
        <v>700813</v>
      </c>
      <c r="F326" t="s">
        <v>2455</v>
      </c>
      <c r="H326" t="s">
        <v>2434</v>
      </c>
      <c r="I326" t="s">
        <v>2435</v>
      </c>
      <c r="J326" s="125">
        <v>35087.269999999997</v>
      </c>
      <c r="K326">
        <v>0</v>
      </c>
      <c r="M326" t="s">
        <v>3076</v>
      </c>
      <c r="O326" s="125">
        <v>35087.269999999997</v>
      </c>
      <c r="P326">
        <v>700813</v>
      </c>
    </row>
    <row r="327" spans="1:16" x14ac:dyDescent="0.3">
      <c r="A327" t="s">
        <v>2115</v>
      </c>
      <c r="B327" t="s">
        <v>2402</v>
      </c>
      <c r="C327" t="s">
        <v>2413</v>
      </c>
      <c r="D327" t="s">
        <v>690</v>
      </c>
      <c r="E327">
        <v>700815</v>
      </c>
      <c r="F327" t="s">
        <v>2456</v>
      </c>
      <c r="H327" t="s">
        <v>2434</v>
      </c>
      <c r="I327" t="s">
        <v>2435</v>
      </c>
      <c r="J327" s="125">
        <v>119529.99</v>
      </c>
      <c r="K327">
        <v>0</v>
      </c>
      <c r="M327" t="s">
        <v>3076</v>
      </c>
      <c r="O327" s="125">
        <v>119529.99</v>
      </c>
      <c r="P327">
        <v>700815</v>
      </c>
    </row>
    <row r="328" spans="1:16" x14ac:dyDescent="0.3">
      <c r="A328" t="s">
        <v>2115</v>
      </c>
      <c r="B328" t="s">
        <v>2402</v>
      </c>
      <c r="C328" t="s">
        <v>2413</v>
      </c>
      <c r="D328" t="s">
        <v>2443</v>
      </c>
      <c r="E328">
        <v>700817</v>
      </c>
      <c r="F328" t="s">
        <v>2457</v>
      </c>
      <c r="H328" t="s">
        <v>2434</v>
      </c>
      <c r="I328" t="s">
        <v>2435</v>
      </c>
      <c r="J328">
        <v>0</v>
      </c>
      <c r="K328">
        <v>0</v>
      </c>
      <c r="M328" t="s">
        <v>3077</v>
      </c>
      <c r="O328">
        <v>0</v>
      </c>
      <c r="P328">
        <v>700817</v>
      </c>
    </row>
    <row r="329" spans="1:16" x14ac:dyDescent="0.3">
      <c r="A329" t="s">
        <v>2115</v>
      </c>
      <c r="B329" t="s">
        <v>2402</v>
      </c>
      <c r="C329" t="s">
        <v>2413</v>
      </c>
      <c r="D329" t="s">
        <v>690</v>
      </c>
      <c r="E329">
        <v>700819</v>
      </c>
      <c r="F329" t="s">
        <v>2458</v>
      </c>
      <c r="H329" t="s">
        <v>2434</v>
      </c>
      <c r="I329" t="s">
        <v>2435</v>
      </c>
      <c r="J329" s="125">
        <v>54388.6</v>
      </c>
      <c r="K329">
        <v>57.9</v>
      </c>
      <c r="M329" t="s">
        <v>3076</v>
      </c>
      <c r="O329" s="125">
        <v>54446.5</v>
      </c>
      <c r="P329">
        <v>700819</v>
      </c>
    </row>
    <row r="330" spans="1:16" x14ac:dyDescent="0.3">
      <c r="A330" t="s">
        <v>2115</v>
      </c>
      <c r="B330" t="s">
        <v>2402</v>
      </c>
      <c r="C330" t="s">
        <v>2413</v>
      </c>
      <c r="D330" t="s">
        <v>690</v>
      </c>
      <c r="E330">
        <v>700821</v>
      </c>
      <c r="F330" t="s">
        <v>2459</v>
      </c>
      <c r="H330" t="s">
        <v>2434</v>
      </c>
      <c r="I330" t="s">
        <v>2435</v>
      </c>
      <c r="J330">
        <v>9.52</v>
      </c>
      <c r="K330">
        <v>305</v>
      </c>
      <c r="M330" t="s">
        <v>3076</v>
      </c>
      <c r="O330">
        <v>314.52</v>
      </c>
      <c r="P330">
        <v>700821</v>
      </c>
    </row>
    <row r="331" spans="1:16" x14ac:dyDescent="0.3">
      <c r="A331" t="s">
        <v>2115</v>
      </c>
      <c r="B331" t="s">
        <v>2402</v>
      </c>
      <c r="C331" t="s">
        <v>2413</v>
      </c>
      <c r="D331" t="s">
        <v>2443</v>
      </c>
      <c r="E331">
        <v>700823</v>
      </c>
      <c r="F331" t="s">
        <v>2694</v>
      </c>
      <c r="H331" t="s">
        <v>2133</v>
      </c>
      <c r="I331" t="s">
        <v>2133</v>
      </c>
      <c r="J331">
        <v>7207.96</v>
      </c>
      <c r="K331">
        <v>0</v>
      </c>
      <c r="M331" t="s">
        <v>3076</v>
      </c>
      <c r="O331" s="125">
        <v>7207.96</v>
      </c>
      <c r="P331">
        <v>700823</v>
      </c>
    </row>
    <row r="332" spans="1:16" x14ac:dyDescent="0.3">
      <c r="A332" t="s">
        <v>2115</v>
      </c>
      <c r="B332" t="s">
        <v>2402</v>
      </c>
      <c r="C332" t="s">
        <v>2413</v>
      </c>
      <c r="D332" t="s">
        <v>690</v>
      </c>
      <c r="E332">
        <v>701201</v>
      </c>
      <c r="F332" t="s">
        <v>2460</v>
      </c>
      <c r="H332" t="s">
        <v>2434</v>
      </c>
      <c r="I332" t="s">
        <v>2435</v>
      </c>
      <c r="J332" s="125">
        <v>60145.33</v>
      </c>
      <c r="K332">
        <v>461.11</v>
      </c>
      <c r="M332" t="s">
        <v>3076</v>
      </c>
      <c r="O332" s="125">
        <v>60606.44</v>
      </c>
      <c r="P332">
        <v>701201</v>
      </c>
    </row>
    <row r="333" spans="1:16" x14ac:dyDescent="0.3">
      <c r="A333" t="s">
        <v>2115</v>
      </c>
      <c r="B333" t="s">
        <v>2402</v>
      </c>
      <c r="C333" t="s">
        <v>2413</v>
      </c>
      <c r="D333" t="s">
        <v>690</v>
      </c>
      <c r="E333">
        <v>701203</v>
      </c>
      <c r="F333" t="s">
        <v>2461</v>
      </c>
      <c r="H333" t="s">
        <v>2434</v>
      </c>
      <c r="I333" t="s">
        <v>2435</v>
      </c>
      <c r="J333">
        <v>0</v>
      </c>
      <c r="K333">
        <v>0</v>
      </c>
      <c r="M333" t="s">
        <v>3077</v>
      </c>
      <c r="O333">
        <v>0</v>
      </c>
      <c r="P333">
        <v>701203</v>
      </c>
    </row>
    <row r="334" spans="1:16" x14ac:dyDescent="0.3">
      <c r="A334" t="s">
        <v>2115</v>
      </c>
      <c r="B334" t="s">
        <v>2402</v>
      </c>
      <c r="C334" t="s">
        <v>2413</v>
      </c>
      <c r="D334" t="s">
        <v>690</v>
      </c>
      <c r="E334">
        <v>701401</v>
      </c>
      <c r="F334" t="s">
        <v>2462</v>
      </c>
      <c r="H334" t="s">
        <v>2434</v>
      </c>
      <c r="I334" t="s">
        <v>2435</v>
      </c>
      <c r="J334">
        <v>0</v>
      </c>
      <c r="K334">
        <v>0</v>
      </c>
      <c r="M334" t="s">
        <v>3077</v>
      </c>
      <c r="O334">
        <v>0</v>
      </c>
      <c r="P334">
        <v>701401</v>
      </c>
    </row>
    <row r="335" spans="1:16" x14ac:dyDescent="0.3">
      <c r="A335" t="s">
        <v>2115</v>
      </c>
      <c r="B335" t="s">
        <v>2402</v>
      </c>
      <c r="C335" t="s">
        <v>2413</v>
      </c>
      <c r="D335" t="s">
        <v>690</v>
      </c>
      <c r="E335">
        <v>701601</v>
      </c>
      <c r="F335" t="s">
        <v>2463</v>
      </c>
      <c r="H335" t="s">
        <v>2434</v>
      </c>
      <c r="I335" t="s">
        <v>2435</v>
      </c>
      <c r="J335" s="126">
        <v>643268</v>
      </c>
      <c r="K335">
        <v>0</v>
      </c>
      <c r="M335" t="s">
        <v>3076</v>
      </c>
      <c r="O335" s="125">
        <v>643268</v>
      </c>
      <c r="P335">
        <v>701601</v>
      </c>
    </row>
    <row r="336" spans="1:16" x14ac:dyDescent="0.3">
      <c r="A336" t="s">
        <v>2115</v>
      </c>
      <c r="B336" t="s">
        <v>2402</v>
      </c>
      <c r="C336" t="s">
        <v>2413</v>
      </c>
      <c r="D336" t="s">
        <v>690</v>
      </c>
      <c r="E336">
        <v>701603</v>
      </c>
      <c r="F336" t="s">
        <v>2464</v>
      </c>
      <c r="H336" t="s">
        <v>2434</v>
      </c>
      <c r="I336" t="s">
        <v>2435</v>
      </c>
      <c r="J336" s="125">
        <v>131797.70000000001</v>
      </c>
      <c r="K336">
        <v>123.94</v>
      </c>
      <c r="M336" t="s">
        <v>3076</v>
      </c>
      <c r="O336" s="125">
        <v>131921.64000000001</v>
      </c>
      <c r="P336">
        <v>701603</v>
      </c>
    </row>
    <row r="337" spans="1:16" x14ac:dyDescent="0.3">
      <c r="A337" t="s">
        <v>2115</v>
      </c>
      <c r="B337" t="s">
        <v>2402</v>
      </c>
      <c r="C337" t="s">
        <v>2413</v>
      </c>
      <c r="D337" t="s">
        <v>690</v>
      </c>
      <c r="E337">
        <v>701605</v>
      </c>
      <c r="F337" t="s">
        <v>2465</v>
      </c>
      <c r="H337" t="s">
        <v>2434</v>
      </c>
      <c r="I337" t="s">
        <v>2435</v>
      </c>
      <c r="J337">
        <v>6617.28</v>
      </c>
      <c r="K337">
        <v>0</v>
      </c>
      <c r="M337" t="s">
        <v>3076</v>
      </c>
      <c r="O337" s="125">
        <v>6617.28</v>
      </c>
      <c r="P337">
        <v>701605</v>
      </c>
    </row>
    <row r="338" spans="1:16" x14ac:dyDescent="0.3">
      <c r="A338" t="s">
        <v>2115</v>
      </c>
      <c r="B338" t="s">
        <v>2402</v>
      </c>
      <c r="C338" t="s">
        <v>2413</v>
      </c>
      <c r="D338" t="s">
        <v>690</v>
      </c>
      <c r="E338">
        <v>701607</v>
      </c>
      <c r="F338" t="s">
        <v>2466</v>
      </c>
      <c r="H338" t="s">
        <v>2434</v>
      </c>
      <c r="I338" t="s">
        <v>2435</v>
      </c>
      <c r="J338" s="125">
        <v>161022.29999999999</v>
      </c>
      <c r="K338">
        <v>0</v>
      </c>
      <c r="M338" t="s">
        <v>3076</v>
      </c>
      <c r="O338" s="125">
        <v>161022.29999999999</v>
      </c>
      <c r="P338">
        <v>701607</v>
      </c>
    </row>
    <row r="339" spans="1:16" x14ac:dyDescent="0.3">
      <c r="A339" t="s">
        <v>2115</v>
      </c>
      <c r="B339" t="s">
        <v>2402</v>
      </c>
      <c r="C339" t="s">
        <v>2413</v>
      </c>
      <c r="D339" t="s">
        <v>2443</v>
      </c>
      <c r="E339">
        <v>701803</v>
      </c>
      <c r="F339" t="s">
        <v>2467</v>
      </c>
      <c r="H339" t="s">
        <v>2434</v>
      </c>
      <c r="I339" t="s">
        <v>2435</v>
      </c>
      <c r="J339">
        <v>0</v>
      </c>
      <c r="K339">
        <v>0</v>
      </c>
      <c r="M339" t="s">
        <v>3077</v>
      </c>
      <c r="O339">
        <v>0</v>
      </c>
      <c r="P339">
        <v>701803</v>
      </c>
    </row>
    <row r="340" spans="1:16" x14ac:dyDescent="0.3">
      <c r="A340" t="s">
        <v>2115</v>
      </c>
      <c r="B340" t="s">
        <v>2402</v>
      </c>
      <c r="C340" t="s">
        <v>2413</v>
      </c>
      <c r="D340" t="s">
        <v>2443</v>
      </c>
      <c r="E340">
        <v>701805</v>
      </c>
      <c r="F340" t="s">
        <v>2652</v>
      </c>
      <c r="H340" t="s">
        <v>2434</v>
      </c>
      <c r="I340" t="s">
        <v>2435</v>
      </c>
      <c r="J340">
        <v>852.61</v>
      </c>
      <c r="K340">
        <v>0</v>
      </c>
      <c r="M340" t="s">
        <v>3076</v>
      </c>
      <c r="O340">
        <v>852.61</v>
      </c>
      <c r="P340">
        <v>701805</v>
      </c>
    </row>
    <row r="341" spans="1:16" x14ac:dyDescent="0.3">
      <c r="A341" t="s">
        <v>2115</v>
      </c>
      <c r="B341" t="s">
        <v>2402</v>
      </c>
      <c r="C341" t="s">
        <v>2413</v>
      </c>
      <c r="D341" t="s">
        <v>690</v>
      </c>
      <c r="E341">
        <v>701807</v>
      </c>
      <c r="F341" t="s">
        <v>2624</v>
      </c>
      <c r="H341" t="s">
        <v>2434</v>
      </c>
      <c r="I341" t="s">
        <v>2435</v>
      </c>
      <c r="J341">
        <v>1300</v>
      </c>
      <c r="K341">
        <v>0</v>
      </c>
      <c r="M341" t="s">
        <v>3076</v>
      </c>
      <c r="O341" s="125">
        <v>1300</v>
      </c>
      <c r="P341">
        <v>701807</v>
      </c>
    </row>
    <row r="342" spans="1:16" x14ac:dyDescent="0.3">
      <c r="A342" t="s">
        <v>2115</v>
      </c>
      <c r="B342" t="s">
        <v>2402</v>
      </c>
      <c r="C342" t="s">
        <v>2413</v>
      </c>
      <c r="D342" t="s">
        <v>690</v>
      </c>
      <c r="E342">
        <v>701811</v>
      </c>
      <c r="F342" t="s">
        <v>2468</v>
      </c>
      <c r="H342" t="s">
        <v>2434</v>
      </c>
      <c r="I342" t="s">
        <v>2435</v>
      </c>
      <c r="J342">
        <v>6820</v>
      </c>
      <c r="K342">
        <v>0</v>
      </c>
      <c r="M342" t="s">
        <v>3076</v>
      </c>
      <c r="O342" s="125">
        <v>6820</v>
      </c>
      <c r="P342">
        <v>701811</v>
      </c>
    </row>
    <row r="343" spans="1:16" x14ac:dyDescent="0.3">
      <c r="A343" t="s">
        <v>2115</v>
      </c>
      <c r="B343" t="s">
        <v>2402</v>
      </c>
      <c r="C343" t="s">
        <v>2413</v>
      </c>
      <c r="D343" t="s">
        <v>690</v>
      </c>
      <c r="E343">
        <v>702001</v>
      </c>
      <c r="F343" t="s">
        <v>2469</v>
      </c>
      <c r="H343" t="s">
        <v>2434</v>
      </c>
      <c r="I343" t="s">
        <v>2435</v>
      </c>
      <c r="J343" s="125">
        <v>1355538.96</v>
      </c>
      <c r="K343">
        <v>0</v>
      </c>
      <c r="M343" t="s">
        <v>3076</v>
      </c>
      <c r="O343" s="125">
        <v>1355538.96</v>
      </c>
      <c r="P343">
        <v>702001</v>
      </c>
    </row>
    <row r="344" spans="1:16" x14ac:dyDescent="0.3">
      <c r="A344" t="s">
        <v>2115</v>
      </c>
      <c r="B344" t="s">
        <v>2402</v>
      </c>
      <c r="C344" t="s">
        <v>2413</v>
      </c>
      <c r="D344" t="s">
        <v>690</v>
      </c>
      <c r="E344">
        <v>702003</v>
      </c>
      <c r="F344" t="s">
        <v>2470</v>
      </c>
      <c r="H344" t="s">
        <v>2434</v>
      </c>
      <c r="I344" t="s">
        <v>2435</v>
      </c>
      <c r="J344" s="126">
        <v>127915</v>
      </c>
      <c r="K344">
        <v>8054.4</v>
      </c>
      <c r="M344" t="s">
        <v>3076</v>
      </c>
      <c r="O344" s="125">
        <v>135969.4</v>
      </c>
      <c r="P344">
        <v>702003</v>
      </c>
    </row>
    <row r="345" spans="1:16" x14ac:dyDescent="0.3">
      <c r="A345" t="s">
        <v>2115</v>
      </c>
      <c r="B345" t="s">
        <v>2402</v>
      </c>
      <c r="C345" t="s">
        <v>2413</v>
      </c>
      <c r="D345" t="s">
        <v>690</v>
      </c>
      <c r="E345">
        <v>702201</v>
      </c>
      <c r="F345" t="s">
        <v>2471</v>
      </c>
      <c r="H345" t="s">
        <v>2434</v>
      </c>
      <c r="I345" t="s">
        <v>2435</v>
      </c>
      <c r="J345" s="125">
        <v>70568.7</v>
      </c>
      <c r="K345">
        <v>1221.3399999999999</v>
      </c>
      <c r="M345" t="s">
        <v>3076</v>
      </c>
      <c r="O345" s="125">
        <v>71790.039999999994</v>
      </c>
      <c r="P345">
        <v>702201</v>
      </c>
    </row>
    <row r="346" spans="1:16" x14ac:dyDescent="0.3">
      <c r="A346" t="s">
        <v>2115</v>
      </c>
      <c r="B346" t="s">
        <v>2402</v>
      </c>
      <c r="C346" t="s">
        <v>2413</v>
      </c>
      <c r="D346" t="s">
        <v>690</v>
      </c>
      <c r="E346">
        <v>702203</v>
      </c>
      <c r="F346" t="s">
        <v>2472</v>
      </c>
      <c r="H346" t="s">
        <v>2434</v>
      </c>
      <c r="I346" t="s">
        <v>2435</v>
      </c>
      <c r="J346" s="125">
        <v>19464.099999999999</v>
      </c>
      <c r="K346">
        <v>0</v>
      </c>
      <c r="M346" t="s">
        <v>3076</v>
      </c>
      <c r="O346" s="125">
        <v>19464.099999999999</v>
      </c>
      <c r="P346">
        <v>702203</v>
      </c>
    </row>
    <row r="347" spans="1:16" x14ac:dyDescent="0.3">
      <c r="A347" t="s">
        <v>2115</v>
      </c>
      <c r="B347" t="s">
        <v>2402</v>
      </c>
      <c r="C347" t="s">
        <v>2413</v>
      </c>
      <c r="D347" t="s">
        <v>690</v>
      </c>
      <c r="E347">
        <v>702401</v>
      </c>
      <c r="F347" t="s">
        <v>2473</v>
      </c>
      <c r="H347" t="s">
        <v>2434</v>
      </c>
      <c r="I347" t="s">
        <v>2435</v>
      </c>
      <c r="J347" s="125">
        <v>222003.35</v>
      </c>
      <c r="K347">
        <v>1108.8399999999999</v>
      </c>
      <c r="M347" t="s">
        <v>3076</v>
      </c>
      <c r="O347" s="125">
        <v>223112.19</v>
      </c>
      <c r="P347">
        <v>702401</v>
      </c>
    </row>
    <row r="348" spans="1:16" x14ac:dyDescent="0.3">
      <c r="A348" t="s">
        <v>2115</v>
      </c>
      <c r="B348" t="s">
        <v>2402</v>
      </c>
      <c r="C348" t="s">
        <v>2413</v>
      </c>
      <c r="D348" t="s">
        <v>690</v>
      </c>
      <c r="E348">
        <v>702403</v>
      </c>
      <c r="F348" t="s">
        <v>2474</v>
      </c>
      <c r="H348" t="s">
        <v>2434</v>
      </c>
      <c r="I348" t="s">
        <v>2435</v>
      </c>
      <c r="J348" s="125">
        <v>18339.95</v>
      </c>
      <c r="K348">
        <v>3212.58</v>
      </c>
      <c r="M348" t="s">
        <v>3076</v>
      </c>
      <c r="O348" s="125">
        <v>21552.53</v>
      </c>
      <c r="P348">
        <v>702403</v>
      </c>
    </row>
    <row r="349" spans="1:16" x14ac:dyDescent="0.3">
      <c r="A349" t="s">
        <v>2115</v>
      </c>
      <c r="B349" t="s">
        <v>2402</v>
      </c>
      <c r="C349" t="s">
        <v>2413</v>
      </c>
      <c r="D349" t="s">
        <v>690</v>
      </c>
      <c r="E349">
        <v>702405</v>
      </c>
      <c r="F349" t="s">
        <v>2475</v>
      </c>
      <c r="H349" t="s">
        <v>2434</v>
      </c>
      <c r="I349" t="s">
        <v>2435</v>
      </c>
      <c r="J349" s="125">
        <v>30902.54</v>
      </c>
      <c r="K349">
        <v>2731.85</v>
      </c>
      <c r="M349" t="s">
        <v>3076</v>
      </c>
      <c r="O349" s="125">
        <v>33634.39</v>
      </c>
      <c r="P349">
        <v>702405</v>
      </c>
    </row>
    <row r="350" spans="1:16" x14ac:dyDescent="0.3">
      <c r="A350" t="s">
        <v>2115</v>
      </c>
      <c r="B350" t="s">
        <v>2402</v>
      </c>
      <c r="C350" t="s">
        <v>2413</v>
      </c>
      <c r="D350" t="s">
        <v>690</v>
      </c>
      <c r="E350">
        <v>702407</v>
      </c>
      <c r="F350" t="s">
        <v>2476</v>
      </c>
      <c r="H350" t="s">
        <v>2434</v>
      </c>
      <c r="I350" t="s">
        <v>2435</v>
      </c>
      <c r="J350" s="125">
        <v>15259.39</v>
      </c>
      <c r="K350">
        <v>734.92</v>
      </c>
      <c r="M350" t="s">
        <v>3076</v>
      </c>
      <c r="O350" s="125">
        <v>15994.31</v>
      </c>
      <c r="P350">
        <v>702407</v>
      </c>
    </row>
    <row r="351" spans="1:16" x14ac:dyDescent="0.3">
      <c r="A351" t="s">
        <v>2115</v>
      </c>
      <c r="B351" t="s">
        <v>2402</v>
      </c>
      <c r="C351" t="s">
        <v>2413</v>
      </c>
      <c r="D351" t="s">
        <v>690</v>
      </c>
      <c r="E351">
        <v>702411</v>
      </c>
      <c r="F351" t="s">
        <v>2477</v>
      </c>
      <c r="H351" t="s">
        <v>2434</v>
      </c>
      <c r="I351" t="s">
        <v>2435</v>
      </c>
      <c r="J351" s="125">
        <v>191525.62</v>
      </c>
      <c r="K351">
        <v>441.51</v>
      </c>
      <c r="M351" t="s">
        <v>3076</v>
      </c>
      <c r="O351" s="125">
        <v>191967.13</v>
      </c>
      <c r="P351">
        <v>702411</v>
      </c>
    </row>
    <row r="352" spans="1:16" x14ac:dyDescent="0.3">
      <c r="A352" t="s">
        <v>2115</v>
      </c>
      <c r="B352" t="s">
        <v>2402</v>
      </c>
      <c r="C352" t="s">
        <v>2413</v>
      </c>
      <c r="D352" t="s">
        <v>690</v>
      </c>
      <c r="E352">
        <v>720201</v>
      </c>
      <c r="F352" t="s">
        <v>2478</v>
      </c>
      <c r="H352" t="s">
        <v>2479</v>
      </c>
      <c r="I352" t="s">
        <v>2480</v>
      </c>
      <c r="J352" s="125">
        <v>264386.57</v>
      </c>
      <c r="K352">
        <v>0</v>
      </c>
      <c r="M352" t="s">
        <v>3076</v>
      </c>
      <c r="O352" s="125">
        <v>264386.57</v>
      </c>
      <c r="P352">
        <v>720201</v>
      </c>
    </row>
    <row r="353" spans="1:16" x14ac:dyDescent="0.3">
      <c r="A353" t="s">
        <v>2115</v>
      </c>
      <c r="B353" t="s">
        <v>2402</v>
      </c>
      <c r="C353" t="s">
        <v>2413</v>
      </c>
      <c r="D353" t="s">
        <v>690</v>
      </c>
      <c r="E353">
        <v>720401</v>
      </c>
      <c r="F353" t="s">
        <v>2481</v>
      </c>
      <c r="H353" t="s">
        <v>2479</v>
      </c>
      <c r="I353" t="s">
        <v>2480</v>
      </c>
      <c r="J353" s="125">
        <v>51694.26</v>
      </c>
      <c r="K353">
        <v>0</v>
      </c>
      <c r="M353" t="s">
        <v>3076</v>
      </c>
      <c r="O353" s="125">
        <v>51694.26</v>
      </c>
      <c r="P353">
        <v>720401</v>
      </c>
    </row>
    <row r="354" spans="1:16" x14ac:dyDescent="0.3">
      <c r="A354" t="s">
        <v>2115</v>
      </c>
      <c r="B354" t="s">
        <v>2402</v>
      </c>
      <c r="C354" t="s">
        <v>2413</v>
      </c>
      <c r="D354" t="s">
        <v>690</v>
      </c>
      <c r="E354">
        <v>720403</v>
      </c>
      <c r="F354" t="s">
        <v>2482</v>
      </c>
      <c r="H354" t="s">
        <v>2479</v>
      </c>
      <c r="I354" t="s">
        <v>2480</v>
      </c>
      <c r="J354" s="125">
        <v>47795.17</v>
      </c>
      <c r="K354">
        <v>957.67</v>
      </c>
      <c r="M354" t="s">
        <v>3076</v>
      </c>
      <c r="O354" s="125">
        <v>48752.84</v>
      </c>
      <c r="P354">
        <v>720403</v>
      </c>
    </row>
    <row r="355" spans="1:16" x14ac:dyDescent="0.3">
      <c r="A355" t="s">
        <v>2115</v>
      </c>
      <c r="B355" t="s">
        <v>2402</v>
      </c>
      <c r="C355" t="s">
        <v>2413</v>
      </c>
      <c r="D355" t="s">
        <v>690</v>
      </c>
      <c r="E355">
        <v>720405</v>
      </c>
      <c r="F355" t="s">
        <v>2483</v>
      </c>
      <c r="H355" t="s">
        <v>2479</v>
      </c>
      <c r="I355" t="s">
        <v>2480</v>
      </c>
      <c r="J355" s="125">
        <v>422809.09</v>
      </c>
      <c r="K355">
        <v>0</v>
      </c>
      <c r="M355" t="s">
        <v>3076</v>
      </c>
      <c r="O355" s="125">
        <v>422809.09</v>
      </c>
      <c r="P355">
        <v>720405</v>
      </c>
    </row>
    <row r="356" spans="1:16" x14ac:dyDescent="0.3">
      <c r="A356" t="s">
        <v>2115</v>
      </c>
      <c r="B356" t="s">
        <v>2402</v>
      </c>
      <c r="C356" t="s">
        <v>2413</v>
      </c>
      <c r="D356" t="s">
        <v>690</v>
      </c>
      <c r="E356">
        <v>720601</v>
      </c>
      <c r="F356" t="s">
        <v>2484</v>
      </c>
      <c r="H356" t="s">
        <v>2479</v>
      </c>
      <c r="I356" t="s">
        <v>2480</v>
      </c>
      <c r="J356" s="125">
        <v>17675.22</v>
      </c>
      <c r="K356">
        <v>0</v>
      </c>
      <c r="M356" t="s">
        <v>3076</v>
      </c>
      <c r="O356" s="125">
        <v>17675.22</v>
      </c>
      <c r="P356">
        <v>720601</v>
      </c>
    </row>
    <row r="357" spans="1:16" x14ac:dyDescent="0.3">
      <c r="A357" t="s">
        <v>2115</v>
      </c>
      <c r="B357" t="s">
        <v>2402</v>
      </c>
      <c r="C357" t="s">
        <v>2413</v>
      </c>
      <c r="D357" t="s">
        <v>690</v>
      </c>
      <c r="E357">
        <v>720605</v>
      </c>
      <c r="F357" t="s">
        <v>2695</v>
      </c>
      <c r="H357" t="s">
        <v>2133</v>
      </c>
      <c r="I357" t="s">
        <v>2133</v>
      </c>
      <c r="J357">
        <v>6500</v>
      </c>
      <c r="K357">
        <v>0</v>
      </c>
      <c r="M357" t="s">
        <v>3076</v>
      </c>
      <c r="O357" s="125">
        <v>6500</v>
      </c>
      <c r="P357">
        <v>720605</v>
      </c>
    </row>
    <row r="358" spans="1:16" x14ac:dyDescent="0.3">
      <c r="A358" t="s">
        <v>2115</v>
      </c>
      <c r="B358" t="s">
        <v>2402</v>
      </c>
      <c r="C358" t="s">
        <v>2413</v>
      </c>
      <c r="D358" t="s">
        <v>2443</v>
      </c>
      <c r="E358">
        <v>740201</v>
      </c>
      <c r="F358" t="s">
        <v>2485</v>
      </c>
      <c r="H358" t="s">
        <v>2486</v>
      </c>
      <c r="I358" t="s">
        <v>2487</v>
      </c>
      <c r="J358" s="125">
        <v>822904.77</v>
      </c>
      <c r="K358" s="125">
        <v>69448.05</v>
      </c>
      <c r="M358" t="s">
        <v>3076</v>
      </c>
      <c r="O358" s="125">
        <v>892352.82</v>
      </c>
      <c r="P358">
        <v>740201</v>
      </c>
    </row>
    <row r="359" spans="1:16" x14ac:dyDescent="0.3">
      <c r="A359" t="s">
        <v>2115</v>
      </c>
      <c r="B359" t="s">
        <v>2402</v>
      </c>
      <c r="C359" t="s">
        <v>2413</v>
      </c>
      <c r="D359" t="s">
        <v>2443</v>
      </c>
      <c r="E359">
        <v>740203</v>
      </c>
      <c r="F359" t="s">
        <v>2488</v>
      </c>
      <c r="H359" t="s">
        <v>2486</v>
      </c>
      <c r="I359" t="s">
        <v>2487</v>
      </c>
      <c r="J359" s="125">
        <v>2095339.18</v>
      </c>
      <c r="K359" s="125">
        <v>17212.78</v>
      </c>
      <c r="M359" t="s">
        <v>3076</v>
      </c>
      <c r="O359" s="125">
        <v>2112551.96</v>
      </c>
      <c r="P359">
        <v>740203</v>
      </c>
    </row>
    <row r="360" spans="1:16" x14ac:dyDescent="0.3">
      <c r="A360" t="s">
        <v>2115</v>
      </c>
      <c r="B360" t="s">
        <v>2402</v>
      </c>
      <c r="C360" t="s">
        <v>2413</v>
      </c>
      <c r="D360" t="s">
        <v>2443</v>
      </c>
      <c r="E360">
        <v>740205</v>
      </c>
      <c r="F360" t="s">
        <v>2489</v>
      </c>
      <c r="H360" t="s">
        <v>2486</v>
      </c>
      <c r="I360" t="s">
        <v>2487</v>
      </c>
      <c r="J360" s="125">
        <v>842556.66</v>
      </c>
      <c r="K360">
        <v>0</v>
      </c>
      <c r="M360" t="s">
        <v>3076</v>
      </c>
      <c r="O360" s="125">
        <v>842556.66</v>
      </c>
      <c r="P360">
        <v>740205</v>
      </c>
    </row>
    <row r="361" spans="1:16" x14ac:dyDescent="0.3">
      <c r="A361" t="s">
        <v>2115</v>
      </c>
      <c r="B361" t="s">
        <v>2402</v>
      </c>
      <c r="C361" t="s">
        <v>2413</v>
      </c>
      <c r="D361" t="s">
        <v>2443</v>
      </c>
      <c r="E361">
        <v>740207</v>
      </c>
      <c r="F361" t="s">
        <v>2490</v>
      </c>
      <c r="H361" t="s">
        <v>2486</v>
      </c>
      <c r="I361" t="s">
        <v>2487</v>
      </c>
      <c r="J361" s="125">
        <v>101489.14</v>
      </c>
      <c r="K361">
        <v>0</v>
      </c>
      <c r="M361" t="s">
        <v>3076</v>
      </c>
      <c r="O361" s="125">
        <v>101489.14</v>
      </c>
      <c r="P361">
        <v>740207</v>
      </c>
    </row>
    <row r="362" spans="1:16" x14ac:dyDescent="0.3">
      <c r="A362" t="s">
        <v>2115</v>
      </c>
      <c r="B362" t="s">
        <v>2402</v>
      </c>
      <c r="C362" t="s">
        <v>2413</v>
      </c>
      <c r="D362" t="s">
        <v>2443</v>
      </c>
      <c r="E362">
        <v>740209</v>
      </c>
      <c r="F362" t="s">
        <v>2642</v>
      </c>
      <c r="H362" t="s">
        <v>2211</v>
      </c>
      <c r="I362" t="s">
        <v>2212</v>
      </c>
      <c r="J362" s="125">
        <v>79732.86</v>
      </c>
      <c r="K362">
        <v>0</v>
      </c>
      <c r="M362" t="s">
        <v>3076</v>
      </c>
      <c r="O362" s="125">
        <v>79732.86</v>
      </c>
      <c r="P362">
        <v>740209</v>
      </c>
    </row>
    <row r="363" spans="1:16" x14ac:dyDescent="0.3">
      <c r="A363" t="s">
        <v>2115</v>
      </c>
      <c r="B363" t="s">
        <v>2402</v>
      </c>
      <c r="C363" t="s">
        <v>2413</v>
      </c>
      <c r="D363" t="s">
        <v>2443</v>
      </c>
      <c r="E363">
        <v>740211</v>
      </c>
      <c r="F363" t="s">
        <v>2643</v>
      </c>
      <c r="H363" t="s">
        <v>2211</v>
      </c>
      <c r="I363" t="s">
        <v>2212</v>
      </c>
      <c r="J363" s="125">
        <v>225607.77</v>
      </c>
      <c r="K363">
        <v>0</v>
      </c>
      <c r="M363" t="s">
        <v>3076</v>
      </c>
      <c r="O363" s="125">
        <v>225607.77</v>
      </c>
      <c r="P363">
        <v>740211</v>
      </c>
    </row>
    <row r="364" spans="1:16" x14ac:dyDescent="0.3">
      <c r="A364" t="s">
        <v>2115</v>
      </c>
      <c r="B364" t="s">
        <v>2402</v>
      </c>
      <c r="C364" t="s">
        <v>2413</v>
      </c>
      <c r="D364" t="s">
        <v>2443</v>
      </c>
      <c r="E364">
        <v>740213</v>
      </c>
      <c r="F364" t="s">
        <v>2644</v>
      </c>
      <c r="H364" t="s">
        <v>2211</v>
      </c>
      <c r="I364" t="s">
        <v>2212</v>
      </c>
      <c r="J364" s="125">
        <v>89304.81</v>
      </c>
      <c r="K364">
        <v>0</v>
      </c>
      <c r="M364" t="s">
        <v>3076</v>
      </c>
      <c r="O364" s="125">
        <v>89304.81</v>
      </c>
      <c r="P364">
        <v>740213</v>
      </c>
    </row>
    <row r="365" spans="1:16" x14ac:dyDescent="0.3">
      <c r="A365" t="s">
        <v>2115</v>
      </c>
      <c r="B365" t="s">
        <v>2402</v>
      </c>
      <c r="C365" t="s">
        <v>2403</v>
      </c>
      <c r="D365" t="s">
        <v>2404</v>
      </c>
      <c r="E365">
        <v>740215</v>
      </c>
      <c r="F365" t="s">
        <v>2750</v>
      </c>
      <c r="H365" t="s">
        <v>2133</v>
      </c>
      <c r="I365" t="s">
        <v>2133</v>
      </c>
      <c r="J365" s="125">
        <v>-2475534.92</v>
      </c>
      <c r="K365">
        <v>0</v>
      </c>
      <c r="M365" t="s">
        <v>3076</v>
      </c>
      <c r="O365" s="125">
        <v>-2475534.92</v>
      </c>
      <c r="P365">
        <v>740215</v>
      </c>
    </row>
    <row r="366" spans="1:16" x14ac:dyDescent="0.3">
      <c r="A366" t="s">
        <v>2115</v>
      </c>
      <c r="B366" t="s">
        <v>2402</v>
      </c>
      <c r="C366" t="s">
        <v>2413</v>
      </c>
      <c r="D366" t="s">
        <v>2443</v>
      </c>
      <c r="E366">
        <v>740401</v>
      </c>
      <c r="F366" t="s">
        <v>2491</v>
      </c>
      <c r="H366" t="s">
        <v>2492</v>
      </c>
      <c r="I366" t="s">
        <v>2487</v>
      </c>
      <c r="J366" s="125">
        <v>477601.93</v>
      </c>
      <c r="K366">
        <v>0</v>
      </c>
      <c r="M366" t="s">
        <v>3076</v>
      </c>
      <c r="O366" s="125">
        <v>477601.93</v>
      </c>
      <c r="P366">
        <v>740401</v>
      </c>
    </row>
    <row r="367" spans="1:16" x14ac:dyDescent="0.3">
      <c r="A367" t="s">
        <v>2115</v>
      </c>
      <c r="B367" t="s">
        <v>2402</v>
      </c>
      <c r="C367" t="s">
        <v>2413</v>
      </c>
      <c r="D367" t="s">
        <v>2443</v>
      </c>
      <c r="E367">
        <v>740601</v>
      </c>
      <c r="F367" t="s">
        <v>2493</v>
      </c>
      <c r="H367" t="s">
        <v>2494</v>
      </c>
      <c r="I367" t="s">
        <v>2495</v>
      </c>
      <c r="J367" s="125">
        <v>235109.89</v>
      </c>
      <c r="K367" s="125">
        <v>19015.7</v>
      </c>
      <c r="M367" t="s">
        <v>3076</v>
      </c>
      <c r="O367" s="125">
        <v>254125.59</v>
      </c>
      <c r="P367">
        <v>740601</v>
      </c>
    </row>
    <row r="368" spans="1:16" x14ac:dyDescent="0.3">
      <c r="A368" t="s">
        <v>2115</v>
      </c>
      <c r="B368" t="s">
        <v>2402</v>
      </c>
      <c r="C368" t="s">
        <v>2413</v>
      </c>
      <c r="D368" t="s">
        <v>2443</v>
      </c>
      <c r="E368">
        <v>740603</v>
      </c>
      <c r="F368" t="s">
        <v>2696</v>
      </c>
      <c r="H368" t="s">
        <v>2133</v>
      </c>
      <c r="I368" t="s">
        <v>2133</v>
      </c>
      <c r="J368">
        <v>0</v>
      </c>
      <c r="K368">
        <v>520</v>
      </c>
      <c r="M368" t="s">
        <v>3077</v>
      </c>
      <c r="O368">
        <v>520</v>
      </c>
      <c r="P368">
        <v>740603</v>
      </c>
    </row>
    <row r="369" spans="1:16" x14ac:dyDescent="0.3">
      <c r="A369" t="s">
        <v>2115</v>
      </c>
      <c r="B369" t="s">
        <v>2402</v>
      </c>
      <c r="C369" t="s">
        <v>2413</v>
      </c>
      <c r="D369" t="s">
        <v>2443</v>
      </c>
      <c r="E369">
        <v>740605</v>
      </c>
      <c r="F369" t="s">
        <v>2496</v>
      </c>
      <c r="H369" t="s">
        <v>2211</v>
      </c>
      <c r="I369" t="s">
        <v>2212</v>
      </c>
      <c r="J369" s="126">
        <v>20720</v>
      </c>
      <c r="K369">
        <v>0</v>
      </c>
      <c r="M369" t="s">
        <v>3076</v>
      </c>
      <c r="O369" s="125">
        <v>20720</v>
      </c>
      <c r="P369">
        <v>740605</v>
      </c>
    </row>
    <row r="370" spans="1:16" x14ac:dyDescent="0.3">
      <c r="A370" t="s">
        <v>2115</v>
      </c>
      <c r="B370" t="s">
        <v>2402</v>
      </c>
      <c r="C370" t="s">
        <v>2413</v>
      </c>
      <c r="D370" t="s">
        <v>2443</v>
      </c>
      <c r="E370">
        <v>740607</v>
      </c>
      <c r="F370" t="s">
        <v>2497</v>
      </c>
      <c r="H370" t="s">
        <v>2211</v>
      </c>
      <c r="I370" t="s">
        <v>2212</v>
      </c>
      <c r="J370" s="125">
        <v>25573.24</v>
      </c>
      <c r="K370">
        <v>0</v>
      </c>
      <c r="M370" t="s">
        <v>3076</v>
      </c>
      <c r="O370" s="125">
        <v>25573.24</v>
      </c>
      <c r="P370">
        <v>740607</v>
      </c>
    </row>
    <row r="371" spans="1:16" x14ac:dyDescent="0.3">
      <c r="A371" t="s">
        <v>2115</v>
      </c>
      <c r="B371" t="s">
        <v>2402</v>
      </c>
      <c r="C371" t="s">
        <v>2413</v>
      </c>
      <c r="D371" t="s">
        <v>2443</v>
      </c>
      <c r="E371">
        <v>740609</v>
      </c>
      <c r="F371" t="s">
        <v>2498</v>
      </c>
      <c r="H371" t="s">
        <v>2494</v>
      </c>
      <c r="I371" t="s">
        <v>2495</v>
      </c>
      <c r="J371" s="125">
        <v>336838.91</v>
      </c>
      <c r="K371">
        <v>0</v>
      </c>
      <c r="M371" t="s">
        <v>3076</v>
      </c>
      <c r="O371" s="125">
        <v>336838.91</v>
      </c>
      <c r="P371">
        <v>740609</v>
      </c>
    </row>
    <row r="372" spans="1:16" x14ac:dyDescent="0.3">
      <c r="A372" t="s">
        <v>2115</v>
      </c>
      <c r="B372" t="s">
        <v>2402</v>
      </c>
      <c r="C372" t="s">
        <v>2413</v>
      </c>
      <c r="D372" t="s">
        <v>2443</v>
      </c>
      <c r="E372">
        <v>740611</v>
      </c>
      <c r="F372" t="s">
        <v>2499</v>
      </c>
      <c r="H372" t="s">
        <v>2494</v>
      </c>
      <c r="I372" t="s">
        <v>2495</v>
      </c>
      <c r="J372" s="125">
        <v>664931.25</v>
      </c>
      <c r="K372">
        <v>3489.92</v>
      </c>
      <c r="M372" t="s">
        <v>3076</v>
      </c>
      <c r="O372" s="125">
        <v>668421.17000000004</v>
      </c>
      <c r="P372">
        <v>740611</v>
      </c>
    </row>
    <row r="373" spans="1:16" x14ac:dyDescent="0.3">
      <c r="A373" t="s">
        <v>2115</v>
      </c>
      <c r="B373" t="s">
        <v>2402</v>
      </c>
      <c r="C373" t="s">
        <v>2413</v>
      </c>
      <c r="D373" t="s">
        <v>2443</v>
      </c>
      <c r="E373">
        <v>740801</v>
      </c>
      <c r="F373" t="s">
        <v>2500</v>
      </c>
      <c r="H373" t="s">
        <v>2494</v>
      </c>
      <c r="I373" t="s">
        <v>2495</v>
      </c>
      <c r="J373" s="125">
        <v>34694.67</v>
      </c>
      <c r="K373">
        <v>0</v>
      </c>
      <c r="M373" t="s">
        <v>3076</v>
      </c>
      <c r="O373" s="125">
        <v>34694.67</v>
      </c>
      <c r="P373">
        <v>740801</v>
      </c>
    </row>
    <row r="374" spans="1:16" x14ac:dyDescent="0.3">
      <c r="A374" t="s">
        <v>2115</v>
      </c>
      <c r="B374" t="s">
        <v>2402</v>
      </c>
      <c r="C374" t="s">
        <v>2413</v>
      </c>
      <c r="D374" t="s">
        <v>2443</v>
      </c>
      <c r="E374">
        <v>741001</v>
      </c>
      <c r="F374" t="s">
        <v>2501</v>
      </c>
      <c r="H374" t="s">
        <v>2494</v>
      </c>
      <c r="I374" t="s">
        <v>2495</v>
      </c>
      <c r="J374" s="125">
        <v>130549.24</v>
      </c>
      <c r="K374">
        <v>0</v>
      </c>
      <c r="M374" t="s">
        <v>3076</v>
      </c>
      <c r="O374" s="125">
        <v>130549.24</v>
      </c>
      <c r="P374">
        <v>741001</v>
      </c>
    </row>
    <row r="375" spans="1:16" x14ac:dyDescent="0.3">
      <c r="A375" t="s">
        <v>2115</v>
      </c>
      <c r="B375" t="s">
        <v>2402</v>
      </c>
      <c r="C375" t="s">
        <v>2413</v>
      </c>
      <c r="D375" t="s">
        <v>2443</v>
      </c>
      <c r="E375">
        <v>741201</v>
      </c>
      <c r="F375" t="s">
        <v>2333</v>
      </c>
      <c r="H375" t="s">
        <v>2502</v>
      </c>
      <c r="I375" t="s">
        <v>2503</v>
      </c>
      <c r="J375" s="125">
        <v>140397.95000000001</v>
      </c>
      <c r="K375">
        <v>7392.4</v>
      </c>
      <c r="M375" t="s">
        <v>3076</v>
      </c>
      <c r="O375" s="125">
        <v>147790.35</v>
      </c>
      <c r="P375">
        <v>741201</v>
      </c>
    </row>
    <row r="376" spans="1:16" x14ac:dyDescent="0.3">
      <c r="A376" t="s">
        <v>2115</v>
      </c>
      <c r="B376" t="s">
        <v>2402</v>
      </c>
      <c r="C376" t="s">
        <v>2413</v>
      </c>
      <c r="D376" t="s">
        <v>2443</v>
      </c>
      <c r="E376">
        <v>741203</v>
      </c>
      <c r="F376" t="s">
        <v>2697</v>
      </c>
      <c r="H376" t="s">
        <v>2133</v>
      </c>
      <c r="I376" t="s">
        <v>2133</v>
      </c>
      <c r="J376">
        <v>0</v>
      </c>
      <c r="K376">
        <v>0</v>
      </c>
      <c r="M376" t="s">
        <v>3077</v>
      </c>
      <c r="O376">
        <v>0</v>
      </c>
      <c r="P376">
        <v>741203</v>
      </c>
    </row>
    <row r="377" spans="1:16" x14ac:dyDescent="0.3">
      <c r="A377" t="s">
        <v>2115</v>
      </c>
      <c r="B377" t="s">
        <v>2402</v>
      </c>
      <c r="C377" t="s">
        <v>2413</v>
      </c>
      <c r="D377" t="s">
        <v>2443</v>
      </c>
      <c r="E377">
        <v>741401</v>
      </c>
      <c r="F377" t="s">
        <v>2504</v>
      </c>
      <c r="H377" t="s">
        <v>2505</v>
      </c>
      <c r="I377" t="s">
        <v>2487</v>
      </c>
      <c r="J377" s="126">
        <v>544000</v>
      </c>
      <c r="K377">
        <v>0</v>
      </c>
      <c r="M377" t="s">
        <v>3076</v>
      </c>
      <c r="O377" s="125">
        <v>544000</v>
      </c>
      <c r="P377">
        <v>741401</v>
      </c>
    </row>
    <row r="378" spans="1:16" x14ac:dyDescent="0.3">
      <c r="A378" t="s">
        <v>2115</v>
      </c>
      <c r="B378" t="s">
        <v>2402</v>
      </c>
      <c r="C378" t="s">
        <v>2413</v>
      </c>
      <c r="D378" t="s">
        <v>2443</v>
      </c>
      <c r="E378">
        <v>741601</v>
      </c>
      <c r="F378" t="s">
        <v>2506</v>
      </c>
      <c r="H378" t="s">
        <v>2492</v>
      </c>
      <c r="I378" t="s">
        <v>2435</v>
      </c>
      <c r="J378" s="125">
        <v>205217.04</v>
      </c>
      <c r="K378">
        <v>0</v>
      </c>
      <c r="M378" t="s">
        <v>3076</v>
      </c>
      <c r="O378" s="125">
        <v>205217.04</v>
      </c>
      <c r="P378">
        <v>741601</v>
      </c>
    </row>
    <row r="379" spans="1:16" x14ac:dyDescent="0.3">
      <c r="A379" t="s">
        <v>2115</v>
      </c>
      <c r="B379" t="s">
        <v>2402</v>
      </c>
      <c r="C379" t="s">
        <v>2413</v>
      </c>
      <c r="D379" t="s">
        <v>690</v>
      </c>
      <c r="E379">
        <v>741605</v>
      </c>
      <c r="F379" t="s">
        <v>2507</v>
      </c>
      <c r="H379" t="s">
        <v>2492</v>
      </c>
      <c r="I379" t="s">
        <v>2435</v>
      </c>
      <c r="J379" s="125">
        <v>38032.050000000003</v>
      </c>
      <c r="K379">
        <v>1525.56</v>
      </c>
      <c r="M379" t="s">
        <v>3076</v>
      </c>
      <c r="O379" s="125">
        <v>39557.61</v>
      </c>
      <c r="P379">
        <v>741605</v>
      </c>
    </row>
    <row r="380" spans="1:16" x14ac:dyDescent="0.3">
      <c r="A380" t="s">
        <v>2115</v>
      </c>
      <c r="B380" t="s">
        <v>2402</v>
      </c>
      <c r="C380" t="s">
        <v>2413</v>
      </c>
      <c r="D380" t="s">
        <v>2443</v>
      </c>
      <c r="E380">
        <v>741607</v>
      </c>
      <c r="F380" t="s">
        <v>2625</v>
      </c>
      <c r="H380" t="s">
        <v>2492</v>
      </c>
      <c r="I380" t="s">
        <v>2435</v>
      </c>
      <c r="J380" s="125">
        <v>97340.13</v>
      </c>
      <c r="K380">
        <v>0</v>
      </c>
      <c r="M380" t="s">
        <v>3076</v>
      </c>
      <c r="O380" s="125">
        <v>97340.13</v>
      </c>
      <c r="P380">
        <v>741607</v>
      </c>
    </row>
    <row r="381" spans="1:16" x14ac:dyDescent="0.3">
      <c r="A381" t="s">
        <v>2115</v>
      </c>
      <c r="B381" t="s">
        <v>2402</v>
      </c>
      <c r="C381" t="s">
        <v>2413</v>
      </c>
      <c r="D381" t="s">
        <v>2443</v>
      </c>
      <c r="E381">
        <v>741801</v>
      </c>
      <c r="F381" t="s">
        <v>2508</v>
      </c>
      <c r="H381" t="s">
        <v>2492</v>
      </c>
      <c r="I381" t="s">
        <v>2435</v>
      </c>
      <c r="J381" s="125">
        <v>57424.5</v>
      </c>
      <c r="K381">
        <v>240</v>
      </c>
      <c r="M381" t="s">
        <v>3076</v>
      </c>
      <c r="O381" s="125">
        <v>57664.5</v>
      </c>
      <c r="P381">
        <v>741801</v>
      </c>
    </row>
    <row r="382" spans="1:16" x14ac:dyDescent="0.3">
      <c r="A382" t="s">
        <v>2115</v>
      </c>
      <c r="B382" t="s">
        <v>2402</v>
      </c>
      <c r="C382" t="s">
        <v>2413</v>
      </c>
      <c r="D382" t="s">
        <v>690</v>
      </c>
      <c r="E382">
        <v>741803</v>
      </c>
      <c r="F382" t="s">
        <v>2509</v>
      </c>
      <c r="H382" t="s">
        <v>2492</v>
      </c>
      <c r="I382" t="s">
        <v>2435</v>
      </c>
      <c r="J382" s="126">
        <v>56090</v>
      </c>
      <c r="K382">
        <v>0</v>
      </c>
      <c r="M382" t="s">
        <v>3076</v>
      </c>
      <c r="O382" s="125">
        <v>56090</v>
      </c>
      <c r="P382">
        <v>741803</v>
      </c>
    </row>
    <row r="383" spans="1:16" x14ac:dyDescent="0.3">
      <c r="A383" t="s">
        <v>2115</v>
      </c>
      <c r="B383" t="s">
        <v>2402</v>
      </c>
      <c r="C383" t="s">
        <v>2413</v>
      </c>
      <c r="D383" t="s">
        <v>2443</v>
      </c>
      <c r="E383">
        <v>742001</v>
      </c>
      <c r="F383" t="s">
        <v>2510</v>
      </c>
      <c r="H383" t="s">
        <v>2333</v>
      </c>
      <c r="I383" t="s">
        <v>2503</v>
      </c>
      <c r="J383">
        <v>5151.1899999999996</v>
      </c>
      <c r="K383">
        <v>0</v>
      </c>
      <c r="M383" t="s">
        <v>3076</v>
      </c>
      <c r="O383" s="125">
        <v>5151.1899999999996</v>
      </c>
      <c r="P383">
        <v>742001</v>
      </c>
    </row>
    <row r="384" spans="1:16" x14ac:dyDescent="0.3">
      <c r="A384" t="s">
        <v>2115</v>
      </c>
      <c r="B384" t="s">
        <v>2402</v>
      </c>
      <c r="C384" t="s">
        <v>2413</v>
      </c>
      <c r="D384" t="s">
        <v>2443</v>
      </c>
      <c r="E384">
        <v>742003</v>
      </c>
      <c r="F384" t="s">
        <v>2698</v>
      </c>
      <c r="H384" t="s">
        <v>2133</v>
      </c>
      <c r="I384" t="s">
        <v>2133</v>
      </c>
      <c r="J384" s="125">
        <v>23760.71</v>
      </c>
      <c r="K384">
        <v>0</v>
      </c>
      <c r="M384" t="s">
        <v>3076</v>
      </c>
      <c r="O384" s="125">
        <v>23760.71</v>
      </c>
      <c r="P384">
        <v>742003</v>
      </c>
    </row>
    <row r="385" spans="1:16" x14ac:dyDescent="0.3">
      <c r="A385" t="s">
        <v>2115</v>
      </c>
      <c r="B385" t="s">
        <v>2402</v>
      </c>
      <c r="C385" t="s">
        <v>2413</v>
      </c>
      <c r="D385" t="s">
        <v>2443</v>
      </c>
      <c r="E385">
        <v>742005</v>
      </c>
      <c r="F385" t="s">
        <v>2511</v>
      </c>
      <c r="H385" t="s">
        <v>2333</v>
      </c>
      <c r="I385" t="s">
        <v>2503</v>
      </c>
      <c r="J385" s="125">
        <v>77938.91</v>
      </c>
      <c r="K385">
        <v>0</v>
      </c>
      <c r="M385" t="s">
        <v>3076</v>
      </c>
      <c r="O385" s="125">
        <v>77938.91</v>
      </c>
      <c r="P385">
        <v>742005</v>
      </c>
    </row>
    <row r="386" spans="1:16" x14ac:dyDescent="0.3">
      <c r="A386" t="s">
        <v>2115</v>
      </c>
      <c r="B386" t="s">
        <v>2402</v>
      </c>
      <c r="C386" t="s">
        <v>2413</v>
      </c>
      <c r="D386" t="s">
        <v>2443</v>
      </c>
      <c r="E386">
        <v>742009</v>
      </c>
      <c r="F386" t="s">
        <v>2512</v>
      </c>
      <c r="H386" t="s">
        <v>2333</v>
      </c>
      <c r="I386" t="s">
        <v>2503</v>
      </c>
      <c r="J386" s="125">
        <v>71459.19</v>
      </c>
      <c r="K386">
        <v>0</v>
      </c>
      <c r="M386" t="s">
        <v>3076</v>
      </c>
      <c r="O386" s="125">
        <v>71459.19</v>
      </c>
      <c r="P386">
        <v>742009</v>
      </c>
    </row>
    <row r="387" spans="1:16" x14ac:dyDescent="0.3">
      <c r="A387" t="s">
        <v>2115</v>
      </c>
      <c r="B387" t="s">
        <v>2402</v>
      </c>
      <c r="C387" t="s">
        <v>2413</v>
      </c>
      <c r="D387" t="s">
        <v>2513</v>
      </c>
      <c r="E387">
        <v>760201</v>
      </c>
      <c r="F387" t="s">
        <v>2514</v>
      </c>
      <c r="G387" t="s">
        <v>2122</v>
      </c>
      <c r="H387" t="s">
        <v>2515</v>
      </c>
      <c r="I387" t="s">
        <v>2516</v>
      </c>
      <c r="J387" s="125">
        <v>627224.13</v>
      </c>
      <c r="K387">
        <v>0</v>
      </c>
      <c r="M387" t="s">
        <v>3076</v>
      </c>
      <c r="O387" s="125">
        <v>627224.13</v>
      </c>
      <c r="P387">
        <v>760201</v>
      </c>
    </row>
    <row r="388" spans="1:16" x14ac:dyDescent="0.3">
      <c r="A388" t="s">
        <v>2115</v>
      </c>
      <c r="B388" t="s">
        <v>2402</v>
      </c>
      <c r="C388" t="s">
        <v>2413</v>
      </c>
      <c r="D388" t="s">
        <v>2513</v>
      </c>
      <c r="E388">
        <v>760401</v>
      </c>
      <c r="F388" t="s">
        <v>2517</v>
      </c>
      <c r="G388" t="s">
        <v>2119</v>
      </c>
      <c r="H388" t="s">
        <v>2515</v>
      </c>
      <c r="I388" t="s">
        <v>2516</v>
      </c>
      <c r="J388">
        <v>1102</v>
      </c>
      <c r="K388">
        <v>0</v>
      </c>
      <c r="M388" t="s">
        <v>3076</v>
      </c>
      <c r="O388" s="125">
        <v>1102</v>
      </c>
      <c r="P388">
        <v>760401</v>
      </c>
    </row>
    <row r="389" spans="1:16" x14ac:dyDescent="0.3">
      <c r="A389" t="s">
        <v>2115</v>
      </c>
      <c r="B389" t="s">
        <v>2402</v>
      </c>
      <c r="C389" t="s">
        <v>2413</v>
      </c>
      <c r="D389" t="s">
        <v>2513</v>
      </c>
      <c r="E389">
        <v>760601</v>
      </c>
      <c r="F389" t="s">
        <v>2518</v>
      </c>
      <c r="G389" t="s">
        <v>2127</v>
      </c>
      <c r="H389" t="s">
        <v>2515</v>
      </c>
      <c r="I389" t="s">
        <v>2516</v>
      </c>
      <c r="J389" s="125">
        <v>4362356.04</v>
      </c>
      <c r="K389" s="125">
        <v>29063.68</v>
      </c>
      <c r="M389" t="s">
        <v>3076</v>
      </c>
      <c r="O389" s="125">
        <v>4391419.72</v>
      </c>
      <c r="P389">
        <v>760601</v>
      </c>
    </row>
    <row r="390" spans="1:16" x14ac:dyDescent="0.3">
      <c r="A390" t="s">
        <v>2115</v>
      </c>
      <c r="B390" t="s">
        <v>2402</v>
      </c>
      <c r="C390" t="s">
        <v>2413</v>
      </c>
      <c r="D390" t="s">
        <v>2513</v>
      </c>
      <c r="E390">
        <v>760801</v>
      </c>
      <c r="F390" t="s">
        <v>2519</v>
      </c>
      <c r="G390" t="s">
        <v>2124</v>
      </c>
      <c r="H390" t="s">
        <v>2515</v>
      </c>
      <c r="I390" t="s">
        <v>2516</v>
      </c>
      <c r="J390">
        <v>1239</v>
      </c>
      <c r="K390">
        <v>0</v>
      </c>
      <c r="M390" t="s">
        <v>3076</v>
      </c>
      <c r="O390" s="125">
        <v>1239</v>
      </c>
      <c r="P390">
        <v>760801</v>
      </c>
    </row>
    <row r="391" spans="1:16" x14ac:dyDescent="0.3">
      <c r="A391" t="s">
        <v>2115</v>
      </c>
      <c r="B391" t="s">
        <v>2402</v>
      </c>
      <c r="C391" t="s">
        <v>2413</v>
      </c>
      <c r="D391" t="s">
        <v>2513</v>
      </c>
      <c r="E391">
        <v>761001</v>
      </c>
      <c r="F391" t="s">
        <v>2533</v>
      </c>
      <c r="G391" t="s">
        <v>2140</v>
      </c>
      <c r="H391" t="s">
        <v>2515</v>
      </c>
      <c r="I391" t="s">
        <v>2516</v>
      </c>
      <c r="J391" s="125">
        <v>29686.15</v>
      </c>
      <c r="K391">
        <v>0</v>
      </c>
      <c r="M391" t="s">
        <v>3076</v>
      </c>
      <c r="O391" s="125">
        <v>29686.15</v>
      </c>
      <c r="P391">
        <v>761001</v>
      </c>
    </row>
    <row r="392" spans="1:16" x14ac:dyDescent="0.3">
      <c r="A392" t="s">
        <v>2115</v>
      </c>
      <c r="B392" t="s">
        <v>2402</v>
      </c>
      <c r="C392" t="s">
        <v>2413</v>
      </c>
      <c r="D392" t="s">
        <v>2513</v>
      </c>
      <c r="E392">
        <v>761201</v>
      </c>
      <c r="F392" t="s">
        <v>2534</v>
      </c>
      <c r="G392" t="s">
        <v>2137</v>
      </c>
      <c r="H392" t="s">
        <v>2515</v>
      </c>
      <c r="I392" t="s">
        <v>2516</v>
      </c>
      <c r="J392">
        <v>0</v>
      </c>
      <c r="K392">
        <v>0</v>
      </c>
      <c r="M392" t="s">
        <v>3077</v>
      </c>
      <c r="O392">
        <v>0</v>
      </c>
      <c r="P392">
        <v>761201</v>
      </c>
    </row>
    <row r="393" spans="1:16" x14ac:dyDescent="0.3">
      <c r="A393" t="s">
        <v>2115</v>
      </c>
      <c r="B393" t="s">
        <v>2402</v>
      </c>
      <c r="C393" t="s">
        <v>2413</v>
      </c>
      <c r="D393" t="s">
        <v>2513</v>
      </c>
      <c r="E393">
        <v>761601</v>
      </c>
      <c r="F393" t="s">
        <v>2732</v>
      </c>
      <c r="G393" t="s">
        <v>2167</v>
      </c>
      <c r="H393" t="s">
        <v>2133</v>
      </c>
      <c r="I393" t="s">
        <v>2133</v>
      </c>
      <c r="J393">
        <v>1797</v>
      </c>
      <c r="K393">
        <v>0</v>
      </c>
      <c r="M393" t="s">
        <v>3076</v>
      </c>
      <c r="O393" s="125">
        <v>1797</v>
      </c>
      <c r="P393">
        <v>761601</v>
      </c>
    </row>
    <row r="394" spans="1:16" x14ac:dyDescent="0.3">
      <c r="A394" t="s">
        <v>2115</v>
      </c>
      <c r="B394" t="s">
        <v>2402</v>
      </c>
      <c r="C394" t="s">
        <v>2413</v>
      </c>
      <c r="D394" t="s">
        <v>2513</v>
      </c>
      <c r="E394">
        <v>761605</v>
      </c>
      <c r="F394" t="s">
        <v>2767</v>
      </c>
      <c r="G394" t="s">
        <v>2757</v>
      </c>
      <c r="H394" t="s">
        <v>2133</v>
      </c>
      <c r="I394" t="s">
        <v>2133</v>
      </c>
      <c r="J394">
        <v>0</v>
      </c>
      <c r="K394">
        <v>0</v>
      </c>
      <c r="M394" t="s">
        <v>3077</v>
      </c>
      <c r="O394">
        <v>0</v>
      </c>
      <c r="P394">
        <v>761605</v>
      </c>
    </row>
    <row r="395" spans="1:16" x14ac:dyDescent="0.3">
      <c r="A395" t="s">
        <v>2115</v>
      </c>
      <c r="B395" t="s">
        <v>2402</v>
      </c>
      <c r="C395" t="s">
        <v>2413</v>
      </c>
      <c r="D395" t="s">
        <v>2513</v>
      </c>
      <c r="E395">
        <v>761607</v>
      </c>
      <c r="F395" t="s">
        <v>2769</v>
      </c>
      <c r="G395" t="s">
        <v>2124</v>
      </c>
      <c r="H395" t="s">
        <v>2133</v>
      </c>
      <c r="I395" t="s">
        <v>2133</v>
      </c>
      <c r="J395" s="125">
        <v>1149429.6000000001</v>
      </c>
      <c r="K395">
        <v>0</v>
      </c>
      <c r="M395" t="s">
        <v>3076</v>
      </c>
      <c r="O395" s="125">
        <v>1149429.6000000001</v>
      </c>
      <c r="P395">
        <v>761607</v>
      </c>
    </row>
    <row r="396" spans="1:16" x14ac:dyDescent="0.3">
      <c r="A396" t="s">
        <v>2115</v>
      </c>
      <c r="B396" t="s">
        <v>2402</v>
      </c>
      <c r="C396" t="s">
        <v>2413</v>
      </c>
      <c r="D396" t="s">
        <v>2513</v>
      </c>
      <c r="E396">
        <v>780201</v>
      </c>
      <c r="F396" t="s">
        <v>2520</v>
      </c>
      <c r="G396" t="s">
        <v>2154</v>
      </c>
      <c r="H396" t="s">
        <v>2521</v>
      </c>
      <c r="I396" t="s">
        <v>2522</v>
      </c>
      <c r="J396" s="125">
        <v>20291.61</v>
      </c>
      <c r="K396">
        <v>7702.66</v>
      </c>
      <c r="M396" t="s">
        <v>3076</v>
      </c>
      <c r="O396" s="125">
        <v>27994.27</v>
      </c>
      <c r="P396">
        <v>780201</v>
      </c>
    </row>
    <row r="397" spans="1:16" x14ac:dyDescent="0.3">
      <c r="A397" t="s">
        <v>2115</v>
      </c>
      <c r="B397" t="s">
        <v>2402</v>
      </c>
      <c r="C397" t="s">
        <v>2413</v>
      </c>
      <c r="D397" t="s">
        <v>2513</v>
      </c>
      <c r="E397">
        <v>780203</v>
      </c>
      <c r="F397" t="s">
        <v>2523</v>
      </c>
      <c r="G397" t="s">
        <v>2154</v>
      </c>
      <c r="H397" t="s">
        <v>2521</v>
      </c>
      <c r="I397" t="s">
        <v>2522</v>
      </c>
      <c r="J397" s="125">
        <v>10848.45</v>
      </c>
      <c r="K397">
        <v>0</v>
      </c>
      <c r="M397" t="s">
        <v>3076</v>
      </c>
      <c r="O397" s="125">
        <v>10848.45</v>
      </c>
      <c r="P397">
        <v>780203</v>
      </c>
    </row>
    <row r="398" spans="1:16" x14ac:dyDescent="0.3">
      <c r="A398" t="s">
        <v>2115</v>
      </c>
      <c r="B398" t="s">
        <v>2402</v>
      </c>
      <c r="C398" t="s">
        <v>2413</v>
      </c>
      <c r="D398" t="s">
        <v>2513</v>
      </c>
      <c r="E398">
        <v>780401</v>
      </c>
      <c r="F398" t="s">
        <v>2524</v>
      </c>
      <c r="G398" t="s">
        <v>2154</v>
      </c>
      <c r="H398" t="s">
        <v>2521</v>
      </c>
      <c r="I398" t="s">
        <v>2522</v>
      </c>
      <c r="J398">
        <v>2477.7800000000002</v>
      </c>
      <c r="K398">
        <v>0</v>
      </c>
      <c r="M398" t="s">
        <v>3076</v>
      </c>
      <c r="O398" s="125">
        <v>2477.7800000000002</v>
      </c>
      <c r="P398">
        <v>780401</v>
      </c>
    </row>
    <row r="399" spans="1:16" x14ac:dyDescent="0.3">
      <c r="A399" t="s">
        <v>2115</v>
      </c>
      <c r="B399" t="s">
        <v>2402</v>
      </c>
      <c r="C399" t="s">
        <v>2413</v>
      </c>
      <c r="D399" t="s">
        <v>2513</v>
      </c>
      <c r="E399">
        <v>780601</v>
      </c>
      <c r="F399" t="s">
        <v>2525</v>
      </c>
      <c r="G399" t="s">
        <v>2167</v>
      </c>
      <c r="H399" t="s">
        <v>2521</v>
      </c>
      <c r="I399" t="s">
        <v>2522</v>
      </c>
      <c r="J399" s="125">
        <v>10599.88</v>
      </c>
      <c r="K399">
        <v>272.85000000000002</v>
      </c>
      <c r="M399" t="s">
        <v>3076</v>
      </c>
      <c r="O399" s="125">
        <v>10872.73</v>
      </c>
      <c r="P399">
        <v>780601</v>
      </c>
    </row>
    <row r="400" spans="1:16" x14ac:dyDescent="0.3">
      <c r="A400" t="s">
        <v>2115</v>
      </c>
      <c r="B400" t="s">
        <v>2402</v>
      </c>
      <c r="C400" t="s">
        <v>2413</v>
      </c>
      <c r="D400" t="s">
        <v>2513</v>
      </c>
      <c r="E400">
        <v>780603</v>
      </c>
      <c r="F400" t="s">
        <v>2526</v>
      </c>
      <c r="G400" t="s">
        <v>2167</v>
      </c>
      <c r="H400" t="s">
        <v>2211</v>
      </c>
      <c r="I400" t="s">
        <v>2212</v>
      </c>
      <c r="J400" s="125">
        <v>22793.41</v>
      </c>
      <c r="K400">
        <v>0</v>
      </c>
      <c r="M400" t="s">
        <v>3076</v>
      </c>
      <c r="O400" s="125">
        <v>22793.41</v>
      </c>
      <c r="P400">
        <v>780603</v>
      </c>
    </row>
    <row r="401" spans="1:16" x14ac:dyDescent="0.3">
      <c r="A401" t="s">
        <v>2115</v>
      </c>
      <c r="B401" t="s">
        <v>2402</v>
      </c>
      <c r="C401" t="s">
        <v>2413</v>
      </c>
      <c r="D401" t="s">
        <v>2513</v>
      </c>
      <c r="E401">
        <v>780801</v>
      </c>
      <c r="F401" t="s">
        <v>2527</v>
      </c>
      <c r="G401" t="s">
        <v>2167</v>
      </c>
      <c r="H401" t="s">
        <v>2521</v>
      </c>
      <c r="I401" t="s">
        <v>2522</v>
      </c>
      <c r="J401">
        <v>0</v>
      </c>
      <c r="K401">
        <v>2330.14</v>
      </c>
      <c r="M401" t="s">
        <v>3077</v>
      </c>
      <c r="O401" s="125">
        <v>2330.14</v>
      </c>
      <c r="P401">
        <v>780801</v>
      </c>
    </row>
    <row r="402" spans="1:16" x14ac:dyDescent="0.3">
      <c r="A402" t="s">
        <v>2115</v>
      </c>
      <c r="B402" t="s">
        <v>2402</v>
      </c>
      <c r="C402" t="s">
        <v>2413</v>
      </c>
      <c r="D402" t="s">
        <v>2513</v>
      </c>
      <c r="E402">
        <v>781001</v>
      </c>
      <c r="F402" t="s">
        <v>2528</v>
      </c>
      <c r="G402" t="s">
        <v>2163</v>
      </c>
      <c r="H402" t="s">
        <v>2521</v>
      </c>
      <c r="I402" t="s">
        <v>2522</v>
      </c>
      <c r="J402" s="125">
        <v>55735.82</v>
      </c>
      <c r="K402">
        <v>315.42</v>
      </c>
      <c r="M402" t="s">
        <v>3076</v>
      </c>
      <c r="O402" s="125">
        <v>56051.24</v>
      </c>
      <c r="P402">
        <v>781001</v>
      </c>
    </row>
    <row r="403" spans="1:16" x14ac:dyDescent="0.3">
      <c r="A403" t="s">
        <v>2115</v>
      </c>
      <c r="B403" t="s">
        <v>2402</v>
      </c>
      <c r="C403" t="s">
        <v>2413</v>
      </c>
      <c r="D403" t="s">
        <v>2513</v>
      </c>
      <c r="E403">
        <v>781201</v>
      </c>
      <c r="F403" t="s">
        <v>2529</v>
      </c>
      <c r="G403" t="s">
        <v>2171</v>
      </c>
      <c r="H403" t="s">
        <v>2521</v>
      </c>
      <c r="I403" t="s">
        <v>2522</v>
      </c>
      <c r="J403" s="125">
        <v>20604.490000000002</v>
      </c>
      <c r="K403">
        <v>0</v>
      </c>
      <c r="M403" t="s">
        <v>3076</v>
      </c>
      <c r="O403" s="125">
        <v>20604.490000000002</v>
      </c>
      <c r="P403">
        <v>781201</v>
      </c>
    </row>
    <row r="404" spans="1:16" x14ac:dyDescent="0.3">
      <c r="A404" t="s">
        <v>2115</v>
      </c>
      <c r="B404" t="s">
        <v>2402</v>
      </c>
      <c r="C404" t="s">
        <v>2413</v>
      </c>
      <c r="D404" t="s">
        <v>2513</v>
      </c>
      <c r="E404">
        <v>781401</v>
      </c>
      <c r="F404" t="s">
        <v>2530</v>
      </c>
      <c r="G404" t="s">
        <v>2171</v>
      </c>
      <c r="H404" t="s">
        <v>2521</v>
      </c>
      <c r="I404" t="s">
        <v>2522</v>
      </c>
      <c r="J404" s="125">
        <v>22651.93</v>
      </c>
      <c r="K404">
        <v>595.30999999999995</v>
      </c>
      <c r="M404" t="s">
        <v>3076</v>
      </c>
      <c r="O404" s="125">
        <v>23247.24</v>
      </c>
      <c r="P404">
        <v>781401</v>
      </c>
    </row>
    <row r="405" spans="1:16" x14ac:dyDescent="0.3">
      <c r="A405" t="s">
        <v>2115</v>
      </c>
      <c r="B405" t="s">
        <v>2402</v>
      </c>
      <c r="C405" t="s">
        <v>2413</v>
      </c>
      <c r="D405" t="s">
        <v>2513</v>
      </c>
      <c r="E405">
        <v>781801</v>
      </c>
      <c r="F405" t="s">
        <v>2531</v>
      </c>
      <c r="G405" t="s">
        <v>2174</v>
      </c>
      <c r="H405" t="s">
        <v>2521</v>
      </c>
      <c r="I405" t="s">
        <v>2522</v>
      </c>
      <c r="J405" s="125">
        <v>13040.61</v>
      </c>
      <c r="K405" s="125">
        <v>10119.450000000001</v>
      </c>
      <c r="M405" t="s">
        <v>3076</v>
      </c>
      <c r="O405" s="125">
        <v>23160.06</v>
      </c>
      <c r="P405">
        <v>781801</v>
      </c>
    </row>
    <row r="406" spans="1:16" x14ac:dyDescent="0.3">
      <c r="A406" t="s">
        <v>2115</v>
      </c>
      <c r="B406" t="s">
        <v>2402</v>
      </c>
      <c r="C406" t="s">
        <v>2413</v>
      </c>
      <c r="D406" t="s">
        <v>2513</v>
      </c>
      <c r="E406">
        <v>782001</v>
      </c>
      <c r="F406" t="s">
        <v>2532</v>
      </c>
      <c r="G406" t="s">
        <v>2174</v>
      </c>
      <c r="H406" t="s">
        <v>2521</v>
      </c>
      <c r="I406" t="s">
        <v>2522</v>
      </c>
      <c r="J406">
        <v>2941.77</v>
      </c>
      <c r="K406">
        <v>0</v>
      </c>
      <c r="M406" t="s">
        <v>3076</v>
      </c>
      <c r="O406" s="125">
        <v>2941.77</v>
      </c>
      <c r="P406">
        <v>782001</v>
      </c>
    </row>
    <row r="407" spans="1:16" x14ac:dyDescent="0.3">
      <c r="A407" t="s">
        <v>2115</v>
      </c>
      <c r="B407" t="s">
        <v>2402</v>
      </c>
      <c r="C407" t="s">
        <v>2413</v>
      </c>
      <c r="D407" t="s">
        <v>2513</v>
      </c>
      <c r="E407">
        <v>782401</v>
      </c>
      <c r="F407" t="s">
        <v>2733</v>
      </c>
      <c r="G407" t="s">
        <v>2167</v>
      </c>
      <c r="H407" t="s">
        <v>2133</v>
      </c>
      <c r="I407" t="s">
        <v>2133</v>
      </c>
      <c r="J407">
        <v>897.83</v>
      </c>
      <c r="K407">
        <v>0</v>
      </c>
      <c r="M407" t="s">
        <v>3076</v>
      </c>
      <c r="O407">
        <v>897.83</v>
      </c>
      <c r="P407">
        <v>782401</v>
      </c>
    </row>
    <row r="408" spans="1:16" x14ac:dyDescent="0.3">
      <c r="A408" t="s">
        <v>2115</v>
      </c>
      <c r="B408" t="s">
        <v>2402</v>
      </c>
      <c r="C408" t="s">
        <v>2413</v>
      </c>
      <c r="D408" t="s">
        <v>2513</v>
      </c>
      <c r="E408">
        <v>782801</v>
      </c>
      <c r="F408" t="s">
        <v>2626</v>
      </c>
      <c r="G408" t="s">
        <v>2171</v>
      </c>
      <c r="H408" t="s">
        <v>2521</v>
      </c>
      <c r="I408" t="s">
        <v>2522</v>
      </c>
      <c r="J408">
        <v>34.200000000000003</v>
      </c>
      <c r="K408">
        <v>878.79</v>
      </c>
      <c r="M408" t="s">
        <v>3076</v>
      </c>
      <c r="O408">
        <v>912.99</v>
      </c>
      <c r="P408">
        <v>782801</v>
      </c>
    </row>
    <row r="409" spans="1:16" x14ac:dyDescent="0.3">
      <c r="A409" t="s">
        <v>2115</v>
      </c>
      <c r="B409" t="s">
        <v>2402</v>
      </c>
      <c r="C409" t="s">
        <v>2413</v>
      </c>
      <c r="D409" t="s">
        <v>2513</v>
      </c>
      <c r="E409">
        <v>783001</v>
      </c>
      <c r="F409" t="s">
        <v>2627</v>
      </c>
      <c r="G409" t="s">
        <v>2171</v>
      </c>
      <c r="H409" t="s">
        <v>2133</v>
      </c>
      <c r="I409" t="s">
        <v>2133</v>
      </c>
      <c r="J409">
        <v>0</v>
      </c>
      <c r="K409">
        <v>0</v>
      </c>
      <c r="M409" t="s">
        <v>3077</v>
      </c>
      <c r="O409">
        <v>0</v>
      </c>
      <c r="P409">
        <v>783001</v>
      </c>
    </row>
    <row r="410" spans="1:16" x14ac:dyDescent="0.3">
      <c r="A410" t="s">
        <v>2115</v>
      </c>
      <c r="B410" t="s">
        <v>2402</v>
      </c>
      <c r="C410" t="s">
        <v>2413</v>
      </c>
      <c r="D410" t="s">
        <v>2424</v>
      </c>
      <c r="E410">
        <v>800205</v>
      </c>
      <c r="F410" t="s">
        <v>2535</v>
      </c>
      <c r="H410" t="s">
        <v>2536</v>
      </c>
      <c r="I410" t="s">
        <v>2537</v>
      </c>
      <c r="J410" s="125">
        <v>-5244545.07</v>
      </c>
      <c r="K410" s="125">
        <v>-111115.03</v>
      </c>
      <c r="M410" t="s">
        <v>3076</v>
      </c>
      <c r="O410" s="125">
        <v>-5355660.0999999996</v>
      </c>
      <c r="P410">
        <v>800205</v>
      </c>
    </row>
    <row r="411" spans="1:16" x14ac:dyDescent="0.3">
      <c r="A411" t="s">
        <v>2115</v>
      </c>
      <c r="B411" t="s">
        <v>2402</v>
      </c>
      <c r="C411" t="s">
        <v>2413</v>
      </c>
      <c r="D411" t="s">
        <v>2424</v>
      </c>
      <c r="E411">
        <v>800405</v>
      </c>
      <c r="F411" t="s">
        <v>2538</v>
      </c>
      <c r="H411" t="s">
        <v>2536</v>
      </c>
      <c r="I411" t="s">
        <v>2537</v>
      </c>
      <c r="J411" s="125">
        <v>2131263.21</v>
      </c>
      <c r="K411" s="125">
        <v>123249.95</v>
      </c>
      <c r="M411" t="s">
        <v>3076</v>
      </c>
      <c r="O411" s="125">
        <v>2254513.16</v>
      </c>
      <c r="P411">
        <v>800405</v>
      </c>
    </row>
    <row r="412" spans="1:16" x14ac:dyDescent="0.3">
      <c r="A412" t="s">
        <v>2115</v>
      </c>
      <c r="B412" t="s">
        <v>2402</v>
      </c>
      <c r="C412" t="s">
        <v>2413</v>
      </c>
      <c r="D412" t="s">
        <v>2539</v>
      </c>
      <c r="E412">
        <v>820201</v>
      </c>
      <c r="F412" t="s">
        <v>2582</v>
      </c>
      <c r="H412" t="s">
        <v>2583</v>
      </c>
      <c r="I412" t="s">
        <v>2584</v>
      </c>
      <c r="J412">
        <v>0</v>
      </c>
      <c r="K412">
        <v>0</v>
      </c>
      <c r="M412" t="s">
        <v>3077</v>
      </c>
      <c r="O412">
        <v>0</v>
      </c>
      <c r="P412">
        <v>820201</v>
      </c>
    </row>
    <row r="413" spans="1:16" x14ac:dyDescent="0.3">
      <c r="A413" t="s">
        <v>2115</v>
      </c>
      <c r="B413" t="s">
        <v>2402</v>
      </c>
      <c r="C413" t="s">
        <v>2413</v>
      </c>
      <c r="D413" t="s">
        <v>2539</v>
      </c>
      <c r="E413">
        <v>820203</v>
      </c>
      <c r="F413" t="s">
        <v>2540</v>
      </c>
      <c r="H413" t="s">
        <v>2541</v>
      </c>
      <c r="I413" t="s">
        <v>2542</v>
      </c>
      <c r="J413">
        <v>0</v>
      </c>
      <c r="K413">
        <v>0</v>
      </c>
      <c r="M413" t="s">
        <v>3077</v>
      </c>
      <c r="O413">
        <v>0</v>
      </c>
      <c r="P413">
        <v>820203</v>
      </c>
    </row>
    <row r="414" spans="1:16" x14ac:dyDescent="0.3">
      <c r="A414" t="s">
        <v>2115</v>
      </c>
      <c r="B414" t="s">
        <v>2402</v>
      </c>
      <c r="C414" t="s">
        <v>2413</v>
      </c>
      <c r="D414" t="s">
        <v>2539</v>
      </c>
      <c r="E414">
        <v>820403</v>
      </c>
      <c r="F414" t="s">
        <v>2699</v>
      </c>
      <c r="H414" t="s">
        <v>2133</v>
      </c>
      <c r="I414" t="s">
        <v>2133</v>
      </c>
      <c r="J414">
        <v>0</v>
      </c>
      <c r="K414">
        <v>0</v>
      </c>
      <c r="M414" t="s">
        <v>3077</v>
      </c>
      <c r="O414">
        <v>0</v>
      </c>
      <c r="P414">
        <v>820403</v>
      </c>
    </row>
    <row r="415" spans="1:16" x14ac:dyDescent="0.3">
      <c r="A415" t="s">
        <v>2115</v>
      </c>
      <c r="B415" t="s">
        <v>2402</v>
      </c>
      <c r="D415" t="s">
        <v>690</v>
      </c>
      <c r="E415">
        <v>840201</v>
      </c>
      <c r="F415" t="s">
        <v>2784</v>
      </c>
      <c r="H415" t="s">
        <v>2544</v>
      </c>
      <c r="I415" t="s">
        <v>2545</v>
      </c>
      <c r="J415" s="125">
        <v>27236.49</v>
      </c>
      <c r="K415">
        <v>0</v>
      </c>
      <c r="M415" t="s">
        <v>3076</v>
      </c>
      <c r="O415" s="125">
        <v>27236.49</v>
      </c>
      <c r="P415">
        <v>840201</v>
      </c>
    </row>
    <row r="416" spans="1:16" x14ac:dyDescent="0.3">
      <c r="A416" t="s">
        <v>2115</v>
      </c>
      <c r="B416" t="s">
        <v>2402</v>
      </c>
      <c r="C416" t="s">
        <v>2413</v>
      </c>
      <c r="D416" t="s">
        <v>690</v>
      </c>
      <c r="E416">
        <v>840401</v>
      </c>
      <c r="F416" t="s">
        <v>2543</v>
      </c>
      <c r="H416" t="s">
        <v>2544</v>
      </c>
      <c r="I416" t="s">
        <v>2545</v>
      </c>
      <c r="J416">
        <v>1104.5999999999999</v>
      </c>
      <c r="K416">
        <v>140.83000000000001</v>
      </c>
      <c r="M416" t="s">
        <v>3076</v>
      </c>
      <c r="O416" s="125">
        <v>1245.43</v>
      </c>
      <c r="P416">
        <v>840401</v>
      </c>
    </row>
    <row r="417" spans="1:16" x14ac:dyDescent="0.3">
      <c r="A417" t="s">
        <v>2115</v>
      </c>
      <c r="B417" t="s">
        <v>2402</v>
      </c>
      <c r="C417" t="s">
        <v>2413</v>
      </c>
      <c r="D417" t="s">
        <v>690</v>
      </c>
      <c r="E417">
        <v>840403</v>
      </c>
      <c r="F417" t="s">
        <v>2546</v>
      </c>
      <c r="H417" t="s">
        <v>2544</v>
      </c>
      <c r="I417" t="s">
        <v>2545</v>
      </c>
      <c r="J417" s="125">
        <v>11383.67</v>
      </c>
      <c r="K417">
        <v>22.01</v>
      </c>
      <c r="M417" t="s">
        <v>3076</v>
      </c>
      <c r="O417" s="125">
        <v>11405.68</v>
      </c>
      <c r="P417">
        <v>840403</v>
      </c>
    </row>
    <row r="418" spans="1:16" x14ac:dyDescent="0.3">
      <c r="A418" t="s">
        <v>2115</v>
      </c>
      <c r="B418" t="s">
        <v>2402</v>
      </c>
      <c r="C418" t="s">
        <v>2413</v>
      </c>
      <c r="D418" t="s">
        <v>690</v>
      </c>
      <c r="E418">
        <v>840601</v>
      </c>
      <c r="F418" t="s">
        <v>2547</v>
      </c>
      <c r="H418" t="s">
        <v>2544</v>
      </c>
      <c r="I418" t="s">
        <v>2545</v>
      </c>
      <c r="J418">
        <v>1910.05</v>
      </c>
      <c r="K418">
        <v>222.76</v>
      </c>
      <c r="M418" t="s">
        <v>3076</v>
      </c>
      <c r="O418" s="125">
        <v>2132.81</v>
      </c>
      <c r="P418">
        <v>840601</v>
      </c>
    </row>
    <row r="419" spans="1:16" x14ac:dyDescent="0.3">
      <c r="A419" t="s">
        <v>2115</v>
      </c>
      <c r="B419" t="s">
        <v>2402</v>
      </c>
      <c r="C419" t="s">
        <v>2413</v>
      </c>
      <c r="D419" t="s">
        <v>690</v>
      </c>
      <c r="E419">
        <v>860201</v>
      </c>
      <c r="F419" t="s">
        <v>2548</v>
      </c>
      <c r="H419" t="s">
        <v>2544</v>
      </c>
      <c r="I419" t="s">
        <v>2545</v>
      </c>
      <c r="J419">
        <v>0</v>
      </c>
      <c r="K419">
        <v>0</v>
      </c>
      <c r="M419" t="s">
        <v>3077</v>
      </c>
      <c r="O419">
        <v>0</v>
      </c>
      <c r="P419">
        <v>860201</v>
      </c>
    </row>
    <row r="420" spans="1:16" x14ac:dyDescent="0.3">
      <c r="A420" t="s">
        <v>2115</v>
      </c>
      <c r="B420" t="s">
        <v>2402</v>
      </c>
      <c r="C420" t="s">
        <v>2413</v>
      </c>
      <c r="D420" t="s">
        <v>2419</v>
      </c>
      <c r="E420">
        <v>860205</v>
      </c>
      <c r="F420" t="s">
        <v>2549</v>
      </c>
      <c r="H420" t="s">
        <v>2544</v>
      </c>
      <c r="I420" t="s">
        <v>2545</v>
      </c>
      <c r="J420">
        <v>0</v>
      </c>
      <c r="K420">
        <v>0</v>
      </c>
      <c r="M420" t="s">
        <v>3077</v>
      </c>
      <c r="O420">
        <v>0</v>
      </c>
      <c r="P420">
        <v>860205</v>
      </c>
    </row>
    <row r="421" spans="1:16" x14ac:dyDescent="0.3">
      <c r="A421" t="s">
        <v>2115</v>
      </c>
      <c r="B421" t="s">
        <v>2402</v>
      </c>
      <c r="C421" t="s">
        <v>2413</v>
      </c>
      <c r="D421" t="s">
        <v>2419</v>
      </c>
      <c r="E421">
        <v>860207</v>
      </c>
      <c r="F421" t="s">
        <v>2550</v>
      </c>
      <c r="H421" t="s">
        <v>2544</v>
      </c>
      <c r="I421" t="s">
        <v>2545</v>
      </c>
      <c r="J421" s="125">
        <v>22519.83</v>
      </c>
      <c r="K421">
        <v>0</v>
      </c>
      <c r="M421" t="s">
        <v>3076</v>
      </c>
      <c r="O421" s="125">
        <v>22519.83</v>
      </c>
      <c r="P421">
        <v>860207</v>
      </c>
    </row>
    <row r="422" spans="1:16" x14ac:dyDescent="0.3">
      <c r="A422" t="s">
        <v>2115</v>
      </c>
      <c r="B422" t="s">
        <v>2402</v>
      </c>
      <c r="C422" t="s">
        <v>2413</v>
      </c>
      <c r="D422" t="s">
        <v>690</v>
      </c>
      <c r="E422">
        <v>860209</v>
      </c>
      <c r="F422" t="s">
        <v>2551</v>
      </c>
      <c r="H422" t="s">
        <v>2211</v>
      </c>
      <c r="I422" t="s">
        <v>2212</v>
      </c>
      <c r="J422">
        <v>172.36</v>
      </c>
      <c r="K422">
        <v>0</v>
      </c>
      <c r="M422" t="s">
        <v>3076</v>
      </c>
      <c r="O422">
        <v>172.36</v>
      </c>
      <c r="P422">
        <v>860209</v>
      </c>
    </row>
    <row r="423" spans="1:16" x14ac:dyDescent="0.3">
      <c r="A423" t="s">
        <v>2115</v>
      </c>
      <c r="B423" t="s">
        <v>2402</v>
      </c>
      <c r="C423" t="s">
        <v>2413</v>
      </c>
      <c r="D423" t="s">
        <v>690</v>
      </c>
      <c r="E423">
        <v>880201</v>
      </c>
      <c r="F423" t="s">
        <v>2552</v>
      </c>
      <c r="H423" t="s">
        <v>2544</v>
      </c>
      <c r="I423" t="s">
        <v>2545</v>
      </c>
      <c r="J423">
        <v>3109</v>
      </c>
      <c r="K423">
        <v>1548</v>
      </c>
      <c r="M423" t="s">
        <v>3076</v>
      </c>
      <c r="O423" s="125">
        <v>4657</v>
      </c>
      <c r="P423">
        <v>880201</v>
      </c>
    </row>
    <row r="424" spans="1:16" x14ac:dyDescent="0.3">
      <c r="A424" t="s">
        <v>2115</v>
      </c>
      <c r="B424" t="s">
        <v>2402</v>
      </c>
      <c r="C424" t="s">
        <v>2413</v>
      </c>
      <c r="D424" t="s">
        <v>690</v>
      </c>
      <c r="E424">
        <v>880203</v>
      </c>
      <c r="F424" t="s">
        <v>2553</v>
      </c>
      <c r="H424" t="s">
        <v>2544</v>
      </c>
      <c r="I424" t="s">
        <v>2545</v>
      </c>
      <c r="J424">
        <v>3015.38</v>
      </c>
      <c r="K424">
        <v>1166</v>
      </c>
      <c r="M424" t="s">
        <v>3076</v>
      </c>
      <c r="O424" s="125">
        <v>4181.38</v>
      </c>
      <c r="P424">
        <v>880203</v>
      </c>
    </row>
    <row r="425" spans="1:16" x14ac:dyDescent="0.3">
      <c r="A425" t="s">
        <v>2115</v>
      </c>
      <c r="B425" t="s">
        <v>2402</v>
      </c>
      <c r="C425" t="s">
        <v>2413</v>
      </c>
      <c r="D425" t="s">
        <v>2554</v>
      </c>
      <c r="E425">
        <v>880205</v>
      </c>
      <c r="F425" t="s">
        <v>2555</v>
      </c>
      <c r="H425" t="s">
        <v>2544</v>
      </c>
      <c r="I425" t="s">
        <v>2545</v>
      </c>
      <c r="J425" s="125">
        <v>140731.57</v>
      </c>
      <c r="K425">
        <v>1552.95</v>
      </c>
      <c r="M425" t="s">
        <v>3076</v>
      </c>
      <c r="O425" s="125">
        <v>142284.51999999999</v>
      </c>
      <c r="P425">
        <v>880205</v>
      </c>
    </row>
    <row r="426" spans="1:16" x14ac:dyDescent="0.3">
      <c r="A426" t="s">
        <v>2115</v>
      </c>
      <c r="B426" t="s">
        <v>2402</v>
      </c>
      <c r="C426" t="s">
        <v>2413</v>
      </c>
      <c r="D426" t="s">
        <v>2554</v>
      </c>
      <c r="E426">
        <v>880207</v>
      </c>
      <c r="F426" t="s">
        <v>2556</v>
      </c>
      <c r="H426" t="s">
        <v>2544</v>
      </c>
      <c r="I426" t="s">
        <v>2545</v>
      </c>
      <c r="J426" s="125">
        <v>166401.98000000001</v>
      </c>
      <c r="K426">
        <v>0</v>
      </c>
      <c r="M426" t="s">
        <v>3076</v>
      </c>
      <c r="O426" s="125">
        <v>166401.98000000001</v>
      </c>
      <c r="P426">
        <v>880207</v>
      </c>
    </row>
    <row r="427" spans="1:16" x14ac:dyDescent="0.3">
      <c r="A427" t="s">
        <v>2115</v>
      </c>
      <c r="B427" t="s">
        <v>2402</v>
      </c>
      <c r="C427" t="s">
        <v>2413</v>
      </c>
      <c r="D427" t="s">
        <v>690</v>
      </c>
      <c r="E427">
        <v>880209</v>
      </c>
      <c r="F427" t="s">
        <v>2557</v>
      </c>
      <c r="H427" t="s">
        <v>2544</v>
      </c>
      <c r="I427" t="s">
        <v>2545</v>
      </c>
      <c r="J427">
        <v>2375.6799999999998</v>
      </c>
      <c r="K427">
        <v>309.87</v>
      </c>
      <c r="M427" t="s">
        <v>3076</v>
      </c>
      <c r="O427" s="125">
        <v>2685.55</v>
      </c>
      <c r="P427">
        <v>880209</v>
      </c>
    </row>
    <row r="428" spans="1:16" x14ac:dyDescent="0.3">
      <c r="A428" t="s">
        <v>2115</v>
      </c>
      <c r="B428" t="s">
        <v>2402</v>
      </c>
      <c r="C428" t="s">
        <v>2413</v>
      </c>
      <c r="D428" t="s">
        <v>690</v>
      </c>
      <c r="E428">
        <v>880211</v>
      </c>
      <c r="F428" t="s">
        <v>2558</v>
      </c>
      <c r="H428" t="s">
        <v>2544</v>
      </c>
      <c r="I428" t="s">
        <v>2545</v>
      </c>
      <c r="J428">
        <v>3568.16</v>
      </c>
      <c r="K428">
        <v>230</v>
      </c>
      <c r="M428" t="s">
        <v>3076</v>
      </c>
      <c r="O428" s="125">
        <v>3798.16</v>
      </c>
      <c r="P428">
        <v>880211</v>
      </c>
    </row>
    <row r="429" spans="1:16" x14ac:dyDescent="0.3">
      <c r="A429" t="s">
        <v>2115</v>
      </c>
      <c r="B429" t="s">
        <v>2402</v>
      </c>
      <c r="C429" t="s">
        <v>2413</v>
      </c>
      <c r="D429" t="s">
        <v>690</v>
      </c>
      <c r="E429">
        <v>880401</v>
      </c>
      <c r="F429" t="s">
        <v>2559</v>
      </c>
      <c r="H429" t="s">
        <v>2544</v>
      </c>
      <c r="I429" t="s">
        <v>2545</v>
      </c>
      <c r="J429">
        <v>0</v>
      </c>
      <c r="K429">
        <v>0</v>
      </c>
      <c r="M429" t="s">
        <v>3077</v>
      </c>
      <c r="O429">
        <v>0</v>
      </c>
      <c r="P429">
        <v>880401</v>
      </c>
    </row>
    <row r="430" spans="1:16" x14ac:dyDescent="0.3">
      <c r="A430" t="s">
        <v>2115</v>
      </c>
      <c r="B430" t="s">
        <v>2402</v>
      </c>
      <c r="C430" t="s">
        <v>2413</v>
      </c>
      <c r="D430" t="s">
        <v>690</v>
      </c>
      <c r="E430">
        <v>880601</v>
      </c>
      <c r="F430" t="s">
        <v>2560</v>
      </c>
      <c r="H430" t="s">
        <v>2544</v>
      </c>
      <c r="I430" t="s">
        <v>2545</v>
      </c>
      <c r="J430">
        <v>-112.46</v>
      </c>
      <c r="K430">
        <v>4.97</v>
      </c>
      <c r="M430" t="s">
        <v>3076</v>
      </c>
      <c r="O430">
        <v>-107.49</v>
      </c>
      <c r="P430">
        <v>880601</v>
      </c>
    </row>
    <row r="431" spans="1:16" x14ac:dyDescent="0.3">
      <c r="A431" t="s">
        <v>2115</v>
      </c>
      <c r="B431" t="s">
        <v>2402</v>
      </c>
      <c r="C431" t="s">
        <v>2413</v>
      </c>
      <c r="D431" t="s">
        <v>690</v>
      </c>
      <c r="E431">
        <v>880801</v>
      </c>
      <c r="F431" t="s">
        <v>2561</v>
      </c>
      <c r="H431" t="s">
        <v>2544</v>
      </c>
      <c r="I431" t="s">
        <v>2545</v>
      </c>
      <c r="J431">
        <v>0</v>
      </c>
      <c r="K431">
        <v>0</v>
      </c>
      <c r="M431" t="s">
        <v>3077</v>
      </c>
      <c r="O431">
        <v>0</v>
      </c>
      <c r="P431">
        <v>880801</v>
      </c>
    </row>
    <row r="432" spans="1:16" x14ac:dyDescent="0.3">
      <c r="A432" t="s">
        <v>2115</v>
      </c>
      <c r="B432" t="s">
        <v>2402</v>
      </c>
      <c r="C432" t="s">
        <v>2413</v>
      </c>
      <c r="D432" t="s">
        <v>690</v>
      </c>
      <c r="E432">
        <v>880803</v>
      </c>
      <c r="F432" t="s">
        <v>2562</v>
      </c>
      <c r="H432" t="s">
        <v>2544</v>
      </c>
      <c r="I432" t="s">
        <v>2545</v>
      </c>
      <c r="J432">
        <v>5236.0200000000004</v>
      </c>
      <c r="K432">
        <v>774.99</v>
      </c>
      <c r="M432" t="s">
        <v>3076</v>
      </c>
      <c r="O432" s="125">
        <v>6011.01</v>
      </c>
      <c r="P432">
        <v>880803</v>
      </c>
    </row>
    <row r="433" spans="1:16" x14ac:dyDescent="0.3">
      <c r="A433" t="s">
        <v>2115</v>
      </c>
      <c r="B433" t="s">
        <v>2402</v>
      </c>
      <c r="C433" t="s">
        <v>2413</v>
      </c>
      <c r="D433" t="s">
        <v>690</v>
      </c>
      <c r="E433">
        <v>881001</v>
      </c>
      <c r="F433" t="s">
        <v>2563</v>
      </c>
      <c r="H433" t="s">
        <v>2544</v>
      </c>
      <c r="I433" t="s">
        <v>2545</v>
      </c>
      <c r="J433" s="126">
        <v>24265</v>
      </c>
      <c r="K433">
        <v>200</v>
      </c>
      <c r="M433" t="s">
        <v>3076</v>
      </c>
      <c r="O433" s="125">
        <v>24465</v>
      </c>
      <c r="P433">
        <v>881001</v>
      </c>
    </row>
    <row r="434" spans="1:16" x14ac:dyDescent="0.3">
      <c r="A434" t="s">
        <v>2115</v>
      </c>
      <c r="B434" t="s">
        <v>2402</v>
      </c>
      <c r="C434" t="s">
        <v>2413</v>
      </c>
      <c r="D434" t="s">
        <v>2414</v>
      </c>
      <c r="E434">
        <v>900201</v>
      </c>
      <c r="F434" t="s">
        <v>2564</v>
      </c>
      <c r="H434" t="s">
        <v>2565</v>
      </c>
      <c r="I434" t="s">
        <v>2566</v>
      </c>
      <c r="J434" s="125">
        <v>-214475.36</v>
      </c>
      <c r="K434">
        <v>0</v>
      </c>
      <c r="M434" t="s">
        <v>3076</v>
      </c>
      <c r="O434" s="125">
        <v>-214475.36</v>
      </c>
      <c r="P434">
        <v>900201</v>
      </c>
    </row>
    <row r="435" spans="1:16" x14ac:dyDescent="0.3">
      <c r="A435" t="s">
        <v>2115</v>
      </c>
      <c r="B435" t="s">
        <v>2402</v>
      </c>
      <c r="C435" t="s">
        <v>2403</v>
      </c>
      <c r="D435" t="s">
        <v>2414</v>
      </c>
      <c r="E435">
        <v>900205</v>
      </c>
      <c r="F435" t="s">
        <v>2700</v>
      </c>
      <c r="H435" t="s">
        <v>2133</v>
      </c>
      <c r="I435" t="s">
        <v>2133</v>
      </c>
      <c r="J435">
        <v>0</v>
      </c>
      <c r="K435">
        <v>0</v>
      </c>
      <c r="M435" t="s">
        <v>3077</v>
      </c>
      <c r="O435">
        <v>0</v>
      </c>
      <c r="P435">
        <v>900205</v>
      </c>
    </row>
    <row r="436" spans="1:16" x14ac:dyDescent="0.3">
      <c r="A436" t="s">
        <v>2115</v>
      </c>
      <c r="B436" t="s">
        <v>2402</v>
      </c>
      <c r="C436" t="s">
        <v>2403</v>
      </c>
      <c r="D436" t="s">
        <v>2414</v>
      </c>
      <c r="E436">
        <v>900209</v>
      </c>
      <c r="F436" t="s">
        <v>2567</v>
      </c>
      <c r="H436" t="s">
        <v>2565</v>
      </c>
      <c r="I436" t="s">
        <v>2566</v>
      </c>
      <c r="J436" s="125">
        <v>-19111.54</v>
      </c>
      <c r="K436">
        <v>0</v>
      </c>
      <c r="M436" t="s">
        <v>3076</v>
      </c>
      <c r="O436" s="125">
        <v>-19111.54</v>
      </c>
      <c r="P436">
        <v>900209</v>
      </c>
    </row>
    <row r="437" spans="1:16" x14ac:dyDescent="0.3">
      <c r="A437" t="s">
        <v>2115</v>
      </c>
      <c r="B437" t="s">
        <v>2402</v>
      </c>
      <c r="C437" t="s">
        <v>2403</v>
      </c>
      <c r="D437" t="s">
        <v>2414</v>
      </c>
      <c r="E437">
        <v>900211</v>
      </c>
      <c r="F437" t="s">
        <v>2701</v>
      </c>
      <c r="H437" t="s">
        <v>2133</v>
      </c>
      <c r="I437" t="s">
        <v>2133</v>
      </c>
      <c r="J437">
        <v>0</v>
      </c>
      <c r="K437">
        <v>0</v>
      </c>
      <c r="M437" t="s">
        <v>3077</v>
      </c>
      <c r="O437">
        <v>0</v>
      </c>
      <c r="P437">
        <v>900211</v>
      </c>
    </row>
    <row r="438" spans="1:16" x14ac:dyDescent="0.3">
      <c r="A438" t="s">
        <v>2115</v>
      </c>
      <c r="B438" t="s">
        <v>2402</v>
      </c>
      <c r="C438" t="s">
        <v>2403</v>
      </c>
      <c r="D438" t="s">
        <v>2414</v>
      </c>
      <c r="E438">
        <v>900219</v>
      </c>
      <c r="F438" t="s">
        <v>2640</v>
      </c>
      <c r="H438" t="s">
        <v>2565</v>
      </c>
      <c r="I438" t="s">
        <v>2566</v>
      </c>
      <c r="J438">
        <v>0</v>
      </c>
      <c r="K438">
        <v>0</v>
      </c>
      <c r="M438" t="s">
        <v>3077</v>
      </c>
      <c r="O438">
        <v>0</v>
      </c>
      <c r="P438">
        <v>900219</v>
      </c>
    </row>
    <row r="439" spans="1:16" x14ac:dyDescent="0.3">
      <c r="A439" t="s">
        <v>2115</v>
      </c>
      <c r="B439" t="s">
        <v>2402</v>
      </c>
      <c r="C439" t="s">
        <v>2413</v>
      </c>
      <c r="D439" t="s">
        <v>2414</v>
      </c>
      <c r="E439">
        <v>900221</v>
      </c>
      <c r="F439" t="s">
        <v>2736</v>
      </c>
      <c r="H439" t="s">
        <v>2133</v>
      </c>
      <c r="I439" t="s">
        <v>2133</v>
      </c>
      <c r="J439">
        <v>0</v>
      </c>
      <c r="K439">
        <v>0</v>
      </c>
      <c r="M439" t="s">
        <v>3077</v>
      </c>
      <c r="O439">
        <v>0</v>
      </c>
      <c r="P439">
        <v>900221</v>
      </c>
    </row>
    <row r="440" spans="1:16" x14ac:dyDescent="0.3">
      <c r="A440" t="s">
        <v>2115</v>
      </c>
      <c r="B440" t="s">
        <v>2402</v>
      </c>
      <c r="C440" t="s">
        <v>2413</v>
      </c>
      <c r="D440" t="s">
        <v>2568</v>
      </c>
      <c r="E440">
        <v>920207</v>
      </c>
      <c r="F440" t="s">
        <v>2569</v>
      </c>
      <c r="H440" t="s">
        <v>2570</v>
      </c>
      <c r="I440" t="s">
        <v>2571</v>
      </c>
      <c r="J440" s="125">
        <v>83426.69</v>
      </c>
      <c r="K440">
        <v>3049.58</v>
      </c>
      <c r="M440" t="s">
        <v>3076</v>
      </c>
      <c r="O440" s="125">
        <v>86476.27</v>
      </c>
      <c r="P440">
        <v>920207</v>
      </c>
    </row>
    <row r="441" spans="1:16" x14ac:dyDescent="0.3">
      <c r="A441" t="s">
        <v>2115</v>
      </c>
      <c r="B441" t="s">
        <v>2402</v>
      </c>
      <c r="C441" t="s">
        <v>2413</v>
      </c>
      <c r="D441" t="s">
        <v>2568</v>
      </c>
      <c r="E441">
        <v>920209</v>
      </c>
      <c r="F441" t="s">
        <v>2572</v>
      </c>
      <c r="H441" t="s">
        <v>2570</v>
      </c>
      <c r="I441" t="s">
        <v>2571</v>
      </c>
      <c r="J441">
        <v>0</v>
      </c>
      <c r="K441">
        <v>0</v>
      </c>
      <c r="M441" t="s">
        <v>3077</v>
      </c>
      <c r="O441">
        <v>0</v>
      </c>
      <c r="P441">
        <v>920209</v>
      </c>
    </row>
    <row r="442" spans="1:16" x14ac:dyDescent="0.3">
      <c r="A442" t="s">
        <v>2115</v>
      </c>
      <c r="B442" t="s">
        <v>2402</v>
      </c>
      <c r="C442" t="s">
        <v>2413</v>
      </c>
      <c r="D442" t="s">
        <v>2568</v>
      </c>
      <c r="E442">
        <v>920211</v>
      </c>
      <c r="F442" t="s">
        <v>2573</v>
      </c>
      <c r="H442" t="s">
        <v>2570</v>
      </c>
      <c r="I442" t="s">
        <v>2571</v>
      </c>
      <c r="J442">
        <v>14.09</v>
      </c>
      <c r="K442">
        <v>364.27</v>
      </c>
      <c r="M442" t="s">
        <v>3076</v>
      </c>
      <c r="O442">
        <v>378.36</v>
      </c>
      <c r="P442">
        <v>920211</v>
      </c>
    </row>
    <row r="443" spans="1:16" x14ac:dyDescent="0.3">
      <c r="A443" t="s">
        <v>2115</v>
      </c>
      <c r="B443" t="s">
        <v>2402</v>
      </c>
      <c r="C443" t="s">
        <v>2413</v>
      </c>
      <c r="D443" t="s">
        <v>2568</v>
      </c>
      <c r="E443">
        <v>920213</v>
      </c>
      <c r="F443" t="s">
        <v>2574</v>
      </c>
      <c r="H443" t="s">
        <v>2570</v>
      </c>
      <c r="I443" t="s">
        <v>2571</v>
      </c>
      <c r="J443">
        <v>661.76</v>
      </c>
      <c r="K443">
        <v>0</v>
      </c>
      <c r="M443" t="s">
        <v>3076</v>
      </c>
      <c r="O443">
        <v>661.76</v>
      </c>
      <c r="P443">
        <v>920213</v>
      </c>
    </row>
    <row r="444" spans="1:16" x14ac:dyDescent="0.3">
      <c r="A444" t="s">
        <v>2115</v>
      </c>
      <c r="B444" t="s">
        <v>2402</v>
      </c>
      <c r="C444" t="s">
        <v>2413</v>
      </c>
      <c r="D444" t="s">
        <v>2568</v>
      </c>
      <c r="E444">
        <v>920215</v>
      </c>
      <c r="F444" t="s">
        <v>2575</v>
      </c>
      <c r="H444" t="s">
        <v>2570</v>
      </c>
      <c r="I444" t="s">
        <v>2571</v>
      </c>
      <c r="J444" s="125">
        <v>487688.42</v>
      </c>
      <c r="K444">
        <v>0</v>
      </c>
      <c r="M444" t="s">
        <v>3076</v>
      </c>
      <c r="O444" s="125">
        <v>487688.42</v>
      </c>
      <c r="P444">
        <v>920215</v>
      </c>
    </row>
    <row r="445" spans="1:16" x14ac:dyDescent="0.3">
      <c r="A445" t="s">
        <v>2115</v>
      </c>
      <c r="B445" t="s">
        <v>2402</v>
      </c>
      <c r="C445" t="s">
        <v>2413</v>
      </c>
      <c r="D445" t="s">
        <v>2568</v>
      </c>
      <c r="E445">
        <v>920217</v>
      </c>
      <c r="F445" t="s">
        <v>2576</v>
      </c>
      <c r="H445" t="s">
        <v>2570</v>
      </c>
      <c r="I445" t="s">
        <v>2571</v>
      </c>
      <c r="J445">
        <v>0</v>
      </c>
      <c r="K445">
        <v>0</v>
      </c>
      <c r="M445" t="s">
        <v>3077</v>
      </c>
      <c r="O445">
        <v>0</v>
      </c>
      <c r="P445">
        <v>920217</v>
      </c>
    </row>
    <row r="446" spans="1:16" x14ac:dyDescent="0.3">
      <c r="A446" t="s">
        <v>2115</v>
      </c>
      <c r="B446" t="s">
        <v>2402</v>
      </c>
      <c r="C446" t="s">
        <v>2413</v>
      </c>
      <c r="D446" t="s">
        <v>2568</v>
      </c>
      <c r="E446">
        <v>920219</v>
      </c>
      <c r="F446" t="s">
        <v>2768</v>
      </c>
      <c r="H446" t="s">
        <v>2133</v>
      </c>
      <c r="I446" t="s">
        <v>2133</v>
      </c>
      <c r="J446">
        <v>0</v>
      </c>
      <c r="K446">
        <v>0</v>
      </c>
      <c r="M446" t="s">
        <v>3077</v>
      </c>
      <c r="O446">
        <v>0</v>
      </c>
      <c r="P446">
        <v>920219</v>
      </c>
    </row>
    <row r="447" spans="1:16" x14ac:dyDescent="0.3">
      <c r="A447" t="s">
        <v>2115</v>
      </c>
      <c r="B447" t="s">
        <v>2402</v>
      </c>
      <c r="C447" t="s">
        <v>2403</v>
      </c>
      <c r="D447" t="s">
        <v>2414</v>
      </c>
      <c r="E447">
        <v>920221</v>
      </c>
      <c r="F447" t="s">
        <v>2736</v>
      </c>
      <c r="H447" t="s">
        <v>2133</v>
      </c>
      <c r="I447" t="s">
        <v>2133</v>
      </c>
      <c r="J447">
        <v>0</v>
      </c>
      <c r="K447">
        <v>0</v>
      </c>
      <c r="M447" t="s">
        <v>3077</v>
      </c>
      <c r="O447">
        <v>0</v>
      </c>
      <c r="P447">
        <v>920221</v>
      </c>
    </row>
    <row r="448" spans="1:16" x14ac:dyDescent="0.3">
      <c r="A448" t="s">
        <v>2115</v>
      </c>
      <c r="B448" t="s">
        <v>2402</v>
      </c>
      <c r="C448" t="s">
        <v>2413</v>
      </c>
      <c r="D448" t="s">
        <v>2414</v>
      </c>
      <c r="E448">
        <v>920401</v>
      </c>
      <c r="F448" t="s">
        <v>2702</v>
      </c>
      <c r="H448" t="s">
        <v>2133</v>
      </c>
      <c r="I448" t="s">
        <v>2133</v>
      </c>
      <c r="J448">
        <v>0</v>
      </c>
      <c r="K448">
        <v>0</v>
      </c>
      <c r="M448" t="s">
        <v>3077</v>
      </c>
      <c r="O448">
        <v>0</v>
      </c>
      <c r="P448">
        <v>920401</v>
      </c>
    </row>
    <row r="449" spans="1:16" x14ac:dyDescent="0.3">
      <c r="A449" t="s">
        <v>2115</v>
      </c>
      <c r="B449" t="s">
        <v>2402</v>
      </c>
      <c r="C449" t="s">
        <v>2413</v>
      </c>
      <c r="D449" t="s">
        <v>2577</v>
      </c>
      <c r="E449">
        <v>940201</v>
      </c>
      <c r="F449" t="s">
        <v>2628</v>
      </c>
      <c r="H449" t="s">
        <v>2579</v>
      </c>
      <c r="I449" t="e">
        <v>#NAME?</v>
      </c>
      <c r="J449">
        <v>4801</v>
      </c>
      <c r="K449">
        <v>3668</v>
      </c>
      <c r="M449" t="s">
        <v>3076</v>
      </c>
      <c r="O449" s="125">
        <v>8469</v>
      </c>
      <c r="P449">
        <v>940201</v>
      </c>
    </row>
    <row r="450" spans="1:16" x14ac:dyDescent="0.3">
      <c r="A450" t="s">
        <v>2115</v>
      </c>
      <c r="B450" t="s">
        <v>2402</v>
      </c>
      <c r="C450" t="s">
        <v>2413</v>
      </c>
      <c r="D450" t="s">
        <v>2577</v>
      </c>
      <c r="E450">
        <v>940209</v>
      </c>
      <c r="F450" t="s">
        <v>2629</v>
      </c>
      <c r="H450" t="s">
        <v>2579</v>
      </c>
      <c r="I450" t="e">
        <v>#NAME?</v>
      </c>
      <c r="J450" s="126">
        <v>29605</v>
      </c>
      <c r="K450" s="126">
        <v>16354</v>
      </c>
      <c r="M450" t="s">
        <v>3076</v>
      </c>
      <c r="O450" s="125">
        <v>45959</v>
      </c>
      <c r="P450">
        <v>940209</v>
      </c>
    </row>
    <row r="451" spans="1:16" x14ac:dyDescent="0.3">
      <c r="A451" t="s">
        <v>2115</v>
      </c>
      <c r="B451" t="s">
        <v>2402</v>
      </c>
      <c r="C451" t="s">
        <v>2413</v>
      </c>
      <c r="D451" t="s">
        <v>2577</v>
      </c>
      <c r="E451">
        <v>940215</v>
      </c>
      <c r="F451" t="s">
        <v>2578</v>
      </c>
      <c r="H451" t="s">
        <v>2579</v>
      </c>
      <c r="I451" t="e">
        <v>#NAME?</v>
      </c>
      <c r="J451">
        <v>0</v>
      </c>
      <c r="K451">
        <v>0</v>
      </c>
      <c r="M451" t="s">
        <v>3077</v>
      </c>
      <c r="O451">
        <v>0</v>
      </c>
      <c r="P451">
        <v>940215</v>
      </c>
    </row>
    <row r="452" spans="1:16" x14ac:dyDescent="0.3">
      <c r="A452" t="s">
        <v>2115</v>
      </c>
      <c r="B452" t="s">
        <v>2402</v>
      </c>
      <c r="C452" t="s">
        <v>2413</v>
      </c>
      <c r="D452" t="s">
        <v>2577</v>
      </c>
      <c r="E452">
        <v>940401</v>
      </c>
      <c r="F452" t="s">
        <v>2646</v>
      </c>
      <c r="H452" t="s">
        <v>2211</v>
      </c>
      <c r="I452" t="s">
        <v>2212</v>
      </c>
      <c r="J452">
        <v>0</v>
      </c>
      <c r="K452">
        <v>0</v>
      </c>
      <c r="M452" t="s">
        <v>3077</v>
      </c>
      <c r="O452">
        <v>0</v>
      </c>
      <c r="P452">
        <v>940401</v>
      </c>
    </row>
    <row r="453" spans="1:16" x14ac:dyDescent="0.3">
      <c r="A453" t="s">
        <v>2115</v>
      </c>
      <c r="B453" t="s">
        <v>2402</v>
      </c>
      <c r="C453" t="s">
        <v>2413</v>
      </c>
      <c r="D453" t="s">
        <v>2577</v>
      </c>
      <c r="E453">
        <v>940601</v>
      </c>
      <c r="F453" t="s">
        <v>2630</v>
      </c>
      <c r="H453" t="s">
        <v>2631</v>
      </c>
      <c r="I453" t="e">
        <v>#NAME?</v>
      </c>
      <c r="J453">
        <v>0</v>
      </c>
      <c r="K453">
        <v>0</v>
      </c>
      <c r="M453" t="s">
        <v>3077</v>
      </c>
      <c r="O453">
        <v>0</v>
      </c>
      <c r="P453">
        <v>940601</v>
      </c>
    </row>
    <row r="454" spans="1:16" x14ac:dyDescent="0.3">
      <c r="A454" t="s">
        <v>2115</v>
      </c>
      <c r="B454" t="s">
        <v>2116</v>
      </c>
      <c r="D454" t="s">
        <v>2117</v>
      </c>
      <c r="E454" t="s">
        <v>2131</v>
      </c>
      <c r="F454" t="s">
        <v>2129</v>
      </c>
      <c r="G454" t="s">
        <v>2132</v>
      </c>
      <c r="H454" t="s">
        <v>2133</v>
      </c>
      <c r="I454" t="s">
        <v>2133</v>
      </c>
      <c r="J454">
        <v>0</v>
      </c>
      <c r="K454">
        <v>0</v>
      </c>
      <c r="M454" t="s">
        <v>3077</v>
      </c>
      <c r="O454">
        <v>0</v>
      </c>
      <c r="P454" t="s">
        <v>2131</v>
      </c>
    </row>
    <row r="455" spans="1:16" x14ac:dyDescent="0.3">
      <c r="A455" t="s">
        <v>2115</v>
      </c>
      <c r="B455" t="s">
        <v>2116</v>
      </c>
      <c r="D455" t="s">
        <v>2117</v>
      </c>
      <c r="E455" t="s">
        <v>2134</v>
      </c>
      <c r="F455" t="s">
        <v>2126</v>
      </c>
      <c r="G455" t="s">
        <v>2135</v>
      </c>
      <c r="H455" t="s">
        <v>2133</v>
      </c>
      <c r="I455" t="s">
        <v>2133</v>
      </c>
      <c r="J455">
        <v>0</v>
      </c>
      <c r="K455">
        <v>0</v>
      </c>
      <c r="M455" t="s">
        <v>3077</v>
      </c>
      <c r="O455">
        <v>0</v>
      </c>
      <c r="P455" t="s">
        <v>2134</v>
      </c>
    </row>
    <row r="456" spans="1:16" x14ac:dyDescent="0.3">
      <c r="A456" t="s">
        <v>2115</v>
      </c>
      <c r="B456" t="s">
        <v>2116</v>
      </c>
      <c r="D456" t="s">
        <v>2240</v>
      </c>
      <c r="E456" t="s">
        <v>2585</v>
      </c>
      <c r="F456" t="s">
        <v>2586</v>
      </c>
      <c r="H456" t="s">
        <v>2362</v>
      </c>
      <c r="I456" t="s">
        <v>2243</v>
      </c>
      <c r="J456">
        <v>0</v>
      </c>
      <c r="K456">
        <v>0</v>
      </c>
      <c r="M456" t="s">
        <v>3077</v>
      </c>
      <c r="O456">
        <v>0</v>
      </c>
      <c r="P456" t="s">
        <v>2585</v>
      </c>
    </row>
    <row r="457" spans="1:16" x14ac:dyDescent="0.3">
      <c r="A457" t="s">
        <v>2115</v>
      </c>
      <c r="B457" t="s">
        <v>2116</v>
      </c>
      <c r="D457" t="s">
        <v>2311</v>
      </c>
      <c r="E457" t="s">
        <v>2587</v>
      </c>
      <c r="F457" t="s">
        <v>2588</v>
      </c>
      <c r="H457" t="s">
        <v>2211</v>
      </c>
      <c r="I457" t="s">
        <v>2212</v>
      </c>
      <c r="J457">
        <v>0</v>
      </c>
      <c r="K457">
        <v>0</v>
      </c>
      <c r="M457" t="s">
        <v>3077</v>
      </c>
      <c r="O457">
        <v>0</v>
      </c>
      <c r="P457" t="s">
        <v>2587</v>
      </c>
    </row>
    <row r="458" spans="1:16" x14ac:dyDescent="0.3">
      <c r="A458" t="s">
        <v>2115</v>
      </c>
      <c r="B458" t="s">
        <v>2116</v>
      </c>
      <c r="D458" t="s">
        <v>2240</v>
      </c>
      <c r="E458" t="s">
        <v>2589</v>
      </c>
      <c r="F458" t="s">
        <v>2590</v>
      </c>
      <c r="H458" t="s">
        <v>2211</v>
      </c>
      <c r="I458" t="s">
        <v>2212</v>
      </c>
      <c r="J458">
        <v>0</v>
      </c>
      <c r="K458">
        <v>0</v>
      </c>
      <c r="M458" t="s">
        <v>3077</v>
      </c>
      <c r="O458">
        <v>0</v>
      </c>
      <c r="P458" t="s">
        <v>2589</v>
      </c>
    </row>
    <row r="459" spans="1:16" x14ac:dyDescent="0.3">
      <c r="A459" t="s">
        <v>2115</v>
      </c>
      <c r="B459" t="s">
        <v>2402</v>
      </c>
      <c r="C459" t="s">
        <v>10</v>
      </c>
      <c r="D459" t="s">
        <v>259</v>
      </c>
      <c r="E459" t="s">
        <v>2613</v>
      </c>
      <c r="F459" t="s">
        <v>2613</v>
      </c>
      <c r="H459" t="s">
        <v>2610</v>
      </c>
      <c r="I459" t="s">
        <v>2611</v>
      </c>
      <c r="J459">
        <v>0</v>
      </c>
      <c r="K459">
        <v>0</v>
      </c>
      <c r="M459" t="s">
        <v>3077</v>
      </c>
      <c r="O459">
        <v>0</v>
      </c>
      <c r="P459" t="s">
        <v>2613</v>
      </c>
    </row>
    <row r="460" spans="1:16" x14ac:dyDescent="0.3">
      <c r="A460" t="s">
        <v>2115</v>
      </c>
      <c r="B460" t="s">
        <v>2402</v>
      </c>
      <c r="C460" t="s">
        <v>10</v>
      </c>
      <c r="D460" t="s">
        <v>259</v>
      </c>
      <c r="E460" t="s">
        <v>2614</v>
      </c>
      <c r="F460" t="s">
        <v>2614</v>
      </c>
      <c r="H460" t="s">
        <v>2610</v>
      </c>
      <c r="I460" t="s">
        <v>2611</v>
      </c>
      <c r="J460">
        <v>0</v>
      </c>
      <c r="K460">
        <v>0</v>
      </c>
      <c r="M460" t="s">
        <v>3077</v>
      </c>
      <c r="O460">
        <v>0</v>
      </c>
      <c r="P460" t="s">
        <v>2614</v>
      </c>
    </row>
    <row r="461" spans="1:16" x14ac:dyDescent="0.3">
      <c r="A461" t="s">
        <v>2115</v>
      </c>
      <c r="B461" t="s">
        <v>2402</v>
      </c>
      <c r="C461" t="s">
        <v>10</v>
      </c>
      <c r="D461" t="s">
        <v>2429</v>
      </c>
      <c r="E461" t="s">
        <v>2623</v>
      </c>
      <c r="F461" t="s">
        <v>2623</v>
      </c>
      <c r="H461" t="s">
        <v>2133</v>
      </c>
      <c r="I461" t="s">
        <v>2133</v>
      </c>
      <c r="J461">
        <v>0</v>
      </c>
      <c r="K461">
        <v>0</v>
      </c>
      <c r="M461" t="s">
        <v>3077</v>
      </c>
      <c r="O461">
        <v>0</v>
      </c>
      <c r="P461" t="s">
        <v>2623</v>
      </c>
    </row>
    <row r="462" spans="1:16" x14ac:dyDescent="0.3">
      <c r="A462" t="s">
        <v>2115</v>
      </c>
      <c r="B462" t="s">
        <v>2116</v>
      </c>
      <c r="D462" t="s">
        <v>2117</v>
      </c>
      <c r="E462" t="s">
        <v>2633</v>
      </c>
      <c r="F462" t="s">
        <v>2634</v>
      </c>
      <c r="G462" t="s">
        <v>2635</v>
      </c>
      <c r="H462" t="s">
        <v>2120</v>
      </c>
      <c r="I462" t="s">
        <v>2636</v>
      </c>
      <c r="J462">
        <v>0</v>
      </c>
      <c r="K462">
        <v>0</v>
      </c>
      <c r="M462" t="s">
        <v>3077</v>
      </c>
      <c r="O462">
        <v>0</v>
      </c>
      <c r="P462" t="s">
        <v>2633</v>
      </c>
    </row>
    <row r="463" spans="1:16" x14ac:dyDescent="0.3">
      <c r="A463" t="s">
        <v>2115</v>
      </c>
      <c r="B463" t="s">
        <v>2116</v>
      </c>
      <c r="D463" t="s">
        <v>2117</v>
      </c>
      <c r="E463" t="s">
        <v>2637</v>
      </c>
      <c r="F463" t="s">
        <v>2634</v>
      </c>
      <c r="G463" t="s">
        <v>2635</v>
      </c>
      <c r="H463" t="s">
        <v>2120</v>
      </c>
      <c r="I463" t="s">
        <v>2636</v>
      </c>
      <c r="J463">
        <v>0</v>
      </c>
      <c r="K463">
        <v>0</v>
      </c>
      <c r="M463" t="s">
        <v>3077</v>
      </c>
      <c r="O463">
        <v>0</v>
      </c>
      <c r="P463" t="s">
        <v>2637</v>
      </c>
    </row>
    <row r="464" spans="1:16" x14ac:dyDescent="0.3">
      <c r="A464" t="s">
        <v>2115</v>
      </c>
      <c r="B464" t="s">
        <v>2116</v>
      </c>
      <c r="D464" t="s">
        <v>2707</v>
      </c>
      <c r="E464" t="s">
        <v>2708</v>
      </c>
      <c r="F464" t="s">
        <v>2311</v>
      </c>
      <c r="H464" t="s">
        <v>2133</v>
      </c>
      <c r="I464" t="s">
        <v>2133</v>
      </c>
      <c r="J464">
        <v>0</v>
      </c>
      <c r="K464">
        <v>0</v>
      </c>
      <c r="M464" t="s">
        <v>3077</v>
      </c>
      <c r="O464">
        <v>0</v>
      </c>
      <c r="P464" t="s">
        <v>2708</v>
      </c>
    </row>
    <row r="465" spans="1:16" x14ac:dyDescent="0.3">
      <c r="A465" t="s">
        <v>2115</v>
      </c>
      <c r="B465" t="s">
        <v>2116</v>
      </c>
      <c r="D465" t="s">
        <v>2207</v>
      </c>
      <c r="E465" t="s">
        <v>2709</v>
      </c>
      <c r="F465" t="s">
        <v>2710</v>
      </c>
      <c r="H465" t="s">
        <v>2133</v>
      </c>
      <c r="I465" t="s">
        <v>2133</v>
      </c>
      <c r="J465" s="125">
        <v>661599.88</v>
      </c>
      <c r="K465">
        <v>0</v>
      </c>
      <c r="M465" t="s">
        <v>3076</v>
      </c>
      <c r="O465" s="125">
        <v>661599.88</v>
      </c>
      <c r="P465" t="s">
        <v>2709</v>
      </c>
    </row>
    <row r="466" spans="1:16" x14ac:dyDescent="0.3">
      <c r="A466" t="s">
        <v>2115</v>
      </c>
      <c r="B466" t="s">
        <v>2116</v>
      </c>
      <c r="D466" t="s">
        <v>2292</v>
      </c>
      <c r="E466" t="s">
        <v>2711</v>
      </c>
      <c r="F466" t="s">
        <v>2712</v>
      </c>
      <c r="H466" t="s">
        <v>2133</v>
      </c>
      <c r="I466" t="s">
        <v>2133</v>
      </c>
      <c r="J466" s="125">
        <v>-787113.65</v>
      </c>
      <c r="K466">
        <v>0</v>
      </c>
      <c r="M466" t="s">
        <v>3076</v>
      </c>
      <c r="O466" s="125">
        <v>-787113.65</v>
      </c>
      <c r="P466" t="s">
        <v>2711</v>
      </c>
    </row>
    <row r="467" spans="1:16" x14ac:dyDescent="0.3">
      <c r="A467" t="s">
        <v>2115</v>
      </c>
      <c r="B467" t="s">
        <v>2402</v>
      </c>
      <c r="C467" t="s">
        <v>2413</v>
      </c>
      <c r="D467" t="s">
        <v>2424</v>
      </c>
      <c r="E467" t="s">
        <v>2713</v>
      </c>
      <c r="F467" t="s">
        <v>2714</v>
      </c>
      <c r="H467" t="s">
        <v>2133</v>
      </c>
      <c r="I467" t="s">
        <v>2133</v>
      </c>
      <c r="J467" s="125">
        <v>123959.8</v>
      </c>
      <c r="K467">
        <v>0</v>
      </c>
      <c r="M467" t="s">
        <v>3076</v>
      </c>
      <c r="O467" s="125">
        <v>123959.8</v>
      </c>
      <c r="P467" t="s">
        <v>2713</v>
      </c>
    </row>
    <row r="468" spans="1:16" x14ac:dyDescent="0.3">
      <c r="A468" t="s">
        <v>2115</v>
      </c>
      <c r="B468" t="s">
        <v>2116</v>
      </c>
      <c r="D468" t="s">
        <v>2207</v>
      </c>
      <c r="E468" t="s">
        <v>2715</v>
      </c>
      <c r="F468" t="s">
        <v>2716</v>
      </c>
      <c r="H468" t="s">
        <v>2133</v>
      </c>
      <c r="I468" t="s">
        <v>2133</v>
      </c>
      <c r="J468">
        <v>1553.97</v>
      </c>
      <c r="K468">
        <v>0</v>
      </c>
      <c r="M468" t="s">
        <v>3076</v>
      </c>
      <c r="O468" s="125">
        <v>1553.97</v>
      </c>
      <c r="P468" t="s">
        <v>2715</v>
      </c>
    </row>
    <row r="469" spans="1:16" x14ac:dyDescent="0.3">
      <c r="A469" t="s">
        <v>2115</v>
      </c>
      <c r="B469" t="s">
        <v>2116</v>
      </c>
      <c r="D469" t="s">
        <v>2207</v>
      </c>
      <c r="E469" t="s">
        <v>2717</v>
      </c>
      <c r="F469" t="s">
        <v>2718</v>
      </c>
      <c r="H469" t="s">
        <v>2133</v>
      </c>
      <c r="I469" t="s">
        <v>2133</v>
      </c>
      <c r="J469">
        <v>0</v>
      </c>
      <c r="K469">
        <v>0</v>
      </c>
      <c r="M469" t="s">
        <v>3077</v>
      </c>
      <c r="O469">
        <v>0</v>
      </c>
      <c r="P469" t="s">
        <v>2717</v>
      </c>
    </row>
    <row r="470" spans="1:16" x14ac:dyDescent="0.3">
      <c r="A470" t="s">
        <v>2115</v>
      </c>
      <c r="B470" t="s">
        <v>2402</v>
      </c>
      <c r="C470" t="s">
        <v>2413</v>
      </c>
      <c r="D470" t="s">
        <v>2429</v>
      </c>
      <c r="E470" t="s">
        <v>2719</v>
      </c>
      <c r="F470" t="s">
        <v>2720</v>
      </c>
      <c r="H470" t="s">
        <v>2133</v>
      </c>
      <c r="I470" t="s">
        <v>2133</v>
      </c>
      <c r="J470">
        <v>0</v>
      </c>
      <c r="K470">
        <v>0</v>
      </c>
      <c r="M470" t="s">
        <v>3077</v>
      </c>
      <c r="O470">
        <v>0</v>
      </c>
      <c r="P470" t="s">
        <v>2719</v>
      </c>
    </row>
    <row r="471" spans="1:16" x14ac:dyDescent="0.3">
      <c r="A471" t="s">
        <v>2115</v>
      </c>
      <c r="B471" t="s">
        <v>2402</v>
      </c>
      <c r="C471" t="s">
        <v>2413</v>
      </c>
      <c r="D471" t="s">
        <v>2424</v>
      </c>
      <c r="E471" t="s">
        <v>2721</v>
      </c>
      <c r="F471" t="s">
        <v>2722</v>
      </c>
      <c r="H471" t="s">
        <v>2133</v>
      </c>
      <c r="I471" t="s">
        <v>2133</v>
      </c>
      <c r="J471">
        <v>0</v>
      </c>
      <c r="K471">
        <v>0</v>
      </c>
      <c r="M471" t="s">
        <v>3077</v>
      </c>
      <c r="O471">
        <v>0</v>
      </c>
      <c r="P471" t="s">
        <v>2721</v>
      </c>
    </row>
    <row r="472" spans="1:16" x14ac:dyDescent="0.3">
      <c r="A472" t="s">
        <v>2115</v>
      </c>
      <c r="B472" t="s">
        <v>2116</v>
      </c>
      <c r="D472" t="s">
        <v>2240</v>
      </c>
      <c r="E472" t="s">
        <v>2723</v>
      </c>
      <c r="F472" t="s">
        <v>2724</v>
      </c>
      <c r="H472" t="s">
        <v>2133</v>
      </c>
      <c r="I472" t="s">
        <v>2133</v>
      </c>
      <c r="J472">
        <v>0</v>
      </c>
      <c r="K472">
        <v>0</v>
      </c>
      <c r="M472" t="s">
        <v>3077</v>
      </c>
      <c r="O472">
        <v>0</v>
      </c>
      <c r="P472" t="s">
        <v>2723</v>
      </c>
    </row>
    <row r="473" spans="1:16" x14ac:dyDescent="0.3">
      <c r="A473" t="s">
        <v>2115</v>
      </c>
      <c r="B473" t="s">
        <v>2116</v>
      </c>
      <c r="D473" t="s">
        <v>2207</v>
      </c>
      <c r="E473" t="s">
        <v>2734</v>
      </c>
      <c r="F473" t="s">
        <v>2735</v>
      </c>
      <c r="H473" t="s">
        <v>2133</v>
      </c>
      <c r="I473" t="s">
        <v>2133</v>
      </c>
      <c r="J473">
        <v>0</v>
      </c>
      <c r="K473">
        <v>0</v>
      </c>
      <c r="M473" t="s">
        <v>3077</v>
      </c>
      <c r="O473">
        <v>0</v>
      </c>
      <c r="P473" t="s">
        <v>2734</v>
      </c>
    </row>
    <row r="474" spans="1:16" x14ac:dyDescent="0.3">
      <c r="A474" t="s">
        <v>2115</v>
      </c>
      <c r="B474" t="s">
        <v>2402</v>
      </c>
      <c r="D474" t="s">
        <v>690</v>
      </c>
      <c r="E474" t="s">
        <v>2785</v>
      </c>
      <c r="F474" t="s">
        <v>2786</v>
      </c>
      <c r="H474" t="s">
        <v>2133</v>
      </c>
      <c r="I474" t="s">
        <v>2133</v>
      </c>
      <c r="J474">
        <v>0</v>
      </c>
      <c r="K474">
        <v>3355.78</v>
      </c>
      <c r="M474" t="s">
        <v>3077</v>
      </c>
      <c r="O474" s="125">
        <v>3355.78</v>
      </c>
      <c r="P474" t="s">
        <v>2785</v>
      </c>
    </row>
    <row r="475" spans="1:16" x14ac:dyDescent="0.3">
      <c r="A475" t="s">
        <v>2115</v>
      </c>
      <c r="B475" t="s">
        <v>2116</v>
      </c>
      <c r="D475" t="s">
        <v>2252</v>
      </c>
      <c r="E475" t="s">
        <v>2787</v>
      </c>
      <c r="F475" t="s">
        <v>2788</v>
      </c>
      <c r="H475" t="s">
        <v>2133</v>
      </c>
      <c r="I475" t="s">
        <v>2133</v>
      </c>
      <c r="J475">
        <v>0</v>
      </c>
      <c r="K475" s="125">
        <v>172828.39</v>
      </c>
      <c r="M475" t="s">
        <v>3077</v>
      </c>
      <c r="O475" s="125">
        <v>172828.39</v>
      </c>
      <c r="P475" t="s">
        <v>2787</v>
      </c>
    </row>
    <row r="476" spans="1:16" x14ac:dyDescent="0.3">
      <c r="A476" t="s">
        <v>2115</v>
      </c>
      <c r="B476" t="s">
        <v>2116</v>
      </c>
      <c r="D476" t="s">
        <v>2252</v>
      </c>
      <c r="E476" t="s">
        <v>2789</v>
      </c>
      <c r="F476" t="s">
        <v>2790</v>
      </c>
      <c r="H476" t="s">
        <v>2133</v>
      </c>
      <c r="I476" t="s">
        <v>2133</v>
      </c>
      <c r="J476">
        <v>0</v>
      </c>
      <c r="K476" s="125">
        <v>121605.94</v>
      </c>
      <c r="M476" t="s">
        <v>3077</v>
      </c>
      <c r="O476" s="125">
        <v>121605.94</v>
      </c>
      <c r="P476" t="s">
        <v>2789</v>
      </c>
    </row>
    <row r="477" spans="1:16" x14ac:dyDescent="0.3">
      <c r="A477" t="s">
        <v>2115</v>
      </c>
      <c r="B477" t="s">
        <v>2116</v>
      </c>
      <c r="D477" t="s">
        <v>2252</v>
      </c>
      <c r="E477" t="s">
        <v>2791</v>
      </c>
      <c r="F477" t="s">
        <v>2792</v>
      </c>
      <c r="H477" t="s">
        <v>2133</v>
      </c>
      <c r="I477" t="s">
        <v>2133</v>
      </c>
      <c r="J477">
        <v>0</v>
      </c>
      <c r="K477">
        <v>56.06</v>
      </c>
      <c r="M477" t="s">
        <v>3077</v>
      </c>
      <c r="O477">
        <v>56.06</v>
      </c>
      <c r="P477" t="s">
        <v>2791</v>
      </c>
    </row>
    <row r="478" spans="1:16" x14ac:dyDescent="0.3">
      <c r="A478" t="s">
        <v>2115</v>
      </c>
      <c r="B478" t="s">
        <v>2402</v>
      </c>
      <c r="D478" t="s">
        <v>3079</v>
      </c>
      <c r="E478" t="s">
        <v>2609</v>
      </c>
      <c r="F478" t="s">
        <v>2609</v>
      </c>
      <c r="J478" s="125">
        <v>-5422691.4000000004</v>
      </c>
      <c r="K478">
        <v>0</v>
      </c>
      <c r="M478" t="s">
        <v>3080</v>
      </c>
      <c r="O478" s="125">
        <v>-5422691.4000000004</v>
      </c>
      <c r="P478" t="s">
        <v>2609</v>
      </c>
    </row>
    <row r="479" spans="1:16" x14ac:dyDescent="0.3">
      <c r="A479" t="s">
        <v>2115</v>
      </c>
      <c r="B479" t="s">
        <v>2402</v>
      </c>
      <c r="D479" t="s">
        <v>3079</v>
      </c>
      <c r="E479" t="s">
        <v>2429</v>
      </c>
      <c r="F479" t="s">
        <v>2429</v>
      </c>
      <c r="J479">
        <v>-1478.23</v>
      </c>
      <c r="K479">
        <v>0</v>
      </c>
      <c r="M479" t="s">
        <v>3080</v>
      </c>
      <c r="O479" s="125">
        <v>-1478.23</v>
      </c>
      <c r="P479" t="s">
        <v>2429</v>
      </c>
    </row>
    <row r="480" spans="1:16" x14ac:dyDescent="0.3">
      <c r="A480" t="s">
        <v>2115</v>
      </c>
      <c r="B480" t="s">
        <v>2402</v>
      </c>
      <c r="D480" t="s">
        <v>3079</v>
      </c>
      <c r="E480" t="s">
        <v>695</v>
      </c>
      <c r="F480" t="s">
        <v>695</v>
      </c>
      <c r="J480" s="125">
        <v>-132712.1</v>
      </c>
      <c r="K480">
        <v>0</v>
      </c>
      <c r="M480" t="s">
        <v>3080</v>
      </c>
      <c r="O480" s="125">
        <v>-132712.1</v>
      </c>
      <c r="P480" t="s">
        <v>695</v>
      </c>
    </row>
    <row r="481" spans="1:16" x14ac:dyDescent="0.3">
      <c r="A481" t="s">
        <v>2115</v>
      </c>
      <c r="B481" t="s">
        <v>2402</v>
      </c>
      <c r="D481" t="s">
        <v>3079</v>
      </c>
      <c r="E481" t="s">
        <v>2621</v>
      </c>
      <c r="F481" t="s">
        <v>2621</v>
      </c>
      <c r="J481" s="126">
        <v>-324000</v>
      </c>
      <c r="K481">
        <v>0</v>
      </c>
      <c r="M481" t="s">
        <v>3080</v>
      </c>
      <c r="O481" s="125">
        <v>-324000</v>
      </c>
      <c r="P481" t="s">
        <v>2621</v>
      </c>
    </row>
    <row r="482" spans="1:16" x14ac:dyDescent="0.3">
      <c r="A482" t="s">
        <v>2115</v>
      </c>
      <c r="B482" t="s">
        <v>2402</v>
      </c>
      <c r="D482" t="s">
        <v>3079</v>
      </c>
      <c r="E482" t="s">
        <v>2622</v>
      </c>
      <c r="F482" t="s">
        <v>2622</v>
      </c>
      <c r="J482" s="125">
        <v>-351071.4</v>
      </c>
      <c r="K482">
        <v>0</v>
      </c>
      <c r="M482" t="s">
        <v>3080</v>
      </c>
      <c r="O482" s="125">
        <v>-351071.4</v>
      </c>
      <c r="P482" t="s">
        <v>2622</v>
      </c>
    </row>
    <row r="483" spans="1:16" x14ac:dyDescent="0.3">
      <c r="A483" t="s">
        <v>2115</v>
      </c>
      <c r="B483" t="s">
        <v>2402</v>
      </c>
      <c r="D483" t="s">
        <v>3079</v>
      </c>
      <c r="E483" t="s">
        <v>2612</v>
      </c>
      <c r="F483" t="s">
        <v>2612</v>
      </c>
      <c r="J483">
        <v>0</v>
      </c>
      <c r="K483">
        <v>0</v>
      </c>
      <c r="M483" t="s">
        <v>3080</v>
      </c>
      <c r="O483">
        <v>0</v>
      </c>
      <c r="P483" t="s">
        <v>2612</v>
      </c>
    </row>
    <row r="484" spans="1:16" x14ac:dyDescent="0.3">
      <c r="A484" t="s">
        <v>2115</v>
      </c>
      <c r="B484" t="s">
        <v>2402</v>
      </c>
      <c r="D484" t="s">
        <v>3079</v>
      </c>
      <c r="E484" t="s">
        <v>76</v>
      </c>
      <c r="F484" t="s">
        <v>76</v>
      </c>
      <c r="J484" s="125">
        <v>-2890914.33</v>
      </c>
      <c r="K484">
        <v>0</v>
      </c>
      <c r="M484" t="s">
        <v>3080</v>
      </c>
      <c r="O484" s="125">
        <v>-2890914.33</v>
      </c>
      <c r="P484" t="s">
        <v>76</v>
      </c>
    </row>
    <row r="485" spans="1:16" x14ac:dyDescent="0.3">
      <c r="A485" t="s">
        <v>2115</v>
      </c>
      <c r="B485" t="s">
        <v>2402</v>
      </c>
      <c r="D485" t="s">
        <v>3079</v>
      </c>
      <c r="E485" t="s">
        <v>2774</v>
      </c>
      <c r="F485" t="s">
        <v>2774</v>
      </c>
      <c r="J485">
        <v>-3444</v>
      </c>
      <c r="K485">
        <v>0</v>
      </c>
      <c r="M485" t="s">
        <v>3080</v>
      </c>
      <c r="O485" s="125">
        <v>-3444</v>
      </c>
      <c r="P485" t="s">
        <v>2774</v>
      </c>
    </row>
    <row r="486" spans="1:16" x14ac:dyDescent="0.3">
      <c r="A486" t="s">
        <v>2115</v>
      </c>
      <c r="B486" t="s">
        <v>2402</v>
      </c>
      <c r="D486" t="s">
        <v>3079</v>
      </c>
      <c r="E486" t="s">
        <v>259</v>
      </c>
      <c r="F486" t="s">
        <v>259</v>
      </c>
      <c r="J486" s="125">
        <v>-179090.09</v>
      </c>
      <c r="K486">
        <v>0</v>
      </c>
      <c r="M486" t="s">
        <v>3080</v>
      </c>
      <c r="O486" s="125">
        <v>-179090.09</v>
      </c>
      <c r="P486" t="s">
        <v>259</v>
      </c>
    </row>
    <row r="487" spans="1:16" x14ac:dyDescent="0.3">
      <c r="A487" t="s">
        <v>2115</v>
      </c>
      <c r="B487" t="s">
        <v>2402</v>
      </c>
      <c r="D487" t="s">
        <v>3079</v>
      </c>
      <c r="E487" t="s">
        <v>454</v>
      </c>
      <c r="F487" t="s">
        <v>454</v>
      </c>
      <c r="J487" s="125">
        <v>-452166.77</v>
      </c>
      <c r="K487">
        <v>-338.42</v>
      </c>
      <c r="M487" t="s">
        <v>3080</v>
      </c>
      <c r="O487" s="125">
        <v>-452505.19</v>
      </c>
      <c r="P487" t="s">
        <v>454</v>
      </c>
    </row>
    <row r="488" spans="1:16" x14ac:dyDescent="0.3">
      <c r="A488" t="s">
        <v>2115</v>
      </c>
      <c r="B488" t="s">
        <v>2402</v>
      </c>
      <c r="D488" t="s">
        <v>3079</v>
      </c>
      <c r="E488" t="s">
        <v>2615</v>
      </c>
      <c r="F488" t="s">
        <v>2615</v>
      </c>
      <c r="J488">
        <v>418.8</v>
      </c>
      <c r="K488">
        <v>0</v>
      </c>
      <c r="M488" t="s">
        <v>3080</v>
      </c>
      <c r="O488">
        <v>418.8</v>
      </c>
      <c r="P488" t="s">
        <v>2615</v>
      </c>
    </row>
    <row r="489" spans="1:16" x14ac:dyDescent="0.3">
      <c r="A489" t="s">
        <v>2115</v>
      </c>
      <c r="B489" t="s">
        <v>2402</v>
      </c>
      <c r="D489" t="s">
        <v>3079</v>
      </c>
      <c r="E489" t="s">
        <v>19</v>
      </c>
      <c r="F489" t="s">
        <v>19</v>
      </c>
      <c r="J489" s="125">
        <v>-7583246.9900000002</v>
      </c>
      <c r="K489" s="125">
        <v>-703607.54</v>
      </c>
      <c r="M489" t="s">
        <v>3080</v>
      </c>
      <c r="O489" s="125">
        <v>-8286854.5300000003</v>
      </c>
      <c r="P489" t="s">
        <v>19</v>
      </c>
    </row>
    <row r="490" spans="1:16" x14ac:dyDescent="0.3">
      <c r="A490" t="s">
        <v>2115</v>
      </c>
      <c r="B490" t="s">
        <v>2402</v>
      </c>
      <c r="D490" t="s">
        <v>3079</v>
      </c>
      <c r="E490" t="s">
        <v>2616</v>
      </c>
      <c r="F490" t="s">
        <v>2616</v>
      </c>
      <c r="J490" s="125">
        <v>-7492150.0300000003</v>
      </c>
      <c r="K490">
        <v>0</v>
      </c>
      <c r="M490" t="s">
        <v>3080</v>
      </c>
      <c r="O490" s="125">
        <v>-7492150.0300000003</v>
      </c>
      <c r="P490" t="s">
        <v>2616</v>
      </c>
    </row>
    <row r="491" spans="1:16" x14ac:dyDescent="0.3">
      <c r="A491" t="s">
        <v>2115</v>
      </c>
      <c r="B491" t="s">
        <v>2402</v>
      </c>
      <c r="D491" t="s">
        <v>3079</v>
      </c>
      <c r="E491" t="s">
        <v>2617</v>
      </c>
      <c r="F491" t="s">
        <v>2617</v>
      </c>
      <c r="J491" s="125">
        <v>-11342255.02</v>
      </c>
      <c r="K491">
        <v>0</v>
      </c>
      <c r="M491" t="s">
        <v>3080</v>
      </c>
      <c r="O491" s="125">
        <v>-11342255.02</v>
      </c>
      <c r="P491" t="s">
        <v>2617</v>
      </c>
    </row>
    <row r="492" spans="1:16" x14ac:dyDescent="0.3">
      <c r="A492" t="s">
        <v>2115</v>
      </c>
      <c r="B492" t="s">
        <v>2402</v>
      </c>
      <c r="D492" t="s">
        <v>3079</v>
      </c>
      <c r="E492" t="s">
        <v>2619</v>
      </c>
      <c r="F492" t="s">
        <v>2619</v>
      </c>
      <c r="J492" s="125">
        <v>-387892.49</v>
      </c>
      <c r="K492">
        <v>0</v>
      </c>
      <c r="M492" t="s">
        <v>3080</v>
      </c>
      <c r="O492" s="125">
        <v>-387892.49</v>
      </c>
      <c r="P492" t="s">
        <v>2619</v>
      </c>
    </row>
    <row r="493" spans="1:16" x14ac:dyDescent="0.3">
      <c r="A493" t="s">
        <v>2115</v>
      </c>
      <c r="B493" t="s">
        <v>2402</v>
      </c>
      <c r="D493" t="s">
        <v>3079</v>
      </c>
      <c r="E493" t="s">
        <v>202</v>
      </c>
      <c r="F493" t="s">
        <v>202</v>
      </c>
      <c r="J493" s="125">
        <v>-327617.44</v>
      </c>
      <c r="K493">
        <v>0</v>
      </c>
      <c r="M493" t="s">
        <v>3080</v>
      </c>
      <c r="O493" s="125">
        <v>-327617.44</v>
      </c>
      <c r="P493" t="s">
        <v>202</v>
      </c>
    </row>
    <row r="494" spans="1:16" x14ac:dyDescent="0.3">
      <c r="A494" t="s">
        <v>2115</v>
      </c>
      <c r="B494" t="s">
        <v>2402</v>
      </c>
      <c r="D494" t="s">
        <v>3079</v>
      </c>
      <c r="E494" t="s">
        <v>463</v>
      </c>
      <c r="F494" t="s">
        <v>463</v>
      </c>
      <c r="J494" s="125">
        <v>-20882.060000000001</v>
      </c>
      <c r="K494">
        <v>0</v>
      </c>
      <c r="M494" t="s">
        <v>3080</v>
      </c>
      <c r="O494" s="125">
        <v>-20882.060000000001</v>
      </c>
      <c r="P494" t="s">
        <v>463</v>
      </c>
    </row>
    <row r="495" spans="1:16" x14ac:dyDescent="0.3">
      <c r="A495" t="s">
        <v>2115</v>
      </c>
      <c r="B495" t="s">
        <v>2402</v>
      </c>
      <c r="D495" t="s">
        <v>3079</v>
      </c>
      <c r="E495" t="s">
        <v>2620</v>
      </c>
      <c r="F495" t="s">
        <v>2620</v>
      </c>
      <c r="J495">
        <v>0</v>
      </c>
      <c r="K495">
        <v>0</v>
      </c>
      <c r="M495" t="s">
        <v>3080</v>
      </c>
      <c r="O495">
        <v>0</v>
      </c>
      <c r="P495" t="s">
        <v>2620</v>
      </c>
    </row>
    <row r="496" spans="1:16" x14ac:dyDescent="0.3">
      <c r="A496" t="s">
        <v>2115</v>
      </c>
      <c r="B496" t="s">
        <v>2116</v>
      </c>
      <c r="D496" t="s">
        <v>2219</v>
      </c>
      <c r="E496">
        <v>120201</v>
      </c>
      <c r="F496" t="s">
        <v>2793</v>
      </c>
      <c r="H496" t="s">
        <v>2221</v>
      </c>
      <c r="I496" t="s">
        <v>2222</v>
      </c>
      <c r="J496">
        <v>0</v>
      </c>
      <c r="K496" s="125">
        <v>111115.03</v>
      </c>
      <c r="L496" t="s">
        <v>3081</v>
      </c>
      <c r="M496" t="s">
        <v>3082</v>
      </c>
      <c r="O496" s="125">
        <v>111115.03</v>
      </c>
      <c r="P496">
        <v>120201</v>
      </c>
    </row>
    <row r="497" spans="1:16" x14ac:dyDescent="0.3">
      <c r="A497" t="s">
        <v>2115</v>
      </c>
      <c r="B497" t="s">
        <v>2116</v>
      </c>
      <c r="D497" t="s">
        <v>2219</v>
      </c>
      <c r="E497">
        <v>120205</v>
      </c>
      <c r="F497" t="s">
        <v>2794</v>
      </c>
      <c r="H497" t="s">
        <v>2221</v>
      </c>
      <c r="I497" t="s">
        <v>2222</v>
      </c>
      <c r="J497">
        <v>0</v>
      </c>
      <c r="K497" s="125">
        <v>23970.69</v>
      </c>
      <c r="L497" t="s">
        <v>3081</v>
      </c>
      <c r="M497" t="s">
        <v>3082</v>
      </c>
      <c r="O497" s="125">
        <v>23970.69</v>
      </c>
      <c r="P497">
        <v>120205</v>
      </c>
    </row>
    <row r="498" spans="1:16" x14ac:dyDescent="0.3">
      <c r="A498" t="s">
        <v>2115</v>
      </c>
      <c r="B498" t="s">
        <v>2402</v>
      </c>
      <c r="D498" t="s">
        <v>690</v>
      </c>
      <c r="E498">
        <v>881201</v>
      </c>
      <c r="F498" t="s">
        <v>2795</v>
      </c>
      <c r="H498" t="s">
        <v>2544</v>
      </c>
      <c r="I498" t="s">
        <v>2545</v>
      </c>
      <c r="J498">
        <v>0</v>
      </c>
      <c r="K498">
        <v>530</v>
      </c>
      <c r="L498" t="s">
        <v>3081</v>
      </c>
      <c r="M498" t="s">
        <v>3083</v>
      </c>
      <c r="O498">
        <v>530</v>
      </c>
      <c r="P498">
        <v>881201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78D4A29D3D45842B44FAED1AAC439B1" ma:contentTypeVersion="3" ma:contentTypeDescription="Creare un nuovo documento." ma:contentTypeScope="" ma:versionID="0cc1a2f0fdecc834e7558ba0e7a1d85c">
  <xsd:schema xmlns:xsd="http://www.w3.org/2001/XMLSchema" xmlns:xs="http://www.w3.org/2001/XMLSchema" xmlns:p="http://schemas.microsoft.com/office/2006/metadata/properties" xmlns:ns2="1b5ffcd3-4ccc-457b-be3a-1b839281403e" targetNamespace="http://schemas.microsoft.com/office/2006/metadata/properties" ma:root="true" ma:fieldsID="6be16466061a7c4b03b887c3be9e4e07" ns2:_="">
    <xsd:import namespace="1b5ffcd3-4ccc-457b-be3a-1b839281403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5ffcd3-4ccc-457b-be3a-1b83928140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26D3A89-9A52-490C-8D9B-E2A6AA61A3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5ffcd3-4ccc-457b-be3a-1b83928140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129E03-0EBE-4409-BBDF-818A957C61BA}">
  <ds:schemaRefs>
    <ds:schemaRef ds:uri="http://schemas.microsoft.com/sharepoint/v3/contenttype/forms"/>
  </ds:schemaRefs>
</ds:datastoreItem>
</file>

<file path=customXml/itemProps3.xml><?xml version="1.0" encoding="utf-8"?>
<ds:datastoreItem xmlns:ds="http://schemas.openxmlformats.org/officeDocument/2006/customXml" ds:itemID="{00E13D83-3D97-4E53-B3F7-FFC642EA99F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CVS BU</vt:lpstr>
      <vt:lpstr>Capex</vt:lpstr>
      <vt:lpstr>BDV</vt:lpstr>
      <vt:lpstr>SGP</vt:lpstr>
      <vt:lpstr>Bridge CVS+Edge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Enrico Molena</dc:creator>
  <cp:lastModifiedBy>Enrico Molena</cp:lastModifiedBy>
  <dcterms:created xsi:type="dcterms:W3CDTF">2026-09-24T09:17:05Z</dcterms:created>
  <dcterms:modified xsi:type="dcterms:W3CDTF">2026-09-24T09:43:10Z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0x010100D78D4A29D3D45842B44FAED1AAC439B1</vt:lpwstr>
  </property>
</Properties>
</file>