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vismartcloud.sharepoint.com/sites/Finance/FPA/Reporting/2026/08_Agosto/01_Input/"/>
    </mc:Choice>
  </mc:AlternateContent>
  <xr:revisionPtr revIDLastSave="488" documentId="11_726A466F743F1F1A845455C55E8B45C63A73F6E8" xr6:coauthVersionLast="47" xr6:coauthVersionMax="47" xr10:uidLastSave="{7341F1E5-10E1-4693-8160-45BDC3FA3E26}"/>
  <bookViews>
    <workbookView xWindow="-120" yWindow="-120" windowWidth="29040" windowHeight="15720" xr2:uid="{00000000-000D-0000-FFFF-FFFF00000000}"/>
  </bookViews>
  <sheets>
    <sheet name="Output BDV" sheetId="3" r:id="rId1"/>
    <sheet name="De Giorgi BDV" sheetId="1" r:id="rId2"/>
    <sheet name="CVS" sheetId="2" r:id="rId3"/>
    <sheet name="delta only CVS" sheetId="4" r:id="rId4"/>
    <sheet name="Sheet2" sheetId="5" r:id="rId5"/>
    <sheet name="Sheet3" sheetId="6" r:id="rId6"/>
  </sheets>
  <externalReferences>
    <externalReference r:id="rId7"/>
  </externalReferences>
  <definedNames>
    <definedName name="_xlnm._FilterDatabase" localSheetId="2" hidden="1">CVS!$B$4:$L$374</definedName>
    <definedName name="_xlnm._FilterDatabase" localSheetId="1" hidden="1">'De Giorgi BDV'!$A$6:$H$163</definedName>
    <definedName name="_xlnm._FilterDatabase" localSheetId="3" hidden="1">'delta only CVS'!$B$16:$L$153</definedName>
    <definedName name="_xlnm._FilterDatabase" localSheetId="0" hidden="1">'Output BDV'!$A$4:$M$387</definedName>
    <definedName name="_xlnm._FilterDatabase" localSheetId="4" hidden="1">Sheet2!$B$2:$M$1032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032" i="5" l="1"/>
  <c r="M1032" i="5" s="1"/>
  <c r="L1" i="5"/>
  <c r="J1025" i="5"/>
  <c r="K1025" i="5" s="1"/>
  <c r="M1025" i="5" s="1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1032" i="5"/>
  <c r="J1032" i="5" s="1"/>
  <c r="B1031" i="5"/>
  <c r="J1031" i="5" s="1"/>
  <c r="K1031" i="5" s="1"/>
  <c r="M1031" i="5" s="1"/>
  <c r="B1030" i="5"/>
  <c r="J1030" i="5" s="1"/>
  <c r="K1030" i="5" s="1"/>
  <c r="M1030" i="5" s="1"/>
  <c r="B1029" i="5"/>
  <c r="J1029" i="5" s="1"/>
  <c r="K1029" i="5" s="1"/>
  <c r="M1029" i="5" s="1"/>
  <c r="B1028" i="5"/>
  <c r="J1028" i="5" s="1"/>
  <c r="K1028" i="5" s="1"/>
  <c r="M1028" i="5" s="1"/>
  <c r="B1027" i="5"/>
  <c r="J1027" i="5" s="1"/>
  <c r="K1027" i="5" s="1"/>
  <c r="M1027" i="5" s="1"/>
  <c r="B1026" i="5"/>
  <c r="J1026" i="5" s="1"/>
  <c r="K1026" i="5" s="1"/>
  <c r="M1026" i="5" s="1"/>
  <c r="B1025" i="5"/>
  <c r="B1024" i="5"/>
  <c r="J1024" i="5" s="1"/>
  <c r="K1024" i="5" s="1"/>
  <c r="M1024" i="5" s="1"/>
  <c r="B1023" i="5"/>
  <c r="J1023" i="5" s="1"/>
  <c r="K1023" i="5" s="1"/>
  <c r="M1023" i="5" s="1"/>
  <c r="B1022" i="5"/>
  <c r="J1022" i="5" s="1"/>
  <c r="K1022" i="5" s="1"/>
  <c r="M1022" i="5" s="1"/>
  <c r="B1021" i="5"/>
  <c r="J1021" i="5" s="1"/>
  <c r="K1021" i="5" s="1"/>
  <c r="M1021" i="5" s="1"/>
  <c r="B1020" i="5"/>
  <c r="J1020" i="5" s="1"/>
  <c r="K1020" i="5" s="1"/>
  <c r="M1020" i="5" s="1"/>
  <c r="B1019" i="5"/>
  <c r="J1019" i="5" s="1"/>
  <c r="K1019" i="5" s="1"/>
  <c r="M1019" i="5" s="1"/>
  <c r="B1018" i="5"/>
  <c r="J1018" i="5" s="1"/>
  <c r="K1018" i="5" s="1"/>
  <c r="M1018" i="5" s="1"/>
  <c r="B1017" i="5"/>
  <c r="J1017" i="5" s="1"/>
  <c r="K1017" i="5" s="1"/>
  <c r="M1017" i="5" s="1"/>
  <c r="B1016" i="5"/>
  <c r="J1016" i="5" s="1"/>
  <c r="K1016" i="5" s="1"/>
  <c r="M1016" i="5" s="1"/>
  <c r="B1015" i="5"/>
  <c r="J1015" i="5" s="1"/>
  <c r="K1015" i="5" s="1"/>
  <c r="M1015" i="5" s="1"/>
  <c r="B1014" i="5"/>
  <c r="J1014" i="5" s="1"/>
  <c r="K1014" i="5" s="1"/>
  <c r="M1014" i="5" s="1"/>
  <c r="B1013" i="5"/>
  <c r="J1013" i="5" s="1"/>
  <c r="K1013" i="5" s="1"/>
  <c r="M1013" i="5" s="1"/>
  <c r="B1012" i="5"/>
  <c r="J1012" i="5" s="1"/>
  <c r="K1012" i="5" s="1"/>
  <c r="M1012" i="5" s="1"/>
  <c r="B1011" i="5"/>
  <c r="J1011" i="5" s="1"/>
  <c r="K1011" i="5" s="1"/>
  <c r="M1011" i="5" s="1"/>
  <c r="B1010" i="5"/>
  <c r="J1010" i="5" s="1"/>
  <c r="K1010" i="5" s="1"/>
  <c r="M1010" i="5" s="1"/>
  <c r="B1009" i="5"/>
  <c r="J1009" i="5" s="1"/>
  <c r="K1009" i="5" s="1"/>
  <c r="M1009" i="5" s="1"/>
  <c r="B1008" i="5"/>
  <c r="J1008" i="5" s="1"/>
  <c r="K1008" i="5" s="1"/>
  <c r="M1008" i="5" s="1"/>
  <c r="B1007" i="5"/>
  <c r="J1007" i="5" s="1"/>
  <c r="K1007" i="5" s="1"/>
  <c r="M1007" i="5" s="1"/>
  <c r="B1006" i="5"/>
  <c r="J1006" i="5" s="1"/>
  <c r="K1006" i="5" s="1"/>
  <c r="M1006" i="5" s="1"/>
  <c r="B1005" i="5"/>
  <c r="J1005" i="5" s="1"/>
  <c r="K1005" i="5" s="1"/>
  <c r="M1005" i="5" s="1"/>
  <c r="B1004" i="5"/>
  <c r="J1004" i="5" s="1"/>
  <c r="K1004" i="5" s="1"/>
  <c r="M1004" i="5" s="1"/>
  <c r="B1003" i="5"/>
  <c r="J1003" i="5" s="1"/>
  <c r="K1003" i="5" s="1"/>
  <c r="M1003" i="5" s="1"/>
  <c r="B1002" i="5"/>
  <c r="J1002" i="5" s="1"/>
  <c r="K1002" i="5" s="1"/>
  <c r="M1002" i="5" s="1"/>
  <c r="B1001" i="5"/>
  <c r="J1001" i="5" s="1"/>
  <c r="K1001" i="5" s="1"/>
  <c r="M1001" i="5" s="1"/>
  <c r="B1000" i="5"/>
  <c r="J1000" i="5" s="1"/>
  <c r="K1000" i="5" s="1"/>
  <c r="M1000" i="5" s="1"/>
  <c r="B999" i="5"/>
  <c r="J999" i="5" s="1"/>
  <c r="K999" i="5" s="1"/>
  <c r="M999" i="5" s="1"/>
  <c r="B998" i="5"/>
  <c r="J998" i="5" s="1"/>
  <c r="K998" i="5" s="1"/>
  <c r="M998" i="5" s="1"/>
  <c r="B997" i="5"/>
  <c r="J997" i="5" s="1"/>
  <c r="K997" i="5" s="1"/>
  <c r="M997" i="5" s="1"/>
  <c r="B996" i="5"/>
  <c r="J996" i="5" s="1"/>
  <c r="K996" i="5" s="1"/>
  <c r="M996" i="5" s="1"/>
  <c r="B995" i="5"/>
  <c r="J995" i="5" s="1"/>
  <c r="K995" i="5" s="1"/>
  <c r="M995" i="5" s="1"/>
  <c r="B994" i="5"/>
  <c r="J994" i="5" s="1"/>
  <c r="K994" i="5" s="1"/>
  <c r="M994" i="5" s="1"/>
  <c r="B993" i="5"/>
  <c r="J993" i="5" s="1"/>
  <c r="K993" i="5" s="1"/>
  <c r="M993" i="5" s="1"/>
  <c r="B992" i="5"/>
  <c r="J992" i="5" s="1"/>
  <c r="K992" i="5" s="1"/>
  <c r="M992" i="5" s="1"/>
  <c r="B991" i="5"/>
  <c r="J991" i="5" s="1"/>
  <c r="K991" i="5" s="1"/>
  <c r="M991" i="5" s="1"/>
  <c r="B990" i="5"/>
  <c r="J990" i="5" s="1"/>
  <c r="K990" i="5" s="1"/>
  <c r="M990" i="5" s="1"/>
  <c r="B989" i="5"/>
  <c r="J989" i="5" s="1"/>
  <c r="K989" i="5" s="1"/>
  <c r="M989" i="5" s="1"/>
  <c r="B988" i="5"/>
  <c r="J988" i="5" s="1"/>
  <c r="K988" i="5" s="1"/>
  <c r="M988" i="5" s="1"/>
  <c r="B987" i="5"/>
  <c r="J987" i="5" s="1"/>
  <c r="K987" i="5" s="1"/>
  <c r="M987" i="5" s="1"/>
  <c r="B986" i="5"/>
  <c r="J986" i="5" s="1"/>
  <c r="K986" i="5" s="1"/>
  <c r="M986" i="5" s="1"/>
  <c r="B985" i="5"/>
  <c r="J985" i="5" s="1"/>
  <c r="K985" i="5" s="1"/>
  <c r="M985" i="5" s="1"/>
  <c r="B984" i="5"/>
  <c r="J984" i="5" s="1"/>
  <c r="K984" i="5" s="1"/>
  <c r="M984" i="5" s="1"/>
  <c r="B983" i="5"/>
  <c r="J983" i="5" s="1"/>
  <c r="K983" i="5" s="1"/>
  <c r="M983" i="5" s="1"/>
  <c r="B982" i="5"/>
  <c r="J982" i="5" s="1"/>
  <c r="K982" i="5" s="1"/>
  <c r="M982" i="5" s="1"/>
  <c r="B981" i="5"/>
  <c r="J981" i="5" s="1"/>
  <c r="K981" i="5" s="1"/>
  <c r="M981" i="5" s="1"/>
  <c r="B980" i="5"/>
  <c r="J980" i="5" s="1"/>
  <c r="K980" i="5" s="1"/>
  <c r="M980" i="5" s="1"/>
  <c r="B979" i="5"/>
  <c r="J979" i="5" s="1"/>
  <c r="K979" i="5" s="1"/>
  <c r="M979" i="5" s="1"/>
  <c r="B978" i="5"/>
  <c r="J978" i="5" s="1"/>
  <c r="K978" i="5" s="1"/>
  <c r="M978" i="5" s="1"/>
  <c r="B977" i="5"/>
  <c r="J977" i="5" s="1"/>
  <c r="K977" i="5" s="1"/>
  <c r="M977" i="5" s="1"/>
  <c r="B976" i="5"/>
  <c r="J976" i="5" s="1"/>
  <c r="K976" i="5" s="1"/>
  <c r="M976" i="5" s="1"/>
  <c r="B975" i="5"/>
  <c r="J975" i="5" s="1"/>
  <c r="K975" i="5" s="1"/>
  <c r="M975" i="5" s="1"/>
  <c r="B974" i="5"/>
  <c r="J974" i="5" s="1"/>
  <c r="K974" i="5" s="1"/>
  <c r="M974" i="5" s="1"/>
  <c r="B973" i="5"/>
  <c r="J973" i="5" s="1"/>
  <c r="K973" i="5" s="1"/>
  <c r="M973" i="5" s="1"/>
  <c r="B972" i="5"/>
  <c r="J972" i="5" s="1"/>
  <c r="K972" i="5" s="1"/>
  <c r="M972" i="5" s="1"/>
  <c r="B971" i="5"/>
  <c r="J971" i="5" s="1"/>
  <c r="K971" i="5" s="1"/>
  <c r="M971" i="5" s="1"/>
  <c r="B970" i="5"/>
  <c r="J970" i="5" s="1"/>
  <c r="K970" i="5" s="1"/>
  <c r="M970" i="5" s="1"/>
  <c r="B969" i="5"/>
  <c r="J969" i="5" s="1"/>
  <c r="K969" i="5" s="1"/>
  <c r="M969" i="5" s="1"/>
  <c r="B968" i="5"/>
  <c r="J968" i="5" s="1"/>
  <c r="K968" i="5" s="1"/>
  <c r="M968" i="5" s="1"/>
  <c r="B967" i="5"/>
  <c r="J967" i="5" s="1"/>
  <c r="K967" i="5" s="1"/>
  <c r="M967" i="5" s="1"/>
  <c r="B966" i="5"/>
  <c r="J966" i="5" s="1"/>
  <c r="K966" i="5" s="1"/>
  <c r="M966" i="5" s="1"/>
  <c r="B965" i="5"/>
  <c r="J965" i="5" s="1"/>
  <c r="K965" i="5" s="1"/>
  <c r="M965" i="5" s="1"/>
  <c r="B964" i="5"/>
  <c r="J964" i="5" s="1"/>
  <c r="K964" i="5" s="1"/>
  <c r="M964" i="5" s="1"/>
  <c r="B963" i="5"/>
  <c r="J963" i="5" s="1"/>
  <c r="K963" i="5" s="1"/>
  <c r="M963" i="5" s="1"/>
  <c r="B962" i="5"/>
  <c r="J962" i="5" s="1"/>
  <c r="K962" i="5" s="1"/>
  <c r="M962" i="5" s="1"/>
  <c r="B961" i="5"/>
  <c r="J961" i="5" s="1"/>
  <c r="K961" i="5" s="1"/>
  <c r="M961" i="5" s="1"/>
  <c r="B960" i="5"/>
  <c r="J960" i="5" s="1"/>
  <c r="K960" i="5" s="1"/>
  <c r="M960" i="5" s="1"/>
  <c r="B959" i="5"/>
  <c r="J959" i="5" s="1"/>
  <c r="K959" i="5" s="1"/>
  <c r="M959" i="5" s="1"/>
  <c r="B958" i="5"/>
  <c r="J958" i="5" s="1"/>
  <c r="K958" i="5" s="1"/>
  <c r="M958" i="5" s="1"/>
  <c r="B957" i="5"/>
  <c r="J957" i="5" s="1"/>
  <c r="K957" i="5" s="1"/>
  <c r="M957" i="5" s="1"/>
  <c r="B956" i="5"/>
  <c r="J956" i="5" s="1"/>
  <c r="K956" i="5" s="1"/>
  <c r="M956" i="5" s="1"/>
  <c r="B955" i="5"/>
  <c r="J955" i="5" s="1"/>
  <c r="K955" i="5" s="1"/>
  <c r="M955" i="5" s="1"/>
  <c r="B954" i="5"/>
  <c r="J954" i="5" s="1"/>
  <c r="K954" i="5" s="1"/>
  <c r="M954" i="5" s="1"/>
  <c r="B953" i="5"/>
  <c r="J953" i="5" s="1"/>
  <c r="K953" i="5" s="1"/>
  <c r="M953" i="5" s="1"/>
  <c r="B952" i="5"/>
  <c r="J952" i="5" s="1"/>
  <c r="K952" i="5" s="1"/>
  <c r="M952" i="5" s="1"/>
  <c r="B951" i="5"/>
  <c r="J951" i="5" s="1"/>
  <c r="K951" i="5" s="1"/>
  <c r="M951" i="5" s="1"/>
  <c r="B950" i="5"/>
  <c r="J950" i="5" s="1"/>
  <c r="K950" i="5" s="1"/>
  <c r="M950" i="5" s="1"/>
  <c r="B949" i="5"/>
  <c r="J949" i="5" s="1"/>
  <c r="K949" i="5" s="1"/>
  <c r="M949" i="5" s="1"/>
  <c r="B948" i="5"/>
  <c r="J948" i="5" s="1"/>
  <c r="K948" i="5" s="1"/>
  <c r="M948" i="5" s="1"/>
  <c r="B947" i="5"/>
  <c r="J947" i="5" s="1"/>
  <c r="K947" i="5" s="1"/>
  <c r="M947" i="5" s="1"/>
  <c r="B946" i="5"/>
  <c r="J946" i="5" s="1"/>
  <c r="K946" i="5" s="1"/>
  <c r="M946" i="5" s="1"/>
  <c r="B945" i="5"/>
  <c r="J945" i="5" s="1"/>
  <c r="K945" i="5" s="1"/>
  <c r="M945" i="5" s="1"/>
  <c r="B944" i="5"/>
  <c r="J944" i="5" s="1"/>
  <c r="K944" i="5" s="1"/>
  <c r="M944" i="5" s="1"/>
  <c r="B943" i="5"/>
  <c r="J943" i="5" s="1"/>
  <c r="K943" i="5" s="1"/>
  <c r="M943" i="5" s="1"/>
  <c r="B942" i="5"/>
  <c r="J942" i="5" s="1"/>
  <c r="K942" i="5" s="1"/>
  <c r="M942" i="5" s="1"/>
  <c r="B941" i="5"/>
  <c r="J941" i="5" s="1"/>
  <c r="K941" i="5" s="1"/>
  <c r="M941" i="5" s="1"/>
  <c r="B940" i="5"/>
  <c r="J940" i="5" s="1"/>
  <c r="K940" i="5" s="1"/>
  <c r="M940" i="5" s="1"/>
  <c r="B939" i="5"/>
  <c r="J939" i="5" s="1"/>
  <c r="K939" i="5" s="1"/>
  <c r="M939" i="5" s="1"/>
  <c r="B938" i="5"/>
  <c r="J938" i="5" s="1"/>
  <c r="K938" i="5" s="1"/>
  <c r="M938" i="5" s="1"/>
  <c r="B937" i="5"/>
  <c r="J937" i="5" s="1"/>
  <c r="K937" i="5" s="1"/>
  <c r="M937" i="5" s="1"/>
  <c r="B936" i="5"/>
  <c r="J936" i="5" s="1"/>
  <c r="K936" i="5" s="1"/>
  <c r="M936" i="5" s="1"/>
  <c r="B935" i="5"/>
  <c r="J935" i="5" s="1"/>
  <c r="K935" i="5" s="1"/>
  <c r="M935" i="5" s="1"/>
  <c r="B934" i="5"/>
  <c r="J934" i="5" s="1"/>
  <c r="K934" i="5" s="1"/>
  <c r="M934" i="5" s="1"/>
  <c r="B933" i="5"/>
  <c r="J933" i="5" s="1"/>
  <c r="K933" i="5" s="1"/>
  <c r="M933" i="5" s="1"/>
  <c r="B932" i="5"/>
  <c r="J932" i="5" s="1"/>
  <c r="K932" i="5" s="1"/>
  <c r="M932" i="5" s="1"/>
  <c r="B931" i="5"/>
  <c r="J931" i="5" s="1"/>
  <c r="K931" i="5" s="1"/>
  <c r="M931" i="5" s="1"/>
  <c r="B930" i="5"/>
  <c r="J930" i="5" s="1"/>
  <c r="K930" i="5" s="1"/>
  <c r="M930" i="5" s="1"/>
  <c r="B929" i="5"/>
  <c r="J929" i="5" s="1"/>
  <c r="K929" i="5" s="1"/>
  <c r="M929" i="5" s="1"/>
  <c r="B928" i="5"/>
  <c r="J928" i="5" s="1"/>
  <c r="K928" i="5" s="1"/>
  <c r="M928" i="5" s="1"/>
  <c r="B927" i="5"/>
  <c r="J927" i="5" s="1"/>
  <c r="K927" i="5" s="1"/>
  <c r="M927" i="5" s="1"/>
  <c r="B926" i="5"/>
  <c r="J926" i="5" s="1"/>
  <c r="K926" i="5" s="1"/>
  <c r="M926" i="5" s="1"/>
  <c r="B925" i="5"/>
  <c r="J925" i="5" s="1"/>
  <c r="K925" i="5" s="1"/>
  <c r="M925" i="5" s="1"/>
  <c r="B924" i="5"/>
  <c r="J924" i="5" s="1"/>
  <c r="K924" i="5" s="1"/>
  <c r="M924" i="5" s="1"/>
  <c r="B923" i="5"/>
  <c r="J923" i="5" s="1"/>
  <c r="K923" i="5" s="1"/>
  <c r="M923" i="5" s="1"/>
  <c r="B922" i="5"/>
  <c r="J922" i="5" s="1"/>
  <c r="K922" i="5" s="1"/>
  <c r="M922" i="5" s="1"/>
  <c r="B921" i="5"/>
  <c r="J921" i="5" s="1"/>
  <c r="K921" i="5" s="1"/>
  <c r="M921" i="5" s="1"/>
  <c r="B920" i="5"/>
  <c r="J920" i="5" s="1"/>
  <c r="K920" i="5" s="1"/>
  <c r="M920" i="5" s="1"/>
  <c r="B919" i="5"/>
  <c r="J919" i="5" s="1"/>
  <c r="K919" i="5" s="1"/>
  <c r="M919" i="5" s="1"/>
  <c r="B918" i="5"/>
  <c r="J918" i="5" s="1"/>
  <c r="K918" i="5" s="1"/>
  <c r="M918" i="5" s="1"/>
  <c r="B917" i="5"/>
  <c r="J917" i="5" s="1"/>
  <c r="K917" i="5" s="1"/>
  <c r="M917" i="5" s="1"/>
  <c r="B916" i="5"/>
  <c r="J916" i="5" s="1"/>
  <c r="K916" i="5" s="1"/>
  <c r="M916" i="5" s="1"/>
  <c r="B915" i="5"/>
  <c r="J915" i="5" s="1"/>
  <c r="K915" i="5" s="1"/>
  <c r="M915" i="5" s="1"/>
  <c r="B914" i="5"/>
  <c r="J914" i="5" s="1"/>
  <c r="K914" i="5" s="1"/>
  <c r="M914" i="5" s="1"/>
  <c r="B913" i="5"/>
  <c r="J913" i="5" s="1"/>
  <c r="K913" i="5" s="1"/>
  <c r="M913" i="5" s="1"/>
  <c r="B912" i="5"/>
  <c r="J912" i="5" s="1"/>
  <c r="K912" i="5" s="1"/>
  <c r="M912" i="5" s="1"/>
  <c r="B911" i="5"/>
  <c r="J911" i="5" s="1"/>
  <c r="K911" i="5" s="1"/>
  <c r="M911" i="5" s="1"/>
  <c r="B910" i="5"/>
  <c r="J910" i="5" s="1"/>
  <c r="K910" i="5" s="1"/>
  <c r="M910" i="5" s="1"/>
  <c r="B909" i="5"/>
  <c r="J909" i="5" s="1"/>
  <c r="K909" i="5" s="1"/>
  <c r="M909" i="5" s="1"/>
  <c r="B908" i="5"/>
  <c r="J908" i="5" s="1"/>
  <c r="K908" i="5" s="1"/>
  <c r="M908" i="5" s="1"/>
  <c r="B907" i="5"/>
  <c r="J907" i="5" s="1"/>
  <c r="K907" i="5" s="1"/>
  <c r="M907" i="5" s="1"/>
  <c r="B906" i="5"/>
  <c r="J906" i="5" s="1"/>
  <c r="K906" i="5" s="1"/>
  <c r="M906" i="5" s="1"/>
  <c r="B905" i="5"/>
  <c r="J905" i="5" s="1"/>
  <c r="K905" i="5" s="1"/>
  <c r="M905" i="5" s="1"/>
  <c r="B904" i="5"/>
  <c r="J904" i="5" s="1"/>
  <c r="K904" i="5" s="1"/>
  <c r="M904" i="5" s="1"/>
  <c r="B903" i="5"/>
  <c r="J903" i="5" s="1"/>
  <c r="K903" i="5" s="1"/>
  <c r="M903" i="5" s="1"/>
  <c r="B902" i="5"/>
  <c r="J902" i="5" s="1"/>
  <c r="K902" i="5" s="1"/>
  <c r="M902" i="5" s="1"/>
  <c r="B901" i="5"/>
  <c r="J901" i="5" s="1"/>
  <c r="K901" i="5" s="1"/>
  <c r="M901" i="5" s="1"/>
  <c r="B900" i="5"/>
  <c r="J900" i="5" s="1"/>
  <c r="K900" i="5" s="1"/>
  <c r="M900" i="5" s="1"/>
  <c r="B899" i="5"/>
  <c r="J899" i="5" s="1"/>
  <c r="K899" i="5" s="1"/>
  <c r="M899" i="5" s="1"/>
  <c r="B898" i="5"/>
  <c r="J898" i="5" s="1"/>
  <c r="K898" i="5" s="1"/>
  <c r="M898" i="5" s="1"/>
  <c r="B897" i="5"/>
  <c r="J897" i="5" s="1"/>
  <c r="K897" i="5" s="1"/>
  <c r="M897" i="5" s="1"/>
  <c r="B896" i="5"/>
  <c r="J896" i="5" s="1"/>
  <c r="K896" i="5" s="1"/>
  <c r="M896" i="5" s="1"/>
  <c r="B895" i="5"/>
  <c r="J895" i="5" s="1"/>
  <c r="K895" i="5" s="1"/>
  <c r="M895" i="5" s="1"/>
  <c r="B894" i="5"/>
  <c r="J894" i="5" s="1"/>
  <c r="K894" i="5" s="1"/>
  <c r="M894" i="5" s="1"/>
  <c r="B893" i="5"/>
  <c r="J893" i="5" s="1"/>
  <c r="K893" i="5" s="1"/>
  <c r="M893" i="5" s="1"/>
  <c r="B892" i="5"/>
  <c r="J892" i="5" s="1"/>
  <c r="K892" i="5" s="1"/>
  <c r="M892" i="5" s="1"/>
  <c r="B891" i="5"/>
  <c r="J891" i="5" s="1"/>
  <c r="K891" i="5" s="1"/>
  <c r="M891" i="5" s="1"/>
  <c r="B890" i="5"/>
  <c r="J890" i="5" s="1"/>
  <c r="K890" i="5" s="1"/>
  <c r="M890" i="5" s="1"/>
  <c r="B889" i="5"/>
  <c r="J889" i="5" s="1"/>
  <c r="K889" i="5" s="1"/>
  <c r="M889" i="5" s="1"/>
  <c r="B888" i="5"/>
  <c r="J888" i="5" s="1"/>
  <c r="K888" i="5" s="1"/>
  <c r="M888" i="5" s="1"/>
  <c r="B887" i="5"/>
  <c r="J887" i="5" s="1"/>
  <c r="K887" i="5" s="1"/>
  <c r="M887" i="5" s="1"/>
  <c r="B886" i="5"/>
  <c r="J886" i="5" s="1"/>
  <c r="K886" i="5" s="1"/>
  <c r="M886" i="5" s="1"/>
  <c r="B885" i="5"/>
  <c r="J885" i="5" s="1"/>
  <c r="K885" i="5" s="1"/>
  <c r="M885" i="5" s="1"/>
  <c r="B884" i="5"/>
  <c r="J884" i="5" s="1"/>
  <c r="K884" i="5" s="1"/>
  <c r="M884" i="5" s="1"/>
  <c r="B883" i="5"/>
  <c r="J883" i="5" s="1"/>
  <c r="K883" i="5" s="1"/>
  <c r="M883" i="5" s="1"/>
  <c r="B882" i="5"/>
  <c r="J882" i="5" s="1"/>
  <c r="K882" i="5" s="1"/>
  <c r="M882" i="5" s="1"/>
  <c r="B881" i="5"/>
  <c r="J881" i="5" s="1"/>
  <c r="K881" i="5" s="1"/>
  <c r="M881" i="5" s="1"/>
  <c r="B880" i="5"/>
  <c r="J880" i="5" s="1"/>
  <c r="K880" i="5" s="1"/>
  <c r="M880" i="5" s="1"/>
  <c r="B879" i="5"/>
  <c r="J879" i="5" s="1"/>
  <c r="K879" i="5" s="1"/>
  <c r="M879" i="5" s="1"/>
  <c r="B878" i="5"/>
  <c r="J878" i="5" s="1"/>
  <c r="K878" i="5" s="1"/>
  <c r="M878" i="5" s="1"/>
  <c r="B877" i="5"/>
  <c r="J877" i="5" s="1"/>
  <c r="K877" i="5" s="1"/>
  <c r="M877" i="5" s="1"/>
  <c r="B876" i="5"/>
  <c r="J876" i="5" s="1"/>
  <c r="K876" i="5" s="1"/>
  <c r="M876" i="5" s="1"/>
  <c r="B875" i="5"/>
  <c r="J875" i="5" s="1"/>
  <c r="K875" i="5" s="1"/>
  <c r="M875" i="5" s="1"/>
  <c r="B874" i="5"/>
  <c r="J874" i="5" s="1"/>
  <c r="K874" i="5" s="1"/>
  <c r="M874" i="5" s="1"/>
  <c r="B873" i="5"/>
  <c r="J873" i="5" s="1"/>
  <c r="K873" i="5" s="1"/>
  <c r="M873" i="5" s="1"/>
  <c r="B872" i="5"/>
  <c r="J872" i="5" s="1"/>
  <c r="K872" i="5" s="1"/>
  <c r="M872" i="5" s="1"/>
  <c r="B871" i="5"/>
  <c r="J871" i="5" s="1"/>
  <c r="K871" i="5" s="1"/>
  <c r="M871" i="5" s="1"/>
  <c r="B870" i="5"/>
  <c r="J870" i="5" s="1"/>
  <c r="K870" i="5" s="1"/>
  <c r="M870" i="5" s="1"/>
  <c r="B869" i="5"/>
  <c r="J869" i="5" s="1"/>
  <c r="K869" i="5" s="1"/>
  <c r="M869" i="5" s="1"/>
  <c r="B868" i="5"/>
  <c r="J868" i="5" s="1"/>
  <c r="K868" i="5" s="1"/>
  <c r="M868" i="5" s="1"/>
  <c r="B867" i="5"/>
  <c r="J867" i="5" s="1"/>
  <c r="K867" i="5" s="1"/>
  <c r="M867" i="5" s="1"/>
  <c r="B866" i="5"/>
  <c r="J866" i="5" s="1"/>
  <c r="K866" i="5" s="1"/>
  <c r="M866" i="5" s="1"/>
  <c r="B865" i="5"/>
  <c r="J865" i="5" s="1"/>
  <c r="K865" i="5" s="1"/>
  <c r="M865" i="5" s="1"/>
  <c r="B864" i="5"/>
  <c r="J864" i="5" s="1"/>
  <c r="K864" i="5" s="1"/>
  <c r="M864" i="5" s="1"/>
  <c r="B863" i="5"/>
  <c r="J863" i="5" s="1"/>
  <c r="K863" i="5" s="1"/>
  <c r="M863" i="5" s="1"/>
  <c r="B862" i="5"/>
  <c r="J862" i="5" s="1"/>
  <c r="K862" i="5" s="1"/>
  <c r="M862" i="5" s="1"/>
  <c r="B861" i="5"/>
  <c r="J861" i="5" s="1"/>
  <c r="K861" i="5" s="1"/>
  <c r="M861" i="5" s="1"/>
  <c r="B860" i="5"/>
  <c r="J860" i="5" s="1"/>
  <c r="K860" i="5" s="1"/>
  <c r="M860" i="5" s="1"/>
  <c r="B859" i="5"/>
  <c r="J859" i="5" s="1"/>
  <c r="K859" i="5" s="1"/>
  <c r="M859" i="5" s="1"/>
  <c r="B858" i="5"/>
  <c r="J858" i="5" s="1"/>
  <c r="K858" i="5" s="1"/>
  <c r="M858" i="5" s="1"/>
  <c r="B857" i="5"/>
  <c r="J857" i="5" s="1"/>
  <c r="K857" i="5" s="1"/>
  <c r="M857" i="5" s="1"/>
  <c r="B856" i="5"/>
  <c r="J856" i="5" s="1"/>
  <c r="K856" i="5" s="1"/>
  <c r="M856" i="5" s="1"/>
  <c r="B855" i="5"/>
  <c r="J855" i="5" s="1"/>
  <c r="K855" i="5" s="1"/>
  <c r="M855" i="5" s="1"/>
  <c r="B854" i="5"/>
  <c r="J854" i="5" s="1"/>
  <c r="K854" i="5" s="1"/>
  <c r="M854" i="5" s="1"/>
  <c r="B853" i="5"/>
  <c r="J853" i="5" s="1"/>
  <c r="K853" i="5" s="1"/>
  <c r="M853" i="5" s="1"/>
  <c r="B852" i="5"/>
  <c r="J852" i="5" s="1"/>
  <c r="K852" i="5" s="1"/>
  <c r="M852" i="5" s="1"/>
  <c r="B851" i="5"/>
  <c r="J851" i="5" s="1"/>
  <c r="K851" i="5" s="1"/>
  <c r="M851" i="5" s="1"/>
  <c r="B850" i="5"/>
  <c r="J850" i="5" s="1"/>
  <c r="K850" i="5" s="1"/>
  <c r="M850" i="5" s="1"/>
  <c r="B849" i="5"/>
  <c r="J849" i="5" s="1"/>
  <c r="K849" i="5" s="1"/>
  <c r="M849" i="5" s="1"/>
  <c r="B848" i="5"/>
  <c r="J848" i="5" s="1"/>
  <c r="K848" i="5" s="1"/>
  <c r="M848" i="5" s="1"/>
  <c r="B847" i="5"/>
  <c r="J847" i="5" s="1"/>
  <c r="K847" i="5" s="1"/>
  <c r="M847" i="5" s="1"/>
  <c r="B846" i="5"/>
  <c r="J846" i="5" s="1"/>
  <c r="K846" i="5" s="1"/>
  <c r="M846" i="5" s="1"/>
  <c r="B845" i="5"/>
  <c r="J845" i="5" s="1"/>
  <c r="K845" i="5" s="1"/>
  <c r="M845" i="5" s="1"/>
  <c r="B844" i="5"/>
  <c r="J844" i="5" s="1"/>
  <c r="K844" i="5" s="1"/>
  <c r="M844" i="5" s="1"/>
  <c r="B843" i="5"/>
  <c r="J843" i="5" s="1"/>
  <c r="K843" i="5" s="1"/>
  <c r="M843" i="5" s="1"/>
  <c r="B842" i="5"/>
  <c r="J842" i="5" s="1"/>
  <c r="K842" i="5" s="1"/>
  <c r="M842" i="5" s="1"/>
  <c r="B841" i="5"/>
  <c r="J841" i="5" s="1"/>
  <c r="K841" i="5" s="1"/>
  <c r="M841" i="5" s="1"/>
  <c r="B840" i="5"/>
  <c r="J840" i="5" s="1"/>
  <c r="K840" i="5" s="1"/>
  <c r="M840" i="5" s="1"/>
  <c r="B839" i="5"/>
  <c r="J839" i="5" s="1"/>
  <c r="K839" i="5" s="1"/>
  <c r="M839" i="5" s="1"/>
  <c r="B838" i="5"/>
  <c r="J838" i="5" s="1"/>
  <c r="K838" i="5" s="1"/>
  <c r="M838" i="5" s="1"/>
  <c r="B837" i="5"/>
  <c r="J837" i="5" s="1"/>
  <c r="K837" i="5" s="1"/>
  <c r="M837" i="5" s="1"/>
  <c r="B836" i="5"/>
  <c r="J836" i="5" s="1"/>
  <c r="K836" i="5" s="1"/>
  <c r="M836" i="5" s="1"/>
  <c r="B835" i="5"/>
  <c r="J835" i="5" s="1"/>
  <c r="K835" i="5" s="1"/>
  <c r="M835" i="5" s="1"/>
  <c r="B834" i="5"/>
  <c r="J834" i="5" s="1"/>
  <c r="K834" i="5" s="1"/>
  <c r="M834" i="5" s="1"/>
  <c r="B833" i="5"/>
  <c r="J833" i="5" s="1"/>
  <c r="K833" i="5" s="1"/>
  <c r="M833" i="5" s="1"/>
  <c r="B832" i="5"/>
  <c r="J832" i="5" s="1"/>
  <c r="K832" i="5" s="1"/>
  <c r="M832" i="5" s="1"/>
  <c r="B831" i="5"/>
  <c r="J831" i="5" s="1"/>
  <c r="K831" i="5" s="1"/>
  <c r="M831" i="5" s="1"/>
  <c r="B830" i="5"/>
  <c r="J830" i="5" s="1"/>
  <c r="K830" i="5" s="1"/>
  <c r="M830" i="5" s="1"/>
  <c r="B829" i="5"/>
  <c r="J829" i="5" s="1"/>
  <c r="K829" i="5" s="1"/>
  <c r="M829" i="5" s="1"/>
  <c r="B828" i="5"/>
  <c r="J828" i="5" s="1"/>
  <c r="K828" i="5" s="1"/>
  <c r="M828" i="5" s="1"/>
  <c r="B827" i="5"/>
  <c r="J827" i="5" s="1"/>
  <c r="K827" i="5" s="1"/>
  <c r="M827" i="5" s="1"/>
  <c r="B826" i="5"/>
  <c r="J826" i="5" s="1"/>
  <c r="K826" i="5" s="1"/>
  <c r="M826" i="5" s="1"/>
  <c r="B825" i="5"/>
  <c r="J825" i="5" s="1"/>
  <c r="K825" i="5" s="1"/>
  <c r="M825" i="5" s="1"/>
  <c r="B824" i="5"/>
  <c r="J824" i="5" s="1"/>
  <c r="K824" i="5" s="1"/>
  <c r="M824" i="5" s="1"/>
  <c r="B823" i="5"/>
  <c r="J823" i="5" s="1"/>
  <c r="K823" i="5" s="1"/>
  <c r="M823" i="5" s="1"/>
  <c r="B822" i="5"/>
  <c r="J822" i="5" s="1"/>
  <c r="K822" i="5" s="1"/>
  <c r="M822" i="5" s="1"/>
  <c r="B821" i="5"/>
  <c r="J821" i="5" s="1"/>
  <c r="K821" i="5" s="1"/>
  <c r="M821" i="5" s="1"/>
  <c r="B820" i="5"/>
  <c r="J820" i="5" s="1"/>
  <c r="K820" i="5" s="1"/>
  <c r="M820" i="5" s="1"/>
  <c r="B819" i="5"/>
  <c r="J819" i="5" s="1"/>
  <c r="K819" i="5" s="1"/>
  <c r="M819" i="5" s="1"/>
  <c r="B818" i="5"/>
  <c r="J818" i="5" s="1"/>
  <c r="K818" i="5" s="1"/>
  <c r="M818" i="5" s="1"/>
  <c r="B817" i="5"/>
  <c r="J817" i="5" s="1"/>
  <c r="K817" i="5" s="1"/>
  <c r="M817" i="5" s="1"/>
  <c r="B816" i="5"/>
  <c r="J816" i="5" s="1"/>
  <c r="K816" i="5" s="1"/>
  <c r="M816" i="5" s="1"/>
  <c r="B815" i="5"/>
  <c r="J815" i="5" s="1"/>
  <c r="K815" i="5" s="1"/>
  <c r="M815" i="5" s="1"/>
  <c r="B814" i="5"/>
  <c r="J814" i="5" s="1"/>
  <c r="K814" i="5" s="1"/>
  <c r="M814" i="5" s="1"/>
  <c r="B813" i="5"/>
  <c r="J813" i="5" s="1"/>
  <c r="K813" i="5" s="1"/>
  <c r="M813" i="5" s="1"/>
  <c r="B812" i="5"/>
  <c r="J812" i="5" s="1"/>
  <c r="K812" i="5" s="1"/>
  <c r="M812" i="5" s="1"/>
  <c r="B811" i="5"/>
  <c r="J811" i="5" s="1"/>
  <c r="K811" i="5" s="1"/>
  <c r="M811" i="5" s="1"/>
  <c r="B810" i="5"/>
  <c r="J810" i="5" s="1"/>
  <c r="K810" i="5" s="1"/>
  <c r="M810" i="5" s="1"/>
  <c r="B809" i="5"/>
  <c r="J809" i="5" s="1"/>
  <c r="K809" i="5" s="1"/>
  <c r="M809" i="5" s="1"/>
  <c r="B808" i="5"/>
  <c r="J808" i="5" s="1"/>
  <c r="K808" i="5" s="1"/>
  <c r="M808" i="5" s="1"/>
  <c r="B807" i="5"/>
  <c r="J807" i="5" s="1"/>
  <c r="K807" i="5" s="1"/>
  <c r="M807" i="5" s="1"/>
  <c r="B806" i="5"/>
  <c r="J806" i="5" s="1"/>
  <c r="K806" i="5" s="1"/>
  <c r="M806" i="5" s="1"/>
  <c r="B805" i="5"/>
  <c r="J805" i="5" s="1"/>
  <c r="K805" i="5" s="1"/>
  <c r="M805" i="5" s="1"/>
  <c r="B804" i="5"/>
  <c r="J804" i="5" s="1"/>
  <c r="K804" i="5" s="1"/>
  <c r="M804" i="5" s="1"/>
  <c r="B803" i="5"/>
  <c r="J803" i="5" s="1"/>
  <c r="K803" i="5" s="1"/>
  <c r="M803" i="5" s="1"/>
  <c r="B802" i="5"/>
  <c r="J802" i="5" s="1"/>
  <c r="K802" i="5" s="1"/>
  <c r="M802" i="5" s="1"/>
  <c r="B801" i="5"/>
  <c r="J801" i="5" s="1"/>
  <c r="K801" i="5" s="1"/>
  <c r="M801" i="5" s="1"/>
  <c r="B800" i="5"/>
  <c r="J800" i="5" s="1"/>
  <c r="K800" i="5" s="1"/>
  <c r="M800" i="5" s="1"/>
  <c r="B799" i="5"/>
  <c r="J799" i="5" s="1"/>
  <c r="K799" i="5" s="1"/>
  <c r="M799" i="5" s="1"/>
  <c r="B798" i="5"/>
  <c r="J798" i="5" s="1"/>
  <c r="K798" i="5" s="1"/>
  <c r="M798" i="5" s="1"/>
  <c r="B797" i="5"/>
  <c r="J797" i="5" s="1"/>
  <c r="K797" i="5" s="1"/>
  <c r="M797" i="5" s="1"/>
  <c r="B796" i="5"/>
  <c r="J796" i="5" s="1"/>
  <c r="K796" i="5" s="1"/>
  <c r="M796" i="5" s="1"/>
  <c r="B795" i="5"/>
  <c r="J795" i="5" s="1"/>
  <c r="K795" i="5" s="1"/>
  <c r="M795" i="5" s="1"/>
  <c r="B794" i="5"/>
  <c r="J794" i="5" s="1"/>
  <c r="K794" i="5" s="1"/>
  <c r="M794" i="5" s="1"/>
  <c r="B793" i="5"/>
  <c r="J793" i="5" s="1"/>
  <c r="K793" i="5" s="1"/>
  <c r="M793" i="5" s="1"/>
  <c r="B792" i="5"/>
  <c r="J792" i="5" s="1"/>
  <c r="K792" i="5" s="1"/>
  <c r="M792" i="5" s="1"/>
  <c r="B791" i="5"/>
  <c r="J791" i="5" s="1"/>
  <c r="K791" i="5" s="1"/>
  <c r="M791" i="5" s="1"/>
  <c r="B790" i="5"/>
  <c r="J790" i="5" s="1"/>
  <c r="K790" i="5" s="1"/>
  <c r="M790" i="5" s="1"/>
  <c r="B789" i="5"/>
  <c r="J789" i="5" s="1"/>
  <c r="K789" i="5" s="1"/>
  <c r="M789" i="5" s="1"/>
  <c r="B788" i="5"/>
  <c r="J788" i="5" s="1"/>
  <c r="K788" i="5" s="1"/>
  <c r="M788" i="5" s="1"/>
  <c r="B787" i="5"/>
  <c r="J787" i="5" s="1"/>
  <c r="K787" i="5" s="1"/>
  <c r="M787" i="5" s="1"/>
  <c r="B786" i="5"/>
  <c r="J786" i="5" s="1"/>
  <c r="K786" i="5" s="1"/>
  <c r="M786" i="5" s="1"/>
  <c r="B785" i="5"/>
  <c r="J785" i="5" s="1"/>
  <c r="K785" i="5" s="1"/>
  <c r="M785" i="5" s="1"/>
  <c r="B784" i="5"/>
  <c r="J784" i="5" s="1"/>
  <c r="K784" i="5" s="1"/>
  <c r="M784" i="5" s="1"/>
  <c r="B783" i="5"/>
  <c r="J783" i="5" s="1"/>
  <c r="K783" i="5" s="1"/>
  <c r="M783" i="5" s="1"/>
  <c r="B782" i="5"/>
  <c r="J782" i="5" s="1"/>
  <c r="K782" i="5" s="1"/>
  <c r="M782" i="5" s="1"/>
  <c r="B781" i="5"/>
  <c r="J781" i="5" s="1"/>
  <c r="K781" i="5" s="1"/>
  <c r="M781" i="5" s="1"/>
  <c r="B780" i="5"/>
  <c r="J780" i="5" s="1"/>
  <c r="K780" i="5" s="1"/>
  <c r="M780" i="5" s="1"/>
  <c r="B779" i="5"/>
  <c r="J779" i="5" s="1"/>
  <c r="K779" i="5" s="1"/>
  <c r="M779" i="5" s="1"/>
  <c r="B778" i="5"/>
  <c r="J778" i="5" s="1"/>
  <c r="K778" i="5" s="1"/>
  <c r="M778" i="5" s="1"/>
  <c r="B777" i="5"/>
  <c r="J777" i="5" s="1"/>
  <c r="K777" i="5" s="1"/>
  <c r="M777" i="5" s="1"/>
  <c r="B776" i="5"/>
  <c r="J776" i="5" s="1"/>
  <c r="K776" i="5" s="1"/>
  <c r="M776" i="5" s="1"/>
  <c r="B775" i="5"/>
  <c r="J775" i="5" s="1"/>
  <c r="K775" i="5" s="1"/>
  <c r="M775" i="5" s="1"/>
  <c r="B774" i="5"/>
  <c r="J774" i="5" s="1"/>
  <c r="K774" i="5" s="1"/>
  <c r="M774" i="5" s="1"/>
  <c r="B773" i="5"/>
  <c r="J773" i="5" s="1"/>
  <c r="K773" i="5" s="1"/>
  <c r="M773" i="5" s="1"/>
  <c r="B772" i="5"/>
  <c r="J772" i="5" s="1"/>
  <c r="K772" i="5" s="1"/>
  <c r="M772" i="5" s="1"/>
  <c r="B771" i="5"/>
  <c r="J771" i="5" s="1"/>
  <c r="K771" i="5" s="1"/>
  <c r="M771" i="5" s="1"/>
  <c r="B770" i="5"/>
  <c r="J770" i="5" s="1"/>
  <c r="K770" i="5" s="1"/>
  <c r="M770" i="5" s="1"/>
  <c r="B769" i="5"/>
  <c r="J769" i="5" s="1"/>
  <c r="K769" i="5" s="1"/>
  <c r="M769" i="5" s="1"/>
  <c r="B768" i="5"/>
  <c r="J768" i="5" s="1"/>
  <c r="K768" i="5" s="1"/>
  <c r="M768" i="5" s="1"/>
  <c r="B767" i="5"/>
  <c r="J767" i="5" s="1"/>
  <c r="K767" i="5" s="1"/>
  <c r="M767" i="5" s="1"/>
  <c r="B766" i="5"/>
  <c r="J766" i="5" s="1"/>
  <c r="K766" i="5" s="1"/>
  <c r="M766" i="5" s="1"/>
  <c r="B765" i="5"/>
  <c r="J765" i="5" s="1"/>
  <c r="K765" i="5" s="1"/>
  <c r="M765" i="5" s="1"/>
  <c r="B764" i="5"/>
  <c r="J764" i="5" s="1"/>
  <c r="K764" i="5" s="1"/>
  <c r="M764" i="5" s="1"/>
  <c r="B763" i="5"/>
  <c r="J763" i="5" s="1"/>
  <c r="K763" i="5" s="1"/>
  <c r="M763" i="5" s="1"/>
  <c r="B762" i="5"/>
  <c r="J762" i="5" s="1"/>
  <c r="K762" i="5" s="1"/>
  <c r="M762" i="5" s="1"/>
  <c r="B761" i="5"/>
  <c r="J761" i="5" s="1"/>
  <c r="K761" i="5" s="1"/>
  <c r="M761" i="5" s="1"/>
  <c r="B760" i="5"/>
  <c r="J760" i="5" s="1"/>
  <c r="K760" i="5" s="1"/>
  <c r="M760" i="5" s="1"/>
  <c r="B759" i="5"/>
  <c r="J759" i="5" s="1"/>
  <c r="K759" i="5" s="1"/>
  <c r="M759" i="5" s="1"/>
  <c r="B758" i="5"/>
  <c r="J758" i="5" s="1"/>
  <c r="K758" i="5" s="1"/>
  <c r="M758" i="5" s="1"/>
  <c r="B757" i="5"/>
  <c r="J757" i="5" s="1"/>
  <c r="K757" i="5" s="1"/>
  <c r="M757" i="5" s="1"/>
  <c r="B756" i="5"/>
  <c r="J756" i="5" s="1"/>
  <c r="K756" i="5" s="1"/>
  <c r="M756" i="5" s="1"/>
  <c r="B755" i="5"/>
  <c r="J755" i="5" s="1"/>
  <c r="K755" i="5" s="1"/>
  <c r="M755" i="5" s="1"/>
  <c r="B754" i="5"/>
  <c r="J754" i="5" s="1"/>
  <c r="K754" i="5" s="1"/>
  <c r="M754" i="5" s="1"/>
  <c r="B753" i="5"/>
  <c r="J753" i="5" s="1"/>
  <c r="K753" i="5" s="1"/>
  <c r="M753" i="5" s="1"/>
  <c r="B752" i="5"/>
  <c r="J752" i="5" s="1"/>
  <c r="K752" i="5" s="1"/>
  <c r="M752" i="5" s="1"/>
  <c r="B751" i="5"/>
  <c r="J751" i="5" s="1"/>
  <c r="K751" i="5" s="1"/>
  <c r="M751" i="5" s="1"/>
  <c r="B750" i="5"/>
  <c r="J750" i="5" s="1"/>
  <c r="K750" i="5" s="1"/>
  <c r="M750" i="5" s="1"/>
  <c r="B749" i="5"/>
  <c r="J749" i="5" s="1"/>
  <c r="K749" i="5" s="1"/>
  <c r="M749" i="5" s="1"/>
  <c r="B748" i="5"/>
  <c r="J748" i="5" s="1"/>
  <c r="K748" i="5" s="1"/>
  <c r="M748" i="5" s="1"/>
  <c r="B747" i="5"/>
  <c r="J747" i="5" s="1"/>
  <c r="K747" i="5" s="1"/>
  <c r="M747" i="5" s="1"/>
  <c r="B746" i="5"/>
  <c r="J746" i="5" s="1"/>
  <c r="K746" i="5" s="1"/>
  <c r="M746" i="5" s="1"/>
  <c r="B745" i="5"/>
  <c r="J745" i="5" s="1"/>
  <c r="K745" i="5" s="1"/>
  <c r="M745" i="5" s="1"/>
  <c r="B744" i="5"/>
  <c r="J744" i="5" s="1"/>
  <c r="K744" i="5" s="1"/>
  <c r="M744" i="5" s="1"/>
  <c r="B743" i="5"/>
  <c r="J743" i="5" s="1"/>
  <c r="K743" i="5" s="1"/>
  <c r="M743" i="5" s="1"/>
  <c r="B742" i="5"/>
  <c r="J742" i="5" s="1"/>
  <c r="K742" i="5" s="1"/>
  <c r="M742" i="5" s="1"/>
  <c r="B741" i="5"/>
  <c r="J741" i="5" s="1"/>
  <c r="K741" i="5" s="1"/>
  <c r="M741" i="5" s="1"/>
  <c r="B740" i="5"/>
  <c r="J740" i="5" s="1"/>
  <c r="K740" i="5" s="1"/>
  <c r="M740" i="5" s="1"/>
  <c r="B739" i="5"/>
  <c r="J739" i="5" s="1"/>
  <c r="K739" i="5" s="1"/>
  <c r="M739" i="5" s="1"/>
  <c r="B738" i="5"/>
  <c r="J738" i="5" s="1"/>
  <c r="K738" i="5" s="1"/>
  <c r="M738" i="5" s="1"/>
  <c r="B737" i="5"/>
  <c r="J737" i="5" s="1"/>
  <c r="K737" i="5" s="1"/>
  <c r="M737" i="5" s="1"/>
  <c r="B736" i="5"/>
  <c r="J736" i="5" s="1"/>
  <c r="K736" i="5" s="1"/>
  <c r="M736" i="5" s="1"/>
  <c r="B735" i="5"/>
  <c r="J735" i="5" s="1"/>
  <c r="K735" i="5" s="1"/>
  <c r="M735" i="5" s="1"/>
  <c r="B734" i="5"/>
  <c r="J734" i="5" s="1"/>
  <c r="K734" i="5" s="1"/>
  <c r="M734" i="5" s="1"/>
  <c r="B733" i="5"/>
  <c r="J733" i="5" s="1"/>
  <c r="K733" i="5" s="1"/>
  <c r="M733" i="5" s="1"/>
  <c r="B732" i="5"/>
  <c r="J732" i="5" s="1"/>
  <c r="K732" i="5" s="1"/>
  <c r="M732" i="5" s="1"/>
  <c r="B731" i="5"/>
  <c r="J731" i="5" s="1"/>
  <c r="K731" i="5" s="1"/>
  <c r="M731" i="5" s="1"/>
  <c r="B730" i="5"/>
  <c r="J730" i="5" s="1"/>
  <c r="K730" i="5" s="1"/>
  <c r="M730" i="5" s="1"/>
  <c r="B729" i="5"/>
  <c r="J729" i="5" s="1"/>
  <c r="K729" i="5" s="1"/>
  <c r="M729" i="5" s="1"/>
  <c r="B728" i="5"/>
  <c r="J728" i="5" s="1"/>
  <c r="K728" i="5" s="1"/>
  <c r="M728" i="5" s="1"/>
  <c r="B727" i="5"/>
  <c r="J727" i="5" s="1"/>
  <c r="K727" i="5" s="1"/>
  <c r="M727" i="5" s="1"/>
  <c r="B726" i="5"/>
  <c r="J726" i="5" s="1"/>
  <c r="K726" i="5" s="1"/>
  <c r="M726" i="5" s="1"/>
  <c r="B725" i="5"/>
  <c r="J725" i="5" s="1"/>
  <c r="K725" i="5" s="1"/>
  <c r="M725" i="5" s="1"/>
  <c r="B724" i="5"/>
  <c r="J724" i="5" s="1"/>
  <c r="K724" i="5" s="1"/>
  <c r="M724" i="5" s="1"/>
  <c r="B723" i="5"/>
  <c r="J723" i="5" s="1"/>
  <c r="K723" i="5" s="1"/>
  <c r="M723" i="5" s="1"/>
  <c r="B722" i="5"/>
  <c r="J722" i="5" s="1"/>
  <c r="K722" i="5" s="1"/>
  <c r="M722" i="5" s="1"/>
  <c r="B721" i="5"/>
  <c r="J721" i="5" s="1"/>
  <c r="K721" i="5" s="1"/>
  <c r="M721" i="5" s="1"/>
  <c r="B720" i="5"/>
  <c r="J720" i="5" s="1"/>
  <c r="K720" i="5" s="1"/>
  <c r="M720" i="5" s="1"/>
  <c r="B719" i="5"/>
  <c r="J719" i="5" s="1"/>
  <c r="K719" i="5" s="1"/>
  <c r="M719" i="5" s="1"/>
  <c r="B718" i="5"/>
  <c r="J718" i="5" s="1"/>
  <c r="K718" i="5" s="1"/>
  <c r="M718" i="5" s="1"/>
  <c r="B717" i="5"/>
  <c r="J717" i="5" s="1"/>
  <c r="K717" i="5" s="1"/>
  <c r="M717" i="5" s="1"/>
  <c r="B716" i="5"/>
  <c r="J716" i="5" s="1"/>
  <c r="K716" i="5" s="1"/>
  <c r="M716" i="5" s="1"/>
  <c r="B715" i="5"/>
  <c r="J715" i="5" s="1"/>
  <c r="K715" i="5" s="1"/>
  <c r="M715" i="5" s="1"/>
  <c r="B714" i="5"/>
  <c r="J714" i="5" s="1"/>
  <c r="K714" i="5" s="1"/>
  <c r="M714" i="5" s="1"/>
  <c r="B713" i="5"/>
  <c r="J713" i="5" s="1"/>
  <c r="K713" i="5" s="1"/>
  <c r="M713" i="5" s="1"/>
  <c r="B712" i="5"/>
  <c r="J712" i="5" s="1"/>
  <c r="K712" i="5" s="1"/>
  <c r="M712" i="5" s="1"/>
  <c r="B711" i="5"/>
  <c r="J711" i="5" s="1"/>
  <c r="K711" i="5" s="1"/>
  <c r="M711" i="5" s="1"/>
  <c r="B710" i="5"/>
  <c r="J710" i="5" s="1"/>
  <c r="K710" i="5" s="1"/>
  <c r="M710" i="5" s="1"/>
  <c r="B709" i="5"/>
  <c r="J709" i="5" s="1"/>
  <c r="K709" i="5" s="1"/>
  <c r="M709" i="5" s="1"/>
  <c r="B708" i="5"/>
  <c r="J708" i="5" s="1"/>
  <c r="K708" i="5" s="1"/>
  <c r="M708" i="5" s="1"/>
  <c r="B707" i="5"/>
  <c r="J707" i="5" s="1"/>
  <c r="K707" i="5" s="1"/>
  <c r="M707" i="5" s="1"/>
  <c r="B706" i="5"/>
  <c r="J706" i="5" s="1"/>
  <c r="K706" i="5" s="1"/>
  <c r="M706" i="5" s="1"/>
  <c r="B705" i="5"/>
  <c r="J705" i="5" s="1"/>
  <c r="K705" i="5" s="1"/>
  <c r="M705" i="5" s="1"/>
  <c r="B704" i="5"/>
  <c r="J704" i="5" s="1"/>
  <c r="K704" i="5" s="1"/>
  <c r="M704" i="5" s="1"/>
  <c r="B703" i="5"/>
  <c r="J703" i="5" s="1"/>
  <c r="K703" i="5" s="1"/>
  <c r="M703" i="5" s="1"/>
  <c r="B702" i="5"/>
  <c r="J702" i="5" s="1"/>
  <c r="K702" i="5" s="1"/>
  <c r="M702" i="5" s="1"/>
  <c r="B701" i="5"/>
  <c r="J701" i="5" s="1"/>
  <c r="K701" i="5" s="1"/>
  <c r="M701" i="5" s="1"/>
  <c r="B700" i="5"/>
  <c r="J700" i="5" s="1"/>
  <c r="K700" i="5" s="1"/>
  <c r="M700" i="5" s="1"/>
  <c r="B699" i="5"/>
  <c r="J699" i="5" s="1"/>
  <c r="K699" i="5" s="1"/>
  <c r="M699" i="5" s="1"/>
  <c r="B698" i="5"/>
  <c r="J698" i="5" s="1"/>
  <c r="K698" i="5" s="1"/>
  <c r="M698" i="5" s="1"/>
  <c r="B697" i="5"/>
  <c r="J697" i="5" s="1"/>
  <c r="K697" i="5" s="1"/>
  <c r="M697" i="5" s="1"/>
  <c r="B696" i="5"/>
  <c r="J696" i="5" s="1"/>
  <c r="K696" i="5" s="1"/>
  <c r="M696" i="5" s="1"/>
  <c r="B695" i="5"/>
  <c r="J695" i="5" s="1"/>
  <c r="K695" i="5" s="1"/>
  <c r="M695" i="5" s="1"/>
  <c r="B694" i="5"/>
  <c r="J694" i="5" s="1"/>
  <c r="K694" i="5" s="1"/>
  <c r="M694" i="5" s="1"/>
  <c r="B693" i="5"/>
  <c r="J693" i="5" s="1"/>
  <c r="K693" i="5" s="1"/>
  <c r="M693" i="5" s="1"/>
  <c r="B692" i="5"/>
  <c r="J692" i="5" s="1"/>
  <c r="K692" i="5" s="1"/>
  <c r="M692" i="5" s="1"/>
  <c r="B691" i="5"/>
  <c r="J691" i="5" s="1"/>
  <c r="K691" i="5" s="1"/>
  <c r="M691" i="5" s="1"/>
  <c r="B690" i="5"/>
  <c r="J690" i="5" s="1"/>
  <c r="K690" i="5" s="1"/>
  <c r="M690" i="5" s="1"/>
  <c r="B689" i="5"/>
  <c r="J689" i="5" s="1"/>
  <c r="K689" i="5" s="1"/>
  <c r="M689" i="5" s="1"/>
  <c r="B688" i="5"/>
  <c r="J688" i="5" s="1"/>
  <c r="K688" i="5" s="1"/>
  <c r="M688" i="5" s="1"/>
  <c r="B687" i="5"/>
  <c r="J687" i="5" s="1"/>
  <c r="K687" i="5" s="1"/>
  <c r="M687" i="5" s="1"/>
  <c r="B686" i="5"/>
  <c r="J686" i="5" s="1"/>
  <c r="K686" i="5" s="1"/>
  <c r="M686" i="5" s="1"/>
  <c r="B685" i="5"/>
  <c r="J685" i="5" s="1"/>
  <c r="K685" i="5" s="1"/>
  <c r="M685" i="5" s="1"/>
  <c r="B684" i="5"/>
  <c r="J684" i="5" s="1"/>
  <c r="K684" i="5" s="1"/>
  <c r="M684" i="5" s="1"/>
  <c r="B683" i="5"/>
  <c r="J683" i="5" s="1"/>
  <c r="K683" i="5" s="1"/>
  <c r="M683" i="5" s="1"/>
  <c r="B682" i="5"/>
  <c r="J682" i="5" s="1"/>
  <c r="K682" i="5" s="1"/>
  <c r="M682" i="5" s="1"/>
  <c r="B681" i="5"/>
  <c r="J681" i="5" s="1"/>
  <c r="K681" i="5" s="1"/>
  <c r="M681" i="5" s="1"/>
  <c r="B680" i="5"/>
  <c r="J680" i="5" s="1"/>
  <c r="K680" i="5" s="1"/>
  <c r="M680" i="5" s="1"/>
  <c r="B679" i="5"/>
  <c r="J679" i="5" s="1"/>
  <c r="K679" i="5" s="1"/>
  <c r="M679" i="5" s="1"/>
  <c r="B678" i="5"/>
  <c r="J678" i="5" s="1"/>
  <c r="K678" i="5" s="1"/>
  <c r="M678" i="5" s="1"/>
  <c r="B677" i="5"/>
  <c r="J677" i="5" s="1"/>
  <c r="K677" i="5" s="1"/>
  <c r="M677" i="5" s="1"/>
  <c r="B676" i="5"/>
  <c r="J676" i="5" s="1"/>
  <c r="K676" i="5" s="1"/>
  <c r="M676" i="5" s="1"/>
  <c r="B675" i="5"/>
  <c r="J675" i="5" s="1"/>
  <c r="K675" i="5" s="1"/>
  <c r="M675" i="5" s="1"/>
  <c r="B674" i="5"/>
  <c r="J674" i="5" s="1"/>
  <c r="K674" i="5" s="1"/>
  <c r="M674" i="5" s="1"/>
  <c r="B673" i="5"/>
  <c r="J673" i="5" s="1"/>
  <c r="K673" i="5" s="1"/>
  <c r="M673" i="5" s="1"/>
  <c r="B672" i="5"/>
  <c r="J672" i="5" s="1"/>
  <c r="K672" i="5" s="1"/>
  <c r="M672" i="5" s="1"/>
  <c r="B671" i="5"/>
  <c r="J671" i="5" s="1"/>
  <c r="K671" i="5" s="1"/>
  <c r="M671" i="5" s="1"/>
  <c r="B670" i="5"/>
  <c r="J670" i="5" s="1"/>
  <c r="K670" i="5" s="1"/>
  <c r="M670" i="5" s="1"/>
  <c r="B669" i="5"/>
  <c r="J669" i="5" s="1"/>
  <c r="K669" i="5" s="1"/>
  <c r="M669" i="5" s="1"/>
  <c r="B668" i="5"/>
  <c r="J668" i="5" s="1"/>
  <c r="K668" i="5" s="1"/>
  <c r="M668" i="5" s="1"/>
  <c r="B667" i="5"/>
  <c r="J667" i="5" s="1"/>
  <c r="K667" i="5" s="1"/>
  <c r="M667" i="5" s="1"/>
  <c r="B666" i="5"/>
  <c r="J666" i="5" s="1"/>
  <c r="K666" i="5" s="1"/>
  <c r="M666" i="5" s="1"/>
  <c r="B665" i="5"/>
  <c r="J665" i="5" s="1"/>
  <c r="K665" i="5" s="1"/>
  <c r="M665" i="5" s="1"/>
  <c r="B664" i="5"/>
  <c r="J664" i="5" s="1"/>
  <c r="K664" i="5" s="1"/>
  <c r="M664" i="5" s="1"/>
  <c r="B663" i="5"/>
  <c r="J663" i="5" s="1"/>
  <c r="K663" i="5" s="1"/>
  <c r="M663" i="5" s="1"/>
  <c r="B662" i="5"/>
  <c r="J662" i="5" s="1"/>
  <c r="K662" i="5" s="1"/>
  <c r="M662" i="5" s="1"/>
  <c r="B661" i="5"/>
  <c r="J661" i="5" s="1"/>
  <c r="K661" i="5" s="1"/>
  <c r="M661" i="5" s="1"/>
  <c r="B660" i="5"/>
  <c r="J660" i="5" s="1"/>
  <c r="K660" i="5" s="1"/>
  <c r="M660" i="5" s="1"/>
  <c r="B659" i="5"/>
  <c r="J659" i="5" s="1"/>
  <c r="K659" i="5" s="1"/>
  <c r="M659" i="5" s="1"/>
  <c r="B658" i="5"/>
  <c r="J658" i="5" s="1"/>
  <c r="K658" i="5" s="1"/>
  <c r="M658" i="5" s="1"/>
  <c r="B657" i="5"/>
  <c r="J657" i="5" s="1"/>
  <c r="K657" i="5" s="1"/>
  <c r="M657" i="5" s="1"/>
  <c r="B656" i="5"/>
  <c r="J656" i="5" s="1"/>
  <c r="K656" i="5" s="1"/>
  <c r="M656" i="5" s="1"/>
  <c r="B655" i="5"/>
  <c r="J655" i="5" s="1"/>
  <c r="K655" i="5" s="1"/>
  <c r="M655" i="5" s="1"/>
  <c r="B654" i="5"/>
  <c r="J654" i="5" s="1"/>
  <c r="K654" i="5" s="1"/>
  <c r="M654" i="5" s="1"/>
  <c r="B653" i="5"/>
  <c r="J653" i="5" s="1"/>
  <c r="K653" i="5" s="1"/>
  <c r="M653" i="5" s="1"/>
  <c r="B652" i="5"/>
  <c r="J652" i="5" s="1"/>
  <c r="K652" i="5" s="1"/>
  <c r="M652" i="5" s="1"/>
  <c r="B651" i="5"/>
  <c r="J651" i="5" s="1"/>
  <c r="K651" i="5" s="1"/>
  <c r="M651" i="5" s="1"/>
  <c r="B650" i="5"/>
  <c r="J650" i="5" s="1"/>
  <c r="K650" i="5" s="1"/>
  <c r="M650" i="5" s="1"/>
  <c r="B649" i="5"/>
  <c r="J649" i="5" s="1"/>
  <c r="K649" i="5" s="1"/>
  <c r="M649" i="5" s="1"/>
  <c r="B648" i="5"/>
  <c r="J648" i="5" s="1"/>
  <c r="K648" i="5" s="1"/>
  <c r="M648" i="5" s="1"/>
  <c r="B647" i="5"/>
  <c r="J647" i="5" s="1"/>
  <c r="K647" i="5" s="1"/>
  <c r="M647" i="5" s="1"/>
  <c r="B646" i="5"/>
  <c r="J646" i="5" s="1"/>
  <c r="K646" i="5" s="1"/>
  <c r="M646" i="5" s="1"/>
  <c r="B645" i="5"/>
  <c r="J645" i="5" s="1"/>
  <c r="K645" i="5" s="1"/>
  <c r="M645" i="5" s="1"/>
  <c r="B644" i="5"/>
  <c r="J644" i="5" s="1"/>
  <c r="K644" i="5" s="1"/>
  <c r="M644" i="5" s="1"/>
  <c r="B643" i="5"/>
  <c r="J643" i="5" s="1"/>
  <c r="K643" i="5" s="1"/>
  <c r="M643" i="5" s="1"/>
  <c r="B642" i="5"/>
  <c r="J642" i="5" s="1"/>
  <c r="K642" i="5" s="1"/>
  <c r="M642" i="5" s="1"/>
  <c r="B641" i="5"/>
  <c r="J641" i="5" s="1"/>
  <c r="K641" i="5" s="1"/>
  <c r="M641" i="5" s="1"/>
  <c r="B640" i="5"/>
  <c r="J640" i="5" s="1"/>
  <c r="K640" i="5" s="1"/>
  <c r="M640" i="5" s="1"/>
  <c r="B639" i="5"/>
  <c r="J639" i="5" s="1"/>
  <c r="K639" i="5" s="1"/>
  <c r="M639" i="5" s="1"/>
  <c r="B638" i="5"/>
  <c r="J638" i="5" s="1"/>
  <c r="K638" i="5" s="1"/>
  <c r="M638" i="5" s="1"/>
  <c r="B637" i="5"/>
  <c r="J637" i="5" s="1"/>
  <c r="K637" i="5" s="1"/>
  <c r="M637" i="5" s="1"/>
  <c r="B636" i="5"/>
  <c r="J636" i="5" s="1"/>
  <c r="K636" i="5" s="1"/>
  <c r="M636" i="5" s="1"/>
  <c r="B635" i="5"/>
  <c r="J635" i="5" s="1"/>
  <c r="K635" i="5" s="1"/>
  <c r="M635" i="5" s="1"/>
  <c r="B634" i="5"/>
  <c r="J634" i="5" s="1"/>
  <c r="K634" i="5" s="1"/>
  <c r="M634" i="5" s="1"/>
  <c r="B633" i="5"/>
  <c r="J633" i="5" s="1"/>
  <c r="K633" i="5" s="1"/>
  <c r="M633" i="5" s="1"/>
  <c r="B632" i="5"/>
  <c r="J632" i="5" s="1"/>
  <c r="K632" i="5" s="1"/>
  <c r="M632" i="5" s="1"/>
  <c r="B631" i="5"/>
  <c r="J631" i="5" s="1"/>
  <c r="K631" i="5" s="1"/>
  <c r="M631" i="5" s="1"/>
  <c r="B630" i="5"/>
  <c r="J630" i="5" s="1"/>
  <c r="K630" i="5" s="1"/>
  <c r="M630" i="5" s="1"/>
  <c r="B629" i="5"/>
  <c r="J629" i="5" s="1"/>
  <c r="K629" i="5" s="1"/>
  <c r="M629" i="5" s="1"/>
  <c r="B628" i="5"/>
  <c r="J628" i="5" s="1"/>
  <c r="K628" i="5" s="1"/>
  <c r="M628" i="5" s="1"/>
  <c r="B627" i="5"/>
  <c r="J627" i="5" s="1"/>
  <c r="K627" i="5" s="1"/>
  <c r="M627" i="5" s="1"/>
  <c r="B626" i="5"/>
  <c r="J626" i="5" s="1"/>
  <c r="K626" i="5" s="1"/>
  <c r="M626" i="5" s="1"/>
  <c r="B625" i="5"/>
  <c r="J625" i="5" s="1"/>
  <c r="K625" i="5" s="1"/>
  <c r="M625" i="5" s="1"/>
  <c r="B624" i="5"/>
  <c r="J624" i="5" s="1"/>
  <c r="K624" i="5" s="1"/>
  <c r="M624" i="5" s="1"/>
  <c r="B623" i="5"/>
  <c r="J623" i="5" s="1"/>
  <c r="K623" i="5" s="1"/>
  <c r="M623" i="5" s="1"/>
  <c r="B622" i="5"/>
  <c r="J622" i="5" s="1"/>
  <c r="K622" i="5" s="1"/>
  <c r="M622" i="5" s="1"/>
  <c r="B621" i="5"/>
  <c r="J621" i="5" s="1"/>
  <c r="K621" i="5" s="1"/>
  <c r="M621" i="5" s="1"/>
  <c r="B620" i="5"/>
  <c r="J620" i="5" s="1"/>
  <c r="K620" i="5" s="1"/>
  <c r="M620" i="5" s="1"/>
  <c r="B619" i="5"/>
  <c r="J619" i="5" s="1"/>
  <c r="K619" i="5" s="1"/>
  <c r="M619" i="5" s="1"/>
  <c r="B618" i="5"/>
  <c r="J618" i="5" s="1"/>
  <c r="K618" i="5" s="1"/>
  <c r="M618" i="5" s="1"/>
  <c r="B617" i="5"/>
  <c r="J617" i="5" s="1"/>
  <c r="K617" i="5" s="1"/>
  <c r="M617" i="5" s="1"/>
  <c r="B616" i="5"/>
  <c r="J616" i="5" s="1"/>
  <c r="K616" i="5" s="1"/>
  <c r="M616" i="5" s="1"/>
  <c r="B615" i="5"/>
  <c r="J615" i="5" s="1"/>
  <c r="K615" i="5" s="1"/>
  <c r="M615" i="5" s="1"/>
  <c r="B614" i="5"/>
  <c r="J614" i="5" s="1"/>
  <c r="K614" i="5" s="1"/>
  <c r="M614" i="5" s="1"/>
  <c r="B613" i="5"/>
  <c r="J613" i="5" s="1"/>
  <c r="K613" i="5" s="1"/>
  <c r="M613" i="5" s="1"/>
  <c r="B612" i="5"/>
  <c r="J612" i="5" s="1"/>
  <c r="K612" i="5" s="1"/>
  <c r="M612" i="5" s="1"/>
  <c r="B611" i="5"/>
  <c r="J611" i="5" s="1"/>
  <c r="K611" i="5" s="1"/>
  <c r="M611" i="5" s="1"/>
  <c r="B610" i="5"/>
  <c r="J610" i="5" s="1"/>
  <c r="K610" i="5" s="1"/>
  <c r="M610" i="5" s="1"/>
  <c r="B609" i="5"/>
  <c r="J609" i="5" s="1"/>
  <c r="K609" i="5" s="1"/>
  <c r="M609" i="5" s="1"/>
  <c r="B608" i="5"/>
  <c r="J608" i="5" s="1"/>
  <c r="K608" i="5" s="1"/>
  <c r="M608" i="5" s="1"/>
  <c r="B607" i="5"/>
  <c r="J607" i="5" s="1"/>
  <c r="K607" i="5" s="1"/>
  <c r="M607" i="5" s="1"/>
  <c r="B606" i="5"/>
  <c r="J606" i="5" s="1"/>
  <c r="K606" i="5" s="1"/>
  <c r="M606" i="5" s="1"/>
  <c r="B605" i="5"/>
  <c r="J605" i="5" s="1"/>
  <c r="K605" i="5" s="1"/>
  <c r="M605" i="5" s="1"/>
  <c r="B604" i="5"/>
  <c r="J604" i="5" s="1"/>
  <c r="K604" i="5" s="1"/>
  <c r="M604" i="5" s="1"/>
  <c r="B603" i="5"/>
  <c r="J603" i="5" s="1"/>
  <c r="K603" i="5" s="1"/>
  <c r="M603" i="5" s="1"/>
  <c r="B602" i="5"/>
  <c r="J602" i="5" s="1"/>
  <c r="K602" i="5" s="1"/>
  <c r="M602" i="5" s="1"/>
  <c r="B601" i="5"/>
  <c r="J601" i="5" s="1"/>
  <c r="K601" i="5" s="1"/>
  <c r="M601" i="5" s="1"/>
  <c r="B600" i="5"/>
  <c r="J600" i="5" s="1"/>
  <c r="K600" i="5" s="1"/>
  <c r="M600" i="5" s="1"/>
  <c r="B599" i="5"/>
  <c r="J599" i="5" s="1"/>
  <c r="K599" i="5" s="1"/>
  <c r="M599" i="5" s="1"/>
  <c r="B598" i="5"/>
  <c r="J598" i="5" s="1"/>
  <c r="K598" i="5" s="1"/>
  <c r="M598" i="5" s="1"/>
  <c r="B597" i="5"/>
  <c r="J597" i="5" s="1"/>
  <c r="K597" i="5" s="1"/>
  <c r="M597" i="5" s="1"/>
  <c r="B596" i="5"/>
  <c r="J596" i="5" s="1"/>
  <c r="K596" i="5" s="1"/>
  <c r="M596" i="5" s="1"/>
  <c r="B595" i="5"/>
  <c r="J595" i="5" s="1"/>
  <c r="K595" i="5" s="1"/>
  <c r="M595" i="5" s="1"/>
  <c r="B594" i="5"/>
  <c r="J594" i="5" s="1"/>
  <c r="K594" i="5" s="1"/>
  <c r="M594" i="5" s="1"/>
  <c r="B593" i="5"/>
  <c r="J593" i="5" s="1"/>
  <c r="K593" i="5" s="1"/>
  <c r="M593" i="5" s="1"/>
  <c r="B592" i="5"/>
  <c r="J592" i="5" s="1"/>
  <c r="K592" i="5" s="1"/>
  <c r="M592" i="5" s="1"/>
  <c r="B591" i="5"/>
  <c r="J591" i="5" s="1"/>
  <c r="K591" i="5" s="1"/>
  <c r="M591" i="5" s="1"/>
  <c r="B590" i="5"/>
  <c r="J590" i="5" s="1"/>
  <c r="K590" i="5" s="1"/>
  <c r="M590" i="5" s="1"/>
  <c r="B589" i="5"/>
  <c r="J589" i="5" s="1"/>
  <c r="K589" i="5" s="1"/>
  <c r="M589" i="5" s="1"/>
  <c r="B588" i="5"/>
  <c r="J588" i="5" s="1"/>
  <c r="K588" i="5" s="1"/>
  <c r="M588" i="5" s="1"/>
  <c r="B587" i="5"/>
  <c r="J587" i="5" s="1"/>
  <c r="K587" i="5" s="1"/>
  <c r="M587" i="5" s="1"/>
  <c r="B586" i="5"/>
  <c r="J586" i="5" s="1"/>
  <c r="K586" i="5" s="1"/>
  <c r="M586" i="5" s="1"/>
  <c r="B585" i="5"/>
  <c r="J585" i="5" s="1"/>
  <c r="K585" i="5" s="1"/>
  <c r="M585" i="5" s="1"/>
  <c r="B584" i="5"/>
  <c r="J584" i="5" s="1"/>
  <c r="K584" i="5" s="1"/>
  <c r="M584" i="5" s="1"/>
  <c r="B583" i="5"/>
  <c r="J583" i="5" s="1"/>
  <c r="K583" i="5" s="1"/>
  <c r="M583" i="5" s="1"/>
  <c r="B582" i="5"/>
  <c r="J582" i="5" s="1"/>
  <c r="K582" i="5" s="1"/>
  <c r="M582" i="5" s="1"/>
  <c r="B581" i="5"/>
  <c r="J581" i="5" s="1"/>
  <c r="K581" i="5" s="1"/>
  <c r="M581" i="5" s="1"/>
  <c r="B580" i="5"/>
  <c r="J580" i="5" s="1"/>
  <c r="K580" i="5" s="1"/>
  <c r="M580" i="5" s="1"/>
  <c r="B579" i="5"/>
  <c r="J579" i="5" s="1"/>
  <c r="K579" i="5" s="1"/>
  <c r="M579" i="5" s="1"/>
  <c r="B578" i="5"/>
  <c r="J578" i="5" s="1"/>
  <c r="K578" i="5" s="1"/>
  <c r="M578" i="5" s="1"/>
  <c r="B577" i="5"/>
  <c r="J577" i="5" s="1"/>
  <c r="K577" i="5" s="1"/>
  <c r="M577" i="5" s="1"/>
  <c r="B576" i="5"/>
  <c r="J576" i="5" s="1"/>
  <c r="K576" i="5" s="1"/>
  <c r="M576" i="5" s="1"/>
  <c r="B575" i="5"/>
  <c r="J575" i="5" s="1"/>
  <c r="K575" i="5" s="1"/>
  <c r="M575" i="5" s="1"/>
  <c r="B574" i="5"/>
  <c r="J574" i="5" s="1"/>
  <c r="K574" i="5" s="1"/>
  <c r="M574" i="5" s="1"/>
  <c r="B573" i="5"/>
  <c r="J573" i="5" s="1"/>
  <c r="K573" i="5" s="1"/>
  <c r="M573" i="5" s="1"/>
  <c r="B572" i="5"/>
  <c r="J572" i="5" s="1"/>
  <c r="K572" i="5" s="1"/>
  <c r="M572" i="5" s="1"/>
  <c r="B571" i="5"/>
  <c r="J571" i="5" s="1"/>
  <c r="K571" i="5" s="1"/>
  <c r="M571" i="5" s="1"/>
  <c r="B570" i="5"/>
  <c r="J570" i="5" s="1"/>
  <c r="K570" i="5" s="1"/>
  <c r="M570" i="5" s="1"/>
  <c r="B569" i="5"/>
  <c r="J569" i="5" s="1"/>
  <c r="K569" i="5" s="1"/>
  <c r="M569" i="5" s="1"/>
  <c r="B568" i="5"/>
  <c r="J568" i="5" s="1"/>
  <c r="K568" i="5" s="1"/>
  <c r="M568" i="5" s="1"/>
  <c r="B567" i="5"/>
  <c r="J567" i="5" s="1"/>
  <c r="K567" i="5" s="1"/>
  <c r="M567" i="5" s="1"/>
  <c r="B566" i="5"/>
  <c r="J566" i="5" s="1"/>
  <c r="K566" i="5" s="1"/>
  <c r="M566" i="5" s="1"/>
  <c r="B565" i="5"/>
  <c r="J565" i="5" s="1"/>
  <c r="K565" i="5" s="1"/>
  <c r="M565" i="5" s="1"/>
  <c r="B564" i="5"/>
  <c r="J564" i="5" s="1"/>
  <c r="K564" i="5" s="1"/>
  <c r="M564" i="5" s="1"/>
  <c r="B563" i="5"/>
  <c r="J563" i="5" s="1"/>
  <c r="K563" i="5" s="1"/>
  <c r="M563" i="5" s="1"/>
  <c r="B562" i="5"/>
  <c r="J562" i="5" s="1"/>
  <c r="K562" i="5" s="1"/>
  <c r="M562" i="5" s="1"/>
  <c r="B561" i="5"/>
  <c r="J561" i="5" s="1"/>
  <c r="K561" i="5" s="1"/>
  <c r="M561" i="5" s="1"/>
  <c r="B560" i="5"/>
  <c r="J560" i="5" s="1"/>
  <c r="K560" i="5" s="1"/>
  <c r="M560" i="5" s="1"/>
  <c r="B559" i="5"/>
  <c r="J559" i="5" s="1"/>
  <c r="K559" i="5" s="1"/>
  <c r="M559" i="5" s="1"/>
  <c r="B558" i="5"/>
  <c r="J558" i="5" s="1"/>
  <c r="K558" i="5" s="1"/>
  <c r="M558" i="5" s="1"/>
  <c r="B557" i="5"/>
  <c r="J557" i="5" s="1"/>
  <c r="K557" i="5" s="1"/>
  <c r="M557" i="5" s="1"/>
  <c r="B556" i="5"/>
  <c r="J556" i="5" s="1"/>
  <c r="K556" i="5" s="1"/>
  <c r="M556" i="5" s="1"/>
  <c r="B555" i="5"/>
  <c r="J555" i="5" s="1"/>
  <c r="K555" i="5" s="1"/>
  <c r="M555" i="5" s="1"/>
  <c r="B554" i="5"/>
  <c r="J554" i="5" s="1"/>
  <c r="K554" i="5" s="1"/>
  <c r="M554" i="5" s="1"/>
  <c r="B553" i="5"/>
  <c r="J553" i="5" s="1"/>
  <c r="K553" i="5" s="1"/>
  <c r="M553" i="5" s="1"/>
  <c r="B552" i="5"/>
  <c r="J552" i="5" s="1"/>
  <c r="K552" i="5" s="1"/>
  <c r="M552" i="5" s="1"/>
  <c r="B551" i="5"/>
  <c r="J551" i="5" s="1"/>
  <c r="K551" i="5" s="1"/>
  <c r="M551" i="5" s="1"/>
  <c r="B550" i="5"/>
  <c r="J550" i="5" s="1"/>
  <c r="K550" i="5" s="1"/>
  <c r="M550" i="5" s="1"/>
  <c r="B549" i="5"/>
  <c r="J549" i="5" s="1"/>
  <c r="K549" i="5" s="1"/>
  <c r="M549" i="5" s="1"/>
  <c r="B548" i="5"/>
  <c r="J548" i="5" s="1"/>
  <c r="K548" i="5" s="1"/>
  <c r="M548" i="5" s="1"/>
  <c r="B547" i="5"/>
  <c r="J547" i="5" s="1"/>
  <c r="K547" i="5" s="1"/>
  <c r="M547" i="5" s="1"/>
  <c r="B546" i="5"/>
  <c r="J546" i="5" s="1"/>
  <c r="K546" i="5" s="1"/>
  <c r="M546" i="5" s="1"/>
  <c r="B545" i="5"/>
  <c r="J545" i="5" s="1"/>
  <c r="K545" i="5" s="1"/>
  <c r="M545" i="5" s="1"/>
  <c r="B544" i="5"/>
  <c r="J544" i="5" s="1"/>
  <c r="K544" i="5" s="1"/>
  <c r="M544" i="5" s="1"/>
  <c r="B543" i="5"/>
  <c r="J543" i="5" s="1"/>
  <c r="K543" i="5" s="1"/>
  <c r="M543" i="5" s="1"/>
  <c r="B542" i="5"/>
  <c r="J542" i="5" s="1"/>
  <c r="K542" i="5" s="1"/>
  <c r="M542" i="5" s="1"/>
  <c r="B541" i="5"/>
  <c r="J541" i="5" s="1"/>
  <c r="K541" i="5" s="1"/>
  <c r="M541" i="5" s="1"/>
  <c r="B540" i="5"/>
  <c r="J540" i="5" s="1"/>
  <c r="K540" i="5" s="1"/>
  <c r="M540" i="5" s="1"/>
  <c r="B539" i="5"/>
  <c r="J539" i="5" s="1"/>
  <c r="K539" i="5" s="1"/>
  <c r="M539" i="5" s="1"/>
  <c r="B538" i="5"/>
  <c r="J538" i="5" s="1"/>
  <c r="K538" i="5" s="1"/>
  <c r="M538" i="5" s="1"/>
  <c r="B537" i="5"/>
  <c r="J537" i="5" s="1"/>
  <c r="K537" i="5" s="1"/>
  <c r="M537" i="5" s="1"/>
  <c r="B536" i="5"/>
  <c r="J536" i="5" s="1"/>
  <c r="K536" i="5" s="1"/>
  <c r="M536" i="5" s="1"/>
  <c r="B535" i="5"/>
  <c r="J535" i="5" s="1"/>
  <c r="K535" i="5" s="1"/>
  <c r="M535" i="5" s="1"/>
  <c r="B534" i="5"/>
  <c r="J534" i="5" s="1"/>
  <c r="K534" i="5" s="1"/>
  <c r="M534" i="5" s="1"/>
  <c r="B533" i="5"/>
  <c r="J533" i="5" s="1"/>
  <c r="K533" i="5" s="1"/>
  <c r="M533" i="5" s="1"/>
  <c r="B532" i="5"/>
  <c r="J532" i="5" s="1"/>
  <c r="K532" i="5" s="1"/>
  <c r="M532" i="5" s="1"/>
  <c r="B531" i="5"/>
  <c r="J531" i="5" s="1"/>
  <c r="K531" i="5" s="1"/>
  <c r="M531" i="5" s="1"/>
  <c r="B530" i="5"/>
  <c r="J530" i="5" s="1"/>
  <c r="K530" i="5" s="1"/>
  <c r="M530" i="5" s="1"/>
  <c r="B529" i="5"/>
  <c r="J529" i="5" s="1"/>
  <c r="K529" i="5" s="1"/>
  <c r="M529" i="5" s="1"/>
  <c r="B528" i="5"/>
  <c r="J528" i="5" s="1"/>
  <c r="K528" i="5" s="1"/>
  <c r="M528" i="5" s="1"/>
  <c r="B527" i="5"/>
  <c r="J527" i="5" s="1"/>
  <c r="K527" i="5" s="1"/>
  <c r="M527" i="5" s="1"/>
  <c r="B526" i="5"/>
  <c r="J526" i="5" s="1"/>
  <c r="K526" i="5" s="1"/>
  <c r="M526" i="5" s="1"/>
  <c r="B525" i="5"/>
  <c r="J525" i="5" s="1"/>
  <c r="K525" i="5" s="1"/>
  <c r="M525" i="5" s="1"/>
  <c r="B524" i="5"/>
  <c r="J524" i="5" s="1"/>
  <c r="K524" i="5" s="1"/>
  <c r="M524" i="5" s="1"/>
  <c r="B523" i="5"/>
  <c r="J523" i="5" s="1"/>
  <c r="K523" i="5" s="1"/>
  <c r="M523" i="5" s="1"/>
  <c r="B522" i="5"/>
  <c r="J522" i="5" s="1"/>
  <c r="K522" i="5" s="1"/>
  <c r="M522" i="5" s="1"/>
  <c r="B521" i="5"/>
  <c r="J521" i="5" s="1"/>
  <c r="K521" i="5" s="1"/>
  <c r="M521" i="5" s="1"/>
  <c r="B520" i="5"/>
  <c r="J520" i="5" s="1"/>
  <c r="K520" i="5" s="1"/>
  <c r="M520" i="5" s="1"/>
  <c r="B519" i="5"/>
  <c r="J519" i="5" s="1"/>
  <c r="K519" i="5" s="1"/>
  <c r="M519" i="5" s="1"/>
  <c r="B518" i="5"/>
  <c r="J518" i="5" s="1"/>
  <c r="K518" i="5" s="1"/>
  <c r="M518" i="5" s="1"/>
  <c r="B517" i="5"/>
  <c r="J517" i="5" s="1"/>
  <c r="K517" i="5" s="1"/>
  <c r="M517" i="5" s="1"/>
  <c r="B516" i="5"/>
  <c r="J516" i="5" s="1"/>
  <c r="K516" i="5" s="1"/>
  <c r="M516" i="5" s="1"/>
  <c r="B515" i="5"/>
  <c r="J515" i="5" s="1"/>
  <c r="K515" i="5" s="1"/>
  <c r="M515" i="5" s="1"/>
  <c r="B514" i="5"/>
  <c r="J514" i="5" s="1"/>
  <c r="K514" i="5" s="1"/>
  <c r="M514" i="5" s="1"/>
  <c r="B513" i="5"/>
  <c r="J513" i="5" s="1"/>
  <c r="K513" i="5" s="1"/>
  <c r="M513" i="5" s="1"/>
  <c r="B512" i="5"/>
  <c r="J512" i="5" s="1"/>
  <c r="K512" i="5" s="1"/>
  <c r="M512" i="5" s="1"/>
  <c r="B511" i="5"/>
  <c r="J511" i="5" s="1"/>
  <c r="K511" i="5" s="1"/>
  <c r="M511" i="5" s="1"/>
  <c r="B510" i="5"/>
  <c r="J510" i="5" s="1"/>
  <c r="K510" i="5" s="1"/>
  <c r="M510" i="5" s="1"/>
  <c r="B509" i="5"/>
  <c r="J509" i="5" s="1"/>
  <c r="K509" i="5" s="1"/>
  <c r="M509" i="5" s="1"/>
  <c r="B508" i="5"/>
  <c r="J508" i="5" s="1"/>
  <c r="K508" i="5" s="1"/>
  <c r="M508" i="5" s="1"/>
  <c r="B507" i="5"/>
  <c r="J507" i="5" s="1"/>
  <c r="K507" i="5" s="1"/>
  <c r="M507" i="5" s="1"/>
  <c r="B506" i="5"/>
  <c r="J506" i="5" s="1"/>
  <c r="K506" i="5" s="1"/>
  <c r="M506" i="5" s="1"/>
  <c r="B505" i="5"/>
  <c r="J505" i="5" s="1"/>
  <c r="K505" i="5" s="1"/>
  <c r="M505" i="5" s="1"/>
  <c r="B504" i="5"/>
  <c r="J504" i="5" s="1"/>
  <c r="K504" i="5" s="1"/>
  <c r="M504" i="5" s="1"/>
  <c r="B503" i="5"/>
  <c r="J503" i="5" s="1"/>
  <c r="K503" i="5" s="1"/>
  <c r="M503" i="5" s="1"/>
  <c r="B502" i="5"/>
  <c r="J502" i="5" s="1"/>
  <c r="K502" i="5" s="1"/>
  <c r="M502" i="5" s="1"/>
  <c r="B501" i="5"/>
  <c r="J501" i="5" s="1"/>
  <c r="K501" i="5" s="1"/>
  <c r="M501" i="5" s="1"/>
  <c r="B500" i="5"/>
  <c r="J500" i="5" s="1"/>
  <c r="K500" i="5" s="1"/>
  <c r="M500" i="5" s="1"/>
  <c r="B499" i="5"/>
  <c r="J499" i="5" s="1"/>
  <c r="K499" i="5" s="1"/>
  <c r="M499" i="5" s="1"/>
  <c r="B498" i="5"/>
  <c r="J498" i="5" s="1"/>
  <c r="K498" i="5" s="1"/>
  <c r="M498" i="5" s="1"/>
  <c r="B497" i="5"/>
  <c r="J497" i="5" s="1"/>
  <c r="K497" i="5" s="1"/>
  <c r="M497" i="5" s="1"/>
  <c r="B496" i="5"/>
  <c r="J496" i="5" s="1"/>
  <c r="K496" i="5" s="1"/>
  <c r="M496" i="5" s="1"/>
  <c r="B495" i="5"/>
  <c r="J495" i="5" s="1"/>
  <c r="K495" i="5" s="1"/>
  <c r="M495" i="5" s="1"/>
  <c r="B494" i="5"/>
  <c r="J494" i="5" s="1"/>
  <c r="K494" i="5" s="1"/>
  <c r="M494" i="5" s="1"/>
  <c r="B493" i="5"/>
  <c r="J493" i="5" s="1"/>
  <c r="K493" i="5" s="1"/>
  <c r="M493" i="5" s="1"/>
  <c r="B492" i="5"/>
  <c r="J492" i="5" s="1"/>
  <c r="K492" i="5" s="1"/>
  <c r="M492" i="5" s="1"/>
  <c r="B491" i="5"/>
  <c r="J491" i="5" s="1"/>
  <c r="K491" i="5" s="1"/>
  <c r="M491" i="5" s="1"/>
  <c r="B490" i="5"/>
  <c r="J490" i="5" s="1"/>
  <c r="K490" i="5" s="1"/>
  <c r="M490" i="5" s="1"/>
  <c r="B489" i="5"/>
  <c r="J489" i="5" s="1"/>
  <c r="K489" i="5" s="1"/>
  <c r="M489" i="5" s="1"/>
  <c r="B488" i="5"/>
  <c r="J488" i="5" s="1"/>
  <c r="K488" i="5" s="1"/>
  <c r="M488" i="5" s="1"/>
  <c r="B487" i="5"/>
  <c r="J487" i="5" s="1"/>
  <c r="K487" i="5" s="1"/>
  <c r="M487" i="5" s="1"/>
  <c r="B486" i="5"/>
  <c r="J486" i="5" s="1"/>
  <c r="K486" i="5" s="1"/>
  <c r="M486" i="5" s="1"/>
  <c r="B485" i="5"/>
  <c r="J485" i="5" s="1"/>
  <c r="K485" i="5" s="1"/>
  <c r="M485" i="5" s="1"/>
  <c r="B484" i="5"/>
  <c r="J484" i="5" s="1"/>
  <c r="K484" i="5" s="1"/>
  <c r="M484" i="5" s="1"/>
  <c r="B483" i="5"/>
  <c r="J483" i="5" s="1"/>
  <c r="K483" i="5" s="1"/>
  <c r="M483" i="5" s="1"/>
  <c r="B482" i="5"/>
  <c r="J482" i="5" s="1"/>
  <c r="K482" i="5" s="1"/>
  <c r="M482" i="5" s="1"/>
  <c r="B481" i="5"/>
  <c r="J481" i="5" s="1"/>
  <c r="K481" i="5" s="1"/>
  <c r="M481" i="5" s="1"/>
  <c r="B480" i="5"/>
  <c r="J480" i="5" s="1"/>
  <c r="K480" i="5" s="1"/>
  <c r="M480" i="5" s="1"/>
  <c r="B479" i="5"/>
  <c r="J479" i="5" s="1"/>
  <c r="K479" i="5" s="1"/>
  <c r="M479" i="5" s="1"/>
  <c r="B478" i="5"/>
  <c r="J478" i="5" s="1"/>
  <c r="K478" i="5" s="1"/>
  <c r="M478" i="5" s="1"/>
  <c r="B477" i="5"/>
  <c r="J477" i="5" s="1"/>
  <c r="K477" i="5" s="1"/>
  <c r="M477" i="5" s="1"/>
  <c r="B476" i="5"/>
  <c r="J476" i="5" s="1"/>
  <c r="K476" i="5" s="1"/>
  <c r="M476" i="5" s="1"/>
  <c r="B475" i="5"/>
  <c r="J475" i="5" s="1"/>
  <c r="K475" i="5" s="1"/>
  <c r="M475" i="5" s="1"/>
  <c r="B474" i="5"/>
  <c r="J474" i="5" s="1"/>
  <c r="K474" i="5" s="1"/>
  <c r="M474" i="5" s="1"/>
  <c r="B473" i="5"/>
  <c r="J473" i="5" s="1"/>
  <c r="K473" i="5" s="1"/>
  <c r="M473" i="5" s="1"/>
  <c r="B472" i="5"/>
  <c r="J472" i="5" s="1"/>
  <c r="K472" i="5" s="1"/>
  <c r="M472" i="5" s="1"/>
  <c r="B471" i="5"/>
  <c r="J471" i="5" s="1"/>
  <c r="K471" i="5" s="1"/>
  <c r="M471" i="5" s="1"/>
  <c r="B470" i="5"/>
  <c r="J470" i="5" s="1"/>
  <c r="K470" i="5" s="1"/>
  <c r="M470" i="5" s="1"/>
  <c r="B469" i="5"/>
  <c r="J469" i="5" s="1"/>
  <c r="K469" i="5" s="1"/>
  <c r="M469" i="5" s="1"/>
  <c r="B468" i="5"/>
  <c r="J468" i="5" s="1"/>
  <c r="K468" i="5" s="1"/>
  <c r="M468" i="5" s="1"/>
  <c r="B467" i="5"/>
  <c r="J467" i="5" s="1"/>
  <c r="K467" i="5" s="1"/>
  <c r="M467" i="5" s="1"/>
  <c r="B466" i="5"/>
  <c r="J466" i="5" s="1"/>
  <c r="K466" i="5" s="1"/>
  <c r="M466" i="5" s="1"/>
  <c r="B465" i="5"/>
  <c r="J465" i="5" s="1"/>
  <c r="K465" i="5" s="1"/>
  <c r="M465" i="5" s="1"/>
  <c r="B464" i="5"/>
  <c r="J464" i="5" s="1"/>
  <c r="K464" i="5" s="1"/>
  <c r="M464" i="5" s="1"/>
  <c r="B463" i="5"/>
  <c r="J463" i="5" s="1"/>
  <c r="K463" i="5" s="1"/>
  <c r="M463" i="5" s="1"/>
  <c r="B462" i="5"/>
  <c r="J462" i="5" s="1"/>
  <c r="K462" i="5" s="1"/>
  <c r="M462" i="5" s="1"/>
  <c r="B461" i="5"/>
  <c r="J461" i="5" s="1"/>
  <c r="K461" i="5" s="1"/>
  <c r="M461" i="5" s="1"/>
  <c r="B460" i="5"/>
  <c r="J460" i="5" s="1"/>
  <c r="K460" i="5" s="1"/>
  <c r="M460" i="5" s="1"/>
  <c r="B459" i="5"/>
  <c r="J459" i="5" s="1"/>
  <c r="K459" i="5" s="1"/>
  <c r="M459" i="5" s="1"/>
  <c r="B458" i="5"/>
  <c r="J458" i="5" s="1"/>
  <c r="K458" i="5" s="1"/>
  <c r="M458" i="5" s="1"/>
  <c r="B457" i="5"/>
  <c r="J457" i="5" s="1"/>
  <c r="K457" i="5" s="1"/>
  <c r="M457" i="5" s="1"/>
  <c r="B456" i="5"/>
  <c r="J456" i="5" s="1"/>
  <c r="K456" i="5" s="1"/>
  <c r="M456" i="5" s="1"/>
  <c r="B455" i="5"/>
  <c r="J455" i="5" s="1"/>
  <c r="K455" i="5" s="1"/>
  <c r="M455" i="5" s="1"/>
  <c r="B454" i="5"/>
  <c r="J454" i="5" s="1"/>
  <c r="K454" i="5" s="1"/>
  <c r="M454" i="5" s="1"/>
  <c r="B453" i="5"/>
  <c r="J453" i="5" s="1"/>
  <c r="K453" i="5" s="1"/>
  <c r="M453" i="5" s="1"/>
  <c r="B452" i="5"/>
  <c r="J452" i="5" s="1"/>
  <c r="K452" i="5" s="1"/>
  <c r="M452" i="5" s="1"/>
  <c r="B451" i="5"/>
  <c r="J451" i="5" s="1"/>
  <c r="K451" i="5" s="1"/>
  <c r="M451" i="5" s="1"/>
  <c r="B450" i="5"/>
  <c r="J450" i="5" s="1"/>
  <c r="K450" i="5" s="1"/>
  <c r="M450" i="5" s="1"/>
  <c r="B449" i="5"/>
  <c r="J449" i="5" s="1"/>
  <c r="K449" i="5" s="1"/>
  <c r="M449" i="5" s="1"/>
  <c r="B448" i="5"/>
  <c r="J448" i="5" s="1"/>
  <c r="K448" i="5" s="1"/>
  <c r="M448" i="5" s="1"/>
  <c r="B447" i="5"/>
  <c r="J447" i="5" s="1"/>
  <c r="K447" i="5" s="1"/>
  <c r="M447" i="5" s="1"/>
  <c r="B446" i="5"/>
  <c r="J446" i="5" s="1"/>
  <c r="K446" i="5" s="1"/>
  <c r="M446" i="5" s="1"/>
  <c r="B445" i="5"/>
  <c r="J445" i="5" s="1"/>
  <c r="K445" i="5" s="1"/>
  <c r="M445" i="5" s="1"/>
  <c r="B444" i="5"/>
  <c r="J444" i="5" s="1"/>
  <c r="K444" i="5" s="1"/>
  <c r="M444" i="5" s="1"/>
  <c r="B443" i="5"/>
  <c r="J443" i="5" s="1"/>
  <c r="K443" i="5" s="1"/>
  <c r="M443" i="5" s="1"/>
  <c r="B442" i="5"/>
  <c r="J442" i="5" s="1"/>
  <c r="K442" i="5" s="1"/>
  <c r="M442" i="5" s="1"/>
  <c r="B441" i="5"/>
  <c r="J441" i="5" s="1"/>
  <c r="K441" i="5" s="1"/>
  <c r="M441" i="5" s="1"/>
  <c r="B440" i="5"/>
  <c r="J440" i="5" s="1"/>
  <c r="K440" i="5" s="1"/>
  <c r="M440" i="5" s="1"/>
  <c r="B439" i="5"/>
  <c r="J439" i="5" s="1"/>
  <c r="K439" i="5" s="1"/>
  <c r="M439" i="5" s="1"/>
  <c r="B438" i="5"/>
  <c r="J438" i="5" s="1"/>
  <c r="K438" i="5" s="1"/>
  <c r="M438" i="5" s="1"/>
  <c r="B437" i="5"/>
  <c r="J437" i="5" s="1"/>
  <c r="K437" i="5" s="1"/>
  <c r="M437" i="5" s="1"/>
  <c r="B436" i="5"/>
  <c r="J436" i="5" s="1"/>
  <c r="K436" i="5" s="1"/>
  <c r="M436" i="5" s="1"/>
  <c r="B435" i="5"/>
  <c r="J435" i="5" s="1"/>
  <c r="K435" i="5" s="1"/>
  <c r="M435" i="5" s="1"/>
  <c r="B434" i="5"/>
  <c r="J434" i="5" s="1"/>
  <c r="K434" i="5" s="1"/>
  <c r="M434" i="5" s="1"/>
  <c r="B433" i="5"/>
  <c r="J433" i="5" s="1"/>
  <c r="K433" i="5" s="1"/>
  <c r="M433" i="5" s="1"/>
  <c r="B432" i="5"/>
  <c r="J432" i="5" s="1"/>
  <c r="K432" i="5" s="1"/>
  <c r="M432" i="5" s="1"/>
  <c r="B431" i="5"/>
  <c r="J431" i="5" s="1"/>
  <c r="K431" i="5" s="1"/>
  <c r="M431" i="5" s="1"/>
  <c r="B430" i="5"/>
  <c r="J430" i="5" s="1"/>
  <c r="K430" i="5" s="1"/>
  <c r="M430" i="5" s="1"/>
  <c r="B429" i="5"/>
  <c r="J429" i="5" s="1"/>
  <c r="K429" i="5" s="1"/>
  <c r="M429" i="5" s="1"/>
  <c r="B428" i="5"/>
  <c r="J428" i="5" s="1"/>
  <c r="K428" i="5" s="1"/>
  <c r="M428" i="5" s="1"/>
  <c r="B427" i="5"/>
  <c r="J427" i="5" s="1"/>
  <c r="K427" i="5" s="1"/>
  <c r="M427" i="5" s="1"/>
  <c r="B426" i="5"/>
  <c r="J426" i="5" s="1"/>
  <c r="K426" i="5" s="1"/>
  <c r="M426" i="5" s="1"/>
  <c r="B425" i="5"/>
  <c r="J425" i="5" s="1"/>
  <c r="K425" i="5" s="1"/>
  <c r="M425" i="5" s="1"/>
  <c r="B424" i="5"/>
  <c r="J424" i="5" s="1"/>
  <c r="K424" i="5" s="1"/>
  <c r="M424" i="5" s="1"/>
  <c r="B423" i="5"/>
  <c r="J423" i="5" s="1"/>
  <c r="K423" i="5" s="1"/>
  <c r="M423" i="5" s="1"/>
  <c r="B422" i="5"/>
  <c r="J422" i="5" s="1"/>
  <c r="K422" i="5" s="1"/>
  <c r="M422" i="5" s="1"/>
  <c r="B421" i="5"/>
  <c r="J421" i="5" s="1"/>
  <c r="K421" i="5" s="1"/>
  <c r="M421" i="5" s="1"/>
  <c r="B420" i="5"/>
  <c r="J420" i="5" s="1"/>
  <c r="K420" i="5" s="1"/>
  <c r="M420" i="5" s="1"/>
  <c r="B419" i="5"/>
  <c r="J419" i="5" s="1"/>
  <c r="K419" i="5" s="1"/>
  <c r="M419" i="5" s="1"/>
  <c r="B418" i="5"/>
  <c r="J418" i="5" s="1"/>
  <c r="K418" i="5" s="1"/>
  <c r="M418" i="5" s="1"/>
  <c r="B417" i="5"/>
  <c r="J417" i="5" s="1"/>
  <c r="K417" i="5" s="1"/>
  <c r="M417" i="5" s="1"/>
  <c r="B416" i="5"/>
  <c r="J416" i="5" s="1"/>
  <c r="K416" i="5" s="1"/>
  <c r="M416" i="5" s="1"/>
  <c r="B415" i="5"/>
  <c r="J415" i="5" s="1"/>
  <c r="K415" i="5" s="1"/>
  <c r="M415" i="5" s="1"/>
  <c r="B414" i="5"/>
  <c r="J414" i="5" s="1"/>
  <c r="K414" i="5" s="1"/>
  <c r="M414" i="5" s="1"/>
  <c r="B413" i="5"/>
  <c r="J413" i="5" s="1"/>
  <c r="K413" i="5" s="1"/>
  <c r="M413" i="5" s="1"/>
  <c r="B412" i="5"/>
  <c r="J412" i="5" s="1"/>
  <c r="K412" i="5" s="1"/>
  <c r="M412" i="5" s="1"/>
  <c r="B411" i="5"/>
  <c r="J411" i="5" s="1"/>
  <c r="K411" i="5" s="1"/>
  <c r="M411" i="5" s="1"/>
  <c r="B410" i="5"/>
  <c r="J410" i="5" s="1"/>
  <c r="K410" i="5" s="1"/>
  <c r="M410" i="5" s="1"/>
  <c r="B409" i="5"/>
  <c r="J409" i="5" s="1"/>
  <c r="K409" i="5" s="1"/>
  <c r="M409" i="5" s="1"/>
  <c r="B408" i="5"/>
  <c r="J408" i="5" s="1"/>
  <c r="K408" i="5" s="1"/>
  <c r="M408" i="5" s="1"/>
  <c r="B407" i="5"/>
  <c r="J407" i="5" s="1"/>
  <c r="K407" i="5" s="1"/>
  <c r="M407" i="5" s="1"/>
  <c r="B406" i="5"/>
  <c r="J406" i="5" s="1"/>
  <c r="K406" i="5" s="1"/>
  <c r="M406" i="5" s="1"/>
  <c r="B405" i="5"/>
  <c r="J405" i="5" s="1"/>
  <c r="K405" i="5" s="1"/>
  <c r="M405" i="5" s="1"/>
  <c r="B404" i="5"/>
  <c r="J404" i="5" s="1"/>
  <c r="K404" i="5" s="1"/>
  <c r="M404" i="5" s="1"/>
  <c r="B403" i="5"/>
  <c r="J403" i="5" s="1"/>
  <c r="K403" i="5" s="1"/>
  <c r="M403" i="5" s="1"/>
  <c r="B402" i="5"/>
  <c r="J402" i="5" s="1"/>
  <c r="K402" i="5" s="1"/>
  <c r="M402" i="5" s="1"/>
  <c r="B401" i="5"/>
  <c r="J401" i="5" s="1"/>
  <c r="K401" i="5" s="1"/>
  <c r="M401" i="5" s="1"/>
  <c r="B400" i="5"/>
  <c r="J400" i="5" s="1"/>
  <c r="K400" i="5" s="1"/>
  <c r="M400" i="5" s="1"/>
  <c r="B399" i="5"/>
  <c r="J399" i="5" s="1"/>
  <c r="K399" i="5" s="1"/>
  <c r="M399" i="5" s="1"/>
  <c r="B398" i="5"/>
  <c r="J398" i="5" s="1"/>
  <c r="K398" i="5" s="1"/>
  <c r="M398" i="5" s="1"/>
  <c r="B397" i="5"/>
  <c r="J397" i="5" s="1"/>
  <c r="K397" i="5" s="1"/>
  <c r="M397" i="5" s="1"/>
  <c r="B396" i="5"/>
  <c r="J396" i="5" s="1"/>
  <c r="K396" i="5" s="1"/>
  <c r="M396" i="5" s="1"/>
  <c r="B395" i="5"/>
  <c r="J395" i="5" s="1"/>
  <c r="K395" i="5" s="1"/>
  <c r="M395" i="5" s="1"/>
  <c r="B394" i="5"/>
  <c r="J394" i="5" s="1"/>
  <c r="K394" i="5" s="1"/>
  <c r="M394" i="5" s="1"/>
  <c r="B393" i="5"/>
  <c r="J393" i="5" s="1"/>
  <c r="K393" i="5" s="1"/>
  <c r="M393" i="5" s="1"/>
  <c r="B392" i="5"/>
  <c r="J392" i="5" s="1"/>
  <c r="K392" i="5" s="1"/>
  <c r="M392" i="5" s="1"/>
  <c r="B391" i="5"/>
  <c r="J391" i="5" s="1"/>
  <c r="K391" i="5" s="1"/>
  <c r="M391" i="5" s="1"/>
  <c r="B390" i="5"/>
  <c r="J390" i="5" s="1"/>
  <c r="K390" i="5" s="1"/>
  <c r="M390" i="5" s="1"/>
  <c r="B389" i="5"/>
  <c r="J389" i="5" s="1"/>
  <c r="K389" i="5" s="1"/>
  <c r="M389" i="5" s="1"/>
  <c r="B388" i="5"/>
  <c r="J388" i="5" s="1"/>
  <c r="K388" i="5" s="1"/>
  <c r="M388" i="5" s="1"/>
  <c r="B387" i="5"/>
  <c r="J387" i="5" s="1"/>
  <c r="K387" i="5" s="1"/>
  <c r="M387" i="5" s="1"/>
  <c r="B386" i="5"/>
  <c r="J386" i="5" s="1"/>
  <c r="K386" i="5" s="1"/>
  <c r="M386" i="5" s="1"/>
  <c r="B385" i="5"/>
  <c r="J385" i="5" s="1"/>
  <c r="K385" i="5" s="1"/>
  <c r="M385" i="5" s="1"/>
  <c r="B384" i="5"/>
  <c r="J384" i="5" s="1"/>
  <c r="K384" i="5" s="1"/>
  <c r="M384" i="5" s="1"/>
  <c r="B383" i="5"/>
  <c r="J383" i="5" s="1"/>
  <c r="K383" i="5" s="1"/>
  <c r="M383" i="5" s="1"/>
  <c r="B382" i="5"/>
  <c r="J382" i="5" s="1"/>
  <c r="K382" i="5" s="1"/>
  <c r="M382" i="5" s="1"/>
  <c r="B381" i="5"/>
  <c r="J381" i="5" s="1"/>
  <c r="K381" i="5" s="1"/>
  <c r="M381" i="5" s="1"/>
  <c r="B380" i="5"/>
  <c r="J380" i="5" s="1"/>
  <c r="K380" i="5" s="1"/>
  <c r="M380" i="5" s="1"/>
  <c r="B379" i="5"/>
  <c r="J379" i="5" s="1"/>
  <c r="K379" i="5" s="1"/>
  <c r="M379" i="5" s="1"/>
  <c r="B378" i="5"/>
  <c r="J378" i="5" s="1"/>
  <c r="K378" i="5" s="1"/>
  <c r="M378" i="5" s="1"/>
  <c r="B377" i="5"/>
  <c r="J377" i="5" s="1"/>
  <c r="K377" i="5" s="1"/>
  <c r="M377" i="5" s="1"/>
  <c r="B376" i="5"/>
  <c r="J376" i="5" s="1"/>
  <c r="K376" i="5" s="1"/>
  <c r="M376" i="5" s="1"/>
  <c r="B375" i="5"/>
  <c r="J375" i="5" s="1"/>
  <c r="K375" i="5" s="1"/>
  <c r="M375" i="5" s="1"/>
  <c r="B374" i="5"/>
  <c r="J374" i="5" s="1"/>
  <c r="K374" i="5" s="1"/>
  <c r="M374" i="5" s="1"/>
  <c r="B373" i="5"/>
  <c r="J373" i="5" s="1"/>
  <c r="K373" i="5" s="1"/>
  <c r="M373" i="5" s="1"/>
  <c r="B372" i="5"/>
  <c r="J372" i="5" s="1"/>
  <c r="K372" i="5" s="1"/>
  <c r="M372" i="5" s="1"/>
  <c r="B371" i="5"/>
  <c r="J371" i="5" s="1"/>
  <c r="K371" i="5" s="1"/>
  <c r="M371" i="5" s="1"/>
  <c r="B370" i="5"/>
  <c r="J370" i="5" s="1"/>
  <c r="K370" i="5" s="1"/>
  <c r="M370" i="5" s="1"/>
  <c r="B369" i="5"/>
  <c r="J369" i="5" s="1"/>
  <c r="K369" i="5" s="1"/>
  <c r="M369" i="5" s="1"/>
  <c r="B368" i="5"/>
  <c r="J368" i="5" s="1"/>
  <c r="K368" i="5" s="1"/>
  <c r="M368" i="5" s="1"/>
  <c r="B367" i="5"/>
  <c r="J367" i="5" s="1"/>
  <c r="K367" i="5" s="1"/>
  <c r="M367" i="5" s="1"/>
  <c r="B366" i="5"/>
  <c r="J366" i="5" s="1"/>
  <c r="K366" i="5" s="1"/>
  <c r="M366" i="5" s="1"/>
  <c r="B365" i="5"/>
  <c r="J365" i="5" s="1"/>
  <c r="K365" i="5" s="1"/>
  <c r="M365" i="5" s="1"/>
  <c r="B364" i="5"/>
  <c r="J364" i="5" s="1"/>
  <c r="K364" i="5" s="1"/>
  <c r="M364" i="5" s="1"/>
  <c r="B363" i="5"/>
  <c r="J363" i="5" s="1"/>
  <c r="K363" i="5" s="1"/>
  <c r="M363" i="5" s="1"/>
  <c r="B362" i="5"/>
  <c r="J362" i="5" s="1"/>
  <c r="K362" i="5" s="1"/>
  <c r="M362" i="5" s="1"/>
  <c r="B361" i="5"/>
  <c r="J361" i="5" s="1"/>
  <c r="K361" i="5" s="1"/>
  <c r="M361" i="5" s="1"/>
  <c r="B360" i="5"/>
  <c r="J360" i="5" s="1"/>
  <c r="K360" i="5" s="1"/>
  <c r="M360" i="5" s="1"/>
  <c r="B359" i="5"/>
  <c r="J359" i="5" s="1"/>
  <c r="K359" i="5" s="1"/>
  <c r="M359" i="5" s="1"/>
  <c r="B358" i="5"/>
  <c r="J358" i="5" s="1"/>
  <c r="K358" i="5" s="1"/>
  <c r="M358" i="5" s="1"/>
  <c r="B357" i="5"/>
  <c r="J357" i="5" s="1"/>
  <c r="K357" i="5" s="1"/>
  <c r="M357" i="5" s="1"/>
  <c r="B356" i="5"/>
  <c r="J356" i="5" s="1"/>
  <c r="K356" i="5" s="1"/>
  <c r="M356" i="5" s="1"/>
  <c r="B355" i="5"/>
  <c r="J355" i="5" s="1"/>
  <c r="K355" i="5" s="1"/>
  <c r="M355" i="5" s="1"/>
  <c r="B354" i="5"/>
  <c r="J354" i="5" s="1"/>
  <c r="K354" i="5" s="1"/>
  <c r="M354" i="5" s="1"/>
  <c r="B353" i="5"/>
  <c r="J353" i="5" s="1"/>
  <c r="K353" i="5" s="1"/>
  <c r="M353" i="5" s="1"/>
  <c r="B352" i="5"/>
  <c r="J352" i="5" s="1"/>
  <c r="K352" i="5" s="1"/>
  <c r="M352" i="5" s="1"/>
  <c r="B351" i="5"/>
  <c r="J351" i="5" s="1"/>
  <c r="K351" i="5" s="1"/>
  <c r="M351" i="5" s="1"/>
  <c r="B350" i="5"/>
  <c r="J350" i="5" s="1"/>
  <c r="K350" i="5" s="1"/>
  <c r="M350" i="5" s="1"/>
  <c r="B349" i="5"/>
  <c r="J349" i="5" s="1"/>
  <c r="K349" i="5" s="1"/>
  <c r="M349" i="5" s="1"/>
  <c r="B348" i="5"/>
  <c r="J348" i="5" s="1"/>
  <c r="K348" i="5" s="1"/>
  <c r="M348" i="5" s="1"/>
  <c r="B347" i="5"/>
  <c r="J347" i="5" s="1"/>
  <c r="K347" i="5" s="1"/>
  <c r="M347" i="5" s="1"/>
  <c r="B346" i="5"/>
  <c r="J346" i="5" s="1"/>
  <c r="K346" i="5" s="1"/>
  <c r="M346" i="5" s="1"/>
  <c r="B345" i="5"/>
  <c r="J345" i="5" s="1"/>
  <c r="K345" i="5" s="1"/>
  <c r="M345" i="5" s="1"/>
  <c r="B344" i="5"/>
  <c r="J344" i="5" s="1"/>
  <c r="K344" i="5" s="1"/>
  <c r="M344" i="5" s="1"/>
  <c r="B343" i="5"/>
  <c r="J343" i="5" s="1"/>
  <c r="K343" i="5" s="1"/>
  <c r="M343" i="5" s="1"/>
  <c r="B342" i="5"/>
  <c r="J342" i="5" s="1"/>
  <c r="K342" i="5" s="1"/>
  <c r="M342" i="5" s="1"/>
  <c r="B341" i="5"/>
  <c r="J341" i="5" s="1"/>
  <c r="K341" i="5" s="1"/>
  <c r="M341" i="5" s="1"/>
  <c r="B340" i="5"/>
  <c r="J340" i="5" s="1"/>
  <c r="K340" i="5" s="1"/>
  <c r="M340" i="5" s="1"/>
  <c r="B339" i="5"/>
  <c r="J339" i="5" s="1"/>
  <c r="K339" i="5" s="1"/>
  <c r="M339" i="5" s="1"/>
  <c r="B338" i="5"/>
  <c r="J338" i="5" s="1"/>
  <c r="K338" i="5" s="1"/>
  <c r="M338" i="5" s="1"/>
  <c r="B337" i="5"/>
  <c r="J337" i="5" s="1"/>
  <c r="K337" i="5" s="1"/>
  <c r="M337" i="5" s="1"/>
  <c r="B336" i="5"/>
  <c r="J336" i="5" s="1"/>
  <c r="K336" i="5" s="1"/>
  <c r="M336" i="5" s="1"/>
  <c r="B335" i="5"/>
  <c r="J335" i="5" s="1"/>
  <c r="K335" i="5" s="1"/>
  <c r="M335" i="5" s="1"/>
  <c r="B334" i="5"/>
  <c r="J334" i="5" s="1"/>
  <c r="K334" i="5" s="1"/>
  <c r="M334" i="5" s="1"/>
  <c r="B333" i="5"/>
  <c r="J333" i="5" s="1"/>
  <c r="K333" i="5" s="1"/>
  <c r="M333" i="5" s="1"/>
  <c r="B332" i="5"/>
  <c r="J332" i="5" s="1"/>
  <c r="K332" i="5" s="1"/>
  <c r="M332" i="5" s="1"/>
  <c r="B331" i="5"/>
  <c r="J331" i="5" s="1"/>
  <c r="K331" i="5" s="1"/>
  <c r="M331" i="5" s="1"/>
  <c r="B330" i="5"/>
  <c r="J330" i="5" s="1"/>
  <c r="K330" i="5" s="1"/>
  <c r="M330" i="5" s="1"/>
  <c r="B329" i="5"/>
  <c r="J329" i="5" s="1"/>
  <c r="K329" i="5" s="1"/>
  <c r="M329" i="5" s="1"/>
  <c r="B328" i="5"/>
  <c r="J328" i="5" s="1"/>
  <c r="K328" i="5" s="1"/>
  <c r="M328" i="5" s="1"/>
  <c r="B327" i="5"/>
  <c r="J327" i="5" s="1"/>
  <c r="K327" i="5" s="1"/>
  <c r="M327" i="5" s="1"/>
  <c r="B326" i="5"/>
  <c r="J326" i="5" s="1"/>
  <c r="K326" i="5" s="1"/>
  <c r="M326" i="5" s="1"/>
  <c r="B325" i="5"/>
  <c r="J325" i="5" s="1"/>
  <c r="K325" i="5" s="1"/>
  <c r="M325" i="5" s="1"/>
  <c r="B324" i="5"/>
  <c r="J324" i="5" s="1"/>
  <c r="K324" i="5" s="1"/>
  <c r="M324" i="5" s="1"/>
  <c r="B323" i="5"/>
  <c r="J323" i="5" s="1"/>
  <c r="K323" i="5" s="1"/>
  <c r="M323" i="5" s="1"/>
  <c r="B322" i="5"/>
  <c r="J322" i="5" s="1"/>
  <c r="K322" i="5" s="1"/>
  <c r="M322" i="5" s="1"/>
  <c r="B321" i="5"/>
  <c r="J321" i="5" s="1"/>
  <c r="K321" i="5" s="1"/>
  <c r="M321" i="5" s="1"/>
  <c r="B320" i="5"/>
  <c r="J320" i="5" s="1"/>
  <c r="K320" i="5" s="1"/>
  <c r="M320" i="5" s="1"/>
  <c r="B319" i="5"/>
  <c r="J319" i="5" s="1"/>
  <c r="K319" i="5" s="1"/>
  <c r="M319" i="5" s="1"/>
  <c r="B318" i="5"/>
  <c r="J318" i="5" s="1"/>
  <c r="K318" i="5" s="1"/>
  <c r="M318" i="5" s="1"/>
  <c r="B317" i="5"/>
  <c r="J317" i="5" s="1"/>
  <c r="K317" i="5" s="1"/>
  <c r="M317" i="5" s="1"/>
  <c r="B316" i="5"/>
  <c r="J316" i="5" s="1"/>
  <c r="K316" i="5" s="1"/>
  <c r="M316" i="5" s="1"/>
  <c r="B315" i="5"/>
  <c r="J315" i="5" s="1"/>
  <c r="K315" i="5" s="1"/>
  <c r="M315" i="5" s="1"/>
  <c r="B314" i="5"/>
  <c r="J314" i="5" s="1"/>
  <c r="K314" i="5" s="1"/>
  <c r="M314" i="5" s="1"/>
  <c r="B313" i="5"/>
  <c r="J313" i="5" s="1"/>
  <c r="K313" i="5" s="1"/>
  <c r="M313" i="5" s="1"/>
  <c r="B312" i="5"/>
  <c r="J312" i="5" s="1"/>
  <c r="K312" i="5" s="1"/>
  <c r="M312" i="5" s="1"/>
  <c r="B311" i="5"/>
  <c r="J311" i="5" s="1"/>
  <c r="K311" i="5" s="1"/>
  <c r="M311" i="5" s="1"/>
  <c r="B310" i="5"/>
  <c r="J310" i="5" s="1"/>
  <c r="K310" i="5" s="1"/>
  <c r="M310" i="5" s="1"/>
  <c r="B309" i="5"/>
  <c r="J309" i="5" s="1"/>
  <c r="K309" i="5" s="1"/>
  <c r="M309" i="5" s="1"/>
  <c r="B308" i="5"/>
  <c r="J308" i="5" s="1"/>
  <c r="K308" i="5" s="1"/>
  <c r="M308" i="5" s="1"/>
  <c r="B307" i="5"/>
  <c r="J307" i="5" s="1"/>
  <c r="K307" i="5" s="1"/>
  <c r="M307" i="5" s="1"/>
  <c r="B306" i="5"/>
  <c r="J306" i="5" s="1"/>
  <c r="K306" i="5" s="1"/>
  <c r="M306" i="5" s="1"/>
  <c r="B305" i="5"/>
  <c r="J305" i="5" s="1"/>
  <c r="K305" i="5" s="1"/>
  <c r="M305" i="5" s="1"/>
  <c r="B304" i="5"/>
  <c r="J304" i="5" s="1"/>
  <c r="K304" i="5" s="1"/>
  <c r="M304" i="5" s="1"/>
  <c r="B303" i="5"/>
  <c r="J303" i="5" s="1"/>
  <c r="K303" i="5" s="1"/>
  <c r="M303" i="5" s="1"/>
  <c r="B302" i="5"/>
  <c r="J302" i="5" s="1"/>
  <c r="K302" i="5" s="1"/>
  <c r="M302" i="5" s="1"/>
  <c r="B301" i="5"/>
  <c r="J301" i="5" s="1"/>
  <c r="K301" i="5" s="1"/>
  <c r="M301" i="5" s="1"/>
  <c r="B300" i="5"/>
  <c r="J300" i="5" s="1"/>
  <c r="K300" i="5" s="1"/>
  <c r="M300" i="5" s="1"/>
  <c r="B299" i="5"/>
  <c r="J299" i="5" s="1"/>
  <c r="K299" i="5" s="1"/>
  <c r="M299" i="5" s="1"/>
  <c r="B298" i="5"/>
  <c r="J298" i="5" s="1"/>
  <c r="K298" i="5" s="1"/>
  <c r="M298" i="5" s="1"/>
  <c r="B297" i="5"/>
  <c r="J297" i="5" s="1"/>
  <c r="K297" i="5" s="1"/>
  <c r="M297" i="5" s="1"/>
  <c r="B296" i="5"/>
  <c r="J296" i="5" s="1"/>
  <c r="K296" i="5" s="1"/>
  <c r="M296" i="5" s="1"/>
  <c r="B295" i="5"/>
  <c r="J295" i="5" s="1"/>
  <c r="K295" i="5" s="1"/>
  <c r="M295" i="5" s="1"/>
  <c r="B294" i="5"/>
  <c r="J294" i="5" s="1"/>
  <c r="K294" i="5" s="1"/>
  <c r="M294" i="5" s="1"/>
  <c r="B293" i="5"/>
  <c r="J293" i="5" s="1"/>
  <c r="K293" i="5" s="1"/>
  <c r="M293" i="5" s="1"/>
  <c r="B292" i="5"/>
  <c r="J292" i="5" s="1"/>
  <c r="K292" i="5" s="1"/>
  <c r="M292" i="5" s="1"/>
  <c r="B291" i="5"/>
  <c r="J291" i="5" s="1"/>
  <c r="K291" i="5" s="1"/>
  <c r="M291" i="5" s="1"/>
  <c r="B290" i="5"/>
  <c r="J290" i="5" s="1"/>
  <c r="K290" i="5" s="1"/>
  <c r="M290" i="5" s="1"/>
  <c r="B289" i="5"/>
  <c r="J289" i="5" s="1"/>
  <c r="K289" i="5" s="1"/>
  <c r="M289" i="5" s="1"/>
  <c r="B288" i="5"/>
  <c r="J288" i="5" s="1"/>
  <c r="K288" i="5" s="1"/>
  <c r="M288" i="5" s="1"/>
  <c r="B287" i="5"/>
  <c r="J287" i="5" s="1"/>
  <c r="K287" i="5" s="1"/>
  <c r="M287" i="5" s="1"/>
  <c r="B286" i="5"/>
  <c r="J286" i="5" s="1"/>
  <c r="K286" i="5" s="1"/>
  <c r="M286" i="5" s="1"/>
  <c r="B285" i="5"/>
  <c r="J285" i="5" s="1"/>
  <c r="K285" i="5" s="1"/>
  <c r="M285" i="5" s="1"/>
  <c r="B284" i="5"/>
  <c r="J284" i="5" s="1"/>
  <c r="K284" i="5" s="1"/>
  <c r="M284" i="5" s="1"/>
  <c r="B283" i="5"/>
  <c r="J283" i="5" s="1"/>
  <c r="K283" i="5" s="1"/>
  <c r="M283" i="5" s="1"/>
  <c r="B282" i="5"/>
  <c r="J282" i="5" s="1"/>
  <c r="K282" i="5" s="1"/>
  <c r="M282" i="5" s="1"/>
  <c r="B281" i="5"/>
  <c r="J281" i="5" s="1"/>
  <c r="K281" i="5" s="1"/>
  <c r="M281" i="5" s="1"/>
  <c r="B280" i="5"/>
  <c r="J280" i="5" s="1"/>
  <c r="K280" i="5" s="1"/>
  <c r="M280" i="5" s="1"/>
  <c r="B279" i="5"/>
  <c r="J279" i="5" s="1"/>
  <c r="K279" i="5" s="1"/>
  <c r="M279" i="5" s="1"/>
  <c r="B278" i="5"/>
  <c r="J278" i="5" s="1"/>
  <c r="K278" i="5" s="1"/>
  <c r="M278" i="5" s="1"/>
  <c r="B277" i="5"/>
  <c r="J277" i="5" s="1"/>
  <c r="K277" i="5" s="1"/>
  <c r="M277" i="5" s="1"/>
  <c r="B276" i="5"/>
  <c r="J276" i="5" s="1"/>
  <c r="K276" i="5" s="1"/>
  <c r="M276" i="5" s="1"/>
  <c r="B275" i="5"/>
  <c r="J275" i="5" s="1"/>
  <c r="K275" i="5" s="1"/>
  <c r="M275" i="5" s="1"/>
  <c r="B274" i="5"/>
  <c r="J274" i="5" s="1"/>
  <c r="K274" i="5" s="1"/>
  <c r="M274" i="5" s="1"/>
  <c r="B273" i="5"/>
  <c r="J273" i="5" s="1"/>
  <c r="K273" i="5" s="1"/>
  <c r="M273" i="5" s="1"/>
  <c r="B272" i="5"/>
  <c r="J272" i="5" s="1"/>
  <c r="K272" i="5" s="1"/>
  <c r="M272" i="5" s="1"/>
  <c r="B271" i="5"/>
  <c r="J271" i="5" s="1"/>
  <c r="K271" i="5" s="1"/>
  <c r="M271" i="5" s="1"/>
  <c r="B270" i="5"/>
  <c r="J270" i="5" s="1"/>
  <c r="K270" i="5" s="1"/>
  <c r="M270" i="5" s="1"/>
  <c r="B269" i="5"/>
  <c r="J269" i="5" s="1"/>
  <c r="K269" i="5" s="1"/>
  <c r="M269" i="5" s="1"/>
  <c r="B268" i="5"/>
  <c r="J268" i="5" s="1"/>
  <c r="K268" i="5" s="1"/>
  <c r="M268" i="5" s="1"/>
  <c r="B267" i="5"/>
  <c r="J267" i="5" s="1"/>
  <c r="K267" i="5" s="1"/>
  <c r="M267" i="5" s="1"/>
  <c r="B266" i="5"/>
  <c r="J266" i="5" s="1"/>
  <c r="K266" i="5" s="1"/>
  <c r="M266" i="5" s="1"/>
  <c r="B265" i="5"/>
  <c r="J265" i="5" s="1"/>
  <c r="K265" i="5" s="1"/>
  <c r="M265" i="5" s="1"/>
  <c r="B264" i="5"/>
  <c r="J264" i="5" s="1"/>
  <c r="K264" i="5" s="1"/>
  <c r="M264" i="5" s="1"/>
  <c r="B263" i="5"/>
  <c r="J263" i="5" s="1"/>
  <c r="K263" i="5" s="1"/>
  <c r="M263" i="5" s="1"/>
  <c r="B262" i="5"/>
  <c r="J262" i="5" s="1"/>
  <c r="K262" i="5" s="1"/>
  <c r="M262" i="5" s="1"/>
  <c r="B261" i="5"/>
  <c r="J261" i="5" s="1"/>
  <c r="K261" i="5" s="1"/>
  <c r="M261" i="5" s="1"/>
  <c r="B260" i="5"/>
  <c r="J260" i="5" s="1"/>
  <c r="K260" i="5" s="1"/>
  <c r="M260" i="5" s="1"/>
  <c r="B259" i="5"/>
  <c r="J259" i="5" s="1"/>
  <c r="K259" i="5" s="1"/>
  <c r="M259" i="5" s="1"/>
  <c r="B258" i="5"/>
  <c r="J258" i="5" s="1"/>
  <c r="K258" i="5" s="1"/>
  <c r="M258" i="5" s="1"/>
  <c r="B257" i="5"/>
  <c r="J257" i="5" s="1"/>
  <c r="K257" i="5" s="1"/>
  <c r="M257" i="5" s="1"/>
  <c r="B256" i="5"/>
  <c r="J256" i="5" s="1"/>
  <c r="K256" i="5" s="1"/>
  <c r="M256" i="5" s="1"/>
  <c r="B255" i="5"/>
  <c r="J255" i="5" s="1"/>
  <c r="K255" i="5" s="1"/>
  <c r="M255" i="5" s="1"/>
  <c r="B254" i="5"/>
  <c r="J254" i="5" s="1"/>
  <c r="K254" i="5" s="1"/>
  <c r="M254" i="5" s="1"/>
  <c r="B253" i="5"/>
  <c r="J253" i="5" s="1"/>
  <c r="K253" i="5" s="1"/>
  <c r="M253" i="5" s="1"/>
  <c r="B252" i="5"/>
  <c r="J252" i="5" s="1"/>
  <c r="K252" i="5" s="1"/>
  <c r="M252" i="5" s="1"/>
  <c r="B251" i="5"/>
  <c r="J251" i="5" s="1"/>
  <c r="K251" i="5" s="1"/>
  <c r="M251" i="5" s="1"/>
  <c r="B250" i="5"/>
  <c r="J250" i="5" s="1"/>
  <c r="K250" i="5" s="1"/>
  <c r="M250" i="5" s="1"/>
  <c r="B249" i="5"/>
  <c r="J249" i="5" s="1"/>
  <c r="K249" i="5" s="1"/>
  <c r="M249" i="5" s="1"/>
  <c r="B248" i="5"/>
  <c r="J248" i="5" s="1"/>
  <c r="K248" i="5" s="1"/>
  <c r="M248" i="5" s="1"/>
  <c r="B247" i="5"/>
  <c r="J247" i="5" s="1"/>
  <c r="K247" i="5" s="1"/>
  <c r="M247" i="5" s="1"/>
  <c r="B246" i="5"/>
  <c r="J246" i="5" s="1"/>
  <c r="K246" i="5" s="1"/>
  <c r="M246" i="5" s="1"/>
  <c r="B245" i="5"/>
  <c r="J245" i="5" s="1"/>
  <c r="K245" i="5" s="1"/>
  <c r="M245" i="5" s="1"/>
  <c r="B244" i="5"/>
  <c r="J244" i="5" s="1"/>
  <c r="K244" i="5" s="1"/>
  <c r="M244" i="5" s="1"/>
  <c r="B243" i="5"/>
  <c r="J243" i="5" s="1"/>
  <c r="K243" i="5" s="1"/>
  <c r="M243" i="5" s="1"/>
  <c r="B242" i="5"/>
  <c r="J242" i="5" s="1"/>
  <c r="K242" i="5" s="1"/>
  <c r="M242" i="5" s="1"/>
  <c r="B241" i="5"/>
  <c r="J241" i="5" s="1"/>
  <c r="K241" i="5" s="1"/>
  <c r="M241" i="5" s="1"/>
  <c r="B240" i="5"/>
  <c r="J240" i="5" s="1"/>
  <c r="K240" i="5" s="1"/>
  <c r="M240" i="5" s="1"/>
  <c r="B239" i="5"/>
  <c r="J239" i="5" s="1"/>
  <c r="K239" i="5" s="1"/>
  <c r="M239" i="5" s="1"/>
  <c r="B238" i="5"/>
  <c r="J238" i="5" s="1"/>
  <c r="K238" i="5" s="1"/>
  <c r="M238" i="5" s="1"/>
  <c r="B237" i="5"/>
  <c r="J237" i="5" s="1"/>
  <c r="K237" i="5" s="1"/>
  <c r="M237" i="5" s="1"/>
  <c r="B236" i="5"/>
  <c r="J236" i="5" s="1"/>
  <c r="K236" i="5" s="1"/>
  <c r="M236" i="5" s="1"/>
  <c r="B235" i="5"/>
  <c r="J235" i="5" s="1"/>
  <c r="K235" i="5" s="1"/>
  <c r="M235" i="5" s="1"/>
  <c r="B234" i="5"/>
  <c r="J234" i="5" s="1"/>
  <c r="K234" i="5" s="1"/>
  <c r="M234" i="5" s="1"/>
  <c r="B233" i="5"/>
  <c r="J233" i="5" s="1"/>
  <c r="K233" i="5" s="1"/>
  <c r="M233" i="5" s="1"/>
  <c r="B232" i="5"/>
  <c r="J232" i="5" s="1"/>
  <c r="K232" i="5" s="1"/>
  <c r="M232" i="5" s="1"/>
  <c r="B231" i="5"/>
  <c r="J231" i="5" s="1"/>
  <c r="K231" i="5" s="1"/>
  <c r="M231" i="5" s="1"/>
  <c r="B230" i="5"/>
  <c r="J230" i="5" s="1"/>
  <c r="K230" i="5" s="1"/>
  <c r="M230" i="5" s="1"/>
  <c r="B229" i="5"/>
  <c r="J229" i="5" s="1"/>
  <c r="K229" i="5" s="1"/>
  <c r="M229" i="5" s="1"/>
  <c r="B228" i="5"/>
  <c r="J228" i="5" s="1"/>
  <c r="K228" i="5" s="1"/>
  <c r="M228" i="5" s="1"/>
  <c r="B227" i="5"/>
  <c r="J227" i="5" s="1"/>
  <c r="K227" i="5" s="1"/>
  <c r="M227" i="5" s="1"/>
  <c r="B226" i="5"/>
  <c r="J226" i="5" s="1"/>
  <c r="K226" i="5" s="1"/>
  <c r="M226" i="5" s="1"/>
  <c r="B225" i="5"/>
  <c r="J225" i="5" s="1"/>
  <c r="K225" i="5" s="1"/>
  <c r="M225" i="5" s="1"/>
  <c r="B224" i="5"/>
  <c r="J224" i="5" s="1"/>
  <c r="K224" i="5" s="1"/>
  <c r="M224" i="5" s="1"/>
  <c r="B223" i="5"/>
  <c r="J223" i="5" s="1"/>
  <c r="K223" i="5" s="1"/>
  <c r="M223" i="5" s="1"/>
  <c r="B222" i="5"/>
  <c r="J222" i="5" s="1"/>
  <c r="K222" i="5" s="1"/>
  <c r="M222" i="5" s="1"/>
  <c r="B221" i="5"/>
  <c r="J221" i="5" s="1"/>
  <c r="K221" i="5" s="1"/>
  <c r="M221" i="5" s="1"/>
  <c r="B220" i="5"/>
  <c r="J220" i="5" s="1"/>
  <c r="K220" i="5" s="1"/>
  <c r="M220" i="5" s="1"/>
  <c r="B219" i="5"/>
  <c r="J219" i="5" s="1"/>
  <c r="K219" i="5" s="1"/>
  <c r="M219" i="5" s="1"/>
  <c r="B218" i="5"/>
  <c r="J218" i="5" s="1"/>
  <c r="K218" i="5" s="1"/>
  <c r="M218" i="5" s="1"/>
  <c r="B217" i="5"/>
  <c r="J217" i="5" s="1"/>
  <c r="K217" i="5" s="1"/>
  <c r="M217" i="5" s="1"/>
  <c r="B216" i="5"/>
  <c r="J216" i="5" s="1"/>
  <c r="K216" i="5" s="1"/>
  <c r="M216" i="5" s="1"/>
  <c r="B215" i="5"/>
  <c r="J215" i="5" s="1"/>
  <c r="K215" i="5" s="1"/>
  <c r="M215" i="5" s="1"/>
  <c r="B214" i="5"/>
  <c r="J214" i="5" s="1"/>
  <c r="K214" i="5" s="1"/>
  <c r="M214" i="5" s="1"/>
  <c r="B213" i="5"/>
  <c r="J213" i="5" s="1"/>
  <c r="K213" i="5" s="1"/>
  <c r="M213" i="5" s="1"/>
  <c r="B212" i="5"/>
  <c r="J212" i="5" s="1"/>
  <c r="K212" i="5" s="1"/>
  <c r="M212" i="5" s="1"/>
  <c r="B211" i="5"/>
  <c r="J211" i="5" s="1"/>
  <c r="K211" i="5" s="1"/>
  <c r="M211" i="5" s="1"/>
  <c r="B210" i="5"/>
  <c r="J210" i="5" s="1"/>
  <c r="K210" i="5" s="1"/>
  <c r="M210" i="5" s="1"/>
  <c r="B209" i="5"/>
  <c r="J209" i="5" s="1"/>
  <c r="K209" i="5" s="1"/>
  <c r="M209" i="5" s="1"/>
  <c r="B208" i="5"/>
  <c r="J208" i="5" s="1"/>
  <c r="K208" i="5" s="1"/>
  <c r="M208" i="5" s="1"/>
  <c r="B207" i="5"/>
  <c r="J207" i="5" s="1"/>
  <c r="K207" i="5" s="1"/>
  <c r="M207" i="5" s="1"/>
  <c r="B206" i="5"/>
  <c r="J206" i="5" s="1"/>
  <c r="K206" i="5" s="1"/>
  <c r="M206" i="5" s="1"/>
  <c r="B205" i="5"/>
  <c r="J205" i="5" s="1"/>
  <c r="K205" i="5" s="1"/>
  <c r="M205" i="5" s="1"/>
  <c r="B204" i="5"/>
  <c r="J204" i="5" s="1"/>
  <c r="K204" i="5" s="1"/>
  <c r="M204" i="5" s="1"/>
  <c r="B203" i="5"/>
  <c r="J203" i="5" s="1"/>
  <c r="K203" i="5" s="1"/>
  <c r="M203" i="5" s="1"/>
  <c r="B202" i="5"/>
  <c r="J202" i="5" s="1"/>
  <c r="K202" i="5" s="1"/>
  <c r="M202" i="5" s="1"/>
  <c r="B201" i="5"/>
  <c r="J201" i="5" s="1"/>
  <c r="K201" i="5" s="1"/>
  <c r="M201" i="5" s="1"/>
  <c r="B200" i="5"/>
  <c r="J200" i="5" s="1"/>
  <c r="K200" i="5" s="1"/>
  <c r="M200" i="5" s="1"/>
  <c r="B199" i="5"/>
  <c r="J199" i="5" s="1"/>
  <c r="K199" i="5" s="1"/>
  <c r="M199" i="5" s="1"/>
  <c r="B198" i="5"/>
  <c r="J198" i="5" s="1"/>
  <c r="K198" i="5" s="1"/>
  <c r="M198" i="5" s="1"/>
  <c r="B197" i="5"/>
  <c r="J197" i="5" s="1"/>
  <c r="K197" i="5" s="1"/>
  <c r="M197" i="5" s="1"/>
  <c r="B196" i="5"/>
  <c r="J196" i="5" s="1"/>
  <c r="K196" i="5" s="1"/>
  <c r="M196" i="5" s="1"/>
  <c r="B195" i="5"/>
  <c r="J195" i="5" s="1"/>
  <c r="K195" i="5" s="1"/>
  <c r="M195" i="5" s="1"/>
  <c r="B194" i="5"/>
  <c r="J194" i="5" s="1"/>
  <c r="K194" i="5" s="1"/>
  <c r="M194" i="5" s="1"/>
  <c r="B193" i="5"/>
  <c r="J193" i="5" s="1"/>
  <c r="K193" i="5" s="1"/>
  <c r="M193" i="5" s="1"/>
  <c r="B192" i="5"/>
  <c r="J192" i="5" s="1"/>
  <c r="K192" i="5" s="1"/>
  <c r="M192" i="5" s="1"/>
  <c r="B191" i="5"/>
  <c r="J191" i="5" s="1"/>
  <c r="K191" i="5" s="1"/>
  <c r="M191" i="5" s="1"/>
  <c r="B190" i="5"/>
  <c r="J190" i="5" s="1"/>
  <c r="K190" i="5" s="1"/>
  <c r="M190" i="5" s="1"/>
  <c r="B189" i="5"/>
  <c r="J189" i="5" s="1"/>
  <c r="K189" i="5" s="1"/>
  <c r="M189" i="5" s="1"/>
  <c r="B188" i="5"/>
  <c r="J188" i="5" s="1"/>
  <c r="K188" i="5" s="1"/>
  <c r="M188" i="5" s="1"/>
  <c r="B187" i="5"/>
  <c r="J187" i="5" s="1"/>
  <c r="K187" i="5" s="1"/>
  <c r="M187" i="5" s="1"/>
  <c r="B186" i="5"/>
  <c r="J186" i="5" s="1"/>
  <c r="K186" i="5" s="1"/>
  <c r="M186" i="5" s="1"/>
  <c r="B185" i="5"/>
  <c r="J185" i="5" s="1"/>
  <c r="K185" i="5" s="1"/>
  <c r="M185" i="5" s="1"/>
  <c r="B184" i="5"/>
  <c r="J184" i="5" s="1"/>
  <c r="K184" i="5" s="1"/>
  <c r="M184" i="5" s="1"/>
  <c r="B183" i="5"/>
  <c r="J183" i="5" s="1"/>
  <c r="K183" i="5" s="1"/>
  <c r="M183" i="5" s="1"/>
  <c r="B182" i="5"/>
  <c r="J182" i="5" s="1"/>
  <c r="K182" i="5" s="1"/>
  <c r="M182" i="5" s="1"/>
  <c r="B181" i="5"/>
  <c r="J181" i="5" s="1"/>
  <c r="K181" i="5" s="1"/>
  <c r="M181" i="5" s="1"/>
  <c r="B180" i="5"/>
  <c r="J180" i="5" s="1"/>
  <c r="K180" i="5" s="1"/>
  <c r="M180" i="5" s="1"/>
  <c r="B179" i="5"/>
  <c r="J179" i="5" s="1"/>
  <c r="K179" i="5" s="1"/>
  <c r="M179" i="5" s="1"/>
  <c r="B178" i="5"/>
  <c r="J178" i="5" s="1"/>
  <c r="K178" i="5" s="1"/>
  <c r="M178" i="5" s="1"/>
  <c r="B177" i="5"/>
  <c r="J177" i="5" s="1"/>
  <c r="K177" i="5" s="1"/>
  <c r="M177" i="5" s="1"/>
  <c r="B176" i="5"/>
  <c r="J176" i="5" s="1"/>
  <c r="K176" i="5" s="1"/>
  <c r="M176" i="5" s="1"/>
  <c r="B175" i="5"/>
  <c r="J175" i="5" s="1"/>
  <c r="K175" i="5" s="1"/>
  <c r="M175" i="5" s="1"/>
  <c r="B174" i="5"/>
  <c r="J174" i="5" s="1"/>
  <c r="K174" i="5" s="1"/>
  <c r="M174" i="5" s="1"/>
  <c r="B173" i="5"/>
  <c r="J173" i="5" s="1"/>
  <c r="K173" i="5" s="1"/>
  <c r="M173" i="5" s="1"/>
  <c r="B172" i="5"/>
  <c r="J172" i="5" s="1"/>
  <c r="K172" i="5" s="1"/>
  <c r="M172" i="5" s="1"/>
  <c r="B171" i="5"/>
  <c r="J171" i="5" s="1"/>
  <c r="K171" i="5" s="1"/>
  <c r="M171" i="5" s="1"/>
  <c r="B170" i="5"/>
  <c r="J170" i="5" s="1"/>
  <c r="K170" i="5" s="1"/>
  <c r="M170" i="5" s="1"/>
  <c r="B169" i="5"/>
  <c r="J169" i="5" s="1"/>
  <c r="K169" i="5" s="1"/>
  <c r="M169" i="5" s="1"/>
  <c r="B168" i="5"/>
  <c r="J168" i="5" s="1"/>
  <c r="K168" i="5" s="1"/>
  <c r="M168" i="5" s="1"/>
  <c r="B167" i="5"/>
  <c r="J167" i="5" s="1"/>
  <c r="K167" i="5" s="1"/>
  <c r="M167" i="5" s="1"/>
  <c r="B166" i="5"/>
  <c r="J166" i="5" s="1"/>
  <c r="K166" i="5" s="1"/>
  <c r="M166" i="5" s="1"/>
  <c r="B165" i="5"/>
  <c r="J165" i="5" s="1"/>
  <c r="K165" i="5" s="1"/>
  <c r="M165" i="5" s="1"/>
  <c r="B164" i="5"/>
  <c r="J164" i="5" s="1"/>
  <c r="K164" i="5" s="1"/>
  <c r="M164" i="5" s="1"/>
  <c r="B163" i="5"/>
  <c r="J163" i="5" s="1"/>
  <c r="K163" i="5" s="1"/>
  <c r="M163" i="5" s="1"/>
  <c r="B162" i="5"/>
  <c r="J162" i="5" s="1"/>
  <c r="K162" i="5" s="1"/>
  <c r="M162" i="5" s="1"/>
  <c r="B161" i="5"/>
  <c r="J161" i="5" s="1"/>
  <c r="K161" i="5" s="1"/>
  <c r="M161" i="5" s="1"/>
  <c r="B160" i="5"/>
  <c r="J160" i="5" s="1"/>
  <c r="K160" i="5" s="1"/>
  <c r="M160" i="5" s="1"/>
  <c r="B159" i="5"/>
  <c r="J159" i="5" s="1"/>
  <c r="K159" i="5" s="1"/>
  <c r="M159" i="5" s="1"/>
  <c r="B158" i="5"/>
  <c r="J158" i="5" s="1"/>
  <c r="K158" i="5" s="1"/>
  <c r="M158" i="5" s="1"/>
  <c r="B157" i="5"/>
  <c r="J157" i="5" s="1"/>
  <c r="K157" i="5" s="1"/>
  <c r="M157" i="5" s="1"/>
  <c r="B156" i="5"/>
  <c r="J156" i="5" s="1"/>
  <c r="K156" i="5" s="1"/>
  <c r="M156" i="5" s="1"/>
  <c r="B155" i="5"/>
  <c r="J155" i="5" s="1"/>
  <c r="K155" i="5" s="1"/>
  <c r="M155" i="5" s="1"/>
  <c r="B154" i="5"/>
  <c r="J154" i="5" s="1"/>
  <c r="K154" i="5" s="1"/>
  <c r="M154" i="5" s="1"/>
  <c r="B153" i="5"/>
  <c r="J153" i="5" s="1"/>
  <c r="K153" i="5" s="1"/>
  <c r="M153" i="5" s="1"/>
  <c r="B152" i="5"/>
  <c r="J152" i="5" s="1"/>
  <c r="K152" i="5" s="1"/>
  <c r="M152" i="5" s="1"/>
  <c r="B151" i="5"/>
  <c r="J151" i="5" s="1"/>
  <c r="K151" i="5" s="1"/>
  <c r="M151" i="5" s="1"/>
  <c r="B150" i="5"/>
  <c r="J150" i="5" s="1"/>
  <c r="K150" i="5" s="1"/>
  <c r="M150" i="5" s="1"/>
  <c r="B149" i="5"/>
  <c r="J149" i="5" s="1"/>
  <c r="K149" i="5" s="1"/>
  <c r="M149" i="5" s="1"/>
  <c r="B148" i="5"/>
  <c r="J148" i="5" s="1"/>
  <c r="K148" i="5" s="1"/>
  <c r="M148" i="5" s="1"/>
  <c r="B147" i="5"/>
  <c r="J147" i="5" s="1"/>
  <c r="K147" i="5" s="1"/>
  <c r="M147" i="5" s="1"/>
  <c r="B146" i="5"/>
  <c r="J146" i="5" s="1"/>
  <c r="K146" i="5" s="1"/>
  <c r="M146" i="5" s="1"/>
  <c r="B145" i="5"/>
  <c r="J145" i="5" s="1"/>
  <c r="K145" i="5" s="1"/>
  <c r="M145" i="5" s="1"/>
  <c r="B144" i="5"/>
  <c r="J144" i="5" s="1"/>
  <c r="K144" i="5" s="1"/>
  <c r="M144" i="5" s="1"/>
  <c r="B143" i="5"/>
  <c r="J143" i="5" s="1"/>
  <c r="K143" i="5" s="1"/>
  <c r="M143" i="5" s="1"/>
  <c r="B142" i="5"/>
  <c r="J142" i="5" s="1"/>
  <c r="K142" i="5" s="1"/>
  <c r="M142" i="5" s="1"/>
  <c r="B141" i="5"/>
  <c r="J141" i="5" s="1"/>
  <c r="K141" i="5" s="1"/>
  <c r="M141" i="5" s="1"/>
  <c r="B140" i="5"/>
  <c r="J140" i="5" s="1"/>
  <c r="K140" i="5" s="1"/>
  <c r="M140" i="5" s="1"/>
  <c r="B139" i="5"/>
  <c r="J139" i="5" s="1"/>
  <c r="K139" i="5" s="1"/>
  <c r="M139" i="5" s="1"/>
  <c r="B138" i="5"/>
  <c r="J138" i="5" s="1"/>
  <c r="K138" i="5" s="1"/>
  <c r="M138" i="5" s="1"/>
  <c r="B137" i="5"/>
  <c r="J137" i="5" s="1"/>
  <c r="K137" i="5" s="1"/>
  <c r="M137" i="5" s="1"/>
  <c r="B136" i="5"/>
  <c r="J136" i="5" s="1"/>
  <c r="K136" i="5" s="1"/>
  <c r="M136" i="5" s="1"/>
  <c r="B135" i="5"/>
  <c r="J135" i="5" s="1"/>
  <c r="K135" i="5" s="1"/>
  <c r="M135" i="5" s="1"/>
  <c r="B134" i="5"/>
  <c r="J134" i="5" s="1"/>
  <c r="K134" i="5" s="1"/>
  <c r="M134" i="5" s="1"/>
  <c r="B133" i="5"/>
  <c r="J133" i="5" s="1"/>
  <c r="K133" i="5" s="1"/>
  <c r="M133" i="5" s="1"/>
  <c r="B132" i="5"/>
  <c r="J132" i="5" s="1"/>
  <c r="K132" i="5" s="1"/>
  <c r="M132" i="5" s="1"/>
  <c r="B131" i="5"/>
  <c r="J131" i="5" s="1"/>
  <c r="K131" i="5" s="1"/>
  <c r="M131" i="5" s="1"/>
  <c r="B130" i="5"/>
  <c r="J130" i="5" s="1"/>
  <c r="K130" i="5" s="1"/>
  <c r="M130" i="5" s="1"/>
  <c r="B129" i="5"/>
  <c r="J129" i="5" s="1"/>
  <c r="K129" i="5" s="1"/>
  <c r="M129" i="5" s="1"/>
  <c r="B128" i="5"/>
  <c r="J128" i="5" s="1"/>
  <c r="K128" i="5" s="1"/>
  <c r="M128" i="5" s="1"/>
  <c r="B127" i="5"/>
  <c r="J127" i="5" s="1"/>
  <c r="K127" i="5" s="1"/>
  <c r="M127" i="5" s="1"/>
  <c r="B126" i="5"/>
  <c r="J126" i="5" s="1"/>
  <c r="K126" i="5" s="1"/>
  <c r="M126" i="5" s="1"/>
  <c r="B125" i="5"/>
  <c r="J125" i="5" s="1"/>
  <c r="K125" i="5" s="1"/>
  <c r="M125" i="5" s="1"/>
  <c r="B124" i="5"/>
  <c r="J124" i="5" s="1"/>
  <c r="K124" i="5" s="1"/>
  <c r="M124" i="5" s="1"/>
  <c r="B123" i="5"/>
  <c r="J123" i="5" s="1"/>
  <c r="K123" i="5" s="1"/>
  <c r="M123" i="5" s="1"/>
  <c r="B122" i="5"/>
  <c r="J122" i="5" s="1"/>
  <c r="K122" i="5" s="1"/>
  <c r="M122" i="5" s="1"/>
  <c r="B121" i="5"/>
  <c r="J121" i="5" s="1"/>
  <c r="K121" i="5" s="1"/>
  <c r="M121" i="5" s="1"/>
  <c r="B120" i="5"/>
  <c r="J120" i="5" s="1"/>
  <c r="K120" i="5" s="1"/>
  <c r="M120" i="5" s="1"/>
  <c r="B119" i="5"/>
  <c r="J119" i="5" s="1"/>
  <c r="K119" i="5" s="1"/>
  <c r="M119" i="5" s="1"/>
  <c r="B118" i="5"/>
  <c r="J118" i="5" s="1"/>
  <c r="K118" i="5" s="1"/>
  <c r="M118" i="5" s="1"/>
  <c r="B117" i="5"/>
  <c r="J117" i="5" s="1"/>
  <c r="K117" i="5" s="1"/>
  <c r="M117" i="5" s="1"/>
  <c r="B116" i="5"/>
  <c r="J116" i="5" s="1"/>
  <c r="K116" i="5" s="1"/>
  <c r="M116" i="5" s="1"/>
  <c r="B115" i="5"/>
  <c r="J115" i="5" s="1"/>
  <c r="K115" i="5" s="1"/>
  <c r="M115" i="5" s="1"/>
  <c r="B114" i="5"/>
  <c r="J114" i="5" s="1"/>
  <c r="K114" i="5" s="1"/>
  <c r="M114" i="5" s="1"/>
  <c r="B113" i="5"/>
  <c r="J113" i="5" s="1"/>
  <c r="K113" i="5" s="1"/>
  <c r="M113" i="5" s="1"/>
  <c r="B112" i="5"/>
  <c r="J112" i="5" s="1"/>
  <c r="K112" i="5" s="1"/>
  <c r="M112" i="5" s="1"/>
  <c r="B111" i="5"/>
  <c r="J111" i="5" s="1"/>
  <c r="K111" i="5" s="1"/>
  <c r="M111" i="5" s="1"/>
  <c r="B110" i="5"/>
  <c r="J110" i="5" s="1"/>
  <c r="K110" i="5" s="1"/>
  <c r="M110" i="5" s="1"/>
  <c r="B109" i="5"/>
  <c r="J109" i="5" s="1"/>
  <c r="K109" i="5" s="1"/>
  <c r="M109" i="5" s="1"/>
  <c r="B108" i="5"/>
  <c r="J108" i="5" s="1"/>
  <c r="K108" i="5" s="1"/>
  <c r="M108" i="5" s="1"/>
  <c r="B107" i="5"/>
  <c r="J107" i="5" s="1"/>
  <c r="K107" i="5" s="1"/>
  <c r="M107" i="5" s="1"/>
  <c r="B106" i="5"/>
  <c r="J106" i="5" s="1"/>
  <c r="K106" i="5" s="1"/>
  <c r="M106" i="5" s="1"/>
  <c r="B105" i="5"/>
  <c r="J105" i="5" s="1"/>
  <c r="K105" i="5" s="1"/>
  <c r="M105" i="5" s="1"/>
  <c r="B104" i="5"/>
  <c r="J104" i="5" s="1"/>
  <c r="K104" i="5" s="1"/>
  <c r="M104" i="5" s="1"/>
  <c r="B103" i="5"/>
  <c r="J103" i="5" s="1"/>
  <c r="K103" i="5" s="1"/>
  <c r="M103" i="5" s="1"/>
  <c r="B102" i="5"/>
  <c r="J102" i="5" s="1"/>
  <c r="K102" i="5" s="1"/>
  <c r="M102" i="5" s="1"/>
  <c r="B101" i="5"/>
  <c r="J101" i="5" s="1"/>
  <c r="K101" i="5" s="1"/>
  <c r="M101" i="5" s="1"/>
  <c r="B100" i="5"/>
  <c r="J100" i="5" s="1"/>
  <c r="K100" i="5" s="1"/>
  <c r="M100" i="5" s="1"/>
  <c r="B99" i="5"/>
  <c r="J99" i="5" s="1"/>
  <c r="K99" i="5" s="1"/>
  <c r="M99" i="5" s="1"/>
  <c r="B98" i="5"/>
  <c r="J98" i="5" s="1"/>
  <c r="K98" i="5" s="1"/>
  <c r="M98" i="5" s="1"/>
  <c r="B97" i="5"/>
  <c r="J97" i="5" s="1"/>
  <c r="K97" i="5" s="1"/>
  <c r="M97" i="5" s="1"/>
  <c r="B96" i="5"/>
  <c r="J96" i="5" s="1"/>
  <c r="K96" i="5" s="1"/>
  <c r="M96" i="5" s="1"/>
  <c r="B95" i="5"/>
  <c r="J95" i="5" s="1"/>
  <c r="K95" i="5" s="1"/>
  <c r="M95" i="5" s="1"/>
  <c r="B94" i="5"/>
  <c r="J94" i="5" s="1"/>
  <c r="K94" i="5" s="1"/>
  <c r="M94" i="5" s="1"/>
  <c r="B93" i="5"/>
  <c r="J93" i="5" s="1"/>
  <c r="K93" i="5" s="1"/>
  <c r="M93" i="5" s="1"/>
  <c r="B92" i="5"/>
  <c r="J92" i="5" s="1"/>
  <c r="K92" i="5" s="1"/>
  <c r="M92" i="5" s="1"/>
  <c r="B91" i="5"/>
  <c r="J91" i="5" s="1"/>
  <c r="K91" i="5" s="1"/>
  <c r="M91" i="5" s="1"/>
  <c r="B90" i="5"/>
  <c r="J90" i="5" s="1"/>
  <c r="K90" i="5" s="1"/>
  <c r="M90" i="5" s="1"/>
  <c r="B89" i="5"/>
  <c r="J89" i="5" s="1"/>
  <c r="K89" i="5" s="1"/>
  <c r="M89" i="5" s="1"/>
  <c r="B88" i="5"/>
  <c r="J88" i="5" s="1"/>
  <c r="K88" i="5" s="1"/>
  <c r="M88" i="5" s="1"/>
  <c r="B87" i="5"/>
  <c r="J87" i="5" s="1"/>
  <c r="K87" i="5" s="1"/>
  <c r="M87" i="5" s="1"/>
  <c r="B86" i="5"/>
  <c r="J86" i="5" s="1"/>
  <c r="K86" i="5" s="1"/>
  <c r="M86" i="5" s="1"/>
  <c r="B85" i="5"/>
  <c r="J85" i="5" s="1"/>
  <c r="K85" i="5" s="1"/>
  <c r="M85" i="5" s="1"/>
  <c r="B84" i="5"/>
  <c r="J84" i="5" s="1"/>
  <c r="K84" i="5" s="1"/>
  <c r="M84" i="5" s="1"/>
  <c r="B83" i="5"/>
  <c r="J83" i="5" s="1"/>
  <c r="K83" i="5" s="1"/>
  <c r="M83" i="5" s="1"/>
  <c r="B82" i="5"/>
  <c r="J82" i="5" s="1"/>
  <c r="K82" i="5" s="1"/>
  <c r="M82" i="5" s="1"/>
  <c r="B81" i="5"/>
  <c r="J81" i="5" s="1"/>
  <c r="K81" i="5" s="1"/>
  <c r="M81" i="5" s="1"/>
  <c r="B80" i="5"/>
  <c r="J80" i="5" s="1"/>
  <c r="K80" i="5" s="1"/>
  <c r="M80" i="5" s="1"/>
  <c r="B79" i="5"/>
  <c r="J79" i="5" s="1"/>
  <c r="K79" i="5" s="1"/>
  <c r="M79" i="5" s="1"/>
  <c r="B78" i="5"/>
  <c r="J78" i="5" s="1"/>
  <c r="K78" i="5" s="1"/>
  <c r="M78" i="5" s="1"/>
  <c r="B77" i="5"/>
  <c r="J77" i="5" s="1"/>
  <c r="K77" i="5" s="1"/>
  <c r="M77" i="5" s="1"/>
  <c r="B76" i="5"/>
  <c r="J76" i="5" s="1"/>
  <c r="K76" i="5" s="1"/>
  <c r="M76" i="5" s="1"/>
  <c r="B75" i="5"/>
  <c r="J75" i="5" s="1"/>
  <c r="K75" i="5" s="1"/>
  <c r="M75" i="5" s="1"/>
  <c r="B74" i="5"/>
  <c r="J74" i="5" s="1"/>
  <c r="K74" i="5" s="1"/>
  <c r="M74" i="5" s="1"/>
  <c r="B73" i="5"/>
  <c r="J73" i="5" s="1"/>
  <c r="K73" i="5" s="1"/>
  <c r="M73" i="5" s="1"/>
  <c r="B72" i="5"/>
  <c r="J72" i="5" s="1"/>
  <c r="K72" i="5" s="1"/>
  <c r="M72" i="5" s="1"/>
  <c r="B71" i="5"/>
  <c r="J71" i="5" s="1"/>
  <c r="K71" i="5" s="1"/>
  <c r="M71" i="5" s="1"/>
  <c r="B70" i="5"/>
  <c r="J70" i="5" s="1"/>
  <c r="K70" i="5" s="1"/>
  <c r="M70" i="5" s="1"/>
  <c r="B69" i="5"/>
  <c r="J69" i="5" s="1"/>
  <c r="K69" i="5" s="1"/>
  <c r="M69" i="5" s="1"/>
  <c r="B68" i="5"/>
  <c r="J68" i="5" s="1"/>
  <c r="K68" i="5" s="1"/>
  <c r="M68" i="5" s="1"/>
  <c r="B67" i="5"/>
  <c r="J67" i="5" s="1"/>
  <c r="K67" i="5" s="1"/>
  <c r="M67" i="5" s="1"/>
  <c r="B66" i="5"/>
  <c r="J66" i="5" s="1"/>
  <c r="K66" i="5" s="1"/>
  <c r="M66" i="5" s="1"/>
  <c r="B65" i="5"/>
  <c r="J65" i="5" s="1"/>
  <c r="K65" i="5" s="1"/>
  <c r="M65" i="5" s="1"/>
  <c r="B64" i="5"/>
  <c r="J64" i="5" s="1"/>
  <c r="K64" i="5" s="1"/>
  <c r="M64" i="5" s="1"/>
  <c r="B63" i="5"/>
  <c r="J63" i="5" s="1"/>
  <c r="K63" i="5" s="1"/>
  <c r="M63" i="5" s="1"/>
  <c r="B62" i="5"/>
  <c r="J62" i="5" s="1"/>
  <c r="K62" i="5" s="1"/>
  <c r="M62" i="5" s="1"/>
  <c r="B61" i="5"/>
  <c r="J61" i="5" s="1"/>
  <c r="K61" i="5" s="1"/>
  <c r="M61" i="5" s="1"/>
  <c r="B60" i="5"/>
  <c r="J60" i="5" s="1"/>
  <c r="K60" i="5" s="1"/>
  <c r="M60" i="5" s="1"/>
  <c r="B59" i="5"/>
  <c r="J59" i="5" s="1"/>
  <c r="K59" i="5" s="1"/>
  <c r="M59" i="5" s="1"/>
  <c r="B58" i="5"/>
  <c r="J58" i="5" s="1"/>
  <c r="K58" i="5" s="1"/>
  <c r="M58" i="5" s="1"/>
  <c r="B57" i="5"/>
  <c r="J57" i="5" s="1"/>
  <c r="K57" i="5" s="1"/>
  <c r="M57" i="5" s="1"/>
  <c r="B56" i="5"/>
  <c r="J56" i="5" s="1"/>
  <c r="K56" i="5" s="1"/>
  <c r="M56" i="5" s="1"/>
  <c r="B55" i="5"/>
  <c r="J55" i="5" s="1"/>
  <c r="K55" i="5" s="1"/>
  <c r="M55" i="5" s="1"/>
  <c r="B54" i="5"/>
  <c r="J54" i="5" s="1"/>
  <c r="K54" i="5" s="1"/>
  <c r="M54" i="5" s="1"/>
  <c r="B53" i="5"/>
  <c r="J53" i="5" s="1"/>
  <c r="K53" i="5" s="1"/>
  <c r="M53" i="5" s="1"/>
  <c r="B52" i="5"/>
  <c r="J52" i="5" s="1"/>
  <c r="K52" i="5" s="1"/>
  <c r="M52" i="5" s="1"/>
  <c r="B51" i="5"/>
  <c r="J51" i="5" s="1"/>
  <c r="K51" i="5" s="1"/>
  <c r="M51" i="5" s="1"/>
  <c r="B50" i="5"/>
  <c r="J50" i="5" s="1"/>
  <c r="K50" i="5" s="1"/>
  <c r="M50" i="5" s="1"/>
  <c r="B49" i="5"/>
  <c r="J49" i="5" s="1"/>
  <c r="K49" i="5" s="1"/>
  <c r="M49" i="5" s="1"/>
  <c r="B48" i="5"/>
  <c r="J48" i="5" s="1"/>
  <c r="K48" i="5" s="1"/>
  <c r="M48" i="5" s="1"/>
  <c r="B47" i="5"/>
  <c r="J47" i="5" s="1"/>
  <c r="K47" i="5" s="1"/>
  <c r="M47" i="5" s="1"/>
  <c r="B46" i="5"/>
  <c r="J46" i="5" s="1"/>
  <c r="K46" i="5" s="1"/>
  <c r="M46" i="5" s="1"/>
  <c r="B45" i="5"/>
  <c r="J45" i="5" s="1"/>
  <c r="K45" i="5" s="1"/>
  <c r="M45" i="5" s="1"/>
  <c r="B44" i="5"/>
  <c r="J44" i="5" s="1"/>
  <c r="K44" i="5" s="1"/>
  <c r="M44" i="5" s="1"/>
  <c r="B43" i="5"/>
  <c r="J43" i="5" s="1"/>
  <c r="K43" i="5" s="1"/>
  <c r="M43" i="5" s="1"/>
  <c r="B42" i="5"/>
  <c r="J42" i="5" s="1"/>
  <c r="K42" i="5" s="1"/>
  <c r="M42" i="5" s="1"/>
  <c r="B41" i="5"/>
  <c r="J41" i="5" s="1"/>
  <c r="K41" i="5" s="1"/>
  <c r="M41" i="5" s="1"/>
  <c r="B40" i="5"/>
  <c r="J40" i="5" s="1"/>
  <c r="K40" i="5" s="1"/>
  <c r="M40" i="5" s="1"/>
  <c r="B39" i="5"/>
  <c r="J39" i="5" s="1"/>
  <c r="K39" i="5" s="1"/>
  <c r="M39" i="5" s="1"/>
  <c r="B38" i="5"/>
  <c r="J38" i="5" s="1"/>
  <c r="K38" i="5" s="1"/>
  <c r="M38" i="5" s="1"/>
  <c r="B37" i="5"/>
  <c r="J37" i="5" s="1"/>
  <c r="K37" i="5" s="1"/>
  <c r="M37" i="5" s="1"/>
  <c r="B36" i="5"/>
  <c r="J36" i="5" s="1"/>
  <c r="K36" i="5" s="1"/>
  <c r="M36" i="5" s="1"/>
  <c r="B35" i="5"/>
  <c r="J35" i="5" s="1"/>
  <c r="K35" i="5" s="1"/>
  <c r="M35" i="5" s="1"/>
  <c r="B34" i="5"/>
  <c r="J34" i="5" s="1"/>
  <c r="K34" i="5" s="1"/>
  <c r="M34" i="5" s="1"/>
  <c r="B33" i="5"/>
  <c r="J33" i="5" s="1"/>
  <c r="K33" i="5" s="1"/>
  <c r="M33" i="5" s="1"/>
  <c r="B32" i="5"/>
  <c r="J32" i="5" s="1"/>
  <c r="K32" i="5" s="1"/>
  <c r="M32" i="5" s="1"/>
  <c r="B31" i="5"/>
  <c r="J31" i="5" s="1"/>
  <c r="K31" i="5" s="1"/>
  <c r="M31" i="5" s="1"/>
  <c r="B30" i="5"/>
  <c r="J30" i="5" s="1"/>
  <c r="K30" i="5" s="1"/>
  <c r="M30" i="5" s="1"/>
  <c r="B29" i="5"/>
  <c r="J29" i="5" s="1"/>
  <c r="K29" i="5" s="1"/>
  <c r="M29" i="5" s="1"/>
  <c r="B28" i="5"/>
  <c r="J28" i="5" s="1"/>
  <c r="K28" i="5" s="1"/>
  <c r="M28" i="5" s="1"/>
  <c r="B27" i="5"/>
  <c r="J27" i="5" s="1"/>
  <c r="K27" i="5" s="1"/>
  <c r="M27" i="5" s="1"/>
  <c r="B26" i="5"/>
  <c r="J26" i="5" s="1"/>
  <c r="K26" i="5" s="1"/>
  <c r="M26" i="5" s="1"/>
  <c r="B25" i="5"/>
  <c r="J25" i="5" s="1"/>
  <c r="K25" i="5" s="1"/>
  <c r="M25" i="5" s="1"/>
  <c r="B24" i="5"/>
  <c r="J24" i="5" s="1"/>
  <c r="K24" i="5" s="1"/>
  <c r="M24" i="5" s="1"/>
  <c r="B23" i="5"/>
  <c r="J23" i="5" s="1"/>
  <c r="K23" i="5" s="1"/>
  <c r="M23" i="5" s="1"/>
  <c r="B22" i="5"/>
  <c r="J22" i="5" s="1"/>
  <c r="K22" i="5" s="1"/>
  <c r="M22" i="5" s="1"/>
  <c r="B21" i="5"/>
  <c r="J21" i="5" s="1"/>
  <c r="K21" i="5" s="1"/>
  <c r="M21" i="5" s="1"/>
  <c r="B20" i="5"/>
  <c r="J20" i="5" s="1"/>
  <c r="K20" i="5" s="1"/>
  <c r="M20" i="5" s="1"/>
  <c r="B19" i="5"/>
  <c r="J19" i="5" s="1"/>
  <c r="K19" i="5" s="1"/>
  <c r="M19" i="5" s="1"/>
  <c r="B18" i="5"/>
  <c r="J18" i="5" s="1"/>
  <c r="K18" i="5" s="1"/>
  <c r="M18" i="5" s="1"/>
  <c r="B17" i="5"/>
  <c r="J17" i="5" s="1"/>
  <c r="K17" i="5" s="1"/>
  <c r="M17" i="5" s="1"/>
  <c r="B16" i="5"/>
  <c r="J16" i="5" s="1"/>
  <c r="K16" i="5" s="1"/>
  <c r="M16" i="5" s="1"/>
  <c r="B15" i="5"/>
  <c r="J15" i="5" s="1"/>
  <c r="K15" i="5" s="1"/>
  <c r="M15" i="5" s="1"/>
  <c r="B14" i="5"/>
  <c r="J14" i="5" s="1"/>
  <c r="K14" i="5" s="1"/>
  <c r="M14" i="5" s="1"/>
  <c r="B13" i="5"/>
  <c r="J13" i="5" s="1"/>
  <c r="K13" i="5" s="1"/>
  <c r="M13" i="5" s="1"/>
  <c r="B12" i="5"/>
  <c r="J12" i="5" s="1"/>
  <c r="K12" i="5" s="1"/>
  <c r="M12" i="5" s="1"/>
  <c r="B11" i="5"/>
  <c r="J11" i="5" s="1"/>
  <c r="K11" i="5" s="1"/>
  <c r="M11" i="5" s="1"/>
  <c r="B10" i="5"/>
  <c r="J10" i="5" s="1"/>
  <c r="K10" i="5" s="1"/>
  <c r="M10" i="5" s="1"/>
  <c r="B9" i="5"/>
  <c r="J9" i="5" s="1"/>
  <c r="K9" i="5" s="1"/>
  <c r="M9" i="5" s="1"/>
  <c r="B8" i="5"/>
  <c r="J8" i="5" s="1"/>
  <c r="K8" i="5" s="1"/>
  <c r="M8" i="5" s="1"/>
  <c r="B7" i="5"/>
  <c r="J7" i="5" s="1"/>
  <c r="K7" i="5" s="1"/>
  <c r="M7" i="5" s="1"/>
  <c r="B6" i="5"/>
  <c r="J6" i="5" s="1"/>
  <c r="K6" i="5" s="1"/>
  <c r="M6" i="5" s="1"/>
  <c r="B5" i="5"/>
  <c r="J5" i="5" s="1"/>
  <c r="K5" i="5" s="1"/>
  <c r="M5" i="5" s="1"/>
  <c r="B4" i="5"/>
  <c r="J4" i="5" s="1"/>
  <c r="K4" i="5" s="1"/>
  <c r="M4" i="5" s="1"/>
  <c r="B3" i="5"/>
  <c r="J3" i="5" s="1"/>
  <c r="K3" i="5" s="1"/>
  <c r="K143" i="4"/>
  <c r="L143" i="4" s="1"/>
  <c r="K139" i="4"/>
  <c r="L139" i="4" s="1"/>
  <c r="K118" i="4"/>
  <c r="L118" i="4" s="1"/>
  <c r="K23" i="4"/>
  <c r="L23" i="4" s="1"/>
  <c r="K65" i="4"/>
  <c r="L65" i="4" s="1"/>
  <c r="K84" i="4"/>
  <c r="L84" i="4" s="1"/>
  <c r="K117" i="4"/>
  <c r="L117" i="4" s="1"/>
  <c r="K38" i="4"/>
  <c r="L38" i="4" s="1"/>
  <c r="K20" i="4"/>
  <c r="L20" i="4" s="1"/>
  <c r="K41" i="4"/>
  <c r="L41" i="4" s="1"/>
  <c r="K96" i="4"/>
  <c r="L96" i="4" s="1"/>
  <c r="K85" i="4"/>
  <c r="L85" i="4" s="1"/>
  <c r="K112" i="4"/>
  <c r="L112" i="4" s="1"/>
  <c r="K57" i="4"/>
  <c r="L57" i="4" s="1"/>
  <c r="K25" i="4"/>
  <c r="L25" i="4" s="1"/>
  <c r="K144" i="4"/>
  <c r="L144" i="4" s="1"/>
  <c r="K59" i="4"/>
  <c r="L59" i="4" s="1"/>
  <c r="K53" i="4"/>
  <c r="L53" i="4" s="1"/>
  <c r="K90" i="4"/>
  <c r="L90" i="4" s="1"/>
  <c r="K134" i="4"/>
  <c r="L134" i="4" s="1"/>
  <c r="K93" i="4"/>
  <c r="L93" i="4" s="1"/>
  <c r="K115" i="4"/>
  <c r="L115" i="4" s="1"/>
  <c r="K64" i="4"/>
  <c r="L64" i="4" s="1"/>
  <c r="K138" i="4"/>
  <c r="L138" i="4" s="1"/>
  <c r="K17" i="4"/>
  <c r="L17" i="4" s="1"/>
  <c r="K153" i="4"/>
  <c r="L153" i="4" s="1"/>
  <c r="K82" i="4"/>
  <c r="L82" i="4" s="1"/>
  <c r="K79" i="4"/>
  <c r="L79" i="4" s="1"/>
  <c r="K72" i="4"/>
  <c r="L72" i="4" s="1"/>
  <c r="K74" i="4"/>
  <c r="L74" i="4" s="1"/>
  <c r="K97" i="4"/>
  <c r="L97" i="4" s="1"/>
  <c r="K89" i="4"/>
  <c r="L89" i="4" s="1"/>
  <c r="K98" i="4"/>
  <c r="L98" i="4" s="1"/>
  <c r="K80" i="4"/>
  <c r="L80" i="4" s="1"/>
  <c r="K78" i="4"/>
  <c r="L78" i="4" s="1"/>
  <c r="K86" i="4"/>
  <c r="L86" i="4" s="1"/>
  <c r="K73" i="4"/>
  <c r="L73" i="4" s="1"/>
  <c r="K75" i="4"/>
  <c r="L75" i="4" s="1"/>
  <c r="K77" i="4"/>
  <c r="L77" i="4" s="1"/>
  <c r="K71" i="4"/>
  <c r="L71" i="4" s="1"/>
  <c r="K70" i="4"/>
  <c r="L70" i="4" s="1"/>
  <c r="K81" i="4"/>
  <c r="L81" i="4" s="1"/>
  <c r="K18" i="4"/>
  <c r="L18" i="4" s="1"/>
  <c r="K69" i="4"/>
  <c r="L69" i="4" s="1"/>
  <c r="K107" i="4"/>
  <c r="L107" i="4" s="1"/>
  <c r="K106" i="4"/>
  <c r="L106" i="4" s="1"/>
  <c r="K136" i="4"/>
  <c r="L136" i="4" s="1"/>
  <c r="K101" i="4"/>
  <c r="L101" i="4" s="1"/>
  <c r="K91" i="4"/>
  <c r="L91" i="4" s="1"/>
  <c r="K35" i="4"/>
  <c r="L35" i="4" s="1"/>
  <c r="K140" i="4"/>
  <c r="L140" i="4" s="1"/>
  <c r="K31" i="4"/>
  <c r="L31" i="4" s="1"/>
  <c r="K119" i="4"/>
  <c r="L119" i="4" s="1"/>
  <c r="K120" i="4"/>
  <c r="L120" i="4" s="1"/>
  <c r="K76" i="4"/>
  <c r="L76" i="4" s="1"/>
  <c r="K28" i="4"/>
  <c r="L28" i="4" s="1"/>
  <c r="K99" i="4"/>
  <c r="L99" i="4" s="1"/>
  <c r="K92" i="4"/>
  <c r="L92" i="4" s="1"/>
  <c r="K125" i="4"/>
  <c r="L125" i="4" s="1"/>
  <c r="K27" i="4"/>
  <c r="L27" i="4" s="1"/>
  <c r="K95" i="4"/>
  <c r="L95" i="4" s="1"/>
  <c r="K110" i="4"/>
  <c r="L110" i="4" s="1"/>
  <c r="K102" i="4"/>
  <c r="L102" i="4" s="1"/>
  <c r="K103" i="4"/>
  <c r="L103" i="4" s="1"/>
  <c r="K149" i="4"/>
  <c r="L149" i="4" s="1"/>
  <c r="K68" i="4"/>
  <c r="L68" i="4" s="1"/>
  <c r="K121" i="4"/>
  <c r="L121" i="4" s="1"/>
  <c r="K60" i="4"/>
  <c r="L60" i="4" s="1"/>
  <c r="K44" i="4"/>
  <c r="L44" i="4" s="1"/>
  <c r="K51" i="4"/>
  <c r="L51" i="4" s="1"/>
  <c r="K146" i="4"/>
  <c r="L146" i="4" s="1"/>
  <c r="K50" i="4"/>
  <c r="L50" i="4" s="1"/>
  <c r="K124" i="4"/>
  <c r="L124" i="4" s="1"/>
  <c r="K114" i="4"/>
  <c r="L114" i="4" s="1"/>
  <c r="K104" i="4"/>
  <c r="L104" i="4" s="1"/>
  <c r="K62" i="4"/>
  <c r="L62" i="4" s="1"/>
  <c r="K127" i="4"/>
  <c r="L127" i="4" s="1"/>
  <c r="K141" i="4"/>
  <c r="L141" i="4" s="1"/>
  <c r="K30" i="4"/>
  <c r="L30" i="4" s="1"/>
  <c r="K47" i="4"/>
  <c r="L47" i="4" s="1"/>
  <c r="K37" i="4"/>
  <c r="L37" i="4" s="1"/>
  <c r="K108" i="4"/>
  <c r="L108" i="4" s="1"/>
  <c r="K34" i="4"/>
  <c r="L34" i="4" s="1"/>
  <c r="K123" i="4"/>
  <c r="L123" i="4" s="1"/>
  <c r="K39" i="4"/>
  <c r="L39" i="4" s="1"/>
  <c r="K129" i="4"/>
  <c r="L129" i="4" s="1"/>
  <c r="K105" i="4"/>
  <c r="L105" i="4" s="1"/>
  <c r="K49" i="4"/>
  <c r="L49" i="4" s="1"/>
  <c r="K100" i="4"/>
  <c r="L100" i="4" s="1"/>
  <c r="K61" i="4"/>
  <c r="L61" i="4" s="1"/>
  <c r="K26" i="4"/>
  <c r="L26" i="4" s="1"/>
  <c r="K54" i="4"/>
  <c r="L54" i="4" s="1"/>
  <c r="K33" i="4"/>
  <c r="L33" i="4" s="1"/>
  <c r="K147" i="4"/>
  <c r="L147" i="4" s="1"/>
  <c r="K132" i="4"/>
  <c r="L132" i="4" s="1"/>
  <c r="K94" i="4"/>
  <c r="L94" i="4" s="1"/>
  <c r="K83" i="4"/>
  <c r="L83" i="4" s="1"/>
  <c r="K142" i="4"/>
  <c r="L142" i="4" s="1"/>
  <c r="K43" i="4"/>
  <c r="L43" i="4" s="1"/>
  <c r="K116" i="4"/>
  <c r="L116" i="4" s="1"/>
  <c r="K87" i="4"/>
  <c r="L87" i="4" s="1"/>
  <c r="K135" i="4"/>
  <c r="L135" i="4" s="1"/>
  <c r="K36" i="4"/>
  <c r="L36" i="4" s="1"/>
  <c r="K66" i="4"/>
  <c r="L66" i="4" s="1"/>
  <c r="K111" i="4"/>
  <c r="L111" i="4" s="1"/>
  <c r="K32" i="4"/>
  <c r="L32" i="4" s="1"/>
  <c r="K126" i="4"/>
  <c r="L126" i="4" s="1"/>
  <c r="K151" i="4"/>
  <c r="L151" i="4" s="1"/>
  <c r="K58" i="4"/>
  <c r="L58" i="4" s="1"/>
  <c r="K24" i="4"/>
  <c r="L24" i="4" s="1"/>
  <c r="K22" i="4"/>
  <c r="L22" i="4" s="1"/>
  <c r="K148" i="4"/>
  <c r="L148" i="4" s="1"/>
  <c r="K45" i="4"/>
  <c r="L45" i="4" s="1"/>
  <c r="K137" i="4"/>
  <c r="L137" i="4" s="1"/>
  <c r="K128" i="4"/>
  <c r="L128" i="4" s="1"/>
  <c r="K29" i="4"/>
  <c r="L29" i="4" s="1"/>
  <c r="K52" i="4"/>
  <c r="L52" i="4" s="1"/>
  <c r="K40" i="4"/>
  <c r="L40" i="4" s="1"/>
  <c r="K109" i="4"/>
  <c r="L109" i="4" s="1"/>
  <c r="K122" i="4"/>
  <c r="L122" i="4" s="1"/>
  <c r="K21" i="4"/>
  <c r="L21" i="4" s="1"/>
  <c r="K131" i="4"/>
  <c r="L131" i="4" s="1"/>
  <c r="K133" i="4"/>
  <c r="L133" i="4" s="1"/>
  <c r="K48" i="4"/>
  <c r="L48" i="4" s="1"/>
  <c r="K67" i="4"/>
  <c r="L67" i="4" s="1"/>
  <c r="K150" i="4"/>
  <c r="L150" i="4" s="1"/>
  <c r="K19" i="4"/>
  <c r="L19" i="4" s="1"/>
  <c r="K55" i="4"/>
  <c r="L55" i="4" s="1"/>
  <c r="K88" i="4"/>
  <c r="L88" i="4" s="1"/>
  <c r="K42" i="4"/>
  <c r="L42" i="4" s="1"/>
  <c r="K46" i="4"/>
  <c r="L46" i="4" s="1"/>
  <c r="K113" i="4"/>
  <c r="L113" i="4" s="1"/>
  <c r="K63" i="4"/>
  <c r="L63" i="4" s="1"/>
  <c r="K130" i="4"/>
  <c r="L130" i="4" s="1"/>
  <c r="K145" i="4"/>
  <c r="L145" i="4" s="1"/>
  <c r="K152" i="4"/>
  <c r="L152" i="4" s="1"/>
  <c r="K56" i="4"/>
  <c r="L56" i="4" s="1"/>
  <c r="J374" i="2"/>
  <c r="K374" i="2" s="1"/>
  <c r="J373" i="2"/>
  <c r="K373" i="2" s="1"/>
  <c r="J372" i="2"/>
  <c r="K372" i="2" s="1"/>
  <c r="J371" i="2"/>
  <c r="K371" i="2" s="1"/>
  <c r="J27" i="2"/>
  <c r="K27" i="2" s="1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E370" i="2"/>
  <c r="J370" i="2" s="1"/>
  <c r="K370" i="2" s="1"/>
  <c r="E369" i="2"/>
  <c r="J369" i="2" s="1"/>
  <c r="K369" i="2" s="1"/>
  <c r="L369" i="2" s="1"/>
  <c r="E368" i="2"/>
  <c r="J368" i="2" s="1"/>
  <c r="K368" i="2" s="1"/>
  <c r="E367" i="2"/>
  <c r="J367" i="2" s="1"/>
  <c r="K367" i="2" s="1"/>
  <c r="E366" i="2"/>
  <c r="J366" i="2" s="1"/>
  <c r="K366" i="2" s="1"/>
  <c r="E365" i="2"/>
  <c r="J365" i="2" s="1"/>
  <c r="K365" i="2" s="1"/>
  <c r="E364" i="2"/>
  <c r="J364" i="2" s="1"/>
  <c r="K364" i="2" s="1"/>
  <c r="E363" i="2"/>
  <c r="J363" i="2" s="1"/>
  <c r="K363" i="2" s="1"/>
  <c r="E362" i="2"/>
  <c r="J362" i="2" s="1"/>
  <c r="K362" i="2" s="1"/>
  <c r="E361" i="2"/>
  <c r="J361" i="2" s="1"/>
  <c r="K361" i="2" s="1"/>
  <c r="E360" i="2"/>
  <c r="J360" i="2" s="1"/>
  <c r="K360" i="2" s="1"/>
  <c r="E359" i="2"/>
  <c r="J359" i="2" s="1"/>
  <c r="K359" i="2" s="1"/>
  <c r="E358" i="2"/>
  <c r="J358" i="2" s="1"/>
  <c r="K358" i="2" s="1"/>
  <c r="E357" i="2"/>
  <c r="J357" i="2" s="1"/>
  <c r="K357" i="2" s="1"/>
  <c r="L357" i="2" s="1"/>
  <c r="E356" i="2"/>
  <c r="J356" i="2" s="1"/>
  <c r="K356" i="2" s="1"/>
  <c r="E355" i="2"/>
  <c r="J355" i="2" s="1"/>
  <c r="K355" i="2" s="1"/>
  <c r="E354" i="2"/>
  <c r="J354" i="2" s="1"/>
  <c r="K354" i="2" s="1"/>
  <c r="E353" i="2"/>
  <c r="J353" i="2" s="1"/>
  <c r="K353" i="2" s="1"/>
  <c r="E352" i="2"/>
  <c r="J352" i="2" s="1"/>
  <c r="K352" i="2" s="1"/>
  <c r="E351" i="2"/>
  <c r="J351" i="2" s="1"/>
  <c r="K351" i="2" s="1"/>
  <c r="E350" i="2"/>
  <c r="J350" i="2" s="1"/>
  <c r="K350" i="2" s="1"/>
  <c r="E349" i="2"/>
  <c r="J349" i="2" s="1"/>
  <c r="K349" i="2" s="1"/>
  <c r="E348" i="2"/>
  <c r="J348" i="2" s="1"/>
  <c r="K348" i="2" s="1"/>
  <c r="E347" i="2"/>
  <c r="J347" i="2" s="1"/>
  <c r="K347" i="2" s="1"/>
  <c r="E346" i="2"/>
  <c r="J346" i="2" s="1"/>
  <c r="K346" i="2" s="1"/>
  <c r="E345" i="2"/>
  <c r="J345" i="2" s="1"/>
  <c r="K345" i="2" s="1"/>
  <c r="L345" i="2" s="1"/>
  <c r="E344" i="2"/>
  <c r="J344" i="2" s="1"/>
  <c r="K344" i="2" s="1"/>
  <c r="E343" i="2"/>
  <c r="J343" i="2" s="1"/>
  <c r="K343" i="2" s="1"/>
  <c r="E342" i="2"/>
  <c r="J342" i="2" s="1"/>
  <c r="K342" i="2" s="1"/>
  <c r="E341" i="2"/>
  <c r="J341" i="2" s="1"/>
  <c r="K341" i="2" s="1"/>
  <c r="E340" i="2"/>
  <c r="J340" i="2" s="1"/>
  <c r="K340" i="2" s="1"/>
  <c r="E339" i="2"/>
  <c r="J339" i="2" s="1"/>
  <c r="K339" i="2" s="1"/>
  <c r="E338" i="2"/>
  <c r="J338" i="2" s="1"/>
  <c r="K338" i="2" s="1"/>
  <c r="E337" i="2"/>
  <c r="J337" i="2" s="1"/>
  <c r="K337" i="2" s="1"/>
  <c r="E336" i="2"/>
  <c r="J336" i="2" s="1"/>
  <c r="K336" i="2" s="1"/>
  <c r="E335" i="2"/>
  <c r="J335" i="2" s="1"/>
  <c r="K335" i="2" s="1"/>
  <c r="E334" i="2"/>
  <c r="J334" i="2" s="1"/>
  <c r="K334" i="2" s="1"/>
  <c r="E333" i="2"/>
  <c r="J333" i="2" s="1"/>
  <c r="K333" i="2" s="1"/>
  <c r="L333" i="2" s="1"/>
  <c r="E332" i="2"/>
  <c r="J332" i="2" s="1"/>
  <c r="K332" i="2" s="1"/>
  <c r="E331" i="2"/>
  <c r="J331" i="2" s="1"/>
  <c r="K331" i="2" s="1"/>
  <c r="E330" i="2"/>
  <c r="J330" i="2" s="1"/>
  <c r="K330" i="2" s="1"/>
  <c r="E329" i="2"/>
  <c r="J329" i="2" s="1"/>
  <c r="K329" i="2" s="1"/>
  <c r="E328" i="2"/>
  <c r="J328" i="2" s="1"/>
  <c r="K328" i="2" s="1"/>
  <c r="E327" i="2"/>
  <c r="J327" i="2" s="1"/>
  <c r="K327" i="2" s="1"/>
  <c r="E326" i="2"/>
  <c r="J326" i="2" s="1"/>
  <c r="K326" i="2" s="1"/>
  <c r="E325" i="2"/>
  <c r="J325" i="2" s="1"/>
  <c r="K325" i="2" s="1"/>
  <c r="E324" i="2"/>
  <c r="J324" i="2" s="1"/>
  <c r="K324" i="2" s="1"/>
  <c r="E323" i="2"/>
  <c r="J323" i="2" s="1"/>
  <c r="K323" i="2" s="1"/>
  <c r="E322" i="2"/>
  <c r="J322" i="2" s="1"/>
  <c r="K322" i="2" s="1"/>
  <c r="E321" i="2"/>
  <c r="J321" i="2" s="1"/>
  <c r="K321" i="2" s="1"/>
  <c r="L321" i="2" s="1"/>
  <c r="E320" i="2"/>
  <c r="J320" i="2" s="1"/>
  <c r="K320" i="2" s="1"/>
  <c r="E319" i="2"/>
  <c r="J319" i="2" s="1"/>
  <c r="K319" i="2" s="1"/>
  <c r="E318" i="2"/>
  <c r="J318" i="2" s="1"/>
  <c r="K318" i="2" s="1"/>
  <c r="E317" i="2"/>
  <c r="J317" i="2" s="1"/>
  <c r="K317" i="2" s="1"/>
  <c r="E316" i="2"/>
  <c r="J316" i="2" s="1"/>
  <c r="K316" i="2" s="1"/>
  <c r="E315" i="2"/>
  <c r="J315" i="2" s="1"/>
  <c r="K315" i="2" s="1"/>
  <c r="E314" i="2"/>
  <c r="J314" i="2" s="1"/>
  <c r="K314" i="2" s="1"/>
  <c r="E313" i="2"/>
  <c r="J313" i="2" s="1"/>
  <c r="K313" i="2" s="1"/>
  <c r="E312" i="2"/>
  <c r="J312" i="2" s="1"/>
  <c r="K312" i="2" s="1"/>
  <c r="E311" i="2"/>
  <c r="J311" i="2" s="1"/>
  <c r="K311" i="2" s="1"/>
  <c r="E310" i="2"/>
  <c r="J310" i="2" s="1"/>
  <c r="K310" i="2" s="1"/>
  <c r="E309" i="2"/>
  <c r="J309" i="2" s="1"/>
  <c r="K309" i="2" s="1"/>
  <c r="L309" i="2" s="1"/>
  <c r="E308" i="2"/>
  <c r="J308" i="2" s="1"/>
  <c r="K308" i="2" s="1"/>
  <c r="E307" i="2"/>
  <c r="J307" i="2" s="1"/>
  <c r="K307" i="2" s="1"/>
  <c r="E306" i="2"/>
  <c r="J306" i="2" s="1"/>
  <c r="K306" i="2" s="1"/>
  <c r="E305" i="2"/>
  <c r="J305" i="2" s="1"/>
  <c r="K305" i="2" s="1"/>
  <c r="E304" i="2"/>
  <c r="J304" i="2" s="1"/>
  <c r="K304" i="2" s="1"/>
  <c r="E303" i="2"/>
  <c r="J303" i="2" s="1"/>
  <c r="K303" i="2" s="1"/>
  <c r="E302" i="2"/>
  <c r="J302" i="2" s="1"/>
  <c r="K302" i="2" s="1"/>
  <c r="E301" i="2"/>
  <c r="J301" i="2" s="1"/>
  <c r="K301" i="2" s="1"/>
  <c r="E300" i="2"/>
  <c r="J300" i="2" s="1"/>
  <c r="K300" i="2" s="1"/>
  <c r="E299" i="2"/>
  <c r="J299" i="2" s="1"/>
  <c r="K299" i="2" s="1"/>
  <c r="E298" i="2"/>
  <c r="J298" i="2" s="1"/>
  <c r="K298" i="2" s="1"/>
  <c r="E297" i="2"/>
  <c r="J297" i="2" s="1"/>
  <c r="K297" i="2" s="1"/>
  <c r="L297" i="2" s="1"/>
  <c r="E296" i="2"/>
  <c r="J296" i="2" s="1"/>
  <c r="K296" i="2" s="1"/>
  <c r="L296" i="2" s="1"/>
  <c r="E295" i="2"/>
  <c r="J295" i="2" s="1"/>
  <c r="K295" i="2" s="1"/>
  <c r="E294" i="2"/>
  <c r="J294" i="2" s="1"/>
  <c r="K294" i="2" s="1"/>
  <c r="E293" i="2"/>
  <c r="J293" i="2" s="1"/>
  <c r="K293" i="2" s="1"/>
  <c r="E292" i="2"/>
  <c r="J292" i="2" s="1"/>
  <c r="K292" i="2" s="1"/>
  <c r="E291" i="2"/>
  <c r="J291" i="2" s="1"/>
  <c r="K291" i="2" s="1"/>
  <c r="E290" i="2"/>
  <c r="J290" i="2" s="1"/>
  <c r="K290" i="2" s="1"/>
  <c r="E289" i="2"/>
  <c r="J289" i="2" s="1"/>
  <c r="K289" i="2" s="1"/>
  <c r="E288" i="2"/>
  <c r="J288" i="2" s="1"/>
  <c r="K288" i="2" s="1"/>
  <c r="E287" i="2"/>
  <c r="J287" i="2" s="1"/>
  <c r="K287" i="2" s="1"/>
  <c r="E286" i="2"/>
  <c r="J286" i="2" s="1"/>
  <c r="K286" i="2" s="1"/>
  <c r="E285" i="2"/>
  <c r="J285" i="2" s="1"/>
  <c r="K285" i="2" s="1"/>
  <c r="L285" i="2" s="1"/>
  <c r="E284" i="2"/>
  <c r="J284" i="2" s="1"/>
  <c r="K284" i="2" s="1"/>
  <c r="E283" i="2"/>
  <c r="J283" i="2" s="1"/>
  <c r="K283" i="2" s="1"/>
  <c r="E282" i="2"/>
  <c r="J282" i="2" s="1"/>
  <c r="K282" i="2" s="1"/>
  <c r="E281" i="2"/>
  <c r="J281" i="2" s="1"/>
  <c r="K281" i="2" s="1"/>
  <c r="E280" i="2"/>
  <c r="J280" i="2" s="1"/>
  <c r="K280" i="2" s="1"/>
  <c r="E279" i="2"/>
  <c r="J279" i="2" s="1"/>
  <c r="K279" i="2" s="1"/>
  <c r="E278" i="2"/>
  <c r="J278" i="2" s="1"/>
  <c r="K278" i="2" s="1"/>
  <c r="E277" i="2"/>
  <c r="J277" i="2" s="1"/>
  <c r="K277" i="2" s="1"/>
  <c r="E276" i="2"/>
  <c r="J276" i="2" s="1"/>
  <c r="K276" i="2" s="1"/>
  <c r="E275" i="2"/>
  <c r="J275" i="2" s="1"/>
  <c r="K275" i="2" s="1"/>
  <c r="E274" i="2"/>
  <c r="J274" i="2" s="1"/>
  <c r="K274" i="2" s="1"/>
  <c r="E273" i="2"/>
  <c r="J273" i="2" s="1"/>
  <c r="K273" i="2" s="1"/>
  <c r="L273" i="2" s="1"/>
  <c r="E272" i="2"/>
  <c r="J272" i="2" s="1"/>
  <c r="K272" i="2" s="1"/>
  <c r="E271" i="2"/>
  <c r="J271" i="2" s="1"/>
  <c r="K271" i="2" s="1"/>
  <c r="E270" i="2"/>
  <c r="J270" i="2" s="1"/>
  <c r="K270" i="2" s="1"/>
  <c r="E269" i="2"/>
  <c r="J269" i="2" s="1"/>
  <c r="K269" i="2" s="1"/>
  <c r="E268" i="2"/>
  <c r="J268" i="2" s="1"/>
  <c r="K268" i="2" s="1"/>
  <c r="E267" i="2"/>
  <c r="J267" i="2" s="1"/>
  <c r="K267" i="2" s="1"/>
  <c r="E266" i="2"/>
  <c r="J266" i="2" s="1"/>
  <c r="K266" i="2" s="1"/>
  <c r="E265" i="2"/>
  <c r="J265" i="2" s="1"/>
  <c r="K265" i="2" s="1"/>
  <c r="E264" i="2"/>
  <c r="J264" i="2" s="1"/>
  <c r="K264" i="2" s="1"/>
  <c r="E263" i="2"/>
  <c r="J263" i="2" s="1"/>
  <c r="K263" i="2" s="1"/>
  <c r="E262" i="2"/>
  <c r="J262" i="2" s="1"/>
  <c r="K262" i="2" s="1"/>
  <c r="E261" i="2"/>
  <c r="J261" i="2" s="1"/>
  <c r="K261" i="2" s="1"/>
  <c r="L261" i="2" s="1"/>
  <c r="E260" i="2"/>
  <c r="J260" i="2" s="1"/>
  <c r="K260" i="2" s="1"/>
  <c r="E259" i="2"/>
  <c r="J259" i="2" s="1"/>
  <c r="K259" i="2" s="1"/>
  <c r="E258" i="2"/>
  <c r="J258" i="2" s="1"/>
  <c r="K258" i="2" s="1"/>
  <c r="E257" i="2"/>
  <c r="J257" i="2" s="1"/>
  <c r="K257" i="2" s="1"/>
  <c r="E256" i="2"/>
  <c r="J256" i="2" s="1"/>
  <c r="K256" i="2" s="1"/>
  <c r="E255" i="2"/>
  <c r="J255" i="2" s="1"/>
  <c r="K255" i="2" s="1"/>
  <c r="E254" i="2"/>
  <c r="J254" i="2" s="1"/>
  <c r="K254" i="2" s="1"/>
  <c r="E253" i="2"/>
  <c r="J253" i="2" s="1"/>
  <c r="K253" i="2" s="1"/>
  <c r="E252" i="2"/>
  <c r="J252" i="2" s="1"/>
  <c r="K252" i="2" s="1"/>
  <c r="E251" i="2"/>
  <c r="J251" i="2" s="1"/>
  <c r="K251" i="2" s="1"/>
  <c r="E250" i="2"/>
  <c r="J250" i="2" s="1"/>
  <c r="K250" i="2" s="1"/>
  <c r="E249" i="2"/>
  <c r="J249" i="2" s="1"/>
  <c r="K249" i="2" s="1"/>
  <c r="L249" i="2" s="1"/>
  <c r="E248" i="2"/>
  <c r="J248" i="2" s="1"/>
  <c r="K248" i="2" s="1"/>
  <c r="E247" i="2"/>
  <c r="J247" i="2" s="1"/>
  <c r="K247" i="2" s="1"/>
  <c r="E246" i="2"/>
  <c r="J246" i="2" s="1"/>
  <c r="K246" i="2" s="1"/>
  <c r="E245" i="2"/>
  <c r="J245" i="2" s="1"/>
  <c r="K245" i="2" s="1"/>
  <c r="E244" i="2"/>
  <c r="J244" i="2" s="1"/>
  <c r="K244" i="2" s="1"/>
  <c r="E243" i="2"/>
  <c r="J243" i="2" s="1"/>
  <c r="K243" i="2" s="1"/>
  <c r="E242" i="2"/>
  <c r="J242" i="2" s="1"/>
  <c r="K242" i="2" s="1"/>
  <c r="E241" i="2"/>
  <c r="J241" i="2" s="1"/>
  <c r="K241" i="2" s="1"/>
  <c r="E240" i="2"/>
  <c r="J240" i="2" s="1"/>
  <c r="K240" i="2" s="1"/>
  <c r="E239" i="2"/>
  <c r="J239" i="2" s="1"/>
  <c r="K239" i="2" s="1"/>
  <c r="E238" i="2"/>
  <c r="J238" i="2" s="1"/>
  <c r="K238" i="2" s="1"/>
  <c r="E237" i="2"/>
  <c r="J237" i="2" s="1"/>
  <c r="K237" i="2" s="1"/>
  <c r="L237" i="2" s="1"/>
  <c r="E236" i="2"/>
  <c r="J236" i="2" s="1"/>
  <c r="K236" i="2" s="1"/>
  <c r="E235" i="2"/>
  <c r="J235" i="2" s="1"/>
  <c r="K235" i="2" s="1"/>
  <c r="E234" i="2"/>
  <c r="J234" i="2" s="1"/>
  <c r="K234" i="2" s="1"/>
  <c r="E233" i="2"/>
  <c r="J233" i="2" s="1"/>
  <c r="K233" i="2" s="1"/>
  <c r="E232" i="2"/>
  <c r="J232" i="2" s="1"/>
  <c r="K232" i="2" s="1"/>
  <c r="E231" i="2"/>
  <c r="J231" i="2" s="1"/>
  <c r="K231" i="2" s="1"/>
  <c r="E230" i="2"/>
  <c r="J230" i="2" s="1"/>
  <c r="K230" i="2" s="1"/>
  <c r="E229" i="2"/>
  <c r="J229" i="2" s="1"/>
  <c r="K229" i="2" s="1"/>
  <c r="E228" i="2"/>
  <c r="J228" i="2" s="1"/>
  <c r="K228" i="2" s="1"/>
  <c r="E227" i="2"/>
  <c r="J227" i="2" s="1"/>
  <c r="K227" i="2" s="1"/>
  <c r="E226" i="2"/>
  <c r="J226" i="2" s="1"/>
  <c r="K226" i="2" s="1"/>
  <c r="E225" i="2"/>
  <c r="J225" i="2" s="1"/>
  <c r="K225" i="2" s="1"/>
  <c r="L225" i="2" s="1"/>
  <c r="E224" i="2"/>
  <c r="J224" i="2" s="1"/>
  <c r="K224" i="2" s="1"/>
  <c r="E223" i="2"/>
  <c r="J223" i="2" s="1"/>
  <c r="K223" i="2" s="1"/>
  <c r="E222" i="2"/>
  <c r="J222" i="2" s="1"/>
  <c r="K222" i="2" s="1"/>
  <c r="E221" i="2"/>
  <c r="J221" i="2" s="1"/>
  <c r="K221" i="2" s="1"/>
  <c r="E220" i="2"/>
  <c r="J220" i="2" s="1"/>
  <c r="K220" i="2" s="1"/>
  <c r="E219" i="2"/>
  <c r="J219" i="2" s="1"/>
  <c r="K219" i="2" s="1"/>
  <c r="E218" i="2"/>
  <c r="J218" i="2" s="1"/>
  <c r="K218" i="2" s="1"/>
  <c r="E217" i="2"/>
  <c r="J217" i="2" s="1"/>
  <c r="K217" i="2" s="1"/>
  <c r="E216" i="2"/>
  <c r="J216" i="2" s="1"/>
  <c r="K216" i="2" s="1"/>
  <c r="E215" i="2"/>
  <c r="J215" i="2" s="1"/>
  <c r="K215" i="2" s="1"/>
  <c r="E214" i="2"/>
  <c r="J214" i="2" s="1"/>
  <c r="K214" i="2" s="1"/>
  <c r="E213" i="2"/>
  <c r="J213" i="2" s="1"/>
  <c r="K213" i="2" s="1"/>
  <c r="L213" i="2" s="1"/>
  <c r="E212" i="2"/>
  <c r="J212" i="2" s="1"/>
  <c r="K212" i="2" s="1"/>
  <c r="E211" i="2"/>
  <c r="J211" i="2" s="1"/>
  <c r="K211" i="2" s="1"/>
  <c r="E210" i="2"/>
  <c r="J210" i="2" s="1"/>
  <c r="K210" i="2" s="1"/>
  <c r="E209" i="2"/>
  <c r="J209" i="2" s="1"/>
  <c r="K209" i="2" s="1"/>
  <c r="E208" i="2"/>
  <c r="J208" i="2" s="1"/>
  <c r="K208" i="2" s="1"/>
  <c r="E207" i="2"/>
  <c r="J207" i="2" s="1"/>
  <c r="K207" i="2" s="1"/>
  <c r="E206" i="2"/>
  <c r="J206" i="2" s="1"/>
  <c r="K206" i="2" s="1"/>
  <c r="E205" i="2"/>
  <c r="J205" i="2" s="1"/>
  <c r="K205" i="2" s="1"/>
  <c r="E204" i="2"/>
  <c r="J204" i="2" s="1"/>
  <c r="K204" i="2" s="1"/>
  <c r="E203" i="2"/>
  <c r="J203" i="2" s="1"/>
  <c r="K203" i="2" s="1"/>
  <c r="E202" i="2"/>
  <c r="J202" i="2" s="1"/>
  <c r="K202" i="2" s="1"/>
  <c r="E201" i="2"/>
  <c r="J201" i="2" s="1"/>
  <c r="K201" i="2" s="1"/>
  <c r="L201" i="2" s="1"/>
  <c r="E200" i="2"/>
  <c r="J200" i="2" s="1"/>
  <c r="K200" i="2" s="1"/>
  <c r="E199" i="2"/>
  <c r="J199" i="2" s="1"/>
  <c r="K199" i="2" s="1"/>
  <c r="E198" i="2"/>
  <c r="J198" i="2" s="1"/>
  <c r="K198" i="2" s="1"/>
  <c r="E197" i="2"/>
  <c r="J197" i="2" s="1"/>
  <c r="K197" i="2" s="1"/>
  <c r="E196" i="2"/>
  <c r="J196" i="2" s="1"/>
  <c r="K196" i="2" s="1"/>
  <c r="E195" i="2"/>
  <c r="J195" i="2" s="1"/>
  <c r="K195" i="2" s="1"/>
  <c r="E194" i="2"/>
  <c r="J194" i="2" s="1"/>
  <c r="K194" i="2" s="1"/>
  <c r="E193" i="2"/>
  <c r="J193" i="2" s="1"/>
  <c r="K193" i="2" s="1"/>
  <c r="E192" i="2"/>
  <c r="J192" i="2" s="1"/>
  <c r="K192" i="2" s="1"/>
  <c r="E191" i="2"/>
  <c r="J191" i="2" s="1"/>
  <c r="K191" i="2" s="1"/>
  <c r="E190" i="2"/>
  <c r="J190" i="2" s="1"/>
  <c r="K190" i="2" s="1"/>
  <c r="E189" i="2"/>
  <c r="J189" i="2" s="1"/>
  <c r="K189" i="2" s="1"/>
  <c r="L189" i="2" s="1"/>
  <c r="E188" i="2"/>
  <c r="J188" i="2" s="1"/>
  <c r="K188" i="2" s="1"/>
  <c r="E187" i="2"/>
  <c r="J187" i="2" s="1"/>
  <c r="K187" i="2" s="1"/>
  <c r="E186" i="2"/>
  <c r="J186" i="2" s="1"/>
  <c r="K186" i="2" s="1"/>
  <c r="E185" i="2"/>
  <c r="J185" i="2" s="1"/>
  <c r="K185" i="2" s="1"/>
  <c r="E184" i="2"/>
  <c r="J184" i="2" s="1"/>
  <c r="K184" i="2" s="1"/>
  <c r="E183" i="2"/>
  <c r="J183" i="2" s="1"/>
  <c r="K183" i="2" s="1"/>
  <c r="E182" i="2"/>
  <c r="J182" i="2" s="1"/>
  <c r="K182" i="2" s="1"/>
  <c r="E181" i="2"/>
  <c r="J181" i="2" s="1"/>
  <c r="K181" i="2" s="1"/>
  <c r="E180" i="2"/>
  <c r="J180" i="2" s="1"/>
  <c r="K180" i="2" s="1"/>
  <c r="E179" i="2"/>
  <c r="J179" i="2" s="1"/>
  <c r="K179" i="2" s="1"/>
  <c r="E178" i="2"/>
  <c r="J178" i="2" s="1"/>
  <c r="K178" i="2" s="1"/>
  <c r="E177" i="2"/>
  <c r="J177" i="2" s="1"/>
  <c r="K177" i="2" s="1"/>
  <c r="L177" i="2" s="1"/>
  <c r="E176" i="2"/>
  <c r="J176" i="2" s="1"/>
  <c r="K176" i="2" s="1"/>
  <c r="E175" i="2"/>
  <c r="J175" i="2" s="1"/>
  <c r="K175" i="2" s="1"/>
  <c r="E174" i="2"/>
  <c r="J174" i="2" s="1"/>
  <c r="K174" i="2" s="1"/>
  <c r="E173" i="2"/>
  <c r="J173" i="2" s="1"/>
  <c r="K173" i="2" s="1"/>
  <c r="E172" i="2"/>
  <c r="J172" i="2" s="1"/>
  <c r="K172" i="2" s="1"/>
  <c r="E171" i="2"/>
  <c r="J171" i="2" s="1"/>
  <c r="K171" i="2" s="1"/>
  <c r="E170" i="2"/>
  <c r="J170" i="2" s="1"/>
  <c r="K170" i="2" s="1"/>
  <c r="E169" i="2"/>
  <c r="J169" i="2" s="1"/>
  <c r="K169" i="2" s="1"/>
  <c r="E168" i="2"/>
  <c r="J168" i="2" s="1"/>
  <c r="K168" i="2" s="1"/>
  <c r="E167" i="2"/>
  <c r="J167" i="2" s="1"/>
  <c r="K167" i="2" s="1"/>
  <c r="E166" i="2"/>
  <c r="J166" i="2" s="1"/>
  <c r="K166" i="2" s="1"/>
  <c r="E165" i="2"/>
  <c r="J165" i="2" s="1"/>
  <c r="K165" i="2" s="1"/>
  <c r="L165" i="2" s="1"/>
  <c r="E164" i="2"/>
  <c r="J164" i="2" s="1"/>
  <c r="K164" i="2" s="1"/>
  <c r="E163" i="2"/>
  <c r="J163" i="2" s="1"/>
  <c r="K163" i="2" s="1"/>
  <c r="E162" i="2"/>
  <c r="J162" i="2" s="1"/>
  <c r="K162" i="2" s="1"/>
  <c r="E161" i="2"/>
  <c r="J161" i="2" s="1"/>
  <c r="K161" i="2" s="1"/>
  <c r="E160" i="2"/>
  <c r="J160" i="2" s="1"/>
  <c r="K160" i="2" s="1"/>
  <c r="E159" i="2"/>
  <c r="J159" i="2" s="1"/>
  <c r="K159" i="2" s="1"/>
  <c r="E158" i="2"/>
  <c r="J158" i="2" s="1"/>
  <c r="K158" i="2" s="1"/>
  <c r="E157" i="2"/>
  <c r="J157" i="2" s="1"/>
  <c r="K157" i="2" s="1"/>
  <c r="E156" i="2"/>
  <c r="J156" i="2" s="1"/>
  <c r="K156" i="2" s="1"/>
  <c r="E155" i="2"/>
  <c r="J155" i="2" s="1"/>
  <c r="K155" i="2" s="1"/>
  <c r="E154" i="2"/>
  <c r="J154" i="2" s="1"/>
  <c r="K154" i="2" s="1"/>
  <c r="E153" i="2"/>
  <c r="J153" i="2" s="1"/>
  <c r="K153" i="2" s="1"/>
  <c r="L153" i="2" s="1"/>
  <c r="E152" i="2"/>
  <c r="J152" i="2" s="1"/>
  <c r="K152" i="2" s="1"/>
  <c r="E151" i="2"/>
  <c r="J151" i="2" s="1"/>
  <c r="K151" i="2" s="1"/>
  <c r="E150" i="2"/>
  <c r="J150" i="2" s="1"/>
  <c r="K150" i="2" s="1"/>
  <c r="E149" i="2"/>
  <c r="J149" i="2" s="1"/>
  <c r="K149" i="2" s="1"/>
  <c r="E148" i="2"/>
  <c r="J148" i="2" s="1"/>
  <c r="K148" i="2" s="1"/>
  <c r="E147" i="2"/>
  <c r="J147" i="2" s="1"/>
  <c r="K147" i="2" s="1"/>
  <c r="E146" i="2"/>
  <c r="J146" i="2" s="1"/>
  <c r="K146" i="2" s="1"/>
  <c r="E145" i="2"/>
  <c r="J145" i="2" s="1"/>
  <c r="K145" i="2" s="1"/>
  <c r="E144" i="2"/>
  <c r="J144" i="2" s="1"/>
  <c r="K144" i="2" s="1"/>
  <c r="E143" i="2"/>
  <c r="J143" i="2" s="1"/>
  <c r="K143" i="2" s="1"/>
  <c r="E142" i="2"/>
  <c r="J142" i="2" s="1"/>
  <c r="K142" i="2" s="1"/>
  <c r="E141" i="2"/>
  <c r="J141" i="2" s="1"/>
  <c r="K141" i="2" s="1"/>
  <c r="L141" i="2" s="1"/>
  <c r="E140" i="2"/>
  <c r="J140" i="2" s="1"/>
  <c r="K140" i="2" s="1"/>
  <c r="E139" i="2"/>
  <c r="J139" i="2" s="1"/>
  <c r="K139" i="2" s="1"/>
  <c r="E138" i="2"/>
  <c r="J138" i="2" s="1"/>
  <c r="K138" i="2" s="1"/>
  <c r="E137" i="2"/>
  <c r="J137" i="2" s="1"/>
  <c r="K137" i="2" s="1"/>
  <c r="E136" i="2"/>
  <c r="J136" i="2" s="1"/>
  <c r="K136" i="2" s="1"/>
  <c r="E135" i="2"/>
  <c r="J135" i="2" s="1"/>
  <c r="K135" i="2" s="1"/>
  <c r="E134" i="2"/>
  <c r="J134" i="2" s="1"/>
  <c r="K134" i="2" s="1"/>
  <c r="E133" i="2"/>
  <c r="J133" i="2" s="1"/>
  <c r="K133" i="2" s="1"/>
  <c r="E132" i="2"/>
  <c r="J132" i="2" s="1"/>
  <c r="K132" i="2" s="1"/>
  <c r="E131" i="2"/>
  <c r="J131" i="2" s="1"/>
  <c r="K131" i="2" s="1"/>
  <c r="E130" i="2"/>
  <c r="J130" i="2" s="1"/>
  <c r="K130" i="2" s="1"/>
  <c r="E129" i="2"/>
  <c r="J129" i="2" s="1"/>
  <c r="K129" i="2" s="1"/>
  <c r="L129" i="2" s="1"/>
  <c r="E128" i="2"/>
  <c r="J128" i="2" s="1"/>
  <c r="K128" i="2" s="1"/>
  <c r="E127" i="2"/>
  <c r="J127" i="2" s="1"/>
  <c r="K127" i="2" s="1"/>
  <c r="E126" i="2"/>
  <c r="J126" i="2" s="1"/>
  <c r="K126" i="2" s="1"/>
  <c r="E125" i="2"/>
  <c r="J125" i="2" s="1"/>
  <c r="K125" i="2" s="1"/>
  <c r="E124" i="2"/>
  <c r="J124" i="2" s="1"/>
  <c r="K124" i="2" s="1"/>
  <c r="E123" i="2"/>
  <c r="J123" i="2" s="1"/>
  <c r="K123" i="2" s="1"/>
  <c r="E122" i="2"/>
  <c r="J122" i="2" s="1"/>
  <c r="K122" i="2" s="1"/>
  <c r="E121" i="2"/>
  <c r="J121" i="2" s="1"/>
  <c r="K121" i="2" s="1"/>
  <c r="E120" i="2"/>
  <c r="J120" i="2" s="1"/>
  <c r="K120" i="2" s="1"/>
  <c r="E119" i="2"/>
  <c r="J119" i="2" s="1"/>
  <c r="K119" i="2" s="1"/>
  <c r="E118" i="2"/>
  <c r="J118" i="2" s="1"/>
  <c r="K118" i="2" s="1"/>
  <c r="E117" i="2"/>
  <c r="J117" i="2" s="1"/>
  <c r="K117" i="2" s="1"/>
  <c r="L117" i="2" s="1"/>
  <c r="E116" i="2"/>
  <c r="J116" i="2" s="1"/>
  <c r="K116" i="2" s="1"/>
  <c r="E115" i="2"/>
  <c r="J115" i="2" s="1"/>
  <c r="K115" i="2" s="1"/>
  <c r="E114" i="2"/>
  <c r="J114" i="2" s="1"/>
  <c r="K114" i="2" s="1"/>
  <c r="E113" i="2"/>
  <c r="J113" i="2" s="1"/>
  <c r="K113" i="2" s="1"/>
  <c r="E112" i="2"/>
  <c r="J112" i="2" s="1"/>
  <c r="K112" i="2" s="1"/>
  <c r="E111" i="2"/>
  <c r="J111" i="2" s="1"/>
  <c r="K111" i="2" s="1"/>
  <c r="E110" i="2"/>
  <c r="J110" i="2" s="1"/>
  <c r="K110" i="2" s="1"/>
  <c r="E109" i="2"/>
  <c r="J109" i="2" s="1"/>
  <c r="K109" i="2" s="1"/>
  <c r="E108" i="2"/>
  <c r="J108" i="2" s="1"/>
  <c r="K108" i="2" s="1"/>
  <c r="E107" i="2"/>
  <c r="J107" i="2" s="1"/>
  <c r="K107" i="2" s="1"/>
  <c r="E106" i="2"/>
  <c r="J106" i="2" s="1"/>
  <c r="K106" i="2" s="1"/>
  <c r="E105" i="2"/>
  <c r="J105" i="2" s="1"/>
  <c r="K105" i="2" s="1"/>
  <c r="L105" i="2" s="1"/>
  <c r="E104" i="2"/>
  <c r="J104" i="2" s="1"/>
  <c r="K104" i="2" s="1"/>
  <c r="E103" i="2"/>
  <c r="J103" i="2" s="1"/>
  <c r="K103" i="2" s="1"/>
  <c r="E102" i="2"/>
  <c r="J102" i="2" s="1"/>
  <c r="K102" i="2" s="1"/>
  <c r="E101" i="2"/>
  <c r="J101" i="2" s="1"/>
  <c r="K101" i="2" s="1"/>
  <c r="E100" i="2"/>
  <c r="J100" i="2" s="1"/>
  <c r="K100" i="2" s="1"/>
  <c r="E99" i="2"/>
  <c r="J99" i="2" s="1"/>
  <c r="K99" i="2" s="1"/>
  <c r="E98" i="2"/>
  <c r="J98" i="2" s="1"/>
  <c r="K98" i="2" s="1"/>
  <c r="E97" i="2"/>
  <c r="J97" i="2" s="1"/>
  <c r="K97" i="2" s="1"/>
  <c r="E96" i="2"/>
  <c r="J96" i="2" s="1"/>
  <c r="K96" i="2" s="1"/>
  <c r="E95" i="2"/>
  <c r="J95" i="2" s="1"/>
  <c r="K95" i="2" s="1"/>
  <c r="E94" i="2"/>
  <c r="J94" i="2" s="1"/>
  <c r="K94" i="2" s="1"/>
  <c r="E93" i="2"/>
  <c r="J93" i="2" s="1"/>
  <c r="K93" i="2" s="1"/>
  <c r="L93" i="2" s="1"/>
  <c r="E92" i="2"/>
  <c r="J92" i="2" s="1"/>
  <c r="K92" i="2" s="1"/>
  <c r="L92" i="2" s="1"/>
  <c r="E91" i="2"/>
  <c r="J91" i="2" s="1"/>
  <c r="K91" i="2" s="1"/>
  <c r="E90" i="2"/>
  <c r="J90" i="2" s="1"/>
  <c r="K90" i="2" s="1"/>
  <c r="E89" i="2"/>
  <c r="J89" i="2" s="1"/>
  <c r="K89" i="2" s="1"/>
  <c r="E88" i="2"/>
  <c r="J88" i="2" s="1"/>
  <c r="K88" i="2" s="1"/>
  <c r="E87" i="2"/>
  <c r="J87" i="2" s="1"/>
  <c r="K87" i="2" s="1"/>
  <c r="E86" i="2"/>
  <c r="J86" i="2" s="1"/>
  <c r="K86" i="2" s="1"/>
  <c r="E85" i="2"/>
  <c r="J85" i="2" s="1"/>
  <c r="K85" i="2" s="1"/>
  <c r="E84" i="2"/>
  <c r="J84" i="2" s="1"/>
  <c r="K84" i="2" s="1"/>
  <c r="E83" i="2"/>
  <c r="J83" i="2" s="1"/>
  <c r="K83" i="2" s="1"/>
  <c r="E82" i="2"/>
  <c r="J82" i="2" s="1"/>
  <c r="K82" i="2" s="1"/>
  <c r="E81" i="2"/>
  <c r="J81" i="2" s="1"/>
  <c r="K81" i="2" s="1"/>
  <c r="L81" i="2" s="1"/>
  <c r="E80" i="2"/>
  <c r="J80" i="2" s="1"/>
  <c r="K80" i="2" s="1"/>
  <c r="E79" i="2"/>
  <c r="J79" i="2" s="1"/>
  <c r="K79" i="2" s="1"/>
  <c r="E78" i="2"/>
  <c r="J78" i="2" s="1"/>
  <c r="K78" i="2" s="1"/>
  <c r="E77" i="2"/>
  <c r="J77" i="2" s="1"/>
  <c r="K77" i="2" s="1"/>
  <c r="E76" i="2"/>
  <c r="J76" i="2" s="1"/>
  <c r="K76" i="2" s="1"/>
  <c r="E75" i="2"/>
  <c r="J75" i="2" s="1"/>
  <c r="K75" i="2" s="1"/>
  <c r="E74" i="2"/>
  <c r="J74" i="2" s="1"/>
  <c r="K74" i="2" s="1"/>
  <c r="E73" i="2"/>
  <c r="J73" i="2" s="1"/>
  <c r="K73" i="2" s="1"/>
  <c r="E72" i="2"/>
  <c r="J72" i="2" s="1"/>
  <c r="K72" i="2" s="1"/>
  <c r="E71" i="2"/>
  <c r="J71" i="2" s="1"/>
  <c r="K71" i="2" s="1"/>
  <c r="E70" i="2"/>
  <c r="J70" i="2" s="1"/>
  <c r="K70" i="2" s="1"/>
  <c r="E69" i="2"/>
  <c r="J69" i="2" s="1"/>
  <c r="K69" i="2" s="1"/>
  <c r="L69" i="2" s="1"/>
  <c r="E68" i="2"/>
  <c r="J68" i="2" s="1"/>
  <c r="K68" i="2" s="1"/>
  <c r="E67" i="2"/>
  <c r="J67" i="2" s="1"/>
  <c r="K67" i="2" s="1"/>
  <c r="E66" i="2"/>
  <c r="J66" i="2" s="1"/>
  <c r="K66" i="2" s="1"/>
  <c r="E65" i="2"/>
  <c r="J65" i="2" s="1"/>
  <c r="K65" i="2" s="1"/>
  <c r="E64" i="2"/>
  <c r="J64" i="2" s="1"/>
  <c r="K64" i="2" s="1"/>
  <c r="L64" i="2" s="1"/>
  <c r="E63" i="2"/>
  <c r="J63" i="2" s="1"/>
  <c r="K63" i="2" s="1"/>
  <c r="E62" i="2"/>
  <c r="J62" i="2" s="1"/>
  <c r="K62" i="2" s="1"/>
  <c r="E61" i="2"/>
  <c r="J61" i="2" s="1"/>
  <c r="K61" i="2" s="1"/>
  <c r="E60" i="2"/>
  <c r="J60" i="2" s="1"/>
  <c r="K60" i="2" s="1"/>
  <c r="E59" i="2"/>
  <c r="J59" i="2" s="1"/>
  <c r="K59" i="2" s="1"/>
  <c r="E58" i="2"/>
  <c r="J58" i="2" s="1"/>
  <c r="K58" i="2" s="1"/>
  <c r="E57" i="2"/>
  <c r="J57" i="2" s="1"/>
  <c r="K57" i="2" s="1"/>
  <c r="L57" i="2" s="1"/>
  <c r="E56" i="2"/>
  <c r="J56" i="2" s="1"/>
  <c r="K56" i="2" s="1"/>
  <c r="E55" i="2"/>
  <c r="J55" i="2" s="1"/>
  <c r="K55" i="2" s="1"/>
  <c r="E54" i="2"/>
  <c r="J54" i="2" s="1"/>
  <c r="K54" i="2" s="1"/>
  <c r="E53" i="2"/>
  <c r="J53" i="2" s="1"/>
  <c r="K53" i="2" s="1"/>
  <c r="E52" i="2"/>
  <c r="J52" i="2" s="1"/>
  <c r="K52" i="2" s="1"/>
  <c r="E51" i="2"/>
  <c r="J51" i="2" s="1"/>
  <c r="K51" i="2" s="1"/>
  <c r="E50" i="2"/>
  <c r="J50" i="2" s="1"/>
  <c r="K50" i="2" s="1"/>
  <c r="E49" i="2"/>
  <c r="J49" i="2" s="1"/>
  <c r="K49" i="2" s="1"/>
  <c r="E48" i="2"/>
  <c r="J48" i="2" s="1"/>
  <c r="K48" i="2" s="1"/>
  <c r="E47" i="2"/>
  <c r="J47" i="2" s="1"/>
  <c r="K47" i="2" s="1"/>
  <c r="E46" i="2"/>
  <c r="J46" i="2" s="1"/>
  <c r="K46" i="2" s="1"/>
  <c r="E45" i="2"/>
  <c r="J45" i="2" s="1"/>
  <c r="K45" i="2" s="1"/>
  <c r="L45" i="2" s="1"/>
  <c r="E44" i="2"/>
  <c r="J44" i="2" s="1"/>
  <c r="K44" i="2" s="1"/>
  <c r="E43" i="2"/>
  <c r="J43" i="2" s="1"/>
  <c r="K43" i="2" s="1"/>
  <c r="E42" i="2"/>
  <c r="J42" i="2" s="1"/>
  <c r="K42" i="2" s="1"/>
  <c r="E41" i="2"/>
  <c r="J41" i="2" s="1"/>
  <c r="K41" i="2" s="1"/>
  <c r="E40" i="2"/>
  <c r="J40" i="2" s="1"/>
  <c r="K40" i="2" s="1"/>
  <c r="E39" i="2"/>
  <c r="J39" i="2" s="1"/>
  <c r="K39" i="2" s="1"/>
  <c r="E38" i="2"/>
  <c r="J38" i="2" s="1"/>
  <c r="K38" i="2" s="1"/>
  <c r="E37" i="2"/>
  <c r="J37" i="2" s="1"/>
  <c r="K37" i="2" s="1"/>
  <c r="E36" i="2"/>
  <c r="J36" i="2" s="1"/>
  <c r="K36" i="2" s="1"/>
  <c r="E35" i="2"/>
  <c r="J35" i="2" s="1"/>
  <c r="K35" i="2" s="1"/>
  <c r="E34" i="2"/>
  <c r="J34" i="2" s="1"/>
  <c r="K34" i="2" s="1"/>
  <c r="E33" i="2"/>
  <c r="J33" i="2" s="1"/>
  <c r="K33" i="2" s="1"/>
  <c r="L33" i="2" s="1"/>
  <c r="E32" i="2"/>
  <c r="J32" i="2" s="1"/>
  <c r="K32" i="2" s="1"/>
  <c r="E31" i="2"/>
  <c r="J31" i="2" s="1"/>
  <c r="K31" i="2" s="1"/>
  <c r="E30" i="2"/>
  <c r="J30" i="2" s="1"/>
  <c r="K30" i="2" s="1"/>
  <c r="E29" i="2"/>
  <c r="J29" i="2" s="1"/>
  <c r="K29" i="2" s="1"/>
  <c r="E28" i="2"/>
  <c r="J28" i="2" s="1"/>
  <c r="K28" i="2" s="1"/>
  <c r="E27" i="2"/>
  <c r="E26" i="2"/>
  <c r="J26" i="2" s="1"/>
  <c r="K26" i="2" s="1"/>
  <c r="L26" i="2" s="1"/>
  <c r="E25" i="2"/>
  <c r="J25" i="2" s="1"/>
  <c r="K25" i="2" s="1"/>
  <c r="E24" i="2"/>
  <c r="J24" i="2" s="1"/>
  <c r="K24" i="2" s="1"/>
  <c r="E23" i="2"/>
  <c r="J23" i="2" s="1"/>
  <c r="K23" i="2" s="1"/>
  <c r="E22" i="2"/>
  <c r="J22" i="2" s="1"/>
  <c r="K22" i="2" s="1"/>
  <c r="E21" i="2"/>
  <c r="J21" i="2" s="1"/>
  <c r="K21" i="2" s="1"/>
  <c r="L21" i="2" s="1"/>
  <c r="E20" i="2"/>
  <c r="J20" i="2" s="1"/>
  <c r="K20" i="2" s="1"/>
  <c r="E19" i="2"/>
  <c r="J19" i="2" s="1"/>
  <c r="K19" i="2" s="1"/>
  <c r="E18" i="2"/>
  <c r="J18" i="2" s="1"/>
  <c r="K18" i="2" s="1"/>
  <c r="E17" i="2"/>
  <c r="J17" i="2" s="1"/>
  <c r="K17" i="2" s="1"/>
  <c r="E16" i="2"/>
  <c r="J16" i="2" s="1"/>
  <c r="K16" i="2" s="1"/>
  <c r="E15" i="2"/>
  <c r="J15" i="2" s="1"/>
  <c r="K15" i="2" s="1"/>
  <c r="E14" i="2"/>
  <c r="J14" i="2" s="1"/>
  <c r="K14" i="2" s="1"/>
  <c r="E13" i="2"/>
  <c r="J13" i="2" s="1"/>
  <c r="K13" i="2" s="1"/>
  <c r="E12" i="2"/>
  <c r="J12" i="2" s="1"/>
  <c r="K12" i="2" s="1"/>
  <c r="E11" i="2"/>
  <c r="J11" i="2" s="1"/>
  <c r="K11" i="2" s="1"/>
  <c r="E10" i="2"/>
  <c r="J10" i="2" s="1"/>
  <c r="K10" i="2" s="1"/>
  <c r="E9" i="2"/>
  <c r="J9" i="2" s="1"/>
  <c r="K9" i="2" s="1"/>
  <c r="L9" i="2" s="1"/>
  <c r="E8" i="2"/>
  <c r="J8" i="2" s="1"/>
  <c r="K8" i="2" s="1"/>
  <c r="E7" i="2"/>
  <c r="J7" i="2" s="1"/>
  <c r="K7" i="2" s="1"/>
  <c r="E6" i="2"/>
  <c r="J6" i="2" s="1"/>
  <c r="K6" i="2" s="1"/>
  <c r="E5" i="2"/>
  <c r="F2" i="1"/>
  <c r="B386" i="3"/>
  <c r="B385" i="3"/>
  <c r="B384" i="3"/>
  <c r="B383" i="3"/>
  <c r="B382" i="3"/>
  <c r="B381" i="3"/>
  <c r="B380" i="3"/>
  <c r="B387" i="3"/>
  <c r="G387" i="3"/>
  <c r="G386" i="3"/>
  <c r="G385" i="3"/>
  <c r="G384" i="3"/>
  <c r="G383" i="3"/>
  <c r="G382" i="3"/>
  <c r="G381" i="3"/>
  <c r="G380" i="3"/>
  <c r="H151" i="1"/>
  <c r="H150" i="1"/>
  <c r="H73" i="1"/>
  <c r="H72" i="1"/>
  <c r="H40" i="1"/>
  <c r="H39" i="1"/>
  <c r="M3" i="5" l="1"/>
  <c r="K1" i="5"/>
  <c r="J1" i="5"/>
  <c r="H3" i="4"/>
  <c r="H7" i="4"/>
  <c r="H6" i="4"/>
  <c r="H5" i="4"/>
  <c r="H13" i="4"/>
  <c r="H4" i="4"/>
  <c r="H12" i="4"/>
  <c r="H9" i="4"/>
  <c r="H14" i="4"/>
  <c r="H2" i="4"/>
  <c r="H11" i="4"/>
  <c r="H10" i="4"/>
  <c r="L10" i="2"/>
  <c r="L22" i="2"/>
  <c r="L34" i="2"/>
  <c r="L46" i="2"/>
  <c r="L58" i="2"/>
  <c r="L70" i="2"/>
  <c r="L82" i="2"/>
  <c r="L94" i="2"/>
  <c r="L106" i="2"/>
  <c r="L118" i="2"/>
  <c r="L130" i="2"/>
  <c r="L142" i="2"/>
  <c r="L154" i="2"/>
  <c r="L166" i="2"/>
  <c r="L178" i="2"/>
  <c r="L190" i="2"/>
  <c r="L202" i="2"/>
  <c r="L214" i="2"/>
  <c r="L226" i="2"/>
  <c r="L238" i="2"/>
  <c r="L250" i="2"/>
  <c r="L262" i="2"/>
  <c r="L274" i="2"/>
  <c r="L286" i="2"/>
  <c r="L298" i="2"/>
  <c r="L310" i="2"/>
  <c r="L322" i="2"/>
  <c r="L334" i="2"/>
  <c r="L346" i="2"/>
  <c r="L358" i="2"/>
  <c r="L370" i="2"/>
  <c r="L91" i="2"/>
  <c r="L127" i="2"/>
  <c r="L151" i="2"/>
  <c r="L199" i="2"/>
  <c r="L235" i="2"/>
  <c r="L271" i="2"/>
  <c r="L295" i="2"/>
  <c r="L291" i="2"/>
  <c r="L243" i="2"/>
  <c r="L136" i="2"/>
  <c r="L148" i="2"/>
  <c r="L17" i="2"/>
  <c r="L53" i="2"/>
  <c r="L125" i="2"/>
  <c r="L233" i="2"/>
  <c r="L18" i="2"/>
  <c r="L54" i="2"/>
  <c r="L90" i="2"/>
  <c r="L162" i="2"/>
  <c r="L198" i="2"/>
  <c r="L234" i="2"/>
  <c r="L270" i="2"/>
  <c r="L294" i="2"/>
  <c r="L171" i="2"/>
  <c r="L195" i="2"/>
  <c r="L208" i="2"/>
  <c r="L23" i="2"/>
  <c r="L27" i="2"/>
  <c r="L36" i="2"/>
  <c r="L48" i="2"/>
  <c r="L374" i="2"/>
  <c r="L339" i="2"/>
  <c r="L135" i="2"/>
  <c r="L12" i="2"/>
  <c r="L312" i="2"/>
  <c r="L11" i="2"/>
  <c r="L47" i="2"/>
  <c r="L75" i="2"/>
  <c r="L313" i="2"/>
  <c r="L24" i="2"/>
  <c r="L72" i="2"/>
  <c r="L108" i="2"/>
  <c r="L168" i="2"/>
  <c r="L315" i="2"/>
  <c r="L13" i="2"/>
  <c r="L241" i="2"/>
  <c r="L373" i="2"/>
  <c r="L220" i="2"/>
  <c r="L337" i="2"/>
  <c r="L37" i="2"/>
  <c r="L123" i="2"/>
  <c r="L219" i="2"/>
  <c r="L267" i="2"/>
  <c r="L39" i="2"/>
  <c r="L99" i="2"/>
  <c r="L279" i="2"/>
  <c r="L327" i="2"/>
  <c r="L256" i="2"/>
  <c r="L340" i="2"/>
  <c r="L35" i="2"/>
  <c r="L74" i="2"/>
  <c r="L60" i="2"/>
  <c r="L76" i="2"/>
  <c r="L265" i="2"/>
  <c r="L28" i="2"/>
  <c r="L100" i="2"/>
  <c r="L112" i="2"/>
  <c r="L172" i="2"/>
  <c r="L184" i="2"/>
  <c r="L244" i="2"/>
  <c r="L364" i="2"/>
  <c r="L231" i="2"/>
  <c r="L59" i="2"/>
  <c r="L71" i="2"/>
  <c r="L83" i="2"/>
  <c r="L95" i="2"/>
  <c r="L107" i="2"/>
  <c r="L119" i="2"/>
  <c r="L131" i="2"/>
  <c r="L143" i="2"/>
  <c r="L155" i="2"/>
  <c r="L167" i="2"/>
  <c r="L179" i="2"/>
  <c r="L191" i="2"/>
  <c r="L203" i="2"/>
  <c r="L215" i="2"/>
  <c r="L227" i="2"/>
  <c r="L239" i="2"/>
  <c r="L251" i="2"/>
  <c r="L263" i="2"/>
  <c r="L275" i="2"/>
  <c r="L287" i="2"/>
  <c r="L299" i="2"/>
  <c r="L311" i="2"/>
  <c r="L323" i="2"/>
  <c r="L335" i="2"/>
  <c r="L347" i="2"/>
  <c r="L359" i="2"/>
  <c r="L276" i="2"/>
  <c r="L360" i="2"/>
  <c r="L73" i="2"/>
  <c r="L145" i="2"/>
  <c r="L181" i="2"/>
  <c r="L62" i="2"/>
  <c r="L146" i="2"/>
  <c r="L182" i="2"/>
  <c r="L218" i="2"/>
  <c r="L254" i="2"/>
  <c r="L302" i="2"/>
  <c r="L350" i="2"/>
  <c r="L84" i="2"/>
  <c r="L96" i="2"/>
  <c r="L120" i="2"/>
  <c r="L156" i="2"/>
  <c r="L180" i="2"/>
  <c r="L204" i="2"/>
  <c r="L216" i="2"/>
  <c r="L240" i="2"/>
  <c r="L264" i="2"/>
  <c r="L300" i="2"/>
  <c r="L348" i="2"/>
  <c r="L78" i="2"/>
  <c r="L114" i="2"/>
  <c r="L150" i="2"/>
  <c r="L258" i="2"/>
  <c r="L306" i="2"/>
  <c r="L366" i="2"/>
  <c r="L51" i="2"/>
  <c r="L352" i="2"/>
  <c r="L61" i="2"/>
  <c r="L85" i="2"/>
  <c r="L97" i="2"/>
  <c r="L133" i="2"/>
  <c r="L157" i="2"/>
  <c r="L193" i="2"/>
  <c r="L229" i="2"/>
  <c r="L253" i="2"/>
  <c r="L289" i="2"/>
  <c r="L325" i="2"/>
  <c r="L361" i="2"/>
  <c r="L307" i="2"/>
  <c r="L367" i="2"/>
  <c r="L14" i="2"/>
  <c r="L110" i="2"/>
  <c r="L134" i="2"/>
  <c r="L170" i="2"/>
  <c r="L206" i="2"/>
  <c r="L230" i="2"/>
  <c r="L242" i="2"/>
  <c r="L266" i="2"/>
  <c r="L278" i="2"/>
  <c r="L290" i="2"/>
  <c r="L314" i="2"/>
  <c r="L326" i="2"/>
  <c r="L338" i="2"/>
  <c r="L362" i="2"/>
  <c r="L15" i="2"/>
  <c r="L63" i="2"/>
  <c r="L111" i="2"/>
  <c r="L159" i="2"/>
  <c r="L207" i="2"/>
  <c r="L255" i="2"/>
  <c r="L303" i="2"/>
  <c r="L351" i="2"/>
  <c r="L371" i="2"/>
  <c r="L132" i="2"/>
  <c r="L144" i="2"/>
  <c r="L192" i="2"/>
  <c r="L228" i="2"/>
  <c r="L252" i="2"/>
  <c r="L288" i="2"/>
  <c r="L324" i="2"/>
  <c r="L336" i="2"/>
  <c r="L6" i="2"/>
  <c r="L42" i="2"/>
  <c r="L126" i="2"/>
  <c r="L186" i="2"/>
  <c r="L222" i="2"/>
  <c r="L40" i="2"/>
  <c r="L280" i="2"/>
  <c r="L25" i="2"/>
  <c r="L49" i="2"/>
  <c r="L109" i="2"/>
  <c r="L121" i="2"/>
  <c r="L169" i="2"/>
  <c r="L205" i="2"/>
  <c r="L217" i="2"/>
  <c r="L277" i="2"/>
  <c r="L301" i="2"/>
  <c r="L349" i="2"/>
  <c r="L87" i="2"/>
  <c r="L38" i="2"/>
  <c r="L50" i="2"/>
  <c r="L86" i="2"/>
  <c r="L98" i="2"/>
  <c r="L122" i="2"/>
  <c r="L158" i="2"/>
  <c r="L194" i="2"/>
  <c r="L16" i="2"/>
  <c r="L292" i="2"/>
  <c r="L304" i="2"/>
  <c r="L316" i="2"/>
  <c r="L372" i="2"/>
  <c r="F375" i="3"/>
  <c r="L247" i="2"/>
  <c r="L152" i="2"/>
  <c r="L101" i="2"/>
  <c r="L185" i="2"/>
  <c r="L245" i="2"/>
  <c r="L293" i="2"/>
  <c r="L30" i="2"/>
  <c r="L308" i="2"/>
  <c r="L8" i="2"/>
  <c r="L44" i="2"/>
  <c r="L248" i="2"/>
  <c r="L368" i="2"/>
  <c r="L31" i="2"/>
  <c r="L138" i="2"/>
  <c r="L212" i="2"/>
  <c r="L43" i="2"/>
  <c r="L161" i="2"/>
  <c r="L55" i="2"/>
  <c r="L187" i="2"/>
  <c r="L79" i="2"/>
  <c r="L341" i="2"/>
  <c r="L20" i="2"/>
  <c r="L174" i="2"/>
  <c r="L200" i="2"/>
  <c r="L163" i="2"/>
  <c r="L197" i="2"/>
  <c r="L175" i="2"/>
  <c r="L356" i="2"/>
  <c r="L89" i="2"/>
  <c r="F385" i="3"/>
  <c r="H385" i="3" s="1"/>
  <c r="J385" i="3" s="1"/>
  <c r="J5" i="2"/>
  <c r="K5" i="2" s="1"/>
  <c r="L5" i="2" s="1"/>
  <c r="L29" i="2"/>
  <c r="L65" i="2"/>
  <c r="L77" i="2"/>
  <c r="L113" i="2"/>
  <c r="L137" i="2"/>
  <c r="L173" i="2"/>
  <c r="L209" i="2"/>
  <c r="L257" i="2"/>
  <c r="L269" i="2"/>
  <c r="L281" i="2"/>
  <c r="L305" i="2"/>
  <c r="L317" i="2"/>
  <c r="L330" i="2"/>
  <c r="L7" i="2"/>
  <c r="L353" i="2"/>
  <c r="L56" i="2"/>
  <c r="L331" i="2"/>
  <c r="L115" i="2"/>
  <c r="L223" i="2"/>
  <c r="L355" i="2"/>
  <c r="L332" i="2"/>
  <c r="L68" i="2"/>
  <c r="L164" i="2"/>
  <c r="L284" i="2"/>
  <c r="L139" i="2"/>
  <c r="L188" i="2"/>
  <c r="L236" i="2"/>
  <c r="L19" i="2"/>
  <c r="L259" i="2"/>
  <c r="L246" i="2"/>
  <c r="L102" i="2"/>
  <c r="L103" i="2"/>
  <c r="L41" i="2"/>
  <c r="L149" i="2"/>
  <c r="L221" i="2"/>
  <c r="L116" i="2"/>
  <c r="L260" i="2"/>
  <c r="L342" i="2"/>
  <c r="L32" i="2"/>
  <c r="L224" i="2"/>
  <c r="L272" i="2"/>
  <c r="L320" i="2"/>
  <c r="L183" i="2"/>
  <c r="L363" i="2"/>
  <c r="L268" i="2"/>
  <c r="L140" i="2"/>
  <c r="L318" i="2"/>
  <c r="L343" i="2"/>
  <c r="L283" i="2"/>
  <c r="L104" i="2"/>
  <c r="L282" i="2"/>
  <c r="L344" i="2"/>
  <c r="L80" i="2"/>
  <c r="L128" i="2"/>
  <c r="L176" i="2"/>
  <c r="L147" i="2"/>
  <c r="L66" i="2"/>
  <c r="L210" i="2"/>
  <c r="L319" i="2"/>
  <c r="L52" i="2"/>
  <c r="L67" i="2"/>
  <c r="L88" i="2"/>
  <c r="L124" i="2"/>
  <c r="L160" i="2"/>
  <c r="L196" i="2"/>
  <c r="L211" i="2"/>
  <c r="L232" i="2"/>
  <c r="L328" i="2"/>
  <c r="L354" i="2"/>
  <c r="L329" i="2"/>
  <c r="L365" i="2"/>
  <c r="F374" i="3"/>
  <c r="F376" i="3"/>
  <c r="F378" i="3"/>
  <c r="F379" i="3"/>
  <c r="F380" i="3"/>
  <c r="H380" i="3" s="1"/>
  <c r="J380" i="3" s="1"/>
  <c r="F381" i="3"/>
  <c r="H381" i="3" s="1"/>
  <c r="J381" i="3" s="1"/>
  <c r="F382" i="3"/>
  <c r="H382" i="3" s="1"/>
  <c r="J382" i="3" s="1"/>
  <c r="F386" i="3"/>
  <c r="H386" i="3" s="1"/>
  <c r="J386" i="3" s="1"/>
  <c r="F387" i="3"/>
  <c r="H387" i="3" s="1"/>
  <c r="J387" i="3" s="1"/>
  <c r="F377" i="3"/>
  <c r="F371" i="3"/>
  <c r="F383" i="3"/>
  <c r="H383" i="3" s="1"/>
  <c r="J383" i="3" s="1"/>
  <c r="F372" i="3"/>
  <c r="F384" i="3"/>
  <c r="H384" i="3" s="1"/>
  <c r="J384" i="3" s="1"/>
  <c r="F373" i="3"/>
  <c r="G379" i="3"/>
  <c r="G378" i="3"/>
  <c r="G377" i="3"/>
  <c r="G376" i="3"/>
  <c r="G375" i="3"/>
  <c r="G374" i="3"/>
  <c r="G373" i="3"/>
  <c r="G372" i="3"/>
  <c r="G371" i="3"/>
  <c r="H379" i="3" l="1"/>
  <c r="J379" i="3" s="1"/>
  <c r="H376" i="3"/>
  <c r="J376" i="3" s="1"/>
  <c r="H378" i="3"/>
  <c r="J378" i="3" s="1"/>
  <c r="H377" i="3"/>
  <c r="J377" i="3" s="1"/>
  <c r="H375" i="3"/>
  <c r="J375" i="3" s="1"/>
  <c r="H374" i="3"/>
  <c r="J374" i="3" s="1"/>
  <c r="H373" i="3"/>
  <c r="J373" i="3" s="1"/>
  <c r="H372" i="3"/>
  <c r="J372" i="3" s="1"/>
  <c r="H371" i="3"/>
  <c r="J371" i="3" s="1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C4" i="1"/>
  <c r="C3" i="1"/>
  <c r="C2" i="1"/>
  <c r="C1" i="1"/>
  <c r="F148" i="3" l="1"/>
  <c r="I148" i="3"/>
  <c r="F292" i="3"/>
  <c r="I292" i="3"/>
  <c r="F17" i="3"/>
  <c r="I17" i="3"/>
  <c r="F173" i="3"/>
  <c r="I173" i="3"/>
  <c r="F269" i="3"/>
  <c r="I269" i="3"/>
  <c r="F18" i="3"/>
  <c r="I18" i="3"/>
  <c r="F30" i="3"/>
  <c r="I30" i="3"/>
  <c r="F42" i="3"/>
  <c r="I42" i="3"/>
  <c r="F54" i="3"/>
  <c r="I54" i="3"/>
  <c r="F66" i="3"/>
  <c r="I66" i="3"/>
  <c r="F78" i="3"/>
  <c r="I78" i="3"/>
  <c r="F90" i="3"/>
  <c r="I90" i="3"/>
  <c r="F102" i="3"/>
  <c r="I102" i="3"/>
  <c r="F114" i="3"/>
  <c r="I114" i="3"/>
  <c r="F126" i="3"/>
  <c r="I126" i="3"/>
  <c r="F138" i="3"/>
  <c r="I138" i="3"/>
  <c r="F150" i="3"/>
  <c r="I150" i="3"/>
  <c r="F162" i="3"/>
  <c r="I162" i="3"/>
  <c r="F174" i="3"/>
  <c r="I174" i="3"/>
  <c r="F186" i="3"/>
  <c r="I186" i="3"/>
  <c r="F198" i="3"/>
  <c r="I198" i="3"/>
  <c r="F210" i="3"/>
  <c r="I210" i="3"/>
  <c r="F222" i="3"/>
  <c r="I222" i="3"/>
  <c r="F234" i="3"/>
  <c r="I234" i="3"/>
  <c r="F246" i="3"/>
  <c r="I246" i="3"/>
  <c r="F258" i="3"/>
  <c r="I258" i="3"/>
  <c r="F270" i="3"/>
  <c r="I270" i="3"/>
  <c r="F282" i="3"/>
  <c r="I282" i="3"/>
  <c r="F294" i="3"/>
  <c r="I294" i="3"/>
  <c r="F306" i="3"/>
  <c r="I306" i="3"/>
  <c r="F318" i="3"/>
  <c r="I318" i="3"/>
  <c r="F330" i="3"/>
  <c r="I330" i="3"/>
  <c r="F342" i="3"/>
  <c r="I342" i="3"/>
  <c r="F354" i="3"/>
  <c r="I354" i="3"/>
  <c r="F366" i="3"/>
  <c r="I366" i="3"/>
  <c r="F40" i="3"/>
  <c r="I40" i="3"/>
  <c r="F196" i="3"/>
  <c r="I196" i="3"/>
  <c r="F316" i="3"/>
  <c r="I316" i="3"/>
  <c r="F53" i="3"/>
  <c r="I53" i="3"/>
  <c r="F161" i="3"/>
  <c r="I161" i="3"/>
  <c r="F257" i="3"/>
  <c r="I257" i="3"/>
  <c r="F6" i="3"/>
  <c r="I6" i="3"/>
  <c r="F7" i="3"/>
  <c r="I7" i="3"/>
  <c r="F19" i="3"/>
  <c r="I19" i="3"/>
  <c r="F31" i="3"/>
  <c r="I31" i="3"/>
  <c r="F43" i="3"/>
  <c r="I43" i="3"/>
  <c r="F55" i="3"/>
  <c r="I55" i="3"/>
  <c r="F67" i="3"/>
  <c r="I67" i="3"/>
  <c r="F79" i="3"/>
  <c r="I79" i="3"/>
  <c r="F91" i="3"/>
  <c r="I91" i="3"/>
  <c r="F103" i="3"/>
  <c r="I103" i="3"/>
  <c r="F115" i="3"/>
  <c r="I115" i="3"/>
  <c r="F127" i="3"/>
  <c r="I127" i="3"/>
  <c r="F139" i="3"/>
  <c r="I139" i="3"/>
  <c r="F151" i="3"/>
  <c r="I151" i="3"/>
  <c r="F163" i="3"/>
  <c r="I163" i="3"/>
  <c r="F175" i="3"/>
  <c r="I175" i="3"/>
  <c r="F187" i="3"/>
  <c r="I187" i="3"/>
  <c r="F199" i="3"/>
  <c r="I199" i="3"/>
  <c r="F211" i="3"/>
  <c r="I211" i="3"/>
  <c r="F223" i="3"/>
  <c r="I223" i="3"/>
  <c r="F235" i="3"/>
  <c r="I235" i="3"/>
  <c r="F247" i="3"/>
  <c r="I247" i="3"/>
  <c r="F259" i="3"/>
  <c r="I259" i="3"/>
  <c r="F271" i="3"/>
  <c r="I271" i="3"/>
  <c r="F283" i="3"/>
  <c r="I283" i="3"/>
  <c r="F295" i="3"/>
  <c r="I295" i="3"/>
  <c r="F307" i="3"/>
  <c r="I307" i="3"/>
  <c r="F319" i="3"/>
  <c r="I319" i="3"/>
  <c r="F331" i="3"/>
  <c r="I331" i="3"/>
  <c r="F343" i="3"/>
  <c r="I343" i="3"/>
  <c r="F355" i="3"/>
  <c r="I355" i="3"/>
  <c r="F367" i="3"/>
  <c r="I367" i="3"/>
  <c r="F16" i="3"/>
  <c r="I16" i="3"/>
  <c r="F160" i="3"/>
  <c r="I160" i="3"/>
  <c r="F5" i="3"/>
  <c r="I5" i="3"/>
  <c r="F125" i="3"/>
  <c r="I125" i="3"/>
  <c r="F305" i="3"/>
  <c r="I305" i="3"/>
  <c r="F8" i="3"/>
  <c r="I8" i="3"/>
  <c r="F20" i="3"/>
  <c r="I20" i="3"/>
  <c r="F32" i="3"/>
  <c r="I32" i="3"/>
  <c r="F44" i="3"/>
  <c r="I44" i="3"/>
  <c r="F56" i="3"/>
  <c r="I56" i="3"/>
  <c r="F68" i="3"/>
  <c r="I68" i="3"/>
  <c r="F80" i="3"/>
  <c r="I80" i="3"/>
  <c r="F92" i="3"/>
  <c r="I92" i="3"/>
  <c r="F104" i="3"/>
  <c r="I104" i="3"/>
  <c r="F116" i="3"/>
  <c r="I116" i="3"/>
  <c r="F128" i="3"/>
  <c r="I128" i="3"/>
  <c r="F140" i="3"/>
  <c r="I140" i="3"/>
  <c r="F152" i="3"/>
  <c r="I152" i="3"/>
  <c r="F164" i="3"/>
  <c r="I164" i="3"/>
  <c r="F176" i="3"/>
  <c r="I176" i="3"/>
  <c r="F188" i="3"/>
  <c r="I188" i="3"/>
  <c r="F200" i="3"/>
  <c r="I200" i="3"/>
  <c r="F212" i="3"/>
  <c r="I212" i="3"/>
  <c r="F224" i="3"/>
  <c r="I224" i="3"/>
  <c r="F236" i="3"/>
  <c r="I236" i="3"/>
  <c r="F248" i="3"/>
  <c r="I248" i="3"/>
  <c r="F260" i="3"/>
  <c r="I260" i="3"/>
  <c r="F272" i="3"/>
  <c r="I272" i="3"/>
  <c r="F284" i="3"/>
  <c r="I284" i="3"/>
  <c r="F296" i="3"/>
  <c r="I296" i="3"/>
  <c r="F308" i="3"/>
  <c r="I308" i="3"/>
  <c r="F320" i="3"/>
  <c r="I320" i="3"/>
  <c r="F332" i="3"/>
  <c r="I332" i="3"/>
  <c r="F344" i="3"/>
  <c r="I344" i="3"/>
  <c r="F356" i="3"/>
  <c r="I356" i="3"/>
  <c r="F368" i="3"/>
  <c r="I368" i="3"/>
  <c r="F112" i="3"/>
  <c r="I112" i="3"/>
  <c r="F244" i="3"/>
  <c r="I244" i="3"/>
  <c r="F89" i="3"/>
  <c r="I89" i="3"/>
  <c r="F197" i="3"/>
  <c r="I197" i="3"/>
  <c r="F353" i="3"/>
  <c r="I353" i="3"/>
  <c r="F9" i="3"/>
  <c r="I9" i="3"/>
  <c r="F21" i="3"/>
  <c r="I21" i="3"/>
  <c r="F33" i="3"/>
  <c r="I33" i="3"/>
  <c r="F45" i="3"/>
  <c r="I45" i="3"/>
  <c r="F57" i="3"/>
  <c r="I57" i="3"/>
  <c r="F69" i="3"/>
  <c r="I69" i="3"/>
  <c r="F81" i="3"/>
  <c r="I81" i="3"/>
  <c r="F93" i="3"/>
  <c r="I93" i="3"/>
  <c r="F105" i="3"/>
  <c r="I105" i="3"/>
  <c r="F117" i="3"/>
  <c r="I117" i="3"/>
  <c r="F129" i="3"/>
  <c r="I129" i="3"/>
  <c r="F141" i="3"/>
  <c r="I141" i="3"/>
  <c r="F153" i="3"/>
  <c r="I153" i="3"/>
  <c r="F165" i="3"/>
  <c r="I165" i="3"/>
  <c r="F177" i="3"/>
  <c r="I177" i="3"/>
  <c r="F189" i="3"/>
  <c r="I189" i="3"/>
  <c r="F201" i="3"/>
  <c r="I201" i="3"/>
  <c r="F213" i="3"/>
  <c r="I213" i="3"/>
  <c r="F225" i="3"/>
  <c r="I225" i="3"/>
  <c r="F237" i="3"/>
  <c r="I237" i="3"/>
  <c r="F249" i="3"/>
  <c r="I249" i="3"/>
  <c r="F261" i="3"/>
  <c r="I261" i="3"/>
  <c r="F273" i="3"/>
  <c r="I273" i="3"/>
  <c r="F285" i="3"/>
  <c r="I285" i="3"/>
  <c r="F297" i="3"/>
  <c r="I297" i="3"/>
  <c r="F309" i="3"/>
  <c r="I309" i="3"/>
  <c r="F321" i="3"/>
  <c r="I321" i="3"/>
  <c r="F333" i="3"/>
  <c r="I333" i="3"/>
  <c r="F345" i="3"/>
  <c r="I345" i="3"/>
  <c r="F357" i="3"/>
  <c r="I357" i="3"/>
  <c r="F369" i="3"/>
  <c r="I369" i="3"/>
  <c r="F28" i="3"/>
  <c r="I28" i="3"/>
  <c r="F124" i="3"/>
  <c r="I124" i="3"/>
  <c r="F304" i="3"/>
  <c r="I304" i="3"/>
  <c r="F65" i="3"/>
  <c r="I65" i="3"/>
  <c r="F209" i="3"/>
  <c r="I209" i="3"/>
  <c r="F317" i="3"/>
  <c r="I317" i="3"/>
  <c r="F10" i="3"/>
  <c r="I10" i="3"/>
  <c r="F22" i="3"/>
  <c r="I22" i="3"/>
  <c r="F34" i="3"/>
  <c r="I34" i="3"/>
  <c r="F46" i="3"/>
  <c r="I46" i="3"/>
  <c r="F58" i="3"/>
  <c r="I58" i="3"/>
  <c r="F70" i="3"/>
  <c r="I70" i="3"/>
  <c r="F82" i="3"/>
  <c r="I82" i="3"/>
  <c r="F94" i="3"/>
  <c r="I94" i="3"/>
  <c r="F106" i="3"/>
  <c r="I106" i="3"/>
  <c r="F118" i="3"/>
  <c r="I118" i="3"/>
  <c r="F130" i="3"/>
  <c r="I130" i="3"/>
  <c r="F142" i="3"/>
  <c r="I142" i="3"/>
  <c r="F154" i="3"/>
  <c r="I154" i="3"/>
  <c r="F166" i="3"/>
  <c r="I166" i="3"/>
  <c r="F178" i="3"/>
  <c r="I178" i="3"/>
  <c r="F190" i="3"/>
  <c r="I190" i="3"/>
  <c r="F202" i="3"/>
  <c r="I202" i="3"/>
  <c r="F214" i="3"/>
  <c r="I214" i="3"/>
  <c r="F226" i="3"/>
  <c r="I226" i="3"/>
  <c r="F238" i="3"/>
  <c r="I238" i="3"/>
  <c r="F250" i="3"/>
  <c r="I250" i="3"/>
  <c r="F262" i="3"/>
  <c r="I262" i="3"/>
  <c r="F274" i="3"/>
  <c r="I274" i="3"/>
  <c r="F286" i="3"/>
  <c r="I286" i="3"/>
  <c r="F298" i="3"/>
  <c r="I298" i="3"/>
  <c r="F310" i="3"/>
  <c r="I310" i="3"/>
  <c r="F322" i="3"/>
  <c r="I322" i="3"/>
  <c r="F334" i="3"/>
  <c r="I334" i="3"/>
  <c r="F346" i="3"/>
  <c r="I346" i="3"/>
  <c r="F358" i="3"/>
  <c r="I358" i="3"/>
  <c r="F370" i="3"/>
  <c r="I370" i="3"/>
  <c r="F52" i="3"/>
  <c r="I52" i="3"/>
  <c r="F232" i="3"/>
  <c r="I232" i="3"/>
  <c r="F328" i="3"/>
  <c r="I328" i="3"/>
  <c r="F29" i="3"/>
  <c r="I29" i="3"/>
  <c r="F137" i="3"/>
  <c r="I137" i="3"/>
  <c r="F245" i="3"/>
  <c r="I245" i="3"/>
  <c r="F341" i="3"/>
  <c r="I341" i="3"/>
  <c r="F11" i="3"/>
  <c r="I11" i="3"/>
  <c r="F23" i="3"/>
  <c r="I23" i="3"/>
  <c r="F35" i="3"/>
  <c r="I35" i="3"/>
  <c r="F47" i="3"/>
  <c r="I47" i="3"/>
  <c r="F59" i="3"/>
  <c r="I59" i="3"/>
  <c r="F71" i="3"/>
  <c r="I71" i="3"/>
  <c r="F83" i="3"/>
  <c r="I83" i="3"/>
  <c r="F95" i="3"/>
  <c r="I95" i="3"/>
  <c r="F107" i="3"/>
  <c r="I107" i="3"/>
  <c r="F119" i="3"/>
  <c r="I119" i="3"/>
  <c r="F131" i="3"/>
  <c r="I131" i="3"/>
  <c r="F143" i="3"/>
  <c r="I143" i="3"/>
  <c r="F155" i="3"/>
  <c r="I155" i="3"/>
  <c r="F167" i="3"/>
  <c r="I167" i="3"/>
  <c r="F179" i="3"/>
  <c r="I179" i="3"/>
  <c r="F191" i="3"/>
  <c r="I191" i="3"/>
  <c r="F203" i="3"/>
  <c r="I203" i="3"/>
  <c r="F215" i="3"/>
  <c r="I215" i="3"/>
  <c r="F227" i="3"/>
  <c r="I227" i="3"/>
  <c r="F239" i="3"/>
  <c r="I239" i="3"/>
  <c r="F251" i="3"/>
  <c r="I251" i="3"/>
  <c r="F263" i="3"/>
  <c r="I263" i="3"/>
  <c r="F275" i="3"/>
  <c r="I275" i="3"/>
  <c r="F287" i="3"/>
  <c r="I287" i="3"/>
  <c r="F299" i="3"/>
  <c r="I299" i="3"/>
  <c r="F311" i="3"/>
  <c r="I311" i="3"/>
  <c r="F323" i="3"/>
  <c r="I323" i="3"/>
  <c r="F335" i="3"/>
  <c r="I335" i="3"/>
  <c r="F347" i="3"/>
  <c r="I347" i="3"/>
  <c r="F359" i="3"/>
  <c r="I359" i="3"/>
  <c r="F88" i="3"/>
  <c r="I88" i="3"/>
  <c r="F172" i="3"/>
  <c r="I172" i="3"/>
  <c r="F220" i="3"/>
  <c r="I220" i="3"/>
  <c r="F280" i="3"/>
  <c r="I280" i="3"/>
  <c r="F352" i="3"/>
  <c r="I352" i="3"/>
  <c r="F101" i="3"/>
  <c r="I101" i="3"/>
  <c r="F185" i="3"/>
  <c r="I185" i="3"/>
  <c r="F329" i="3"/>
  <c r="I329" i="3"/>
  <c r="F12" i="3"/>
  <c r="I12" i="3"/>
  <c r="F24" i="3"/>
  <c r="I24" i="3"/>
  <c r="F36" i="3"/>
  <c r="I36" i="3"/>
  <c r="F48" i="3"/>
  <c r="I48" i="3"/>
  <c r="F60" i="3"/>
  <c r="I60" i="3"/>
  <c r="F72" i="3"/>
  <c r="I72" i="3"/>
  <c r="F84" i="3"/>
  <c r="I84" i="3"/>
  <c r="F96" i="3"/>
  <c r="I96" i="3"/>
  <c r="F108" i="3"/>
  <c r="I108" i="3"/>
  <c r="F120" i="3"/>
  <c r="I120" i="3"/>
  <c r="F132" i="3"/>
  <c r="I132" i="3"/>
  <c r="F144" i="3"/>
  <c r="I144" i="3"/>
  <c r="F156" i="3"/>
  <c r="I156" i="3"/>
  <c r="F168" i="3"/>
  <c r="I168" i="3"/>
  <c r="F180" i="3"/>
  <c r="I180" i="3"/>
  <c r="F192" i="3"/>
  <c r="I192" i="3"/>
  <c r="F204" i="3"/>
  <c r="I204" i="3"/>
  <c r="F216" i="3"/>
  <c r="I216" i="3"/>
  <c r="F228" i="3"/>
  <c r="I228" i="3"/>
  <c r="F240" i="3"/>
  <c r="I240" i="3"/>
  <c r="F252" i="3"/>
  <c r="I252" i="3"/>
  <c r="F264" i="3"/>
  <c r="I264" i="3"/>
  <c r="F276" i="3"/>
  <c r="I276" i="3"/>
  <c r="F288" i="3"/>
  <c r="I288" i="3"/>
  <c r="F300" i="3"/>
  <c r="I300" i="3"/>
  <c r="F312" i="3"/>
  <c r="I312" i="3"/>
  <c r="F324" i="3"/>
  <c r="I324" i="3"/>
  <c r="F336" i="3"/>
  <c r="I336" i="3"/>
  <c r="F348" i="3"/>
  <c r="I348" i="3"/>
  <c r="F360" i="3"/>
  <c r="I360" i="3"/>
  <c r="F76" i="3"/>
  <c r="I76" i="3"/>
  <c r="F136" i="3"/>
  <c r="I136" i="3"/>
  <c r="F208" i="3"/>
  <c r="I208" i="3"/>
  <c r="F268" i="3"/>
  <c r="I268" i="3"/>
  <c r="F340" i="3"/>
  <c r="I340" i="3"/>
  <c r="F41" i="3"/>
  <c r="I41" i="3"/>
  <c r="F149" i="3"/>
  <c r="I149" i="3"/>
  <c r="F365" i="3"/>
  <c r="I365" i="3"/>
  <c r="F13" i="3"/>
  <c r="I13" i="3"/>
  <c r="F25" i="3"/>
  <c r="I25" i="3"/>
  <c r="F37" i="3"/>
  <c r="I37" i="3"/>
  <c r="F49" i="3"/>
  <c r="I49" i="3"/>
  <c r="F61" i="3"/>
  <c r="I61" i="3"/>
  <c r="F73" i="3"/>
  <c r="I73" i="3"/>
  <c r="F85" i="3"/>
  <c r="I85" i="3"/>
  <c r="F97" i="3"/>
  <c r="I97" i="3"/>
  <c r="F109" i="3"/>
  <c r="I109" i="3"/>
  <c r="F121" i="3"/>
  <c r="I121" i="3"/>
  <c r="F133" i="3"/>
  <c r="I133" i="3"/>
  <c r="F145" i="3"/>
  <c r="I145" i="3"/>
  <c r="F157" i="3"/>
  <c r="I157" i="3"/>
  <c r="F169" i="3"/>
  <c r="I169" i="3"/>
  <c r="F181" i="3"/>
  <c r="I181" i="3"/>
  <c r="F193" i="3"/>
  <c r="I193" i="3"/>
  <c r="F205" i="3"/>
  <c r="I205" i="3"/>
  <c r="F217" i="3"/>
  <c r="I217" i="3"/>
  <c r="F229" i="3"/>
  <c r="I229" i="3"/>
  <c r="F241" i="3"/>
  <c r="I241" i="3"/>
  <c r="F253" i="3"/>
  <c r="I253" i="3"/>
  <c r="F265" i="3"/>
  <c r="I265" i="3"/>
  <c r="F277" i="3"/>
  <c r="I277" i="3"/>
  <c r="F289" i="3"/>
  <c r="I289" i="3"/>
  <c r="F301" i="3"/>
  <c r="I301" i="3"/>
  <c r="F313" i="3"/>
  <c r="I313" i="3"/>
  <c r="F325" i="3"/>
  <c r="I325" i="3"/>
  <c r="F337" i="3"/>
  <c r="I337" i="3"/>
  <c r="F349" i="3"/>
  <c r="I349" i="3"/>
  <c r="F361" i="3"/>
  <c r="I361" i="3"/>
  <c r="F100" i="3"/>
  <c r="I100" i="3"/>
  <c r="F256" i="3"/>
  <c r="I256" i="3"/>
  <c r="F77" i="3"/>
  <c r="I77" i="3"/>
  <c r="F233" i="3"/>
  <c r="I233" i="3"/>
  <c r="F293" i="3"/>
  <c r="I293" i="3"/>
  <c r="F14" i="3"/>
  <c r="I14" i="3"/>
  <c r="F26" i="3"/>
  <c r="I26" i="3"/>
  <c r="F38" i="3"/>
  <c r="I38" i="3"/>
  <c r="F50" i="3"/>
  <c r="I50" i="3"/>
  <c r="F62" i="3"/>
  <c r="I62" i="3"/>
  <c r="F74" i="3"/>
  <c r="I74" i="3"/>
  <c r="F86" i="3"/>
  <c r="I86" i="3"/>
  <c r="F98" i="3"/>
  <c r="I98" i="3"/>
  <c r="F110" i="3"/>
  <c r="I110" i="3"/>
  <c r="F122" i="3"/>
  <c r="I122" i="3"/>
  <c r="F134" i="3"/>
  <c r="I134" i="3"/>
  <c r="F146" i="3"/>
  <c r="I146" i="3"/>
  <c r="F158" i="3"/>
  <c r="I158" i="3"/>
  <c r="F170" i="3"/>
  <c r="I170" i="3"/>
  <c r="F182" i="3"/>
  <c r="I182" i="3"/>
  <c r="F194" i="3"/>
  <c r="I194" i="3"/>
  <c r="F206" i="3"/>
  <c r="I206" i="3"/>
  <c r="F218" i="3"/>
  <c r="I218" i="3"/>
  <c r="F230" i="3"/>
  <c r="I230" i="3"/>
  <c r="F242" i="3"/>
  <c r="I242" i="3"/>
  <c r="F254" i="3"/>
  <c r="I254" i="3"/>
  <c r="F266" i="3"/>
  <c r="I266" i="3"/>
  <c r="F278" i="3"/>
  <c r="I278" i="3"/>
  <c r="F290" i="3"/>
  <c r="I290" i="3"/>
  <c r="F302" i="3"/>
  <c r="I302" i="3"/>
  <c r="F314" i="3"/>
  <c r="I314" i="3"/>
  <c r="F326" i="3"/>
  <c r="I326" i="3"/>
  <c r="F338" i="3"/>
  <c r="I338" i="3"/>
  <c r="F350" i="3"/>
  <c r="I350" i="3"/>
  <c r="F362" i="3"/>
  <c r="I362" i="3"/>
  <c r="F64" i="3"/>
  <c r="I64" i="3"/>
  <c r="F184" i="3"/>
  <c r="I184" i="3"/>
  <c r="F364" i="3"/>
  <c r="H364" i="3" s="1"/>
  <c r="I364" i="3"/>
  <c r="F113" i="3"/>
  <c r="I113" i="3"/>
  <c r="F221" i="3"/>
  <c r="I221" i="3"/>
  <c r="F281" i="3"/>
  <c r="I281" i="3"/>
  <c r="F15" i="3"/>
  <c r="I15" i="3"/>
  <c r="F27" i="3"/>
  <c r="I27" i="3"/>
  <c r="F39" i="3"/>
  <c r="I39" i="3"/>
  <c r="F51" i="3"/>
  <c r="I51" i="3"/>
  <c r="F63" i="3"/>
  <c r="I63" i="3"/>
  <c r="F75" i="3"/>
  <c r="I75" i="3"/>
  <c r="F87" i="3"/>
  <c r="I87" i="3"/>
  <c r="F99" i="3"/>
  <c r="I99" i="3"/>
  <c r="F111" i="3"/>
  <c r="I111" i="3"/>
  <c r="F123" i="3"/>
  <c r="I123" i="3"/>
  <c r="F135" i="3"/>
  <c r="I135" i="3"/>
  <c r="F147" i="3"/>
  <c r="I147" i="3"/>
  <c r="F159" i="3"/>
  <c r="I159" i="3"/>
  <c r="F171" i="3"/>
  <c r="I171" i="3"/>
  <c r="F183" i="3"/>
  <c r="I183" i="3"/>
  <c r="F195" i="3"/>
  <c r="I195" i="3"/>
  <c r="F207" i="3"/>
  <c r="I207" i="3"/>
  <c r="F219" i="3"/>
  <c r="I219" i="3"/>
  <c r="F231" i="3"/>
  <c r="I231" i="3"/>
  <c r="F243" i="3"/>
  <c r="I243" i="3"/>
  <c r="F255" i="3"/>
  <c r="I255" i="3"/>
  <c r="F267" i="3"/>
  <c r="I267" i="3"/>
  <c r="F279" i="3"/>
  <c r="I279" i="3"/>
  <c r="F291" i="3"/>
  <c r="I291" i="3"/>
  <c r="F303" i="3"/>
  <c r="I303" i="3"/>
  <c r="F315" i="3"/>
  <c r="I315" i="3"/>
  <c r="F327" i="3"/>
  <c r="I327" i="3"/>
  <c r="F339" i="3"/>
  <c r="I339" i="3"/>
  <c r="F351" i="3"/>
  <c r="I351" i="3"/>
  <c r="F363" i="3"/>
  <c r="I363" i="3"/>
  <c r="H158" i="1"/>
  <c r="H146" i="1"/>
  <c r="H134" i="1"/>
  <c r="H122" i="1"/>
  <c r="H110" i="1"/>
  <c r="H98" i="1"/>
  <c r="H86" i="1"/>
  <c r="H74" i="1"/>
  <c r="H62" i="1"/>
  <c r="H50" i="1"/>
  <c r="H38" i="1"/>
  <c r="H26" i="1"/>
  <c r="H14" i="1"/>
  <c r="H9" i="1"/>
  <c r="H80" i="1"/>
  <c r="H139" i="1"/>
  <c r="H79" i="1"/>
  <c r="H31" i="1"/>
  <c r="H138" i="1"/>
  <c r="H30" i="1"/>
  <c r="H137" i="1"/>
  <c r="H29" i="1"/>
  <c r="H136" i="1"/>
  <c r="H99" i="1"/>
  <c r="H157" i="1"/>
  <c r="H145" i="1"/>
  <c r="H133" i="1"/>
  <c r="H121" i="1"/>
  <c r="H109" i="1"/>
  <c r="H97" i="1"/>
  <c r="H85" i="1"/>
  <c r="H61" i="1"/>
  <c r="H49" i="1"/>
  <c r="H37" i="1"/>
  <c r="H25" i="1"/>
  <c r="H13" i="1"/>
  <c r="H156" i="1"/>
  <c r="H144" i="1"/>
  <c r="H132" i="1"/>
  <c r="H120" i="1"/>
  <c r="H108" i="1"/>
  <c r="H96" i="1"/>
  <c r="H84" i="1"/>
  <c r="H60" i="1"/>
  <c r="H48" i="1"/>
  <c r="H36" i="1"/>
  <c r="H24" i="1"/>
  <c r="H12" i="1"/>
  <c r="H22" i="1"/>
  <c r="H153" i="1"/>
  <c r="H129" i="1"/>
  <c r="H117" i="1"/>
  <c r="H93" i="1"/>
  <c r="H69" i="1"/>
  <c r="H45" i="1"/>
  <c r="H21" i="1"/>
  <c r="H163" i="1"/>
  <c r="H127" i="1"/>
  <c r="H115" i="1"/>
  <c r="H91" i="1"/>
  <c r="H67" i="1"/>
  <c r="H43" i="1"/>
  <c r="H162" i="1"/>
  <c r="H126" i="1"/>
  <c r="H102" i="1"/>
  <c r="H78" i="1"/>
  <c r="H54" i="1"/>
  <c r="H18" i="1"/>
  <c r="H161" i="1"/>
  <c r="H125" i="1"/>
  <c r="H101" i="1"/>
  <c r="H77" i="1"/>
  <c r="H53" i="1"/>
  <c r="H17" i="1"/>
  <c r="H148" i="1"/>
  <c r="H124" i="1"/>
  <c r="H100" i="1"/>
  <c r="H88" i="1"/>
  <c r="H64" i="1"/>
  <c r="H28" i="1"/>
  <c r="H159" i="1"/>
  <c r="H135" i="1"/>
  <c r="H111" i="1"/>
  <c r="H75" i="1"/>
  <c r="H51" i="1"/>
  <c r="H27" i="1"/>
  <c r="H155" i="1"/>
  <c r="H143" i="1"/>
  <c r="H131" i="1"/>
  <c r="H119" i="1"/>
  <c r="H107" i="1"/>
  <c r="H95" i="1"/>
  <c r="H83" i="1"/>
  <c r="H71" i="1"/>
  <c r="H59" i="1"/>
  <c r="H47" i="1"/>
  <c r="H35" i="1"/>
  <c r="H23" i="1"/>
  <c r="H11" i="1"/>
  <c r="H154" i="1"/>
  <c r="H142" i="1"/>
  <c r="H130" i="1"/>
  <c r="H118" i="1"/>
  <c r="H106" i="1"/>
  <c r="H94" i="1"/>
  <c r="H82" i="1"/>
  <c r="H70" i="1"/>
  <c r="H58" i="1"/>
  <c r="H46" i="1"/>
  <c r="H34" i="1"/>
  <c r="H10" i="1"/>
  <c r="H141" i="1"/>
  <c r="H105" i="1"/>
  <c r="H81" i="1"/>
  <c r="H57" i="1"/>
  <c r="H33" i="1"/>
  <c r="H152" i="1"/>
  <c r="H140" i="1"/>
  <c r="H128" i="1"/>
  <c r="H116" i="1"/>
  <c r="H104" i="1"/>
  <c r="H92" i="1"/>
  <c r="H68" i="1"/>
  <c r="H56" i="1"/>
  <c r="H44" i="1"/>
  <c r="H32" i="1"/>
  <c r="H20" i="1"/>
  <c r="H103" i="1"/>
  <c r="H55" i="1"/>
  <c r="H19" i="1"/>
  <c r="H114" i="1"/>
  <c r="H90" i="1"/>
  <c r="H66" i="1"/>
  <c r="H42" i="1"/>
  <c r="H149" i="1"/>
  <c r="H113" i="1"/>
  <c r="H89" i="1"/>
  <c r="H65" i="1"/>
  <c r="H41" i="1"/>
  <c r="H160" i="1"/>
  <c r="H112" i="1"/>
  <c r="H76" i="1"/>
  <c r="H52" i="1"/>
  <c r="H16" i="1"/>
  <c r="H147" i="1"/>
  <c r="H123" i="1"/>
  <c r="H87" i="1"/>
  <c r="H63" i="1"/>
  <c r="H15" i="1"/>
  <c r="G28" i="3"/>
  <c r="G64" i="3"/>
  <c r="G112" i="3"/>
  <c r="G160" i="3"/>
  <c r="G196" i="3"/>
  <c r="H196" i="3" s="1"/>
  <c r="J196" i="3" s="1"/>
  <c r="G232" i="3"/>
  <c r="G280" i="3"/>
  <c r="G316" i="3"/>
  <c r="H316" i="3" s="1"/>
  <c r="G340" i="3"/>
  <c r="G29" i="3"/>
  <c r="G77" i="3"/>
  <c r="G125" i="3"/>
  <c r="G185" i="3"/>
  <c r="G221" i="3"/>
  <c r="G281" i="3"/>
  <c r="G329" i="3"/>
  <c r="G54" i="3"/>
  <c r="G102" i="3"/>
  <c r="H102" i="3" s="1"/>
  <c r="J102" i="3" s="1"/>
  <c r="G138" i="3"/>
  <c r="G186" i="3"/>
  <c r="H186" i="3" s="1"/>
  <c r="G234" i="3"/>
  <c r="G270" i="3"/>
  <c r="G306" i="3"/>
  <c r="G342" i="3"/>
  <c r="H342" i="3" s="1"/>
  <c r="G7" i="3"/>
  <c r="G67" i="3"/>
  <c r="G115" i="3"/>
  <c r="G151" i="3"/>
  <c r="G211" i="3"/>
  <c r="G247" i="3"/>
  <c r="G295" i="3"/>
  <c r="G343" i="3"/>
  <c r="H343" i="3" s="1"/>
  <c r="G20" i="3"/>
  <c r="G68" i="3"/>
  <c r="H68" i="3" s="1"/>
  <c r="G116" i="3"/>
  <c r="G140" i="3"/>
  <c r="G188" i="3"/>
  <c r="G248" i="3"/>
  <c r="G296" i="3"/>
  <c r="G332" i="3"/>
  <c r="G344" i="3"/>
  <c r="G57" i="3"/>
  <c r="G93" i="3"/>
  <c r="G129" i="3"/>
  <c r="H129" i="3" s="1"/>
  <c r="G177" i="3"/>
  <c r="G225" i="3"/>
  <c r="G273" i="3"/>
  <c r="G333" i="3"/>
  <c r="G34" i="3"/>
  <c r="G70" i="3"/>
  <c r="G106" i="3"/>
  <c r="G142" i="3"/>
  <c r="G166" i="3"/>
  <c r="G202" i="3"/>
  <c r="H202" i="3" s="1"/>
  <c r="G262" i="3"/>
  <c r="G298" i="3"/>
  <c r="G346" i="3"/>
  <c r="G47" i="3"/>
  <c r="G83" i="3"/>
  <c r="G131" i="3"/>
  <c r="G167" i="3"/>
  <c r="G215" i="3"/>
  <c r="G251" i="3"/>
  <c r="G299" i="3"/>
  <c r="G347" i="3"/>
  <c r="G12" i="3"/>
  <c r="H12" i="3" s="1"/>
  <c r="G48" i="3"/>
  <c r="G96" i="3"/>
  <c r="G144" i="3"/>
  <c r="G192" i="3"/>
  <c r="G252" i="3"/>
  <c r="G288" i="3"/>
  <c r="G312" i="3"/>
  <c r="G324" i="3"/>
  <c r="G360" i="3"/>
  <c r="G13" i="3"/>
  <c r="G25" i="3"/>
  <c r="G37" i="3"/>
  <c r="G49" i="3"/>
  <c r="G61" i="3"/>
  <c r="G73" i="3"/>
  <c r="G85" i="3"/>
  <c r="G97" i="3"/>
  <c r="G109" i="3"/>
  <c r="G121" i="3"/>
  <c r="G133" i="3"/>
  <c r="G145" i="3"/>
  <c r="G157" i="3"/>
  <c r="G169" i="3"/>
  <c r="G181" i="3"/>
  <c r="G193" i="3"/>
  <c r="G205" i="3"/>
  <c r="G217" i="3"/>
  <c r="G229" i="3"/>
  <c r="G241" i="3"/>
  <c r="G253" i="3"/>
  <c r="G265" i="3"/>
  <c r="G277" i="3"/>
  <c r="G289" i="3"/>
  <c r="G301" i="3"/>
  <c r="G313" i="3"/>
  <c r="G325" i="3"/>
  <c r="G337" i="3"/>
  <c r="G349" i="3"/>
  <c r="G361" i="3"/>
  <c r="G16" i="3"/>
  <c r="G52" i="3"/>
  <c r="G88" i="3"/>
  <c r="G100" i="3"/>
  <c r="G136" i="3"/>
  <c r="G148" i="3"/>
  <c r="G184" i="3"/>
  <c r="G220" i="3"/>
  <c r="G244" i="3"/>
  <c r="G268" i="3"/>
  <c r="G304" i="3"/>
  <c r="G17" i="3"/>
  <c r="G41" i="3"/>
  <c r="G65" i="3"/>
  <c r="G89" i="3"/>
  <c r="G113" i="3"/>
  <c r="G149" i="3"/>
  <c r="G161" i="3"/>
  <c r="G197" i="3"/>
  <c r="H197" i="3" s="1"/>
  <c r="G209" i="3"/>
  <c r="G245" i="3"/>
  <c r="G257" i="3"/>
  <c r="G293" i="3"/>
  <c r="G305" i="3"/>
  <c r="G341" i="3"/>
  <c r="G353" i="3"/>
  <c r="G18" i="3"/>
  <c r="G30" i="3"/>
  <c r="G66" i="3"/>
  <c r="H66" i="3" s="1"/>
  <c r="G78" i="3"/>
  <c r="G114" i="3"/>
  <c r="H114" i="3" s="1"/>
  <c r="G126" i="3"/>
  <c r="G162" i="3"/>
  <c r="H162" i="3" s="1"/>
  <c r="G174" i="3"/>
  <c r="H174" i="3" s="1"/>
  <c r="J174" i="3" s="1"/>
  <c r="G210" i="3"/>
  <c r="H210" i="3" s="1"/>
  <c r="G246" i="3"/>
  <c r="G258" i="3"/>
  <c r="H258" i="3" s="1"/>
  <c r="G282" i="3"/>
  <c r="G318" i="3"/>
  <c r="H318" i="3" s="1"/>
  <c r="G366" i="3"/>
  <c r="G19" i="3"/>
  <c r="H19" i="3" s="1"/>
  <c r="G43" i="3"/>
  <c r="G55" i="3"/>
  <c r="H55" i="3" s="1"/>
  <c r="G79" i="3"/>
  <c r="H79" i="3" s="1"/>
  <c r="J79" i="3" s="1"/>
  <c r="G103" i="3"/>
  <c r="G127" i="3"/>
  <c r="G163" i="3"/>
  <c r="H163" i="3" s="1"/>
  <c r="G175" i="3"/>
  <c r="G199" i="3"/>
  <c r="G223" i="3"/>
  <c r="G259" i="3"/>
  <c r="H259" i="3" s="1"/>
  <c r="G283" i="3"/>
  <c r="G307" i="3"/>
  <c r="G331" i="3"/>
  <c r="G355" i="3"/>
  <c r="G32" i="3"/>
  <c r="G56" i="3"/>
  <c r="G80" i="3"/>
  <c r="G104" i="3"/>
  <c r="G128" i="3"/>
  <c r="G164" i="3"/>
  <c r="G176" i="3"/>
  <c r="G212" i="3"/>
  <c r="G224" i="3"/>
  <c r="G260" i="3"/>
  <c r="G284" i="3"/>
  <c r="G308" i="3"/>
  <c r="G356" i="3"/>
  <c r="G368" i="3"/>
  <c r="G21" i="3"/>
  <c r="G33" i="3"/>
  <c r="G69" i="3"/>
  <c r="G81" i="3"/>
  <c r="G117" i="3"/>
  <c r="G141" i="3"/>
  <c r="G165" i="3"/>
  <c r="G189" i="3"/>
  <c r="G213" i="3"/>
  <c r="G237" i="3"/>
  <c r="G261" i="3"/>
  <c r="G285" i="3"/>
  <c r="H285" i="3" s="1"/>
  <c r="G309" i="3"/>
  <c r="G321" i="3"/>
  <c r="G357" i="3"/>
  <c r="G369" i="3"/>
  <c r="G10" i="3"/>
  <c r="G46" i="3"/>
  <c r="G82" i="3"/>
  <c r="G118" i="3"/>
  <c r="G154" i="3"/>
  <c r="G190" i="3"/>
  <c r="H190" i="3" s="1"/>
  <c r="G226" i="3"/>
  <c r="G238" i="3"/>
  <c r="G274" i="3"/>
  <c r="G310" i="3"/>
  <c r="G322" i="3"/>
  <c r="G358" i="3"/>
  <c r="G11" i="3"/>
  <c r="G35" i="3"/>
  <c r="G59" i="3"/>
  <c r="G95" i="3"/>
  <c r="G119" i="3"/>
  <c r="G143" i="3"/>
  <c r="G179" i="3"/>
  <c r="G203" i="3"/>
  <c r="G239" i="3"/>
  <c r="G275" i="3"/>
  <c r="G287" i="3"/>
  <c r="G323" i="3"/>
  <c r="G335" i="3"/>
  <c r="G24" i="3"/>
  <c r="G60" i="3"/>
  <c r="G72" i="3"/>
  <c r="G108" i="3"/>
  <c r="G132" i="3"/>
  <c r="G156" i="3"/>
  <c r="G180" i="3"/>
  <c r="G216" i="3"/>
  <c r="G228" i="3"/>
  <c r="G264" i="3"/>
  <c r="G14" i="3"/>
  <c r="G26" i="3"/>
  <c r="G38" i="3"/>
  <c r="G50" i="3"/>
  <c r="G62" i="3"/>
  <c r="G74" i="3"/>
  <c r="G86" i="3"/>
  <c r="G98" i="3"/>
  <c r="G110" i="3"/>
  <c r="G122" i="3"/>
  <c r="G134" i="3"/>
  <c r="G146" i="3"/>
  <c r="G158" i="3"/>
  <c r="G170" i="3"/>
  <c r="G182" i="3"/>
  <c r="G194" i="3"/>
  <c r="G206" i="3"/>
  <c r="G218" i="3"/>
  <c r="G230" i="3"/>
  <c r="G242" i="3"/>
  <c r="G254" i="3"/>
  <c r="G266" i="3"/>
  <c r="G278" i="3"/>
  <c r="G290" i="3"/>
  <c r="G302" i="3"/>
  <c r="G314" i="3"/>
  <c r="G326" i="3"/>
  <c r="G338" i="3"/>
  <c r="G350" i="3"/>
  <c r="G362" i="3"/>
  <c r="G40" i="3"/>
  <c r="G76" i="3"/>
  <c r="G124" i="3"/>
  <c r="G172" i="3"/>
  <c r="G208" i="3"/>
  <c r="G256" i="3"/>
  <c r="G292" i="3"/>
  <c r="H292" i="3" s="1"/>
  <c r="G328" i="3"/>
  <c r="G352" i="3"/>
  <c r="G5" i="3"/>
  <c r="G53" i="3"/>
  <c r="G101" i="3"/>
  <c r="G137" i="3"/>
  <c r="G173" i="3"/>
  <c r="G233" i="3"/>
  <c r="G269" i="3"/>
  <c r="G317" i="3"/>
  <c r="G365" i="3"/>
  <c r="G6" i="3"/>
  <c r="G42" i="3"/>
  <c r="G90" i="3"/>
  <c r="G150" i="3"/>
  <c r="G198" i="3"/>
  <c r="G222" i="3"/>
  <c r="G294" i="3"/>
  <c r="H294" i="3" s="1"/>
  <c r="G330" i="3"/>
  <c r="H330" i="3" s="1"/>
  <c r="G354" i="3"/>
  <c r="H354" i="3" s="1"/>
  <c r="J354" i="3" s="1"/>
  <c r="G31" i="3"/>
  <c r="G91" i="3"/>
  <c r="G139" i="3"/>
  <c r="G187" i="3"/>
  <c r="H187" i="3" s="1"/>
  <c r="G235" i="3"/>
  <c r="G271" i="3"/>
  <c r="G319" i="3"/>
  <c r="G367" i="3"/>
  <c r="G8" i="3"/>
  <c r="G44" i="3"/>
  <c r="G92" i="3"/>
  <c r="G152" i="3"/>
  <c r="G200" i="3"/>
  <c r="G236" i="3"/>
  <c r="G272" i="3"/>
  <c r="G320" i="3"/>
  <c r="G9" i="3"/>
  <c r="G45" i="3"/>
  <c r="G105" i="3"/>
  <c r="G153" i="3"/>
  <c r="G201" i="3"/>
  <c r="G249" i="3"/>
  <c r="G297" i="3"/>
  <c r="G345" i="3"/>
  <c r="G22" i="3"/>
  <c r="G58" i="3"/>
  <c r="G94" i="3"/>
  <c r="G130" i="3"/>
  <c r="G178" i="3"/>
  <c r="G214" i="3"/>
  <c r="G250" i="3"/>
  <c r="G286" i="3"/>
  <c r="G334" i="3"/>
  <c r="G370" i="3"/>
  <c r="G23" i="3"/>
  <c r="G71" i="3"/>
  <c r="G107" i="3"/>
  <c r="G155" i="3"/>
  <c r="G191" i="3"/>
  <c r="G227" i="3"/>
  <c r="G263" i="3"/>
  <c r="G311" i="3"/>
  <c r="G359" i="3"/>
  <c r="G36" i="3"/>
  <c r="G84" i="3"/>
  <c r="G120" i="3"/>
  <c r="G168" i="3"/>
  <c r="G204" i="3"/>
  <c r="G240" i="3"/>
  <c r="G276" i="3"/>
  <c r="G300" i="3"/>
  <c r="G336" i="3"/>
  <c r="G348" i="3"/>
  <c r="G15" i="3"/>
  <c r="G27" i="3"/>
  <c r="G39" i="3"/>
  <c r="G51" i="3"/>
  <c r="G63" i="3"/>
  <c r="G75" i="3"/>
  <c r="G87" i="3"/>
  <c r="G99" i="3"/>
  <c r="G111" i="3"/>
  <c r="G123" i="3"/>
  <c r="G135" i="3"/>
  <c r="G147" i="3"/>
  <c r="G159" i="3"/>
  <c r="G171" i="3"/>
  <c r="G183" i="3"/>
  <c r="G195" i="3"/>
  <c r="G207" i="3"/>
  <c r="G219" i="3"/>
  <c r="G231" i="3"/>
  <c r="G243" i="3"/>
  <c r="G255" i="3"/>
  <c r="G267" i="3"/>
  <c r="G279" i="3"/>
  <c r="G291" i="3"/>
  <c r="G303" i="3"/>
  <c r="G315" i="3"/>
  <c r="G327" i="3"/>
  <c r="G339" i="3"/>
  <c r="G351" i="3"/>
  <c r="G363" i="3"/>
  <c r="H56" i="3" l="1"/>
  <c r="J330" i="3"/>
  <c r="H228" i="3"/>
  <c r="H293" i="3"/>
  <c r="H349" i="3"/>
  <c r="H205" i="3"/>
  <c r="J205" i="3" s="1"/>
  <c r="H61" i="3"/>
  <c r="J61" i="3" s="1"/>
  <c r="J114" i="3"/>
  <c r="J364" i="3"/>
  <c r="J294" i="3"/>
  <c r="H269" i="3"/>
  <c r="J269" i="3" s="1"/>
  <c r="H127" i="3"/>
  <c r="J127" i="3" s="1"/>
  <c r="H257" i="3"/>
  <c r="J257" i="3" s="1"/>
  <c r="H138" i="3"/>
  <c r="J138" i="3" s="1"/>
  <c r="H323" i="3"/>
  <c r="J323" i="3" s="1"/>
  <c r="H29" i="3"/>
  <c r="J29" i="3" s="1"/>
  <c r="H151" i="3"/>
  <c r="H329" i="3"/>
  <c r="J329" i="3" s="1"/>
  <c r="H358" i="3"/>
  <c r="J358" i="3" s="1"/>
  <c r="H369" i="3"/>
  <c r="J369" i="3" s="1"/>
  <c r="H81" i="3"/>
  <c r="J81" i="3" s="1"/>
  <c r="H199" i="3"/>
  <c r="J199" i="3" s="1"/>
  <c r="H107" i="3"/>
  <c r="J107" i="3" s="1"/>
  <c r="H274" i="3"/>
  <c r="J274" i="3" s="1"/>
  <c r="H200" i="3"/>
  <c r="J200" i="3" s="1"/>
  <c r="H216" i="3"/>
  <c r="J216" i="3" s="1"/>
  <c r="H239" i="3"/>
  <c r="J239" i="3" s="1"/>
  <c r="H337" i="3"/>
  <c r="J337" i="3" s="1"/>
  <c r="H193" i="3"/>
  <c r="J193" i="3" s="1"/>
  <c r="H49" i="3"/>
  <c r="J49" i="3" s="1"/>
  <c r="H262" i="3"/>
  <c r="J262" i="3" s="1"/>
  <c r="H41" i="3"/>
  <c r="J41" i="3" s="1"/>
  <c r="H278" i="3"/>
  <c r="J278" i="3" s="1"/>
  <c r="H134" i="3"/>
  <c r="J134" i="3" s="1"/>
  <c r="H345" i="3"/>
  <c r="J345" i="3" s="1"/>
  <c r="H233" i="3"/>
  <c r="J233" i="3" s="1"/>
  <c r="H57" i="3"/>
  <c r="J57" i="3" s="1"/>
  <c r="H172" i="3"/>
  <c r="J172" i="3" s="1"/>
  <c r="H42" i="3"/>
  <c r="J42" i="3" s="1"/>
  <c r="H223" i="3"/>
  <c r="J223" i="3" s="1"/>
  <c r="H23" i="3"/>
  <c r="H173" i="3"/>
  <c r="J173" i="3" s="1"/>
  <c r="H117" i="3"/>
  <c r="J117" i="3" s="1"/>
  <c r="H282" i="3"/>
  <c r="J282" i="3" s="1"/>
  <c r="H247" i="3"/>
  <c r="J247" i="3" s="1"/>
  <c r="H219" i="3"/>
  <c r="J219" i="3" s="1"/>
  <c r="H75" i="3"/>
  <c r="J75" i="3" s="1"/>
  <c r="H31" i="3"/>
  <c r="J31" i="3" s="1"/>
  <c r="H295" i="3"/>
  <c r="J295" i="3" s="1"/>
  <c r="H240" i="3"/>
  <c r="J240" i="3" s="1"/>
  <c r="H334" i="3"/>
  <c r="J334" i="3" s="1"/>
  <c r="H201" i="3"/>
  <c r="J201" i="3" s="1"/>
  <c r="H222" i="3"/>
  <c r="J222" i="3" s="1"/>
  <c r="H43" i="3"/>
  <c r="J43" i="3" s="1"/>
  <c r="H161" i="3"/>
  <c r="J161" i="3" s="1"/>
  <c r="H115" i="3"/>
  <c r="J115" i="3" s="1"/>
  <c r="H103" i="3"/>
  <c r="J103" i="3" s="1"/>
  <c r="H270" i="3"/>
  <c r="J270" i="3" s="1"/>
  <c r="H319" i="3"/>
  <c r="J319" i="3" s="1"/>
  <c r="H5" i="3"/>
  <c r="J5" i="3" s="1"/>
  <c r="H300" i="3"/>
  <c r="J300" i="3" s="1"/>
  <c r="H191" i="3"/>
  <c r="J191" i="3" s="1"/>
  <c r="H272" i="3"/>
  <c r="J272" i="3" s="1"/>
  <c r="H139" i="3"/>
  <c r="J139" i="3" s="1"/>
  <c r="H207" i="3"/>
  <c r="J207" i="3" s="1"/>
  <c r="H63" i="3"/>
  <c r="J63" i="3" s="1"/>
  <c r="H126" i="3"/>
  <c r="J126" i="3" s="1"/>
  <c r="H344" i="3"/>
  <c r="J344" i="3" s="1"/>
  <c r="H54" i="3"/>
  <c r="J54" i="3" s="1"/>
  <c r="H363" i="3"/>
  <c r="J363" i="3" s="1"/>
  <c r="H160" i="3"/>
  <c r="J160" i="3" s="1"/>
  <c r="H198" i="3"/>
  <c r="J198" i="3" s="1"/>
  <c r="H53" i="3"/>
  <c r="J53" i="3" s="1"/>
  <c r="H331" i="3"/>
  <c r="J331" i="3" s="1"/>
  <c r="H148" i="3"/>
  <c r="J148" i="3" s="1"/>
  <c r="H45" i="3"/>
  <c r="J45" i="3" s="1"/>
  <c r="H338" i="3"/>
  <c r="J338" i="3" s="1"/>
  <c r="H194" i="3"/>
  <c r="J194" i="3" s="1"/>
  <c r="H50" i="3"/>
  <c r="J50" i="3" s="1"/>
  <c r="H60" i="3"/>
  <c r="J60" i="3" s="1"/>
  <c r="H30" i="3"/>
  <c r="J30" i="3" s="1"/>
  <c r="H113" i="3"/>
  <c r="J113" i="3" s="1"/>
  <c r="H34" i="3"/>
  <c r="J34" i="3" s="1"/>
  <c r="H188" i="3"/>
  <c r="J188" i="3" s="1"/>
  <c r="H7" i="3"/>
  <c r="J7" i="3" s="1"/>
  <c r="H185" i="3"/>
  <c r="J185" i="3" s="1"/>
  <c r="H336" i="3"/>
  <c r="J336" i="3" s="1"/>
  <c r="H320" i="3"/>
  <c r="J320" i="3" s="1"/>
  <c r="H176" i="3"/>
  <c r="J176" i="3" s="1"/>
  <c r="H52" i="3"/>
  <c r="J52" i="3" s="1"/>
  <c r="H241" i="3"/>
  <c r="J241" i="3" s="1"/>
  <c r="H97" i="3"/>
  <c r="J97" i="3" s="1"/>
  <c r="H116" i="3"/>
  <c r="J116" i="3" s="1"/>
  <c r="H365" i="3"/>
  <c r="J365" i="3" s="1"/>
  <c r="H302" i="3"/>
  <c r="J302" i="3" s="1"/>
  <c r="H158" i="3"/>
  <c r="J158" i="3" s="1"/>
  <c r="H14" i="3"/>
  <c r="J14" i="3" s="1"/>
  <c r="H175" i="3"/>
  <c r="J175" i="3" s="1"/>
  <c r="H246" i="3"/>
  <c r="J246" i="3" s="1"/>
  <c r="H17" i="3"/>
  <c r="J17" i="3" s="1"/>
  <c r="H177" i="3"/>
  <c r="J177" i="3" s="1"/>
  <c r="J23" i="3"/>
  <c r="J56" i="3"/>
  <c r="J151" i="3"/>
  <c r="J19" i="3"/>
  <c r="J318" i="3"/>
  <c r="J342" i="3"/>
  <c r="J292" i="3"/>
  <c r="J258" i="3"/>
  <c r="J163" i="3"/>
  <c r="J210" i="3"/>
  <c r="J186" i="3"/>
  <c r="J316" i="3"/>
  <c r="J68" i="3"/>
  <c r="J228" i="3"/>
  <c r="J293" i="3"/>
  <c r="J349" i="3"/>
  <c r="J129" i="3"/>
  <c r="J343" i="3"/>
  <c r="H231" i="3"/>
  <c r="J231" i="3" s="1"/>
  <c r="H87" i="3"/>
  <c r="J87" i="3" s="1"/>
  <c r="H152" i="3"/>
  <c r="J152" i="3" s="1"/>
  <c r="H280" i="3"/>
  <c r="J280" i="3" s="1"/>
  <c r="J285" i="3"/>
  <c r="J12" i="3"/>
  <c r="H156" i="3"/>
  <c r="J156" i="3" s="1"/>
  <c r="H179" i="3"/>
  <c r="J179" i="3" s="1"/>
  <c r="H220" i="3"/>
  <c r="J220" i="3" s="1"/>
  <c r="H84" i="3"/>
  <c r="J84" i="3" s="1"/>
  <c r="H230" i="3"/>
  <c r="J230" i="3" s="1"/>
  <c r="J190" i="3"/>
  <c r="J55" i="3"/>
  <c r="J197" i="3"/>
  <c r="H153" i="3"/>
  <c r="J153" i="3" s="1"/>
  <c r="H213" i="3"/>
  <c r="J213" i="3" s="1"/>
  <c r="H95" i="3"/>
  <c r="J95" i="3" s="1"/>
  <c r="H307" i="3"/>
  <c r="J307" i="3" s="1"/>
  <c r="J66" i="3"/>
  <c r="H149" i="3"/>
  <c r="J149" i="3" s="1"/>
  <c r="H277" i="3"/>
  <c r="J277" i="3" s="1"/>
  <c r="H133" i="3"/>
  <c r="J133" i="3" s="1"/>
  <c r="H67" i="3"/>
  <c r="J67" i="3" s="1"/>
  <c r="H221" i="3"/>
  <c r="J221" i="3" s="1"/>
  <c r="H74" i="3"/>
  <c r="J74" i="3" s="1"/>
  <c r="H150" i="3"/>
  <c r="J150" i="3" s="1"/>
  <c r="H62" i="3"/>
  <c r="J62" i="3" s="1"/>
  <c r="H159" i="3"/>
  <c r="J159" i="3" s="1"/>
  <c r="H271" i="3"/>
  <c r="J271" i="3" s="1"/>
  <c r="H224" i="3"/>
  <c r="J224" i="3" s="1"/>
  <c r="H265" i="3"/>
  <c r="J265" i="3" s="1"/>
  <c r="H121" i="3"/>
  <c r="J121" i="3" s="1"/>
  <c r="H312" i="3"/>
  <c r="J312" i="3" s="1"/>
  <c r="H167" i="3"/>
  <c r="J167" i="3" s="1"/>
  <c r="H28" i="3"/>
  <c r="J28" i="3" s="1"/>
  <c r="F3" i="3"/>
  <c r="H80" i="3"/>
  <c r="J80" i="3" s="1"/>
  <c r="J162" i="3"/>
  <c r="J202" i="3"/>
  <c r="H351" i="3"/>
  <c r="J351" i="3" s="1"/>
  <c r="H76" i="3"/>
  <c r="J76" i="3" s="1"/>
  <c r="H356" i="3"/>
  <c r="J356" i="3" s="1"/>
  <c r="H209" i="3"/>
  <c r="J209" i="3" s="1"/>
  <c r="H211" i="3"/>
  <c r="J211" i="3" s="1"/>
  <c r="H40" i="3"/>
  <c r="J40" i="3" s="1"/>
  <c r="H86" i="3"/>
  <c r="J86" i="3" s="1"/>
  <c r="H355" i="3"/>
  <c r="J355" i="3" s="1"/>
  <c r="H286" i="3"/>
  <c r="J286" i="3" s="1"/>
  <c r="H218" i="3"/>
  <c r="J218" i="3" s="1"/>
  <c r="H78" i="3"/>
  <c r="J78" i="3" s="1"/>
  <c r="H251" i="3"/>
  <c r="J251" i="3" s="1"/>
  <c r="H350" i="3"/>
  <c r="J350" i="3" s="1"/>
  <c r="H118" i="3"/>
  <c r="J118" i="3" s="1"/>
  <c r="H311" i="3"/>
  <c r="J311" i="3" s="1"/>
  <c r="H59" i="3"/>
  <c r="J59" i="3" s="1"/>
  <c r="H283" i="3"/>
  <c r="J283" i="3" s="1"/>
  <c r="H100" i="3"/>
  <c r="J100" i="3" s="1"/>
  <c r="H9" i="3"/>
  <c r="J9" i="3" s="1"/>
  <c r="H141" i="3"/>
  <c r="J141" i="3" s="1"/>
  <c r="H125" i="3"/>
  <c r="J125" i="3" s="1"/>
  <c r="H367" i="3"/>
  <c r="J367" i="3" s="1"/>
  <c r="H362" i="3"/>
  <c r="J362" i="3" s="1"/>
  <c r="H284" i="3"/>
  <c r="J284" i="3" s="1"/>
  <c r="H360" i="3"/>
  <c r="J360" i="3" s="1"/>
  <c r="H281" i="3"/>
  <c r="J281" i="3" s="1"/>
  <c r="H206" i="3"/>
  <c r="J206" i="3" s="1"/>
  <c r="H72" i="3"/>
  <c r="J72" i="3" s="1"/>
  <c r="H303" i="3"/>
  <c r="J303" i="3" s="1"/>
  <c r="H15" i="3"/>
  <c r="J15" i="3" s="1"/>
  <c r="H214" i="3"/>
  <c r="J214" i="3" s="1"/>
  <c r="H90" i="3"/>
  <c r="J90" i="3" s="1"/>
  <c r="H82" i="3"/>
  <c r="J82" i="3" s="1"/>
  <c r="H165" i="3"/>
  <c r="J165" i="3" s="1"/>
  <c r="H366" i="3"/>
  <c r="J366" i="3" s="1"/>
  <c r="H291" i="3"/>
  <c r="J291" i="3" s="1"/>
  <c r="H147" i="3"/>
  <c r="J147" i="3" s="1"/>
  <c r="H263" i="3"/>
  <c r="J263" i="3" s="1"/>
  <c r="H235" i="3"/>
  <c r="J235" i="3" s="1"/>
  <c r="H35" i="3"/>
  <c r="J35" i="3" s="1"/>
  <c r="H46" i="3"/>
  <c r="J46" i="3" s="1"/>
  <c r="H212" i="3"/>
  <c r="J212" i="3" s="1"/>
  <c r="J259" i="3"/>
  <c r="H18" i="3"/>
  <c r="J18" i="3" s="1"/>
  <c r="H288" i="3"/>
  <c r="J288" i="3" s="1"/>
  <c r="H140" i="3"/>
  <c r="J140" i="3" s="1"/>
  <c r="H279" i="3"/>
  <c r="J279" i="3" s="1"/>
  <c r="H135" i="3"/>
  <c r="J135" i="3" s="1"/>
  <c r="H130" i="3"/>
  <c r="J130" i="3" s="1"/>
  <c r="J187" i="3"/>
  <c r="H6" i="3"/>
  <c r="J6" i="3" s="1"/>
  <c r="H328" i="3"/>
  <c r="J328" i="3" s="1"/>
  <c r="H314" i="3"/>
  <c r="J314" i="3" s="1"/>
  <c r="H170" i="3"/>
  <c r="J170" i="3" s="1"/>
  <c r="H26" i="3"/>
  <c r="J26" i="3" s="1"/>
  <c r="H335" i="3"/>
  <c r="J335" i="3" s="1"/>
  <c r="H10" i="3"/>
  <c r="J10" i="3" s="1"/>
  <c r="H353" i="3"/>
  <c r="J353" i="3" s="1"/>
  <c r="H65" i="3"/>
  <c r="J65" i="3" s="1"/>
  <c r="H252" i="3"/>
  <c r="J252" i="3" s="1"/>
  <c r="H273" i="3"/>
  <c r="J273" i="3" s="1"/>
  <c r="H306" i="3"/>
  <c r="J306" i="3" s="1"/>
  <c r="H58" i="3"/>
  <c r="J58" i="3" s="1"/>
  <c r="H236" i="3"/>
  <c r="J236" i="3" s="1"/>
  <c r="H91" i="3"/>
  <c r="J91" i="3" s="1"/>
  <c r="H317" i="3"/>
  <c r="J317" i="3" s="1"/>
  <c r="H290" i="3"/>
  <c r="J290" i="3" s="1"/>
  <c r="H146" i="3"/>
  <c r="J146" i="3" s="1"/>
  <c r="H357" i="3"/>
  <c r="J357" i="3" s="1"/>
  <c r="H69" i="3"/>
  <c r="J69" i="3" s="1"/>
  <c r="H128" i="3"/>
  <c r="J128" i="3" s="1"/>
  <c r="H305" i="3"/>
  <c r="J305" i="3" s="1"/>
  <c r="H361" i="3"/>
  <c r="J361" i="3" s="1"/>
  <c r="H217" i="3"/>
  <c r="J217" i="3" s="1"/>
  <c r="H73" i="3"/>
  <c r="J73" i="3" s="1"/>
  <c r="H144" i="3"/>
  <c r="J144" i="3" s="1"/>
  <c r="H346" i="3"/>
  <c r="J346" i="3" s="1"/>
  <c r="H20" i="3"/>
  <c r="J20" i="3" s="1"/>
  <c r="H234" i="3"/>
  <c r="J234" i="3" s="1"/>
  <c r="H227" i="3"/>
  <c r="J227" i="3" s="1"/>
  <c r="H11" i="3"/>
  <c r="J11" i="3" s="1"/>
  <c r="H77" i="3"/>
  <c r="J77" i="3" s="1"/>
  <c r="H111" i="3"/>
  <c r="J111" i="3" s="1"/>
  <c r="H322" i="3"/>
  <c r="J322" i="3" s="1"/>
  <c r="H204" i="3"/>
  <c r="J204" i="3" s="1"/>
  <c r="H93" i="3"/>
  <c r="J93" i="3" s="1"/>
  <c r="H124" i="3"/>
  <c r="J124" i="3" s="1"/>
  <c r="H180" i="3"/>
  <c r="J180" i="3" s="1"/>
  <c r="H245" i="3"/>
  <c r="J245" i="3" s="1"/>
  <c r="H181" i="3"/>
  <c r="J181" i="3" s="1"/>
  <c r="H232" i="3"/>
  <c r="J232" i="3" s="1"/>
  <c r="H255" i="3"/>
  <c r="J255" i="3" s="1"/>
  <c r="H256" i="3"/>
  <c r="J256" i="3" s="1"/>
  <c r="H266" i="3"/>
  <c r="J266" i="3" s="1"/>
  <c r="H122" i="3"/>
  <c r="J122" i="3" s="1"/>
  <c r="H309" i="3"/>
  <c r="J309" i="3" s="1"/>
  <c r="H21" i="3"/>
  <c r="J21" i="3" s="1"/>
  <c r="H268" i="3"/>
  <c r="J268" i="3" s="1"/>
  <c r="H48" i="3"/>
  <c r="J48" i="3" s="1"/>
  <c r="H168" i="3"/>
  <c r="J168" i="3" s="1"/>
  <c r="H297" i="3"/>
  <c r="J297" i="3" s="1"/>
  <c r="H92" i="3"/>
  <c r="J92" i="3" s="1"/>
  <c r="H254" i="3"/>
  <c r="J254" i="3" s="1"/>
  <c r="H110" i="3"/>
  <c r="J110" i="3" s="1"/>
  <c r="H203" i="3"/>
  <c r="J203" i="3" s="1"/>
  <c r="H238" i="3"/>
  <c r="J238" i="3" s="1"/>
  <c r="H368" i="3"/>
  <c r="J368" i="3" s="1"/>
  <c r="H244" i="3"/>
  <c r="J244" i="3" s="1"/>
  <c r="H325" i="3"/>
  <c r="J325" i="3" s="1"/>
  <c r="H37" i="3"/>
  <c r="J37" i="3" s="1"/>
  <c r="H120" i="3"/>
  <c r="J120" i="3" s="1"/>
  <c r="H370" i="3"/>
  <c r="J370" i="3" s="1"/>
  <c r="H249" i="3"/>
  <c r="J249" i="3" s="1"/>
  <c r="H44" i="3"/>
  <c r="J44" i="3" s="1"/>
  <c r="H137" i="3"/>
  <c r="J137" i="3" s="1"/>
  <c r="H242" i="3"/>
  <c r="J242" i="3" s="1"/>
  <c r="H98" i="3"/>
  <c r="J98" i="3" s="1"/>
  <c r="H226" i="3"/>
  <c r="J226" i="3" s="1"/>
  <c r="H261" i="3"/>
  <c r="J261" i="3" s="1"/>
  <c r="H32" i="3"/>
  <c r="J32" i="3" s="1"/>
  <c r="H313" i="3"/>
  <c r="J313" i="3" s="1"/>
  <c r="H169" i="3"/>
  <c r="J169" i="3" s="1"/>
  <c r="H25" i="3"/>
  <c r="J25" i="3" s="1"/>
  <c r="H347" i="3"/>
  <c r="J347" i="3" s="1"/>
  <c r="H166" i="3"/>
  <c r="J166" i="3" s="1"/>
  <c r="H287" i="3"/>
  <c r="J287" i="3" s="1"/>
  <c r="H339" i="3"/>
  <c r="J339" i="3" s="1"/>
  <c r="H51" i="3"/>
  <c r="J51" i="3" s="1"/>
  <c r="H8" i="3"/>
  <c r="J8" i="3" s="1"/>
  <c r="H101" i="3"/>
  <c r="J101" i="3" s="1"/>
  <c r="H132" i="3"/>
  <c r="J132" i="3" s="1"/>
  <c r="H143" i="3"/>
  <c r="J143" i="3" s="1"/>
  <c r="H237" i="3"/>
  <c r="J237" i="3" s="1"/>
  <c r="H308" i="3"/>
  <c r="J308" i="3" s="1"/>
  <c r="H184" i="3"/>
  <c r="J184" i="3" s="1"/>
  <c r="H301" i="3"/>
  <c r="J301" i="3" s="1"/>
  <c r="H157" i="3"/>
  <c r="J157" i="3" s="1"/>
  <c r="H13" i="3"/>
  <c r="J13" i="3" s="1"/>
  <c r="H299" i="3"/>
  <c r="J299" i="3" s="1"/>
  <c r="H142" i="3"/>
  <c r="J142" i="3" s="1"/>
  <c r="H332" i="3"/>
  <c r="J332" i="3" s="1"/>
  <c r="H340" i="3"/>
  <c r="J340" i="3" s="1"/>
  <c r="H71" i="3"/>
  <c r="J71" i="3" s="1"/>
  <c r="H195" i="3"/>
  <c r="J195" i="3" s="1"/>
  <c r="H327" i="3"/>
  <c r="J327" i="3" s="1"/>
  <c r="H183" i="3"/>
  <c r="J183" i="3" s="1"/>
  <c r="H39" i="3"/>
  <c r="J39" i="3" s="1"/>
  <c r="H36" i="3"/>
  <c r="J36" i="3" s="1"/>
  <c r="H108" i="3"/>
  <c r="J108" i="3" s="1"/>
  <c r="H119" i="3"/>
  <c r="J119" i="3" s="1"/>
  <c r="H154" i="3"/>
  <c r="J154" i="3" s="1"/>
  <c r="H289" i="3"/>
  <c r="J289" i="3" s="1"/>
  <c r="H145" i="3"/>
  <c r="J145" i="3" s="1"/>
  <c r="H106" i="3"/>
  <c r="J106" i="3" s="1"/>
  <c r="H296" i="3"/>
  <c r="J296" i="3" s="1"/>
  <c r="H112" i="3"/>
  <c r="J112" i="3" s="1"/>
  <c r="H83" i="3"/>
  <c r="J83" i="3" s="1"/>
  <c r="H155" i="3"/>
  <c r="J155" i="3" s="1"/>
  <c r="H264" i="3"/>
  <c r="J264" i="3" s="1"/>
  <c r="H315" i="3"/>
  <c r="J315" i="3" s="1"/>
  <c r="H171" i="3"/>
  <c r="J171" i="3" s="1"/>
  <c r="H27" i="3"/>
  <c r="J27" i="3" s="1"/>
  <c r="H359" i="3"/>
  <c r="J359" i="3" s="1"/>
  <c r="H250" i="3"/>
  <c r="J250" i="3" s="1"/>
  <c r="H105" i="3"/>
  <c r="J105" i="3" s="1"/>
  <c r="H189" i="3"/>
  <c r="J189" i="3" s="1"/>
  <c r="H260" i="3"/>
  <c r="J260" i="3" s="1"/>
  <c r="H136" i="3"/>
  <c r="J136" i="3" s="1"/>
  <c r="H324" i="3"/>
  <c r="J324" i="3" s="1"/>
  <c r="H215" i="3"/>
  <c r="J215" i="3" s="1"/>
  <c r="H70" i="3"/>
  <c r="J70" i="3" s="1"/>
  <c r="H248" i="3"/>
  <c r="J248" i="3" s="1"/>
  <c r="H64" i="3"/>
  <c r="J64" i="3" s="1"/>
  <c r="H348" i="3"/>
  <c r="J348" i="3" s="1"/>
  <c r="H178" i="3"/>
  <c r="J178" i="3" s="1"/>
  <c r="H352" i="3"/>
  <c r="J352" i="3" s="1"/>
  <c r="H326" i="3"/>
  <c r="J326" i="3" s="1"/>
  <c r="H182" i="3"/>
  <c r="J182" i="3" s="1"/>
  <c r="H38" i="3"/>
  <c r="J38" i="3" s="1"/>
  <c r="H24" i="3"/>
  <c r="J24" i="3" s="1"/>
  <c r="H89" i="3"/>
  <c r="J89" i="3" s="1"/>
  <c r="H88" i="3"/>
  <c r="J88" i="3" s="1"/>
  <c r="H253" i="3"/>
  <c r="J253" i="3" s="1"/>
  <c r="H109" i="3"/>
  <c r="J109" i="3" s="1"/>
  <c r="H131" i="3"/>
  <c r="J131" i="3" s="1"/>
  <c r="H333" i="3"/>
  <c r="J333" i="3" s="1"/>
  <c r="H267" i="3"/>
  <c r="J267" i="3" s="1"/>
  <c r="H123" i="3"/>
  <c r="J123" i="3" s="1"/>
  <c r="H94" i="3"/>
  <c r="J94" i="3" s="1"/>
  <c r="H164" i="3"/>
  <c r="J164" i="3" s="1"/>
  <c r="H341" i="3"/>
  <c r="J341" i="3" s="1"/>
  <c r="H16" i="3"/>
  <c r="J16" i="3" s="1"/>
  <c r="H229" i="3"/>
  <c r="J229" i="3" s="1"/>
  <c r="H85" i="3"/>
  <c r="J85" i="3" s="1"/>
  <c r="H192" i="3"/>
  <c r="J192" i="3" s="1"/>
  <c r="H47" i="3"/>
  <c r="J47" i="3" s="1"/>
  <c r="H225" i="3"/>
  <c r="J225" i="3" s="1"/>
  <c r="H276" i="3"/>
  <c r="J276" i="3" s="1"/>
  <c r="H243" i="3"/>
  <c r="J243" i="3" s="1"/>
  <c r="H99" i="3"/>
  <c r="J99" i="3" s="1"/>
  <c r="H22" i="3"/>
  <c r="J22" i="3" s="1"/>
  <c r="H208" i="3"/>
  <c r="J208" i="3" s="1"/>
  <c r="H275" i="3"/>
  <c r="J275" i="3" s="1"/>
  <c r="H310" i="3"/>
  <c r="J310" i="3" s="1"/>
  <c r="H321" i="3"/>
  <c r="J321" i="3" s="1"/>
  <c r="H33" i="3"/>
  <c r="J33" i="3" s="1"/>
  <c r="H104" i="3"/>
  <c r="J104" i="3" s="1"/>
  <c r="H304" i="3"/>
  <c r="J304" i="3" s="1"/>
  <c r="H96" i="3"/>
  <c r="J96" i="3" s="1"/>
  <c r="H298" i="3"/>
  <c r="J298" i="3" s="1"/>
  <c r="G3" i="3"/>
  <c r="H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tc={4F9786AA-1EBE-456A-A2C2-FDE241CA74AD}</author>
  </authors>
  <commentList>
    <comment ref="I495" authorId="0" shapeId="0" xr:uid="{4F9786AA-1EBE-456A-A2C2-FDE241CA7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Nel BDG si chiamavano come “other” capex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tc={E372948B-E77D-4B4A-9423-6D6DC108020E}</author>
  </authors>
  <commentList>
    <comment ref="I495" authorId="0" shapeId="0" xr:uid="{E372948B-E77D-4B4A-9423-6D6DC108020E}">
      <text>
        <t>[Threaded comment]
Your version of Excel allows you to read this threaded comment; however, any edits to it will get removed if the file is opened in a newer version of Excel. Learn more: https://go.microsoft.com/fwlink/?linkid=870924
Comment:
    Nel BDG si chiamavano come “other” capex</t>
      </text>
    </comment>
  </commentList>
</comments>
</file>

<file path=xl/sharedStrings.xml><?xml version="1.0" encoding="utf-8"?>
<sst xmlns="http://schemas.openxmlformats.org/spreadsheetml/2006/main" count="17282" uniqueCount="2333">
  <si>
    <t>ATTIVO</t>
  </si>
  <si>
    <t>PASSIVO</t>
  </si>
  <si>
    <t>RISULTATO DI ESERCIZIO</t>
  </si>
  <si>
    <t>COSTI</t>
  </si>
  <si>
    <t>RICAVI</t>
  </si>
  <si>
    <t>De Giorgi</t>
  </si>
  <si>
    <t>Civismart</t>
  </si>
  <si>
    <t>Codice</t>
  </si>
  <si>
    <t>Descrizione</t>
  </si>
  <si>
    <t>Saldo al 31/12/2026</t>
  </si>
  <si>
    <t>Type</t>
  </si>
  <si>
    <t>Note</t>
  </si>
  <si>
    <t>**</t>
  </si>
  <si>
    <t>03/15/015</t>
  </si>
  <si>
    <t>LIC.ZA USO SOFTWARE TEMPO INDET.</t>
  </si>
  <si>
    <t>Fixed Asset</t>
  </si>
  <si>
    <t>Software</t>
  </si>
  <si>
    <t>03/35/005</t>
  </si>
  <si>
    <t>LAVORI STRAOR. SU BENI DI TERZI</t>
  </si>
  <si>
    <t>Lavori Straor. Su Beni Di Terzi</t>
  </si>
  <si>
    <t>03/35/015</t>
  </si>
  <si>
    <t>ALTRI COSTI AD UTIL.PLUR.DA AMM.</t>
  </si>
  <si>
    <t>Altri Costi Ad Util. Plur. Da Amm.</t>
  </si>
  <si>
    <t>03/35/501</t>
  </si>
  <si>
    <t>COSTI APPALTO LIZZANELLO</t>
  </si>
  <si>
    <t>06/05/005</t>
  </si>
  <si>
    <t>TERRENI</t>
  </si>
  <si>
    <t>Terreni</t>
  </si>
  <si>
    <t>06/05/015</t>
  </si>
  <si>
    <t>FABBRICATI IND.LI E COMM.LI</t>
  </si>
  <si>
    <t>Fabbricati Ind.Li E Comm. Li</t>
  </si>
  <si>
    <t>06/10/005</t>
  </si>
  <si>
    <t>IMPIANTI GENERICI</t>
  </si>
  <si>
    <t>Impianti Generici</t>
  </si>
  <si>
    <t>06/10/015</t>
  </si>
  <si>
    <t>MACCHINARI</t>
  </si>
  <si>
    <t>Macchinari</t>
  </si>
  <si>
    <t>06/15/005</t>
  </si>
  <si>
    <t>ATTREZZAT. IND.LI E COMM.LI</t>
  </si>
  <si>
    <t>Attrezzature Industriali E Commerciali</t>
  </si>
  <si>
    <t>06/15/010</t>
  </si>
  <si>
    <t>ATTR.VARIE E MINUTE (&lt;516,46 E.)</t>
  </si>
  <si>
    <t>Attrezzatura Varia E Minuta</t>
  </si>
  <si>
    <t>06/20/010</t>
  </si>
  <si>
    <t>MACCHINE ELETTROMEC. D'UFFICIO</t>
  </si>
  <si>
    <t>Macchine Elettromeccaniche D'ufficio</t>
  </si>
  <si>
    <t>06/25/015</t>
  </si>
  <si>
    <t>AUTOCARRI/AUTOVETTURE</t>
  </si>
  <si>
    <t>Autoveicoli E Autocarri</t>
  </si>
  <si>
    <t>06/25/025</t>
  </si>
  <si>
    <t>AUTOVETTURE</t>
  </si>
  <si>
    <t>Autovetture</t>
  </si>
  <si>
    <t>06/30/040</t>
  </si>
  <si>
    <t>ARREDAMENTO</t>
  </si>
  <si>
    <t>Arredamento</t>
  </si>
  <si>
    <t>09/05/090</t>
  </si>
  <si>
    <t>PARTECIPAZIONI IN ALTRE IMPR.</t>
  </si>
  <si>
    <t>Partecipazioni Imp. Altre Imprese</t>
  </si>
  <si>
    <t>11/05/005</t>
  </si>
  <si>
    <t>MATERIE PRIME</t>
  </si>
  <si>
    <t>Other Current Asset</t>
  </si>
  <si>
    <t>Materie Prime, Sussidiarie E Consumo Iniziali</t>
  </si>
  <si>
    <t>11/15/005</t>
  </si>
  <si>
    <t>LAV.IN CORSO SU ORD. (&lt;12 MESI)</t>
  </si>
  <si>
    <t>Lavori In Corso Su Ordinazione</t>
  </si>
  <si>
    <t>14/00/000</t>
  </si>
  <si>
    <t>CREDITI V/CLIENTI</t>
  </si>
  <si>
    <t>Accounts Receivable</t>
  </si>
  <si>
    <t>Crediti Vs Clienti Nazionali</t>
  </si>
  <si>
    <t>15/05/045</t>
  </si>
  <si>
    <t>FATTURE DA EMETTERE</t>
  </si>
  <si>
    <t>Fatture Da Emettere</t>
  </si>
  <si>
    <t>18/20/037</t>
  </si>
  <si>
    <t>ERARIO C/ACCONTI IRES</t>
  </si>
  <si>
    <t>Erario C/Ires</t>
  </si>
  <si>
    <t>18/20/055</t>
  </si>
  <si>
    <t>ERARIO C/RITENUTE DA SCOMPUTARE</t>
  </si>
  <si>
    <t>Other Current Liability</t>
  </si>
  <si>
    <t>Erario Rit.Acc.Su Prest.Prof.</t>
  </si>
  <si>
    <t>18/20/190</t>
  </si>
  <si>
    <t>ALTRI CRED.TRIB.ESIG.OLTRE</t>
  </si>
  <si>
    <t>Erario C/Iva Compensazione</t>
  </si>
  <si>
    <t>18/25/020</t>
  </si>
  <si>
    <t>INAIL C/ACCONTI</t>
  </si>
  <si>
    <t>I.N.A.I.L. C/Acconti</t>
  </si>
  <si>
    <t>24/05/002</t>
  </si>
  <si>
    <t>BANCA MPS C/C 1616312</t>
  </si>
  <si>
    <t>Da creare</t>
  </si>
  <si>
    <t>24/05/003</t>
  </si>
  <si>
    <t>BANCA INTESA - EX B.NAPOLI</t>
  </si>
  <si>
    <t>24/05/006</t>
  </si>
  <si>
    <t>CARTA PREPAGATA INTESA 50</t>
  </si>
  <si>
    <t>24/15/005</t>
  </si>
  <si>
    <t>DENARO IN CASSA</t>
  </si>
  <si>
    <t>Bank</t>
  </si>
  <si>
    <t>Cassa</t>
  </si>
  <si>
    <t>26/10/005</t>
  </si>
  <si>
    <t>RISCONTI ATTIVI</t>
  </si>
  <si>
    <t>Deferred Expense</t>
  </si>
  <si>
    <t>Risconti Attivi</t>
  </si>
  <si>
    <t>48/05/040</t>
  </si>
  <si>
    <t>ERARIO C/IVA</t>
  </si>
  <si>
    <t>Erario C/Iva</t>
  </si>
  <si>
    <t>48/05/100</t>
  </si>
  <si>
    <t>REGIONI C/IRAP</t>
  </si>
  <si>
    <t>Regioni C/Irap</t>
  </si>
  <si>
    <t>04/15/015</t>
  </si>
  <si>
    <t>F/AMM.LIC. D'USO SOF. A TEM. IND</t>
  </si>
  <si>
    <t>F/Amm Software</t>
  </si>
  <si>
    <t>04/35/005</t>
  </si>
  <si>
    <t>F/AMM. LAV. STR. SU BENI DI TERZ</t>
  </si>
  <si>
    <t>F/Amm. Lav. Str. Su Beni Di Terzi</t>
  </si>
  <si>
    <t>04/35/015</t>
  </si>
  <si>
    <t>F/AMM.ALT. COS. AD UT. PLU. AMM</t>
  </si>
  <si>
    <t>F/Amm. Alt. Cost. Ad Ut. Plu. Amm.</t>
  </si>
  <si>
    <t>04/35/501</t>
  </si>
  <si>
    <t>F/AMM COSTI APPALTO LIZZANELLO</t>
  </si>
  <si>
    <t>07/05/006</t>
  </si>
  <si>
    <t>F/AMM. TERRENI</t>
  </si>
  <si>
    <t>F/Amm Fabbricati Ind.Li E Comm. Li</t>
  </si>
  <si>
    <t>07/05/015</t>
  </si>
  <si>
    <t>F/AMM.FABBR. IND.LI E COMM.LI.</t>
  </si>
  <si>
    <t>07/10/005</t>
  </si>
  <si>
    <t>F/AMM.IMPIANTI GENERICI</t>
  </si>
  <si>
    <t>F/Amm Impianti Generici</t>
  </si>
  <si>
    <t>07/10/015</t>
  </si>
  <si>
    <t>F/AMM.MACCHINARI</t>
  </si>
  <si>
    <t>F/Amm Macchinari</t>
  </si>
  <si>
    <t>07/15/005</t>
  </si>
  <si>
    <t>F/AMM.ATTREZ. IND.LI E COMM.LI</t>
  </si>
  <si>
    <t>F/Amm Attrezzatura Industriali E Commerciali</t>
  </si>
  <si>
    <t>07/15/010</t>
  </si>
  <si>
    <t>F/AMM.ATTR. VARIE E MINUTE</t>
  </si>
  <si>
    <t>F/Amm Attrezzatura Varia E Minuta</t>
  </si>
  <si>
    <t>07/20/010</t>
  </si>
  <si>
    <t>F/AMM.MACCH. ELETTROM. D'UFF.</t>
  </si>
  <si>
    <t>F/Amm Macchine Elettromeccaniche D'ufficio</t>
  </si>
  <si>
    <t>07/25/015</t>
  </si>
  <si>
    <t>F/AMM. AUTOCARRI/AUTOVETTURE</t>
  </si>
  <si>
    <t>F/Amm Autoveicoli E Autocarri</t>
  </si>
  <si>
    <t>07/25/025</t>
  </si>
  <si>
    <t>F/AMM. AUTOVETTURE</t>
  </si>
  <si>
    <t>F/Amm Autovetture</t>
  </si>
  <si>
    <t>07/30/040</t>
  </si>
  <si>
    <t>F/AMM. ARREDAMENTO</t>
  </si>
  <si>
    <t>F/Amm Arredamento</t>
  </si>
  <si>
    <t>28/05/005</t>
  </si>
  <si>
    <t>CAPITALE SOCIALE</t>
  </si>
  <si>
    <t>Equity</t>
  </si>
  <si>
    <t>Capitale Sociale</t>
  </si>
  <si>
    <t>28/20/005</t>
  </si>
  <si>
    <t>RISERVA LEGALE</t>
  </si>
  <si>
    <t>Riserva Legale</t>
  </si>
  <si>
    <t>28/35/005</t>
  </si>
  <si>
    <t>RISERVA STRAORDINARIA</t>
  </si>
  <si>
    <t>Riserva Staordinaria</t>
  </si>
  <si>
    <t>30/10/005</t>
  </si>
  <si>
    <t>F.DO PER IMPOSTE DIFFERITE</t>
  </si>
  <si>
    <t>Long Term Liability</t>
  </si>
  <si>
    <t>Fondo Imposte Differite</t>
  </si>
  <si>
    <t>31/05/005</t>
  </si>
  <si>
    <t>DEBITI P/T.F.R.</t>
  </si>
  <si>
    <t>Fondo TFR</t>
  </si>
  <si>
    <t>38/05/005</t>
  </si>
  <si>
    <t>CLIENTI C/ANTICIPI</t>
  </si>
  <si>
    <t>Clienti c/anticipi</t>
  </si>
  <si>
    <t>40/00/000</t>
  </si>
  <si>
    <t>DEBITI V/FORNITORI</t>
  </si>
  <si>
    <t>Accounts Payable</t>
  </si>
  <si>
    <t>Fornitori Nazionali</t>
  </si>
  <si>
    <t>41/05/005</t>
  </si>
  <si>
    <t>FATTURE DA RICEVERE</t>
  </si>
  <si>
    <t>Fatture da Ricevere</t>
  </si>
  <si>
    <t>48/05/010</t>
  </si>
  <si>
    <t>ERARIO C/IRES</t>
  </si>
  <si>
    <t>48/05/080</t>
  </si>
  <si>
    <t>ERARIO C/RIT. LAVORO DIPENDENTE</t>
  </si>
  <si>
    <t>Erario C/Rit. Lavoro Dipendente</t>
  </si>
  <si>
    <t>48/05/085</t>
  </si>
  <si>
    <t>ERARIO C/RIT. LAVORO AUTONOMO</t>
  </si>
  <si>
    <t>Erario c/Ritenute lavoratori autonomi</t>
  </si>
  <si>
    <t>50/05/005</t>
  </si>
  <si>
    <t>INPS C/CONTRIBUTI SOC. LAV. DIP.</t>
  </si>
  <si>
    <t>I.N.P.S. Dipendenti Carico Ditta</t>
  </si>
  <si>
    <t>50/05/020</t>
  </si>
  <si>
    <t>INAIL C/CONTRIBUTI</t>
  </si>
  <si>
    <t>I.N.A.I.L.</t>
  </si>
  <si>
    <t>50/05/504</t>
  </si>
  <si>
    <t>INAIL C/CONTRIBUTI COLLAB.</t>
  </si>
  <si>
    <t>52/05/055</t>
  </si>
  <si>
    <t>DIPENDENTI C/RETRIBUZIONI</t>
  </si>
  <si>
    <t>Dipendenti C/Retribuzione</t>
  </si>
  <si>
    <t>52/05/290</t>
  </si>
  <si>
    <t>DEBITI DIVERSI</t>
  </si>
  <si>
    <t>Debiti Vs Altri</t>
  </si>
  <si>
    <t>54/10/005</t>
  </si>
  <si>
    <t>RISCONTI PASSIVI</t>
  </si>
  <si>
    <t>Deferred Revenue</t>
  </si>
  <si>
    <t>Risconti Passivi</t>
  </si>
  <si>
    <t>61/05/005</t>
  </si>
  <si>
    <t>LAV.IN CORSO.C/E.I. &lt;12M.VAL.COS</t>
  </si>
  <si>
    <t>Expense</t>
  </si>
  <si>
    <t>Lavoraz. Di Terzi P/Prod. Servizi</t>
  </si>
  <si>
    <t>66/05/005</t>
  </si>
  <si>
    <t>MATERIE PRIME C/ACQUISTI</t>
  </si>
  <si>
    <t>Merci C/Acquisti Nazionali</t>
  </si>
  <si>
    <t>66/10/005</t>
  </si>
  <si>
    <t>COSTO ENERGIA COMUNE S.DONATO</t>
  </si>
  <si>
    <t>Spesa Energia Commesse</t>
  </si>
  <si>
    <t>66/15/005</t>
  </si>
  <si>
    <t>COSTO ENERGIA COM. LIZZANELLO</t>
  </si>
  <si>
    <t>66/20/005</t>
  </si>
  <si>
    <t>MATERIE DI CONSUMO C/ACQUISTI</t>
  </si>
  <si>
    <t>66/30/025</t>
  </si>
  <si>
    <t>CANCELLERIA</t>
  </si>
  <si>
    <t>Cancelleria</t>
  </si>
  <si>
    <t>66/30/035</t>
  </si>
  <si>
    <t>CARBURANTI E LUBRIFICANTI</t>
  </si>
  <si>
    <t>Carburante</t>
  </si>
  <si>
    <t>66/30/037</t>
  </si>
  <si>
    <t>CARBURANTI E LUBRIF.PARZ.DED.</t>
  </si>
  <si>
    <t>Carburante Parz. Ded.</t>
  </si>
  <si>
    <t>66/30/045</t>
  </si>
  <si>
    <t>INDUMENTI DI LAVORO</t>
  </si>
  <si>
    <t>66/30/055</t>
  </si>
  <si>
    <t>SPESE ACCESSORIE SU ACQUISTI</t>
  </si>
  <si>
    <t>Spese Accessorie Su Acquisti</t>
  </si>
  <si>
    <t>66/30/060</t>
  </si>
  <si>
    <t>ACQUISTI BENI COSTO UNIT.&lt;516,46</t>
  </si>
  <si>
    <t>66/30/491</t>
  </si>
  <si>
    <t>ALTRI ACQUISTI INDEDUCIBILI</t>
  </si>
  <si>
    <t>Spese Di Rappresentanza Non Ded.</t>
  </si>
  <si>
    <t>66/30/492</t>
  </si>
  <si>
    <t>ALTRI ACQUISTI NON INERENTI IND.</t>
  </si>
  <si>
    <t>68/05/005</t>
  </si>
  <si>
    <t>TRASPORTI SU ACQUISTI</t>
  </si>
  <si>
    <t>Trasporti Su Acquisti</t>
  </si>
  <si>
    <t>68/05/020</t>
  </si>
  <si>
    <t>LAVORAZIONI DI TERZI P/PROD.BENI</t>
  </si>
  <si>
    <t>Lavoraz. Di Terzi P/Prod. Beni</t>
  </si>
  <si>
    <t>68/05/021</t>
  </si>
  <si>
    <t>LAVORAZ.DI TERZI P/PROD.SERVIZI</t>
  </si>
  <si>
    <t>68/05/025</t>
  </si>
  <si>
    <t>ENERGIA ELETTRICA</t>
  </si>
  <si>
    <t>Spesa Energia Struttura</t>
  </si>
  <si>
    <t>68/05/045</t>
  </si>
  <si>
    <t>ACQUA</t>
  </si>
  <si>
    <t>Acqua</t>
  </si>
  <si>
    <t>68/05/052</t>
  </si>
  <si>
    <t>CANONE DI MANUTENZIONE PERIODICA</t>
  </si>
  <si>
    <t>Manut. E Rip. Autocarri</t>
  </si>
  <si>
    <t>68/05/055</t>
  </si>
  <si>
    <t>MANUT.E RIPARAZ.BENI PROPRI 5%</t>
  </si>
  <si>
    <t>Manut. E Rip. Su Beni Di Prop.</t>
  </si>
  <si>
    <t>68/05/057</t>
  </si>
  <si>
    <t>MANUT. E RIP.VEICOLI PARZ.DEDUC.</t>
  </si>
  <si>
    <t>Manut. E Rip. Su Beni Di Prop. Parz. Ded.</t>
  </si>
  <si>
    <t>68/05/110</t>
  </si>
  <si>
    <t>ASSICURAZIONI R.C.A.</t>
  </si>
  <si>
    <t>Assicurazioni R.C.</t>
  </si>
  <si>
    <t>68/05/120</t>
  </si>
  <si>
    <t>ASSICURAZIONI R.C.A. PARZ.DEDUC.</t>
  </si>
  <si>
    <t>Assicurazioni R.C.A. Parz. Deduc.</t>
  </si>
  <si>
    <t>68/05/125</t>
  </si>
  <si>
    <t>ASSICURAZ. NON OBBLIGATORIE</t>
  </si>
  <si>
    <t>Assicurazioni</t>
  </si>
  <si>
    <t>68/05/150</t>
  </si>
  <si>
    <t>COMP.AMM.-CO.CO.CO.(SOCIspa-srl)</t>
  </si>
  <si>
    <t>Compensi A Collaboratori Co.Co.Co.</t>
  </si>
  <si>
    <t>68/05/199</t>
  </si>
  <si>
    <t>CONT.INPS AMM-CO.CO.CO.(spa-srl)</t>
  </si>
  <si>
    <t>Contributi Inps Collaboratori Co.Co.Co</t>
  </si>
  <si>
    <t>68/05/265</t>
  </si>
  <si>
    <t>COMP.PROF.NON DIR.AFFER.ATTIVITA</t>
  </si>
  <si>
    <t>Comp. Prof. Attinenti Attivita'</t>
  </si>
  <si>
    <t>68/05/320</t>
  </si>
  <si>
    <t>SPESE TELEFONICHE</t>
  </si>
  <si>
    <t>Spese Telefoniche</t>
  </si>
  <si>
    <t>68/05/325</t>
  </si>
  <si>
    <t>SPESE CELLULARI</t>
  </si>
  <si>
    <t>Spese Cellulari</t>
  </si>
  <si>
    <t>68/05/330</t>
  </si>
  <si>
    <t>SPESE POSTALI E DI AFFRANCATURA</t>
  </si>
  <si>
    <t>Altre Spese Generali</t>
  </si>
  <si>
    <t>68/05/355</t>
  </si>
  <si>
    <t>RICERCA,ADDESTRAM.E FORMAZIONE</t>
  </si>
  <si>
    <t>Formazione Del Personale</t>
  </si>
  <si>
    <t>68/05/365</t>
  </si>
  <si>
    <t>SERVIZIO SMALTIMENTO RIFIUTI</t>
  </si>
  <si>
    <t>68/05/370</t>
  </si>
  <si>
    <t>ONERI BANCARI</t>
  </si>
  <si>
    <t>Interessi Da Debiti Verso Banche</t>
  </si>
  <si>
    <t>68/05/375</t>
  </si>
  <si>
    <t>PREMIO PER FIDEJUSSIONE</t>
  </si>
  <si>
    <t>Altre Assicurazioni</t>
  </si>
  <si>
    <t>68/05/385</t>
  </si>
  <si>
    <t>TENUTA PAGHE,CONT.DICH.DA IMPRES</t>
  </si>
  <si>
    <t>Tenuta Paghe</t>
  </si>
  <si>
    <t>68/05/386</t>
  </si>
  <si>
    <t>TEN.PAGHE,CONT.,DICH.DA LAV.AUT.</t>
  </si>
  <si>
    <t>68/05/406</t>
  </si>
  <si>
    <t>ALTRI COSTI P/SERV.RIL.STS/ISA</t>
  </si>
  <si>
    <t>68/05/490</t>
  </si>
  <si>
    <t>ALTRI SERVIZI DEDUCIBILI</t>
  </si>
  <si>
    <t>68/05/501</t>
  </si>
  <si>
    <t>SPESE PARTECIPAZIONE CONSORZIO</t>
  </si>
  <si>
    <t>70/05/101</t>
  </si>
  <si>
    <t>NOLEGGIO DEDUCIBILE</t>
  </si>
  <si>
    <t>Noleggi Deducibili</t>
  </si>
  <si>
    <t>70/25/010</t>
  </si>
  <si>
    <t>LIC. D'USO SOFTWARE DI ESERCIZIO</t>
  </si>
  <si>
    <t>Canoni Software, Licenze E Simili</t>
  </si>
  <si>
    <t>72/05/015</t>
  </si>
  <si>
    <t>SALARI E STIP.DIP.TEMPO INDET.</t>
  </si>
  <si>
    <t>Other Expense</t>
  </si>
  <si>
    <t>Salari E Stipendi - Operai</t>
  </si>
  <si>
    <t>72/05/501</t>
  </si>
  <si>
    <t>SALARI E STIPENDI - AMMINISTR.</t>
  </si>
  <si>
    <t>Salari E Stipendi - Impiegati</t>
  </si>
  <si>
    <t>72/15/007</t>
  </si>
  <si>
    <t>ONERI SOCIALI INPS DIP.TEMPO IND</t>
  </si>
  <si>
    <t>Oneri Previdenziali I.N.P.S. - Operai</t>
  </si>
  <si>
    <t>72/15/093</t>
  </si>
  <si>
    <t>ALTRI ONERI SOC.TEMPO INDET.</t>
  </si>
  <si>
    <t>Altri Oneri Previdenziali</t>
  </si>
  <si>
    <t>72/15/501</t>
  </si>
  <si>
    <t>ONERI SOCIALI INPS - AMMINISTRAT</t>
  </si>
  <si>
    <t>Oneri Previdenziali I.N.P.S. - Impiegati</t>
  </si>
  <si>
    <t>72/20/009</t>
  </si>
  <si>
    <t>TFR DIPENDENTI A TEMPO INDETERM.</t>
  </si>
  <si>
    <t>Trattamento Di Fine Rapporto</t>
  </si>
  <si>
    <t>74/35/005</t>
  </si>
  <si>
    <t>AMM.LAV. STRAORD.BENI DI TERZI</t>
  </si>
  <si>
    <t>Amm.To Lav. Straord. Beni Di Terzi</t>
  </si>
  <si>
    <t>74/35/501</t>
  </si>
  <si>
    <t>AMM.TO COSTI APP. LIZZANELLO</t>
  </si>
  <si>
    <t>75/05/015</t>
  </si>
  <si>
    <t>AMM.TO ORD.FABB.IND.LI E COM.</t>
  </si>
  <si>
    <t>Amm.To Ord. Fabb. Ind.Li E Comm.</t>
  </si>
  <si>
    <t>75/10/005</t>
  </si>
  <si>
    <t>AMM.TO ORD.IMP.GEN.</t>
  </si>
  <si>
    <t>Amm.To Ord. Imp. Gen.</t>
  </si>
  <si>
    <t>75/10/015</t>
  </si>
  <si>
    <t>AMM.TO ORD. MACC.</t>
  </si>
  <si>
    <t>Amm.To Ord. Macc.</t>
  </si>
  <si>
    <t>75/15/005</t>
  </si>
  <si>
    <t>AMM.TO ORD.ATT.IND.LI E COMM.</t>
  </si>
  <si>
    <t>Amm.To Ord. Att. Ind.Li E Comm.</t>
  </si>
  <si>
    <t>75/20/010</t>
  </si>
  <si>
    <t>AMM.TO ORD.MAC.ELETTROM.UF.</t>
  </si>
  <si>
    <t>Amm.To Ord. Macc. Elettrom. Uff.</t>
  </si>
  <si>
    <t>75/25/015</t>
  </si>
  <si>
    <t>AMM.TO ORD.AUTOCARRI/AUTOVET.</t>
  </si>
  <si>
    <t>Amm.To Ord. Autocarri/Autovetture</t>
  </si>
  <si>
    <t>75/30/040</t>
  </si>
  <si>
    <t>AMM.TO ORD.ARREDAMENTO</t>
  </si>
  <si>
    <t>Amm.To Arredamento</t>
  </si>
  <si>
    <t>80/05/005</t>
  </si>
  <si>
    <t>MATERIE PRIME C/ESIST.INIZIALI</t>
  </si>
  <si>
    <t>Income</t>
  </si>
  <si>
    <t>Materie Prime C/Rim Iniziali</t>
  </si>
  <si>
    <t>84/05/005</t>
  </si>
  <si>
    <t>IMPOSTA DI BOLLO</t>
  </si>
  <si>
    <t>Imposta di bollo</t>
  </si>
  <si>
    <t>84/05/011</t>
  </si>
  <si>
    <t>IMU IMMOBILI STRUMENTALI</t>
  </si>
  <si>
    <t>Imposta Imu</t>
  </si>
  <si>
    <t>84/05/035</t>
  </si>
  <si>
    <t>TASSE DI CONCESSIONE GOVERNAT.</t>
  </si>
  <si>
    <t>Tasse Di Concessione Governat.</t>
  </si>
  <si>
    <t>84/05/040</t>
  </si>
  <si>
    <t>TASSE DI PROPRIETA' AUTOVEICOLI</t>
  </si>
  <si>
    <t>Tassa Di Proprieta' Autoveicoli</t>
  </si>
  <si>
    <t>84/05/041</t>
  </si>
  <si>
    <t>TASSE PROPR.AUTOVEIC. (IND.20%)</t>
  </si>
  <si>
    <t>Tassa Prop.Veicoli Parz.Ded.</t>
  </si>
  <si>
    <t>84/05/045</t>
  </si>
  <si>
    <t>TASSA SUI RIFIUTI</t>
  </si>
  <si>
    <t>Tassa Sui Rifiuti</t>
  </si>
  <si>
    <t>84/05/070</t>
  </si>
  <si>
    <t>DIRITTI CAMERALI</t>
  </si>
  <si>
    <t>Diritti Camerali</t>
  </si>
  <si>
    <t>84/05/090</t>
  </si>
  <si>
    <t>ALTRE IMPOSTE E TASSE DEDUCIBILI</t>
  </si>
  <si>
    <t>Altre Imposte E Tasse Ded.</t>
  </si>
  <si>
    <t>84/10/005</t>
  </si>
  <si>
    <t>PERDITE SU CREDITI</t>
  </si>
  <si>
    <t>Perdite su Crediti</t>
  </si>
  <si>
    <t>84/10/015</t>
  </si>
  <si>
    <t>ABBONAMENTI RIVISTE,GIORNALI</t>
  </si>
  <si>
    <t>Abbonamenti Riviste, Giornali</t>
  </si>
  <si>
    <t>84/10/035</t>
  </si>
  <si>
    <t>MULTE E AMMENDE INDEDUCIBILI</t>
  </si>
  <si>
    <t>Multe E Ammende Indeducibili</t>
  </si>
  <si>
    <t>84/10/090</t>
  </si>
  <si>
    <t>ABBUONI/ARROTONDAMENTI PASSIVI</t>
  </si>
  <si>
    <t>Sconti, Ribassi E Abbuoni Passivi</t>
  </si>
  <si>
    <t>84/10/094</t>
  </si>
  <si>
    <t>EROG. LIBERALI DEDUCIBILI</t>
  </si>
  <si>
    <t>Erog. Liberali Ded.</t>
  </si>
  <si>
    <t>84/10/125</t>
  </si>
  <si>
    <t>QUOTE ASSOCIATIVE</t>
  </si>
  <si>
    <t>84/10/190</t>
  </si>
  <si>
    <t>ALTRI ONERI DI GEST. DEDUC.</t>
  </si>
  <si>
    <t>88/20/015</t>
  </si>
  <si>
    <t>INTERESSI PASSIVI SU MUTUI</t>
  </si>
  <si>
    <t>88/20/190</t>
  </si>
  <si>
    <t>ALTRI INT.PASS.E ONER.FIN.DED.</t>
  </si>
  <si>
    <t>Interessi Da Altri Debiti</t>
  </si>
  <si>
    <t>96/05/010</t>
  </si>
  <si>
    <t>IRAP DELL'ESERCIZIO</t>
  </si>
  <si>
    <t>Irap Dell'esercizio</t>
  </si>
  <si>
    <t>96/05/015</t>
  </si>
  <si>
    <t>IRES DELL'ESERCIZIO</t>
  </si>
  <si>
    <t>Ires Dell'esercizio</t>
  </si>
  <si>
    <t>58/10/005</t>
  </si>
  <si>
    <t>RICAVI PER PRESTAZ. DI SERVIZI</t>
  </si>
  <si>
    <t>Ricavi</t>
  </si>
  <si>
    <t>58/10/010</t>
  </si>
  <si>
    <t>CONTRIB.INC.IMP.FOTOVOLTAICO</t>
  </si>
  <si>
    <t>58/10/015</t>
  </si>
  <si>
    <t>RICAVI COMUNE DI SAN DONATO</t>
  </si>
  <si>
    <t>58/10/490</t>
  </si>
  <si>
    <t>ALTRI RICAVI DELLE PRESTAZIONI</t>
  </si>
  <si>
    <t>58/10/501</t>
  </si>
  <si>
    <t>RICAVI COMUNE DI LIZZANELLO</t>
  </si>
  <si>
    <t>61/05/010</t>
  </si>
  <si>
    <t>LAV.IN CORSO C/R.F.&lt;12M.VAL.COS</t>
  </si>
  <si>
    <t>64/05/045</t>
  </si>
  <si>
    <t>RIS.DANNI BENI DEST. ALLA RIVEN.</t>
  </si>
  <si>
    <t>64/05/100</t>
  </si>
  <si>
    <t>ABBUONI/ARROT. ATTIVI IMP.</t>
  </si>
  <si>
    <t>Other Income</t>
  </si>
  <si>
    <t>Sconti, Ribassi e Abbuoni Attivi</t>
  </si>
  <si>
    <t>64/05/115</t>
  </si>
  <si>
    <t>SOPRAVVENIENZE ORDINARIE ATTIVE</t>
  </si>
  <si>
    <t>Sopravvenienze Attive</t>
  </si>
  <si>
    <t>64/05/390</t>
  </si>
  <si>
    <t>ALTRI RICAVI E PROVENTI VARI</t>
  </si>
  <si>
    <t>Altri Ricavi E Proventi Vari</t>
  </si>
  <si>
    <t>64/15/025</t>
  </si>
  <si>
    <t>CONTRIBUTI C/IMPIANTI</t>
  </si>
  <si>
    <t>Contributi In C/Impianti</t>
  </si>
  <si>
    <t>80/05/010</t>
  </si>
  <si>
    <t>MATERIE PRIME C/RIMANENZE FINALI</t>
  </si>
  <si>
    <t>Materie Prime C/Rim Finali</t>
  </si>
  <si>
    <t>Key</t>
  </si>
  <si>
    <t>Account</t>
  </si>
  <si>
    <t>Debit</t>
  </si>
  <si>
    <t>Credit</t>
  </si>
  <si>
    <t>100201 - Costi Di Impianto E Ampliamento</t>
  </si>
  <si>
    <t>100203 - Software</t>
  </si>
  <si>
    <t>100205 - Avviamento</t>
  </si>
  <si>
    <t>100207 - Lavori Straor. Su Beni Di Terzi</t>
  </si>
  <si>
    <t>100209 - Lavori Straor. Su Beni Di Terzi In Corso</t>
  </si>
  <si>
    <t>100215 - Concessioni, Licenze E Marchi</t>
  </si>
  <si>
    <t>100217 - Altri Costi Ad Util. Plur. Da Amm.</t>
  </si>
  <si>
    <t>100223 - F/Amm. Costi Impianto</t>
  </si>
  <si>
    <t>100225 - F/Amm Software</t>
  </si>
  <si>
    <t>100227 - F/Amm Avviamento</t>
  </si>
  <si>
    <t>100231 - F/Amm Concessioni, Licenze E Marchi</t>
  </si>
  <si>
    <t>100235 - F/Amm. Lav. Str. Su Beni Di Terzi</t>
  </si>
  <si>
    <t>100237 - F/Amm. Alt. Cost. Ad Ut. Plu. Amm.</t>
  </si>
  <si>
    <t>100239 - Spese Di Costituzione</t>
  </si>
  <si>
    <t>100241 - F/Amm. Spese Di Costituzione</t>
  </si>
  <si>
    <t>100249 - Lista clienti</t>
  </si>
  <si>
    <t>100251 - F.do amm.to Lista clienti</t>
  </si>
  <si>
    <t>100401 - Terreni</t>
  </si>
  <si>
    <t>100403 - Beni Inferiori Ai 516,46 Euro</t>
  </si>
  <si>
    <t>100405 - Fabbricati Ind.Li E Comm. Li</t>
  </si>
  <si>
    <t>100407 - Costruzioni Leggere</t>
  </si>
  <si>
    <t>100409 - Macchinari</t>
  </si>
  <si>
    <t>100411 - Attrezzature Industriali E  Commerciali</t>
  </si>
  <si>
    <t>100413 - Attrezzatura Varia E Minuta</t>
  </si>
  <si>
    <t>100415 - Impianti Generici</t>
  </si>
  <si>
    <t>100417 - Impianti Specifici</t>
  </si>
  <si>
    <t>100419 - Mobili E Macchine Ordinarie D'ufficio</t>
  </si>
  <si>
    <t>100421 - Macchine Elettromeccaniche D'ufficio</t>
  </si>
  <si>
    <t>100423 - Autoveicoli E Autocarri</t>
  </si>
  <si>
    <t>100425 - Autovetture</t>
  </si>
  <si>
    <t>100427 - Appar. Radiomobili Detr. 80%</t>
  </si>
  <si>
    <t>100429 - F/Amm Fabbricati Ind.Li E Comm. Li</t>
  </si>
  <si>
    <t>100431 - F/Amm Costruzioni Leggere</t>
  </si>
  <si>
    <t>100433 - F/Amm Macchinari</t>
  </si>
  <si>
    <t>100435 - F/Amm Attrezzatura Industriali E  Commerciali</t>
  </si>
  <si>
    <t>100437 - F/Amm Attrezzatura Varia E Minuta</t>
  </si>
  <si>
    <t>100439 - F/Amm Impianti Generici</t>
  </si>
  <si>
    <t>100441 - F/Amm Impianti Specifici</t>
  </si>
  <si>
    <t>100443 - F/Amm Mobili E Macchine Ordinarie D'ufficio</t>
  </si>
  <si>
    <t>100445 - F/Amm Macchine Elettromeccaniche D'ufficio</t>
  </si>
  <si>
    <t>100447 - F/Amm Autoveicoli E Autocarri</t>
  </si>
  <si>
    <t>100449 - F/Amm Autovetture</t>
  </si>
  <si>
    <t>100451 - F/Amm Appar. Radiomobili</t>
  </si>
  <si>
    <t>100453 - Arredamento</t>
  </si>
  <si>
    <t>100455 - F/Amm Arredamento</t>
  </si>
  <si>
    <t>100457 - Immobiliazioni Materiali In Corso - FV Lizzano</t>
  </si>
  <si>
    <t>100459 - Fornitori Imm. Materiali c/acconti - FV Mucca Nera</t>
  </si>
  <si>
    <t>100461 - Fornitori Imm. Materiali c/acconti</t>
  </si>
  <si>
    <t>100463 - Fabbricati Ind.Li e Comm. Li (MiniPia)</t>
  </si>
  <si>
    <t>100465 - F/Amm Fabbricati Ind.Li E Comm. Li (MiniPia)</t>
  </si>
  <si>
    <t>100467 - F/Amm. Beni Inferiori Ai 516,46 Euro</t>
  </si>
  <si>
    <t>100469 - Immobiliazioni Materiali In Corso - FV Avezzano 3</t>
  </si>
  <si>
    <t>100471 - Immobiliazioni Materiali In Corso - FV Montorio al Vomano 1</t>
  </si>
  <si>
    <t>100473 - Immobiliazioni Materiali In Corso - FV Giulianova</t>
  </si>
  <si>
    <t>100475 - Immobiliazioni Materiali In Corso - FV Borgorose</t>
  </si>
  <si>
    <t>100477 - Immobiliazioni Materiali In Corso - FV Copertino 1</t>
  </si>
  <si>
    <t>100479 - Immobiliazioni Materiali In Corso - FV Corfinio</t>
  </si>
  <si>
    <t>100481 - Immobiliazioni Materiali In Corso - FV Avezzano 4</t>
  </si>
  <si>
    <t>100483 - Immobiliazioni Materiali In Corso - FV Montorio al Vomano 3</t>
  </si>
  <si>
    <t>100485 - Immobiliazioni Materiali In Corso - FV Montorio al Vomano 4</t>
  </si>
  <si>
    <t>100487 - Immobiliazioni Materiali In Corso - FV Collarmele</t>
  </si>
  <si>
    <t>100489 - Immobiliazioni Materiali In Corso - FV Campi Salentina 1</t>
  </si>
  <si>
    <t>100491 - Immobiliazioni Materiali In Corso - FV Copertino 2</t>
  </si>
  <si>
    <t>100493 - Immobiliazioni Materiali In Corso - FV Carmiano</t>
  </si>
  <si>
    <t>100495 - Immobiliazioni Materiali In Corso - FV Raiano 1</t>
  </si>
  <si>
    <t>100497 - Immobiliazioni Materiali In Corso - FV Raiano 2</t>
  </si>
  <si>
    <t>100499 - Immobiliazioni Materiali In Corso - FV Tricase</t>
  </si>
  <si>
    <t>100501 - Diritti D'uso</t>
  </si>
  <si>
    <t>100503 - Fondo amm.to diritti d'uso</t>
  </si>
  <si>
    <t>100505 - Immobiliazioni Materiali In Corso - FV San Giorgio Ionico</t>
  </si>
  <si>
    <t>100509 - Immobiliazioni Materiali In Corso - FV Avezzano 5</t>
  </si>
  <si>
    <t>100513 - Immobiliazioni Materiali In Corso - FV Taviano 2</t>
  </si>
  <si>
    <t>100515 - Immobiliazioni Materiali In Corso - FV Scurcola 1</t>
  </si>
  <si>
    <t>100601 - Partecipazioni Imp. Controllate</t>
  </si>
  <si>
    <t>100603 - Partecipazioni Imp. Collegate</t>
  </si>
  <si>
    <t>100605 - Partecipazioni Imp. Altre Imprese</t>
  </si>
  <si>
    <t>100607 - Crediti Vs. Imp. Controllate</t>
  </si>
  <si>
    <t>100611 - Crediti Vs. Imp. Altre Imprese</t>
  </si>
  <si>
    <t>100615 - Crediti Vs. Altri</t>
  </si>
  <si>
    <t>100621 - Depositi Cauzioniari Commerciali</t>
  </si>
  <si>
    <t>100622 - Soci c/sottoscrizione</t>
  </si>
  <si>
    <t>100623 - Crediti Vs. SPV Città Metropolitana Venezia II</t>
  </si>
  <si>
    <t>100625 - Crediti Vs. SPV Crosia Smart City</t>
  </si>
  <si>
    <t>100627 - Crediti Vs. SPV Spezzano Albanese Smart City</t>
  </si>
  <si>
    <t>100635 - Credito Acquisizione Alfano_Partecipazione TECS</t>
  </si>
  <si>
    <t>100637 - Credito v/controllante</t>
  </si>
  <si>
    <t>120209 - Materie Prime, Sussidiarie E Consumo Finali</t>
  </si>
  <si>
    <t>140201 - Crediti Vs Clienti Nazionali</t>
  </si>
  <si>
    <t>140205 - Fondo Svalutazione Crediti</t>
  </si>
  <si>
    <t>140219 - Credito v/GSE (conto termico)</t>
  </si>
  <si>
    <t>140221 - Credito v/Regione Basilicata</t>
  </si>
  <si>
    <t>140223 - Crediti v/imprese controllanti per consolidato fiscale</t>
  </si>
  <si>
    <t>140225 - Crediti Vs Clienti Esteri</t>
  </si>
  <si>
    <t>140227 - Crediti Intercompany</t>
  </si>
  <si>
    <t>140229 - Crediti Vs Chioggia Servizi</t>
  </si>
  <si>
    <t>160201 - Altri Titoli</t>
  </si>
  <si>
    <t>160203 - Spese Anticipate</t>
  </si>
  <si>
    <t>160205 - Anticipo Bolla Doganale</t>
  </si>
  <si>
    <t>160207 - Fatture Da Emettere</t>
  </si>
  <si>
    <t>160208 - Crediti verso Altri</t>
  </si>
  <si>
    <t>160210 - Note di Credito Da Ricevere</t>
  </si>
  <si>
    <t>160212 - Fornitori C/Acconti</t>
  </si>
  <si>
    <t>160216 - Crediti per ritenuta a garanzia</t>
  </si>
  <si>
    <t>160218 - Crediti/Debiti v/Atlantico Spa</t>
  </si>
  <si>
    <t>160220 - Crediti V/Socio Sofein Da Richiamare</t>
  </si>
  <si>
    <t>160222 - Credito V/Sofein Accordo Transattivo</t>
  </si>
  <si>
    <t>160224 - Credito V/Estra Clima</t>
  </si>
  <si>
    <t>160401 - Erario C/Iva Compensazione</t>
  </si>
  <si>
    <t>160403 - Erario C/Iva Rimborso</t>
  </si>
  <si>
    <t>160405 - Erario C/Rit. Subite</t>
  </si>
  <si>
    <t>160407 - Crediti Per Imposte Anticipate</t>
  </si>
  <si>
    <t>160409 - Credito D'imposta</t>
  </si>
  <si>
    <t>160411 - Iva su Acquisti</t>
  </si>
  <si>
    <t>160413 - I.N.A.I.L. C/Acconti</t>
  </si>
  <si>
    <t>180201 - Cassa</t>
  </si>
  <si>
    <t>180205 - Banca Pop. Emilia C/C 392</t>
  </si>
  <si>
    <t>180207 - Banca Intesa C/C 5054</t>
  </si>
  <si>
    <t>180209 - Banca Intesa C/C 655</t>
  </si>
  <si>
    <t>180211 - Banca Intesa C/C 3830</t>
  </si>
  <si>
    <t>180213 - Banca Intesa C/C 5970</t>
  </si>
  <si>
    <t>180215 - Banca Intesa C/C 5971</t>
  </si>
  <si>
    <t>180217 - Banca C.Agricole C/C 8142</t>
  </si>
  <si>
    <t>180219 - Banca Bpm C/C 1419</t>
  </si>
  <si>
    <t>180221 - Banca Bper-Carige C/C 8323</t>
  </si>
  <si>
    <t>180223 - Banca Emilbanca C/C 0348</t>
  </si>
  <si>
    <t>180225 - Banca MPS C/C</t>
  </si>
  <si>
    <t>180227 - Banca Pop. Emilia C/C 203</t>
  </si>
  <si>
    <t>180231 - Banco Posta C/C 522</t>
  </si>
  <si>
    <t>180243 - BPM c/c 3269</t>
  </si>
  <si>
    <t>180247 - BPM c/c 4945</t>
  </si>
  <si>
    <t>180249 - BPM c/c 3502</t>
  </si>
  <si>
    <t>180251 - BPM c/c 4499</t>
  </si>
  <si>
    <t>180253 - BPM c/c 3080</t>
  </si>
  <si>
    <t>180255 - Banca Biver (Asti)</t>
  </si>
  <si>
    <t>180257 - Carta Banca Popolare Emilia</t>
  </si>
  <si>
    <t>180259 - Carta Banca Intesa</t>
  </si>
  <si>
    <t>180261 - Carta MPS</t>
  </si>
  <si>
    <t>180265 - Banca Intesa C/C 6112</t>
  </si>
  <si>
    <t>180267 - BPM C/C 0526</t>
  </si>
  <si>
    <t>180273 - BPER Banca c/c 6637</t>
  </si>
  <si>
    <t>180275 - Carta Bper 5729</t>
  </si>
  <si>
    <t>180277 - Carta Bper 5737</t>
  </si>
  <si>
    <t>180279 - Carta Bper 5752</t>
  </si>
  <si>
    <t>180281 - Carta Bper 5745</t>
  </si>
  <si>
    <t>180283 - Banco Posta C/C 294</t>
  </si>
  <si>
    <t>180285 - Carta Bper 2384</t>
  </si>
  <si>
    <t>180287 - Banca Adria C/C 2544</t>
  </si>
  <si>
    <t>180289 - Banca Intesa San Paolo C/C 12616</t>
  </si>
  <si>
    <t>180291 - Carta Prepagata 8515860</t>
  </si>
  <si>
    <t>180295 - Carta Prepagata 4830630006208302 - Intesa</t>
  </si>
  <si>
    <t>180299 - Carta 8519873</t>
  </si>
  <si>
    <t>180301 - Carta 8519874</t>
  </si>
  <si>
    <t>180303 - Carta 8519875</t>
  </si>
  <si>
    <t>180307 - Nexi Carta 7371</t>
  </si>
  <si>
    <t>180309 - Nexi Carta 2803</t>
  </si>
  <si>
    <t>180311 - Nexi Carta 9856</t>
  </si>
  <si>
    <t>180313 - Banca Marca C/C 979452</t>
  </si>
  <si>
    <t>180315 - Carta Intesa N 79</t>
  </si>
  <si>
    <t>180317 - Nexi Carta 8636</t>
  </si>
  <si>
    <t>180319 - Banca Pop. Emilia C/C 409</t>
  </si>
  <si>
    <t>180321 - Banca Pop. Emilia C/C 735</t>
  </si>
  <si>
    <t>180323 - Carta 8570257</t>
  </si>
  <si>
    <t>180325 - Banca Intesa San Paolo C/C 258</t>
  </si>
  <si>
    <t>180327 - Banca Intesa San Paolo C/C 171</t>
  </si>
  <si>
    <t>180329 - Banca Intesa San Paolo C/C 176</t>
  </si>
  <si>
    <t>180331 - Banca c/c (RSEE) credit agricole</t>
  </si>
  <si>
    <t>180333 - Banca Unicredit c/c 3810</t>
  </si>
  <si>
    <t>180335 - Banca c/c RSEE BPM</t>
  </si>
  <si>
    <t>180337 - Banca Unicredit c/c 8410</t>
  </si>
  <si>
    <t>180351 - Banca Unicredit c/c 3254</t>
  </si>
  <si>
    <t>200203 - Risconti Passivi</t>
  </si>
  <si>
    <t>220201 - Capitale Sociale</t>
  </si>
  <si>
    <t>220207 - Riserva Legale</t>
  </si>
  <si>
    <t>220209 - Riserva Staordinaria</t>
  </si>
  <si>
    <t>220213 - Ris. Per Operaz. Di Copertura Dei  Flussi Finanz. Attesi</t>
  </si>
  <si>
    <t>220215 - Riserva C/Aumento Capitale</t>
  </si>
  <si>
    <t>220217 - Perdite/Utili A Nuovo</t>
  </si>
  <si>
    <t>220219 - Perdite/Utili Esercizio Precedente</t>
  </si>
  <si>
    <t>220221 - Perdita/Utile d'Esercizio</t>
  </si>
  <si>
    <t>220225 - Avanzo di Fusione</t>
  </si>
  <si>
    <t>220227 - Avanzo di Concambio</t>
  </si>
  <si>
    <t>220233 - Riserva FTA</t>
  </si>
  <si>
    <t>220235 - Riserva OCI</t>
  </si>
  <si>
    <t>220237 - Riserva Statutaria</t>
  </si>
  <si>
    <t>240201 - Fondo Rischi</t>
  </si>
  <si>
    <t>240219 - Fondo Imposte Differite</t>
  </si>
  <si>
    <t>240223 - Fondo Rischi Altri accantonamenti</t>
  </si>
  <si>
    <t>240225 - Fondo Strumenti Finanziari Derivati Passivi</t>
  </si>
  <si>
    <t>240227 - Fondo Rischi Cause in Corso</t>
  </si>
  <si>
    <t>260201 - Fondo TFR</t>
  </si>
  <si>
    <t>280221 - Finanziamento Bper Linea Senior</t>
  </si>
  <si>
    <t>280403 - Altri Debiti Finanziari</t>
  </si>
  <si>
    <t>280405 - Passività correnti per diritto d'uso non correnti</t>
  </si>
  <si>
    <t>280407 - Passività correnti per diritto d'uso correnti</t>
  </si>
  <si>
    <t>280279 - Finanziamento Banca Unicredit_Nuovo</t>
  </si>
  <si>
    <t>300203 - Fornitori C/Spese Anticipate</t>
  </si>
  <si>
    <t>300205 - Fornitori Nazionali</t>
  </si>
  <si>
    <t>300207 - Fornitori Esteri</t>
  </si>
  <si>
    <t>300209 - Debiti Intercompany</t>
  </si>
  <si>
    <t>320203 - Debiti Vs. Imp. Controllate</t>
  </si>
  <si>
    <t>320207 - Debiti Vs. Imp. Altre Imprese</t>
  </si>
  <si>
    <t>320209 - Debiti Vs. Controllante</t>
  </si>
  <si>
    <t>320401 - Erario C/Imposta Sost. Riv. Tfr</t>
  </si>
  <si>
    <t>320403 - Erario C/Ires</t>
  </si>
  <si>
    <t>320405 - Regioni C/Irap</t>
  </si>
  <si>
    <t>320409 - Erario C/Iva</t>
  </si>
  <si>
    <t>320411 - Altri Debiti Tributari</t>
  </si>
  <si>
    <t>320413 - Iva su Vendite</t>
  </si>
  <si>
    <t>320417 - Erario c/ritenute su dividendi</t>
  </si>
  <si>
    <t>320601 - Erario Rit.Acc.Su Prest.Prof.</t>
  </si>
  <si>
    <t>320603 - Erario C/Rit. Lavoro Dipendente</t>
  </si>
  <si>
    <t>320605 - Debiti V/Fondi Prev.</t>
  </si>
  <si>
    <t>320611 - F.A.S.I.</t>
  </si>
  <si>
    <t>320613 - I.N.P.S. Dipendenti Carico Ditta</t>
  </si>
  <si>
    <t>320617 - I.N.A.I.L.</t>
  </si>
  <si>
    <t>320803 - Dipendenti C/Retribuzione</t>
  </si>
  <si>
    <t>320811 - Soci C/Finanziamenti</t>
  </si>
  <si>
    <t>320813 - Fatture da Ricevere</t>
  </si>
  <si>
    <t>320815 - Clienti c/anticipi</t>
  </si>
  <si>
    <t>320817 - Debiti v/Dipendenti CO.CO.CO</t>
  </si>
  <si>
    <t>320819 - Note Di Credito Da Emettere</t>
  </si>
  <si>
    <t>320821 - Debiti Vs Altri</t>
  </si>
  <si>
    <t>320825 - Dipendenti C/Retribuzione 13ma</t>
  </si>
  <si>
    <t>320827 - Debito V/Comune di Spezzano Albanese</t>
  </si>
  <si>
    <t>320829 - Acconto cliente Comune Di Meolo</t>
  </si>
  <si>
    <t>320831 - Acconto cliente Comune Di San Donà</t>
  </si>
  <si>
    <t>340213 - Debiti Per Ferie Maturate E Non Godute</t>
  </si>
  <si>
    <t>340215 - Debiti Per Contributi Su Ferie Maturate</t>
  </si>
  <si>
    <t>340217 - Debiti V/Cessionari Stipendio</t>
  </si>
  <si>
    <t>360201 - Risconti Attivi</t>
  </si>
  <si>
    <t>360203 - Ratei Passivi</t>
  </si>
  <si>
    <t>620201 - Ricavi</t>
  </si>
  <si>
    <t>620203 - Ricavi I/C</t>
  </si>
  <si>
    <t>640201 - Capit. Costi di Imm. Immat.</t>
  </si>
  <si>
    <t>660201 - Sconti, Ribassi e Abbuoni Attivi</t>
  </si>
  <si>
    <t>660203 - Altri Ricavi E Proventi Vari</t>
  </si>
  <si>
    <t>660403 - Plusvalenze</t>
  </si>
  <si>
    <t>660407 - Sopravvenienze Attive</t>
  </si>
  <si>
    <t>660409 - Sopravvenienze Attive Ord. Inded.</t>
  </si>
  <si>
    <t>660413 - Contributi In C/Esercizio</t>
  </si>
  <si>
    <t>680201 - Merci C/Acquisti Nazionali</t>
  </si>
  <si>
    <t>680209 - Capitalizzazioni costi di materie prime</t>
  </si>
  <si>
    <t>680401 - Acquisti Vari</t>
  </si>
  <si>
    <t>680601 - Carburante</t>
  </si>
  <si>
    <t>680603 - Carburante Parz. Ded.</t>
  </si>
  <si>
    <t>700201 - Lavoraz. Di Terzi P/Prod. Beni</t>
  </si>
  <si>
    <t>700203 - Lavoraz. Di Terzi P/Prod. Servizi</t>
  </si>
  <si>
    <t>700205 - Manut. E Rip. Su Beni Di Prop.</t>
  </si>
  <si>
    <t>700207 - Manut. E Rip. Su Beni Di Prop. Parz. Ded.</t>
  </si>
  <si>
    <t>700209 - Manut. E Rip. Autocarri</t>
  </si>
  <si>
    <t>700211 - Manut. E Rip. Autovetture Deduc.</t>
  </si>
  <si>
    <t>700213 - Manut. E Rip. Ord. Beni Di Terzi</t>
  </si>
  <si>
    <t>700217 - Capitalizzazioni costi per servizi</t>
  </si>
  <si>
    <t>700401 - Servizi Di Lavoro In Somministrazione</t>
  </si>
  <si>
    <t>700403 - Compensi A Collaboratori Co.Co.Co.</t>
  </si>
  <si>
    <t>700405 - Comp. Prof. Attinenti  Attivita' Senza Rit.</t>
  </si>
  <si>
    <t>700407 - Comp. Prof. Attinenti  Attivita' C/Rit.</t>
  </si>
  <si>
    <t>700409 - Comp. Prof. Attinenti Attivita'</t>
  </si>
  <si>
    <t>700411 - Contributi Inps Collaboratori Co.Co.Co</t>
  </si>
  <si>
    <t>700601 - Spesa Energia Commesse</t>
  </si>
  <si>
    <t>700603 - Spesa Energia Struttura</t>
  </si>
  <si>
    <t>700801 - Commissioni Bancarie</t>
  </si>
  <si>
    <t>700803 - Cancelleria</t>
  </si>
  <si>
    <t>700805 - Acqua</t>
  </si>
  <si>
    <t>700807 - Gas</t>
  </si>
  <si>
    <t>700809 - Servizi Di Gestione Immobili</t>
  </si>
  <si>
    <t>700811 - Pedaggi Autostradali</t>
  </si>
  <si>
    <t>700813 - Pedaggi Autostradali  Parz. Ded.</t>
  </si>
  <si>
    <t>700815 - Spese Per Trasferte</t>
  </si>
  <si>
    <t>700819 - Altre Spese Generali</t>
  </si>
  <si>
    <t>700821 - Abbonamenti Riviste, Giornali</t>
  </si>
  <si>
    <t>700823 - Contributi Ad Assoc. di Categoria</t>
  </si>
  <si>
    <t>701201 - Trasporti Su Acquisti</t>
  </si>
  <si>
    <t>701601 - Provvigioni A Intermediari</t>
  </si>
  <si>
    <t>701603 - Spese Di Rappresentanza Non Ded.</t>
  </si>
  <si>
    <t>701605 - Spese Di Rappresentanza Ded.</t>
  </si>
  <si>
    <t>701607 - Pubb. E Markt</t>
  </si>
  <si>
    <t>701805 - Contributi Inail Amministratore</t>
  </si>
  <si>
    <t>701807 - Compensi Sindaci</t>
  </si>
  <si>
    <t>701811 - Revisione Contabile</t>
  </si>
  <si>
    <t>702001 - Spese Di Consulenza</t>
  </si>
  <si>
    <t>702003 - Tenuta Paghe</t>
  </si>
  <si>
    <t>702201 - Spese Telefoniche</t>
  </si>
  <si>
    <t>702203 - Spese Telefoniche - Numero Verde</t>
  </si>
  <si>
    <t>702401 - Canoni Software, Licenze E Simili</t>
  </si>
  <si>
    <t>702403 - Assicurazioni</t>
  </si>
  <si>
    <t>702405 - Assicurazioni R.C.</t>
  </si>
  <si>
    <t>702407 - Assicurazioni R.C.A. Parz. Deduc.</t>
  </si>
  <si>
    <t>702411 - Altre Assicurazioni</t>
  </si>
  <si>
    <t>720201 - Fitti Passivi</t>
  </si>
  <si>
    <t>720401 - Noleggi Operativi</t>
  </si>
  <si>
    <t>720403 - Noleggi Deducibili</t>
  </si>
  <si>
    <t>720405 - Altri Noleggi</t>
  </si>
  <si>
    <t>720601 - Canoni Leasing Operativo</t>
  </si>
  <si>
    <t>720605 - Canoni Leasing Deducibile</t>
  </si>
  <si>
    <t>740201 - Salari E Stipendi - Operai</t>
  </si>
  <si>
    <t>740203 - Salari E Stipendi - Impiegati</t>
  </si>
  <si>
    <t>740205 - Salari E Stipendi - Dirigenti</t>
  </si>
  <si>
    <t>740207 - Rimborsi Da Nota Spese</t>
  </si>
  <si>
    <t>740209 - Salari E Stipendi - 13ma Operai</t>
  </si>
  <si>
    <t>740211 - Salari E Stipendi - 13ma Impiegati</t>
  </si>
  <si>
    <t>740213 - Salari E Stipendi - 13ma Dirigenti</t>
  </si>
  <si>
    <t>740215 - Capitalizzazioni costi del personale</t>
  </si>
  <si>
    <t>740401 - Ferie Maturate E Non Godute</t>
  </si>
  <si>
    <t>740601 - Oneri Previdenziali I.N.P.S. - Operai</t>
  </si>
  <si>
    <t>740605 - Contributi Fasi</t>
  </si>
  <si>
    <t>740607 - Contributi Previndai</t>
  </si>
  <si>
    <t>740609 - Oneri Previdenziali I.N.P.S. - Dirigenti</t>
  </si>
  <si>
    <t>740611 - Oneri Previdenziali I.N.P.S. - Impiegati</t>
  </si>
  <si>
    <t>740801 - Oneri Sociali Inail</t>
  </si>
  <si>
    <t>741001 - Oneri Sociali Ferie Maturate E Non Godute</t>
  </si>
  <si>
    <t>741201 - Trattamento Di Fine Rapporto</t>
  </si>
  <si>
    <t>741401 - Bonus</t>
  </si>
  <si>
    <t>741601 - Buoni Pasto</t>
  </si>
  <si>
    <t>741605 - Spese Cellulari</t>
  </si>
  <si>
    <t>741607 - Welfare</t>
  </si>
  <si>
    <t>741801 - Formazione Del Personale</t>
  </si>
  <si>
    <t>741803 - Head Hunter</t>
  </si>
  <si>
    <t>742001 - Trattamento Di Quiescenza E Simili - Operai</t>
  </si>
  <si>
    <t>742003 - Altri Costi Del Personale</t>
  </si>
  <si>
    <t>742005 - Trattamento Di Quiescenza E Simili - Dirigenti</t>
  </si>
  <si>
    <t>742009 - Trattamento Di Quiescenza E Simili - Impiegati</t>
  </si>
  <si>
    <t>760201 - Amm.To Lic. Uso Soft.</t>
  </si>
  <si>
    <t>760401 - Amm.To Costi D'impianto</t>
  </si>
  <si>
    <t>760601 - Amm.To Lav. Straord. Beni Di Terzi</t>
  </si>
  <si>
    <t>760801 - Amm.To Avviamento</t>
  </si>
  <si>
    <t>761001 - Amm.to Concessioni, Licenze, Marchi e Diritti Simili</t>
  </si>
  <si>
    <t>761601 - Amm.to Altri Costi Ad Util. Plur. Da Amm.</t>
  </si>
  <si>
    <t>761607 - Amm.To lista clienti</t>
  </si>
  <si>
    <t>780201 - Amm.To Ord. Fabb. Ind.Li E Comm.</t>
  </si>
  <si>
    <t>780203 - Amm.To Ord. Fabb. Ind.Li E Comm. (MiniPia)</t>
  </si>
  <si>
    <t>780401 - Amm.To Ord. Cost. Legg.</t>
  </si>
  <si>
    <t>780601 - Amm.To Ord. Imp. Gen.</t>
  </si>
  <si>
    <t>780603 - Amm.To Ord. Imp. Specifici</t>
  </si>
  <si>
    <t>781001 - Amm.To Ord. Att. Ind.Li E Comm.</t>
  </si>
  <si>
    <t>781201 - Amm.To Ord. Mob.E Mac. Ord. Uff.</t>
  </si>
  <si>
    <t>781401 - Amm.To Ord. Macc. Elettrom. Uff.</t>
  </si>
  <si>
    <t>781801 - Amm.To Ord. Autocarri/Autovetture</t>
  </si>
  <si>
    <t>782001 - Amm.To Ord. Autovetture</t>
  </si>
  <si>
    <t>782401 - Amm.To Appar. Radiomobili</t>
  </si>
  <si>
    <t>782801 - Amm.To Arredamento</t>
  </si>
  <si>
    <t>800205 - Materie Prime C/Rim Finali</t>
  </si>
  <si>
    <t>800405 - Materie Prime C/Rim Iniziali</t>
  </si>
  <si>
    <t>840201 - Oneri Contrattuali</t>
  </si>
  <si>
    <t>840401 - Tassa Di Proprieta' Autoveicoli</t>
  </si>
  <si>
    <t>840403 - Tassa Prop.Veicoli Parz.Ded.</t>
  </si>
  <si>
    <t>840601 - Imposta di bollo</t>
  </si>
  <si>
    <t>860207 - Sopravvenienze Passive Ord. Inded.</t>
  </si>
  <si>
    <t>860209 - Differenze Di Cambio Passive</t>
  </si>
  <si>
    <t>880201 - Imposta Imu</t>
  </si>
  <si>
    <t>880203 - Tassa Sui Rifiuti</t>
  </si>
  <si>
    <t>880205 - Altre Imposte E Tasse Ded.</t>
  </si>
  <si>
    <t>880207 - Altre Imposte E Tasse Inded.</t>
  </si>
  <si>
    <t>880209 - Tasse Di Concessione Governat.</t>
  </si>
  <si>
    <t>880211 - Diritti Camerali</t>
  </si>
  <si>
    <t>880601 - Sconti, Ribassi E  Abbuoni Passivi</t>
  </si>
  <si>
    <t>880803 - Multe E Ammende Indeducibili</t>
  </si>
  <si>
    <t>881001 - Erog. Liberali Ded.</t>
  </si>
  <si>
    <t>900201 - Differenziale Derivati Di Copertura</t>
  </si>
  <si>
    <t>900209 - Interessi Attivi</t>
  </si>
  <si>
    <t>920207 - Interessi Da Debiti Verso Banche</t>
  </si>
  <si>
    <t>920211 - Interessi Da Altri Debiti</t>
  </si>
  <si>
    <t>920213 - Int. Passivi V/Fornitori</t>
  </si>
  <si>
    <t>920215 - Interessi Da Debiti Verso Banche_Linea Senior</t>
  </si>
  <si>
    <t>940201 - Irap Dell'esercizio</t>
  </si>
  <si>
    <t>940209 - Ires Dell'esercizio</t>
  </si>
  <si>
    <t>GST-001</t>
  </si>
  <si>
    <t>GST-001 - Inventory Asset (Gest.)</t>
  </si>
  <si>
    <t>GST-002</t>
  </si>
  <si>
    <t>GST-002 - Accrued Purchases (Gest.)</t>
  </si>
  <si>
    <t>GST-005</t>
  </si>
  <si>
    <t>GST-005 - Cost of Goods Sold (Gest.)</t>
  </si>
  <si>
    <t>GST-007</t>
  </si>
  <si>
    <t>GST-007 - Rettifica Inventariale (Gest.)</t>
  </si>
  <si>
    <t>GST-008</t>
  </si>
  <si>
    <t>GST-008 - Inventory In Transit (Gest.)</t>
  </si>
  <si>
    <t>CVS</t>
  </si>
  <si>
    <t>Total</t>
  </si>
  <si>
    <t>Ricla MG esteso</t>
  </si>
  <si>
    <t>Intangible Assets</t>
  </si>
  <si>
    <t>Tangible Assets</t>
  </si>
  <si>
    <t>Financial Assets</t>
  </si>
  <si>
    <t>Other Credit</t>
  </si>
  <si>
    <t>Other Reserves</t>
  </si>
  <si>
    <t>Inventory</t>
  </si>
  <si>
    <t>Trade Receivables</t>
  </si>
  <si>
    <t>Tax Credit</t>
  </si>
  <si>
    <t>Other Revenues</t>
  </si>
  <si>
    <t>Trade Payables</t>
  </si>
  <si>
    <t>Cash &amp; Cash Equivalent</t>
  </si>
  <si>
    <t>Gross Debt</t>
  </si>
  <si>
    <t>Other Liabilities</t>
  </si>
  <si>
    <t>Share Capital</t>
  </si>
  <si>
    <t>Legal Reserve</t>
  </si>
  <si>
    <t>Capital Call</t>
  </si>
  <si>
    <t>Retained Earnings</t>
  </si>
  <si>
    <t>Risk Provisions</t>
  </si>
  <si>
    <t>Deferred Tax</t>
  </si>
  <si>
    <t>TFR and Other Provision</t>
  </si>
  <si>
    <t>Shareholder Financing</t>
  </si>
  <si>
    <t>Tax Debit</t>
  </si>
  <si>
    <t>Canone</t>
  </si>
  <si>
    <t>Costruzioni Interne</t>
  </si>
  <si>
    <t>Extraordinary Item (Attive)</t>
  </si>
  <si>
    <t>Costi Diretti</t>
  </si>
  <si>
    <t>Overheads</t>
  </si>
  <si>
    <t>Personnel Costs</t>
  </si>
  <si>
    <t>Depreciation and amortization</t>
  </si>
  <si>
    <t>Taxes overheads</t>
  </si>
  <si>
    <t>Financial Income</t>
  </si>
  <si>
    <t>Financial Expenses</t>
  </si>
  <si>
    <t>Taxes</t>
  </si>
  <si>
    <t>FV</t>
  </si>
  <si>
    <t>R</t>
  </si>
  <si>
    <t>Revenues</t>
  </si>
  <si>
    <t>C</t>
  </si>
  <si>
    <t>Agosto</t>
  </si>
  <si>
    <t>Giugno</t>
  </si>
  <si>
    <t>Giu RR</t>
  </si>
  <si>
    <t>Delta</t>
  </si>
  <si>
    <t>Quadro</t>
  </si>
  <si>
    <t>Altro</t>
  </si>
  <si>
    <t>Conto</t>
  </si>
  <si>
    <t>SP</t>
  </si>
  <si>
    <t>CE</t>
  </si>
  <si>
    <t>Magazzino</t>
  </si>
  <si>
    <t>minori costi</t>
  </si>
  <si>
    <t>meno CapEx</t>
  </si>
  <si>
    <t>Ricavi Inferiori</t>
  </si>
  <si>
    <t>più costi</t>
  </si>
  <si>
    <t>Entity</t>
  </si>
  <si>
    <t>Seller</t>
  </si>
  <si>
    <t>BU</t>
  </si>
  <si>
    <t>Business Stream</t>
  </si>
  <si>
    <t>Type of contract</t>
  </si>
  <si>
    <t>Codice Financial Commesse</t>
  </si>
  <si>
    <t>Comuni</t>
  </si>
  <si>
    <t>Organic</t>
  </si>
  <si>
    <t>North West</t>
  </si>
  <si>
    <t>Public Streetlighting</t>
  </si>
  <si>
    <t>PPP</t>
  </si>
  <si>
    <t>Varazze</t>
  </si>
  <si>
    <t>Lerici PL</t>
  </si>
  <si>
    <t>Levanto</t>
  </si>
  <si>
    <t>PPP-IPU-I852-01</t>
  </si>
  <si>
    <t>Sori</t>
  </si>
  <si>
    <t>Centre</t>
  </si>
  <si>
    <t>Photovoltaic</t>
  </si>
  <si>
    <t>SEC-PHV-A515-01</t>
  </si>
  <si>
    <t>Avezzano 3</t>
  </si>
  <si>
    <t>SEC-PHV-A515-02</t>
  </si>
  <si>
    <t>Avezzano 4</t>
  </si>
  <si>
    <t>SEC-PHV-E058-01</t>
  </si>
  <si>
    <t>Giulianova</t>
  </si>
  <si>
    <t>SEC-PHV-F690-01</t>
  </si>
  <si>
    <t>Montorio 1</t>
  </si>
  <si>
    <t>SEC-PHV-F690-02</t>
  </si>
  <si>
    <t>Montorio 3</t>
  </si>
  <si>
    <t>SEC-PHV-F690-03</t>
  </si>
  <si>
    <t>Montorio 4</t>
  </si>
  <si>
    <t>South</t>
  </si>
  <si>
    <t>Sant'Arpino</t>
  </si>
  <si>
    <t>Cemetary Services</t>
  </si>
  <si>
    <t>Avigliano Cemetery</t>
  </si>
  <si>
    <t>Filiano Cemetery</t>
  </si>
  <si>
    <t>PPP-IPU-I018-01</t>
  </si>
  <si>
    <t>San Marzano di San Giuseppe</t>
  </si>
  <si>
    <t>Frignano</t>
  </si>
  <si>
    <t>Gricignano di Aversa</t>
  </si>
  <si>
    <t>Torano Castello</t>
  </si>
  <si>
    <t>PPP-IPU-G568-01</t>
  </si>
  <si>
    <t>Piano di Sorrento</t>
  </si>
  <si>
    <t>Giardini-Naxos</t>
  </si>
  <si>
    <t>SEC-PHV-C978-01</t>
  </si>
  <si>
    <t>Copertino 1</t>
  </si>
  <si>
    <t>SEC-PHV-C978-02</t>
  </si>
  <si>
    <t>Copertino 2</t>
  </si>
  <si>
    <t>Campi 1</t>
  </si>
  <si>
    <t>Jovit</t>
  </si>
  <si>
    <t>Belvedere Marittimo</t>
  </si>
  <si>
    <t>Roccamonfina</t>
  </si>
  <si>
    <t>Sesto Campano</t>
  </si>
  <si>
    <t>Samsic</t>
  </si>
  <si>
    <t>PPP-IPU-H344-01</t>
  </si>
  <si>
    <t>Rivarossa</t>
  </si>
  <si>
    <t>PPP-IPU-L269-01</t>
  </si>
  <si>
    <t>Torre D'Isola</t>
  </si>
  <si>
    <t>PPP-IPU-I362-01</t>
  </si>
  <si>
    <t>Santo Stefano Lodigiano</t>
  </si>
  <si>
    <t>PPP-IPU-I561-01</t>
  </si>
  <si>
    <t>Secugnago</t>
  </si>
  <si>
    <t>PPP-IPU-E693-01</t>
  </si>
  <si>
    <t>Loro Ciuffenna</t>
  </si>
  <si>
    <t>Alfano Luce</t>
  </si>
  <si>
    <t>Ricigliano</t>
  </si>
  <si>
    <t>Serino</t>
  </si>
  <si>
    <t>PPP-IPU-H800-01</t>
  </si>
  <si>
    <t>San Cipriano Picentino</t>
  </si>
  <si>
    <t>Vietri sul Mare</t>
  </si>
  <si>
    <t>Tetra Engineering</t>
  </si>
  <si>
    <t>Umbertide</t>
  </si>
  <si>
    <t>Ege Global Service</t>
  </si>
  <si>
    <t>Lizzanello</t>
  </si>
  <si>
    <t>San Donato Milanese</t>
  </si>
  <si>
    <t>Pipeline</t>
  </si>
  <si>
    <t>Altro Not identified (Sud) 1</t>
  </si>
  <si>
    <t>Altro Not identified (Centre)</t>
  </si>
  <si>
    <t>Altro Not identified (North West)</t>
  </si>
  <si>
    <t>ATL</t>
  </si>
  <si>
    <t>North East</t>
  </si>
  <si>
    <t>Altro Not identified (North East)</t>
  </si>
  <si>
    <t>AQ1</t>
  </si>
  <si>
    <t>AQ1 not yet iidentified (NW)</t>
  </si>
  <si>
    <t>AQ1 not identified (NE)</t>
  </si>
  <si>
    <t>AQ1 not identified (CE)</t>
  </si>
  <si>
    <t>Smart Buildings</t>
  </si>
  <si>
    <t>Buildings not identified (NE)</t>
  </si>
  <si>
    <t>PV to be identified (SO)</t>
  </si>
  <si>
    <t>PV to be identified (CE)</t>
  </si>
  <si>
    <t>Altro Not identified (Sud) 2</t>
  </si>
  <si>
    <t>San Mango Piemonte</t>
  </si>
  <si>
    <t>PPP-IPU-H502-01</t>
  </si>
  <si>
    <t>Romagnano Sesia</t>
  </si>
  <si>
    <t>PPP-IPU-F028-01</t>
  </si>
  <si>
    <t>Massalengo</t>
  </si>
  <si>
    <t>Maiori</t>
  </si>
  <si>
    <t>Minori</t>
  </si>
  <si>
    <t>Castel San Giorgio</t>
  </si>
  <si>
    <t>Ischia</t>
  </si>
  <si>
    <t>Somma Vesuviana</t>
  </si>
  <si>
    <t>SG Dynamic</t>
  </si>
  <si>
    <t>Dolo</t>
  </si>
  <si>
    <t>Vicari</t>
  </si>
  <si>
    <t>Marsciano</t>
  </si>
  <si>
    <t>PPP-IPU-I480-02</t>
  </si>
  <si>
    <t>Savona Comune</t>
  </si>
  <si>
    <t>PPP-IPU-D600-01</t>
  </si>
  <si>
    <t>Finale Ligure (Sav Prov)</t>
  </si>
  <si>
    <t>PPP-IPU-A999-01</t>
  </si>
  <si>
    <t>Borghetto Santo Spirito (Sav Prov)</t>
  </si>
  <si>
    <t>PPP-IPU-I926-01</t>
  </si>
  <si>
    <t>Spotorno (Sav Prov)</t>
  </si>
  <si>
    <t>PPP-IPU-G867-01</t>
  </si>
  <si>
    <t>Pontirolo Nuovo</t>
  </si>
  <si>
    <t>AQ1-IPU-L703-01</t>
  </si>
  <si>
    <t>Vedano Olona</t>
  </si>
  <si>
    <t>PPP-IPU-I480-03</t>
  </si>
  <si>
    <t>Savona Gallerie (Sav Prov)</t>
  </si>
  <si>
    <t>PPP-IPU-F165-01</t>
  </si>
  <si>
    <t>Mezzago</t>
  </si>
  <si>
    <t>PPP-IPU-I946-01</t>
  </si>
  <si>
    <t>Stella (Sav Prov)</t>
  </si>
  <si>
    <t>PPP-IPU-I703-01</t>
  </si>
  <si>
    <t>Settimo Torinese</t>
  </si>
  <si>
    <t>AQ1-IPU-D946-01</t>
  </si>
  <si>
    <t>Gavirate</t>
  </si>
  <si>
    <t>ATI-IPU-B628-01</t>
  </si>
  <si>
    <t>Cantalupa</t>
  </si>
  <si>
    <t>ATI-IPU-D812-01</t>
  </si>
  <si>
    <t>Frossasco</t>
  </si>
  <si>
    <t>ATI-IPU-G674-01</t>
  </si>
  <si>
    <t>Pinerolo</t>
  </si>
  <si>
    <t>ATI-IPU-H498-01</t>
  </si>
  <si>
    <t>Roletto</t>
  </si>
  <si>
    <t>ATI-IPU-M122-01</t>
  </si>
  <si>
    <t>Volpiano</t>
  </si>
  <si>
    <t>CL3</t>
  </si>
  <si>
    <t>CL3-IPU-A371-01</t>
  </si>
  <si>
    <t>Arcisate Consip</t>
  </si>
  <si>
    <t>CL3-IPU-A413-01</t>
  </si>
  <si>
    <t>Arluno</t>
  </si>
  <si>
    <t>CL3-IPU-A683-01</t>
  </si>
  <si>
    <t>Barzago Consip</t>
  </si>
  <si>
    <t>CL3-IPU-B162-01</t>
  </si>
  <si>
    <t>Bresso Consip</t>
  </si>
  <si>
    <t>CL3-IPU-B593-01</t>
  </si>
  <si>
    <t>Canegrate Consip</t>
  </si>
  <si>
    <t>CL3-IPU-B671-01</t>
  </si>
  <si>
    <t>Caponago</t>
  </si>
  <si>
    <t>CL3-IPU-B731-01</t>
  </si>
  <si>
    <t>Caravaggio</t>
  </si>
  <si>
    <t>CL3-IPU-B754-01</t>
  </si>
  <si>
    <t>Cardano al Campo Consip</t>
  </si>
  <si>
    <t>CL3-IPU-C752-01</t>
  </si>
  <si>
    <t>Civate Consip</t>
  </si>
  <si>
    <t>CL3-IPU-D869-01</t>
  </si>
  <si>
    <t>Gallarate Consip</t>
  </si>
  <si>
    <t>CL3-IPU-E951-01</t>
  </si>
  <si>
    <t>Mariano Comense</t>
  </si>
  <si>
    <t>CL3-IPU-F736-01</t>
  </si>
  <si>
    <t>Mornago</t>
  </si>
  <si>
    <t>CL3-IPU-F952-01</t>
  </si>
  <si>
    <t>Novara Consip</t>
  </si>
  <si>
    <t>CL3-IPU-G103-01</t>
  </si>
  <si>
    <t>Origgio</t>
  </si>
  <si>
    <t>CL3-IPU-H240-01</t>
  </si>
  <si>
    <t>Rescaldina</t>
  </si>
  <si>
    <t>CL3-IPU-H601-01</t>
  </si>
  <si>
    <t>Rovellasca Consip</t>
  </si>
  <si>
    <t>CL3-IPU-H602-01</t>
  </si>
  <si>
    <t>Rovello Porro</t>
  </si>
  <si>
    <t>CL3-IPU-H930-01</t>
  </si>
  <si>
    <t>San Giuliano Milanese Consip</t>
  </si>
  <si>
    <t>CL3-IPU-I441-02</t>
  </si>
  <si>
    <t>Saronno proroga tecnica</t>
  </si>
  <si>
    <t>CL3-IPU-I696-01</t>
  </si>
  <si>
    <t>Settala</t>
  </si>
  <si>
    <t>CL3-IPU-L415-02</t>
  </si>
  <si>
    <t>Tribiano proroga tecnica</t>
  </si>
  <si>
    <t>PPP-GTE-C003-01</t>
  </si>
  <si>
    <t>Cassano d'Adda</t>
  </si>
  <si>
    <t>PPP-IPU-A697-01</t>
  </si>
  <si>
    <t>Basiano</t>
  </si>
  <si>
    <t>PPP-IPU-B216-01</t>
  </si>
  <si>
    <t>Bruino</t>
  </si>
  <si>
    <t>PPP-IPU-D012-01</t>
  </si>
  <si>
    <t>Courmayeur</t>
  </si>
  <si>
    <t>PPP-IPU-E152-01</t>
  </si>
  <si>
    <t>Gravellona Lomellina</t>
  </si>
  <si>
    <t>PPP-IPU-E569-01</t>
  </si>
  <si>
    <t>Lezzeno</t>
  </si>
  <si>
    <t>PPP-IPU-F874-01</t>
  </si>
  <si>
    <t>Nerviano</t>
  </si>
  <si>
    <t>PPP-IPU-L285-01</t>
  </si>
  <si>
    <t>Torrevecchia Pia</t>
  </si>
  <si>
    <t>PPP-IPU-L356-01</t>
  </si>
  <si>
    <t>Trecate</t>
  </si>
  <si>
    <t>PPP-IPU-M060-02</t>
  </si>
  <si>
    <t>Vinovo PL proroga tecnica</t>
  </si>
  <si>
    <t>Service Contract</t>
  </si>
  <si>
    <t>SEC-IPU-B885-01</t>
  </si>
  <si>
    <t>Sport Club Nuova Casale A.S.D</t>
  </si>
  <si>
    <t>AQ1-IPU-A845-01</t>
  </si>
  <si>
    <t>Biandronno</t>
  </si>
  <si>
    <t>PPP-IPU-A371-02</t>
  </si>
  <si>
    <t>Arcisate proroga tecnica</t>
  </si>
  <si>
    <t>CL3-IPU-B593-02</t>
  </si>
  <si>
    <t>Canegrate proroga tecnica</t>
  </si>
  <si>
    <t>CL3-IPU-C752-02</t>
  </si>
  <si>
    <t>Civate proroga tecnica</t>
  </si>
  <si>
    <t>CL3-IPU-I441-01</t>
  </si>
  <si>
    <t>Saronno Consip</t>
  </si>
  <si>
    <t>CL3-IPU-L415-01</t>
  </si>
  <si>
    <t>Tribiano Consip</t>
  </si>
  <si>
    <t>PPP-IPU-M060-01</t>
  </si>
  <si>
    <t>Vinovo PL</t>
  </si>
  <si>
    <t>PPP-IPU-D947-01</t>
  </si>
  <si>
    <t>Gavoi</t>
  </si>
  <si>
    <t>PPP-IPU-G070-01</t>
  </si>
  <si>
    <t>Onifai</t>
  </si>
  <si>
    <t>PPP-GTE-E874-01</t>
  </si>
  <si>
    <t>Mamoiada</t>
  </si>
  <si>
    <t>PPP-IPU-D763-01</t>
  </si>
  <si>
    <t>Francavilla al Mare</t>
  </si>
  <si>
    <t>PPP-IPU-D451-01</t>
  </si>
  <si>
    <t>Fabriano</t>
  </si>
  <si>
    <t>PPP-IPU-C847-01</t>
  </si>
  <si>
    <t>Colle di Val d'Elsa</t>
  </si>
  <si>
    <t>PPP-IPU-C904-01</t>
  </si>
  <si>
    <t>Colorno</t>
  </si>
  <si>
    <t>PPP-IPU-A044-01</t>
  </si>
  <si>
    <t>Acquasanta Terme</t>
  </si>
  <si>
    <t>PPP-IPU-M379-01</t>
  </si>
  <si>
    <t>Terre Roveresche</t>
  </si>
  <si>
    <t>PPP-IPU-D738-01</t>
  </si>
  <si>
    <t>Fossacesia</t>
  </si>
  <si>
    <t>PPP-IPU-C128-01</t>
  </si>
  <si>
    <t>Castellalto</t>
  </si>
  <si>
    <t>PPP-IPU-E723-01</t>
  </si>
  <si>
    <t>Luco dei Marsi</t>
  </si>
  <si>
    <t>PPP-IPU-D859-01</t>
  </si>
  <si>
    <t>Gairo</t>
  </si>
  <si>
    <t>PPP-GTE-I452-01</t>
  </si>
  <si>
    <t>Multiss (Sassari-Olbia-Tempio)</t>
  </si>
  <si>
    <t>PPP-IPU-I374-01</t>
  </si>
  <si>
    <t>Santu Lussurgiu PL</t>
  </si>
  <si>
    <t>AQ1-IPU-D541-01</t>
  </si>
  <si>
    <t>Fermignano</t>
  </si>
  <si>
    <t>CL3-IPU-D652-01</t>
  </si>
  <si>
    <t>Folignano</t>
  </si>
  <si>
    <t>PPP-IPU-M290-01</t>
  </si>
  <si>
    <t>Stintino</t>
  </si>
  <si>
    <t>AQ1-IPU-L191-01</t>
  </si>
  <si>
    <t>Tolentino</t>
  </si>
  <si>
    <t>CL3-IPU-A162-01</t>
  </si>
  <si>
    <t>Albinea Consip</t>
  </si>
  <si>
    <t>PPP-IPU-A162-01</t>
  </si>
  <si>
    <t>Albinea PPP</t>
  </si>
  <si>
    <t>CL3-IPU-D458-01</t>
  </si>
  <si>
    <t>Faenza Consip</t>
  </si>
  <si>
    <t>CL3-IPU-D472-01</t>
  </si>
  <si>
    <t>Falconara Marittima Consip</t>
  </si>
  <si>
    <t>PPP-IPU-D472-01</t>
  </si>
  <si>
    <t>Falconara Marittima PPP</t>
  </si>
  <si>
    <t>CL3-IPU-D542-01</t>
  </si>
  <si>
    <t>Fermo Consip</t>
  </si>
  <si>
    <t>PPP-IPU-D542-01</t>
  </si>
  <si>
    <t>Fermo PPP</t>
  </si>
  <si>
    <t>CL3-IPU-E783-01</t>
  </si>
  <si>
    <t>Macerata Proroga Tecnica</t>
  </si>
  <si>
    <t>CL3-IPU-F522-01</t>
  </si>
  <si>
    <t>Montegranaro Consip</t>
  </si>
  <si>
    <t>CL3-IPU-G690-01</t>
  </si>
  <si>
    <t>Pioraco Consip</t>
  </si>
  <si>
    <t>CL3-IPU-G690-02</t>
  </si>
  <si>
    <t>Pioraco Proroga Tecnica</t>
  </si>
  <si>
    <t>CL3-IPU-I522-01</t>
  </si>
  <si>
    <t>Scheggia e Pascelupo Consip</t>
  </si>
  <si>
    <t>PPP-IPU-I522-01</t>
  </si>
  <si>
    <t>Scheggia e Pascelupo PPP</t>
  </si>
  <si>
    <t>PPP-IPU-I608-01</t>
  </si>
  <si>
    <t>Senigallia PL</t>
  </si>
  <si>
    <t xml:space="preserve">Roma Servizi per la Mobilità S.r.l. </t>
  </si>
  <si>
    <t>PPP-EEE-B294-03</t>
  </si>
  <si>
    <t>Bussi sul Tirino HM</t>
  </si>
  <si>
    <t>PPP-IPU-A047-01</t>
  </si>
  <si>
    <t>Acquaviva Picena</t>
  </si>
  <si>
    <t>PPP-IPU-A462-01</t>
  </si>
  <si>
    <t>Piceno Consorzio ind.</t>
  </si>
  <si>
    <t>PPP-IPU-A488-01</t>
  </si>
  <si>
    <t>Atri</t>
  </si>
  <si>
    <t>PPP-IPU-B294-01</t>
  </si>
  <si>
    <t>Bussi sul Tirino PL</t>
  </si>
  <si>
    <t>PPP-IPU-B826-01</t>
  </si>
  <si>
    <t>Carpineto Sinello</t>
  </si>
  <si>
    <t>PPP-IPU-C492-01</t>
  </si>
  <si>
    <t>Cerchio</t>
  </si>
  <si>
    <t>PPP-IPU-C767-01</t>
  </si>
  <si>
    <t>Lanuvio</t>
  </si>
  <si>
    <t>PPP-IPU-E558-01</t>
  </si>
  <si>
    <t>Lettomanoppello</t>
  </si>
  <si>
    <t>PPP-IPU-F582-01</t>
  </si>
  <si>
    <t>Monteodorisio</t>
  </si>
  <si>
    <t>PPP-IPU-F747-01</t>
  </si>
  <si>
    <t>Morro d'Oro PL</t>
  </si>
  <si>
    <t>PPP-IPU-G293-01</t>
  </si>
  <si>
    <t>Palombara Sabina</t>
  </si>
  <si>
    <t>PPP-IPU-G589-01</t>
  </si>
  <si>
    <t>Picciano</t>
  </si>
  <si>
    <t>PPP-IPU-G648-01</t>
  </si>
  <si>
    <t>Pieve Fosciana</t>
  </si>
  <si>
    <t>PPP-IPU-G878-01</t>
  </si>
  <si>
    <t>Popoli Terme</t>
  </si>
  <si>
    <t>PPP-IPU-G910-01</t>
  </si>
  <si>
    <t>Portocannone</t>
  </si>
  <si>
    <t>PPP-IPU-H052-01</t>
  </si>
  <si>
    <t>Pretoro</t>
  </si>
  <si>
    <t>PPP-IPU-H990-01</t>
  </si>
  <si>
    <t>San Martino In Pensilis</t>
  </si>
  <si>
    <t>PPP-IPU-I332-01</t>
  </si>
  <si>
    <t>Sant'Eufemia a Maiella</t>
  </si>
  <si>
    <t>PPP-IPU-I394-01</t>
  </si>
  <si>
    <t>San Vito Chietino</t>
  </si>
  <si>
    <t>PPP-IPU-I553-01</t>
  </si>
  <si>
    <t>Scurcola Marsicana</t>
  </si>
  <si>
    <t>PPP-IPU-L009-01</t>
  </si>
  <si>
    <t>Supino</t>
  </si>
  <si>
    <t>PPP-IPU-L505-01</t>
  </si>
  <si>
    <t>Ururi</t>
  </si>
  <si>
    <t>PPP-IPU-L850-01</t>
  </si>
  <si>
    <t>Vicopisano</t>
  </si>
  <si>
    <t>PPP-IPU-M367-01</t>
  </si>
  <si>
    <t>Polesine Zibello</t>
  </si>
  <si>
    <t>SEC-IPU-C750-01</t>
  </si>
  <si>
    <t>Città Sant'Angelo SEC</t>
  </si>
  <si>
    <t>PPP-IPU-A746-01</t>
  </si>
  <si>
    <t>Bellante PL</t>
  </si>
  <si>
    <t>CL3-IPU-F348-01</t>
  </si>
  <si>
    <t>Mondolfo Proroga Tecnica</t>
  </si>
  <si>
    <t>CL3-IPU-B352-02</t>
  </si>
  <si>
    <t>Cagli Proroga Tecnica</t>
  </si>
  <si>
    <t>CL3-IPU-G514-02</t>
  </si>
  <si>
    <t>Petriano Proroga tecnica</t>
  </si>
  <si>
    <t>Potenza Picena Proroga tecnica</t>
  </si>
  <si>
    <t>PPP-IPU-F632-01</t>
  </si>
  <si>
    <t>Potenza Picena PPP</t>
  </si>
  <si>
    <t>PPP-IPU-E783-01</t>
  </si>
  <si>
    <t>Macerata PPP</t>
  </si>
  <si>
    <t>PPP-IPU-G690-01</t>
  </si>
  <si>
    <t>Pioraco PPP</t>
  </si>
  <si>
    <t>PPP-IPU-F348-01</t>
  </si>
  <si>
    <t>Mondolfo PPP</t>
  </si>
  <si>
    <t>PPP-IPU-H501-02</t>
  </si>
  <si>
    <t>PPP-IPU-I242-01</t>
  </si>
  <si>
    <t>Santa Maria di Sala</t>
  </si>
  <si>
    <t>SEC-PHV-L736-01</t>
  </si>
  <si>
    <t>Vier Scarl (Eco + Eco)</t>
  </si>
  <si>
    <t>PPP-EEE-L736-01</t>
  </si>
  <si>
    <t>Venezia HM</t>
  </si>
  <si>
    <t>PPP-IPU-D578-01</t>
  </si>
  <si>
    <t>Fiesso d'Artico</t>
  </si>
  <si>
    <t>PPP-IPU-D748-01</t>
  </si>
  <si>
    <t>Fossò</t>
  </si>
  <si>
    <t>PPP-IPU-F229-01</t>
  </si>
  <si>
    <t>Mira</t>
  </si>
  <si>
    <t>PPP-IPU-F241-01</t>
  </si>
  <si>
    <t>Mirano</t>
  </si>
  <si>
    <t>PPP-IPU-G957-01</t>
  </si>
  <si>
    <t>Pozzoleone</t>
  </si>
  <si>
    <t>PPP-IPU-I799-01</t>
  </si>
  <si>
    <t>Solesino</t>
  </si>
  <si>
    <t>PPP-IPU-I965-01</t>
  </si>
  <si>
    <t>Stra</t>
  </si>
  <si>
    <t>PPP-IPU-L736-02</t>
  </si>
  <si>
    <t>Venezia PL</t>
  </si>
  <si>
    <t>PPP-EEE-C638-01</t>
  </si>
  <si>
    <t>Chioggia Building</t>
  </si>
  <si>
    <t>PPP-IPU-C638-01</t>
  </si>
  <si>
    <t>Chioggia</t>
  </si>
  <si>
    <t>PPP-IPU-L424-01</t>
  </si>
  <si>
    <t>Trieste</t>
  </si>
  <si>
    <t>SEC-IPU-L781-01</t>
  </si>
  <si>
    <t>Payanini Center Rugby</t>
  </si>
  <si>
    <t>PPP-IPU-B959-01</t>
  </si>
  <si>
    <t>Caselle in Pittari</t>
  </si>
  <si>
    <t>PPP-IPU-H834-01</t>
  </si>
  <si>
    <t>San Felice a Cancello</t>
  </si>
  <si>
    <t>PPP-IPU-M428-01</t>
  </si>
  <si>
    <t>Presicce-Acquarica</t>
  </si>
  <si>
    <t>PPP-IPU-I677-01</t>
  </si>
  <si>
    <t>Sessa Cilento</t>
  </si>
  <si>
    <t>PPP-IPU-F916-01</t>
  </si>
  <si>
    <t>Nociglia</t>
  </si>
  <si>
    <t>ATI-IPU-I060-01</t>
  </si>
  <si>
    <t>San Nicola Arcella</t>
  </si>
  <si>
    <t>PPP-IPU-B437-01</t>
  </si>
  <si>
    <t>Calvanico</t>
  </si>
  <si>
    <t>PPP-IPU-B872-01</t>
  </si>
  <si>
    <t>Casal di Principe</t>
  </si>
  <si>
    <t>PPP-IPU-G663-01</t>
  </si>
  <si>
    <t>Pignola</t>
  </si>
  <si>
    <t>PPP-IPU-E227-01</t>
  </si>
  <si>
    <t>Guagnano</t>
  </si>
  <si>
    <t>PPP-IPU-M269-01</t>
  </si>
  <si>
    <t>Paterno</t>
  </si>
  <si>
    <t>PPP-IPU-B521-01</t>
  </si>
  <si>
    <t>Campobello di Mazara</t>
  </si>
  <si>
    <t>ATI-IPU-A887-01</t>
  </si>
  <si>
    <t>Bisignano</t>
  </si>
  <si>
    <t>ATI-IPU-F109-01</t>
  </si>
  <si>
    <t>Melissano</t>
  </si>
  <si>
    <t>ATI-IPU-F481-01</t>
  </si>
  <si>
    <t>Montecorvino Rovella</t>
  </si>
  <si>
    <t>ATI-IPU-G325-01</t>
  </si>
  <si>
    <t>Parabita</t>
  </si>
  <si>
    <t>ATI-IPU-G616-01</t>
  </si>
  <si>
    <t>Pietragalla</t>
  </si>
  <si>
    <t>ATI-IPU-H943-01</t>
  </si>
  <si>
    <t>San Gregorio Magno</t>
  </si>
  <si>
    <t>ATI-IPU-I307-01</t>
  </si>
  <si>
    <t>Sant'Arsenio</t>
  </si>
  <si>
    <t>CL4</t>
  </si>
  <si>
    <t>CL4-IPU-A024-01</t>
  </si>
  <si>
    <t>Acerra</t>
  </si>
  <si>
    <t>CL4-IPU-B925-01</t>
  </si>
  <si>
    <t>Casandrino</t>
  </si>
  <si>
    <t>CL4-IPU-B946-01</t>
  </si>
  <si>
    <t>Casavatore</t>
  </si>
  <si>
    <t>CL4-IPU-D170-01</t>
  </si>
  <si>
    <t>Crispano</t>
  </si>
  <si>
    <t>CL4-IPU-D643-01</t>
  </si>
  <si>
    <t>Foggia</t>
  </si>
  <si>
    <t>CL4-IPU-E885-01</t>
  </si>
  <si>
    <t>Manfredonia</t>
  </si>
  <si>
    <t>CL4-IPU-E955-01</t>
  </si>
  <si>
    <t>Marigliano</t>
  </si>
  <si>
    <t>CL4-IPU-G283-01</t>
  </si>
  <si>
    <t>Palma Campania</t>
  </si>
  <si>
    <t>CL4-IPU-G762-01</t>
  </si>
  <si>
    <t>Poggiomarino</t>
  </si>
  <si>
    <t>CL4-IPU-H703-01</t>
  </si>
  <si>
    <t>Salerno</t>
  </si>
  <si>
    <t>CL4-IPU-H985-01</t>
  </si>
  <si>
    <t>San Marco in Lamis</t>
  </si>
  <si>
    <t>CL4-IPU-I054-01</t>
  </si>
  <si>
    <t>San Nicandro Garganico</t>
  </si>
  <si>
    <t>CL4-IPU-I540-01</t>
  </si>
  <si>
    <t>Scisciano</t>
  </si>
  <si>
    <t>CL4-IPU-L142-01</t>
  </si>
  <si>
    <t>Terzigno</t>
  </si>
  <si>
    <t>CL4-IPU-M115-01</t>
  </si>
  <si>
    <t>Volla</t>
  </si>
  <si>
    <t>PPP-IPU-A017-01</t>
  </si>
  <si>
    <t>Accettura</t>
  </si>
  <si>
    <t>PPP-IPU-A208-01</t>
  </si>
  <si>
    <t>Alliste</t>
  </si>
  <si>
    <t>PPP-IPU-A339-01</t>
  </si>
  <si>
    <t>Apricena</t>
  </si>
  <si>
    <t>PPP-IPU-A350-01</t>
  </si>
  <si>
    <t>Aradeo (Pj Elena)</t>
  </si>
  <si>
    <t>PPP-IPU-A519-01</t>
  </si>
  <si>
    <t>Avigliano PL</t>
  </si>
  <si>
    <t>PPP-IPU-A615-01</t>
  </si>
  <si>
    <t>Baragiano</t>
  </si>
  <si>
    <t>PPP-IPU-A674-01</t>
  </si>
  <si>
    <t>Baronissi</t>
  </si>
  <si>
    <t>PPP-IPU-A743-01</t>
  </si>
  <si>
    <t>Bella</t>
  </si>
  <si>
    <t>PPP-IPU-A854-01</t>
  </si>
  <si>
    <t>Biccari</t>
  </si>
  <si>
    <t>PPP-IPU-A942-01</t>
  </si>
  <si>
    <t>Nova Siri</t>
  </si>
  <si>
    <t>PPP-IPU-B115-01</t>
  </si>
  <si>
    <t>Bracigliano</t>
  </si>
  <si>
    <t>PPP-IPU-B180-01</t>
  </si>
  <si>
    <t>ASI Brindisi</t>
  </si>
  <si>
    <t>PPP-IPU-B391-01</t>
  </si>
  <si>
    <t>Calciano</t>
  </si>
  <si>
    <t>PPP-IPU-B415-01</t>
  </si>
  <si>
    <t>Calitri</t>
  </si>
  <si>
    <t>PPP-IPU-B476-01</t>
  </si>
  <si>
    <t>Camerota</t>
  </si>
  <si>
    <t>PPP-IPU-B506-01</t>
  </si>
  <si>
    <t>Campi Salentina</t>
  </si>
  <si>
    <t>PPP-IPU-C231-01</t>
  </si>
  <si>
    <t>Castelnuovo Cilento</t>
  </si>
  <si>
    <t>PPP-IPU-C334-01</t>
  </si>
  <si>
    <t>Castri di Lecce (Pj Elena)</t>
  </si>
  <si>
    <t>PPP-IPU-C448-01</t>
  </si>
  <si>
    <t>Cellino San Marco (Pj Elena) PL</t>
  </si>
  <si>
    <t>PPP-IPU-C485-01</t>
  </si>
  <si>
    <t>Ceraso</t>
  </si>
  <si>
    <t>PPP-IPU-C717-01</t>
  </si>
  <si>
    <t>Santa Maria del Cedro</t>
  </si>
  <si>
    <t>PPP-IPU-D171-01</t>
  </si>
  <si>
    <t>Crispiano</t>
  </si>
  <si>
    <t>PPP-IPU-D223-01</t>
  </si>
  <si>
    <t>Cursi</t>
  </si>
  <si>
    <t>PPP-IPU-D361-01</t>
  </si>
  <si>
    <t>Dragoni</t>
  </si>
  <si>
    <t>PPP-IPU-D464-01</t>
  </si>
  <si>
    <t>Fagnano Castello</t>
  </si>
  <si>
    <t>PPP-IPU-D593-01</t>
  </si>
  <si>
    <t>Filiano PL</t>
  </si>
  <si>
    <t>PPP-IPU-D615-01</t>
  </si>
  <si>
    <t>Fisciano</t>
  </si>
  <si>
    <t>PPP-IPU-D883-01</t>
  </si>
  <si>
    <t>Gallipoli (Pj Elena) PL</t>
  </si>
  <si>
    <t>PPP-IPU-E026-01</t>
  </si>
  <si>
    <t>Giffoni Sei Casali</t>
  </si>
  <si>
    <t>PPP-IPU-E033-01</t>
  </si>
  <si>
    <t>Ginestra</t>
  </si>
  <si>
    <t>PPP-IPU-E053-01</t>
  </si>
  <si>
    <t>Giuggianello</t>
  </si>
  <si>
    <t>PPP-IPU-E498-01</t>
  </si>
  <si>
    <t>Laviano</t>
  </si>
  <si>
    <t>PPP-IPU-E630-01</t>
  </si>
  <si>
    <t>Lizzano</t>
  </si>
  <si>
    <t>PPP-IPU-E716-01</t>
  </si>
  <si>
    <t>Lucera</t>
  </si>
  <si>
    <t>PPP-IPU-E882-01</t>
  </si>
  <si>
    <t>Manduria (Pj Elena) PL</t>
  </si>
  <si>
    <t>PPP-IPU-E919-01</t>
  </si>
  <si>
    <t>Maratea</t>
  </si>
  <si>
    <t>PPP-IPU-E976-01</t>
  </si>
  <si>
    <t>Marsico Nuovo</t>
  </si>
  <si>
    <t>PPP-IPU-F201-01</t>
  </si>
  <si>
    <t>Miglionico</t>
  </si>
  <si>
    <t>PPP-IPU-F370-01</t>
  </si>
  <si>
    <t>Mongrassano</t>
  </si>
  <si>
    <t>PPP-IPU-F637-01</t>
  </si>
  <si>
    <t>Montescaglioso</t>
  </si>
  <si>
    <t>PPP-IPU-F843-01</t>
  </si>
  <si>
    <t>Nardodipace</t>
  </si>
  <si>
    <t>PPP-IPU-F915-01</t>
  </si>
  <si>
    <t>Noci</t>
  </si>
  <si>
    <t>PPP-IPU-G023-01</t>
  </si>
  <si>
    <t>Olevano sul Tusciano</t>
  </si>
  <si>
    <t>PPP-IPU-G136-01</t>
  </si>
  <si>
    <t>Ortelle</t>
  </si>
  <si>
    <t>PPP-IPU-G226-01</t>
  </si>
  <si>
    <t>Padula</t>
  </si>
  <si>
    <t>PPP-IPU-G230-01</t>
  </si>
  <si>
    <t>Pagani</t>
  </si>
  <si>
    <t>PPP-IPU-G348-01</t>
  </si>
  <si>
    <t>Partinico</t>
  </si>
  <si>
    <t>PPP-IPU-G426-01</t>
  </si>
  <si>
    <t>Pellezzano PL</t>
  </si>
  <si>
    <t>PPP-IPU-G590-01</t>
  </si>
  <si>
    <t>Picerno</t>
  </si>
  <si>
    <t>PPP-IPU-G707-01</t>
  </si>
  <si>
    <t>Pisciotta</t>
  </si>
  <si>
    <t>PPP-IPU-G751-01</t>
  </si>
  <si>
    <t>Poggiardo</t>
  </si>
  <si>
    <t>PPP-IPU-G761-01</t>
  </si>
  <si>
    <t>Poggio Imperiale</t>
  </si>
  <si>
    <t>PPP-IPU-G806-01</t>
  </si>
  <si>
    <t>Pomarico</t>
  </si>
  <si>
    <t>PPP-IPU-H147-01</t>
  </si>
  <si>
    <t>Racale</t>
  </si>
  <si>
    <t>PPP-IPU-H307-01</t>
  </si>
  <si>
    <t>Rionero in Vulture</t>
  </si>
  <si>
    <t>PPP-IPU-H641-01</t>
  </si>
  <si>
    <t>Ruoti</t>
  </si>
  <si>
    <t>PPP-IPU-H793-01</t>
  </si>
  <si>
    <t>San Cesario di Lecce (Pj Elena)</t>
  </si>
  <si>
    <t>PPP-IPU-H795-01</t>
  </si>
  <si>
    <t>San Chirico Nuovo</t>
  </si>
  <si>
    <t>PPP-IPU-I019-01</t>
  </si>
  <si>
    <t>San Marzano sul Sarno</t>
  </si>
  <si>
    <t>PPP-IPU-I305-01</t>
  </si>
  <si>
    <t>Sant'arcangelo</t>
  </si>
  <si>
    <t>PPP-IPU-I457-01</t>
  </si>
  <si>
    <t>Sasso di Castalda</t>
  </si>
  <si>
    <t>PPP-IPU-I780-01</t>
  </si>
  <si>
    <t>Sogliano Cavour</t>
  </si>
  <si>
    <t>PPP-IPU-I805-01</t>
  </si>
  <si>
    <t>Solofra</t>
  </si>
  <si>
    <t>PPP-IPU-I917-01</t>
  </si>
  <si>
    <t>Spinoso</t>
  </si>
  <si>
    <t>PPP-IPU-L008-01</t>
  </si>
  <si>
    <t>Supersano</t>
  </si>
  <si>
    <t>PPP-IPU-L074-01</t>
  </si>
  <si>
    <t>Taviano</t>
  </si>
  <si>
    <t>PPP-IPU-L326-01</t>
  </si>
  <si>
    <t>Tramutola</t>
  </si>
  <si>
    <t>PPP-IPU-L484-01</t>
  </si>
  <si>
    <t>Ugento (Pj Elena)</t>
  </si>
  <si>
    <t>PPP-IPU-L656-01</t>
  </si>
  <si>
    <t>Valva</t>
  </si>
  <si>
    <t>PPP-IPU-L835-01</t>
  </si>
  <si>
    <t>Vibonati</t>
  </si>
  <si>
    <t>SEC-IPU-F573-01</t>
  </si>
  <si>
    <t>Montemurro</t>
  </si>
  <si>
    <t>PPP-IPU-A415-01</t>
  </si>
  <si>
    <t>Armento</t>
  </si>
  <si>
    <t>PPP-IPU-D234-01</t>
  </si>
  <si>
    <t>Custonaci</t>
  </si>
  <si>
    <t>PPP-IPU-E974-01</t>
  </si>
  <si>
    <t>Marsala</t>
  </si>
  <si>
    <t>PPP-IPU-F065-01</t>
  </si>
  <si>
    <t>Mazzarino</t>
  </si>
  <si>
    <t>PPP-IPU-F206-01</t>
  </si>
  <si>
    <t>Milazzo</t>
  </si>
  <si>
    <t>ATI-IPU-G616-02</t>
  </si>
  <si>
    <t>Pietragalla Rinnovo</t>
  </si>
  <si>
    <t>PPP-IPU-G187-01</t>
  </si>
  <si>
    <t>Ostuni PL</t>
  </si>
  <si>
    <t>Genera</t>
  </si>
  <si>
    <t>PPP-IPU-C388-01</t>
  </si>
  <si>
    <t>Jesolo</t>
  </si>
  <si>
    <t>PPP-IPU-C422-01</t>
  </si>
  <si>
    <t>Ceggia</t>
  </si>
  <si>
    <t>Carollo</t>
  </si>
  <si>
    <t>PPP-IPU-C824-01</t>
  </si>
  <si>
    <t>Cogollo del Cengio</t>
  </si>
  <si>
    <t>PPP-IPU-C951-01</t>
  </si>
  <si>
    <t>Concordia sulla Secchia</t>
  </si>
  <si>
    <t>PPP-IPU-D184-01</t>
  </si>
  <si>
    <t>Crosia</t>
  </si>
  <si>
    <t>PPP-IPU-D415-01</t>
  </si>
  <si>
    <t>Eraclea</t>
  </si>
  <si>
    <t>PPP-IPU-D740-01</t>
  </si>
  <si>
    <t>Fossalta di Piave</t>
  </si>
  <si>
    <t>PPP-IPU-F130-01</t>
  </si>
  <si>
    <t>Meolo</t>
  </si>
  <si>
    <t>PPP-IPU-F826-01</t>
  </si>
  <si>
    <t>Musile di Piave</t>
  </si>
  <si>
    <t>PPP-IPU-F963-01</t>
  </si>
  <si>
    <t>Noventa di Piave</t>
  </si>
  <si>
    <t>PPP-IPU-G560-01</t>
  </si>
  <si>
    <t>Pianezze</t>
  </si>
  <si>
    <t>PPP-IPU-G587-01</t>
  </si>
  <si>
    <t>Piazzola sul Brenta</t>
  </si>
  <si>
    <t>Future Service</t>
  </si>
  <si>
    <t>PPP-IPU-H090-01</t>
  </si>
  <si>
    <t>Pulsano</t>
  </si>
  <si>
    <t>PPP-IPU-H580-01</t>
  </si>
  <si>
    <t>Rossano Veneto</t>
  </si>
  <si>
    <t>PPP-IPU-H823-01</t>
  </si>
  <si>
    <t>San Donà di Piave</t>
  </si>
  <si>
    <t>PPP-IPU-I895-01</t>
  </si>
  <si>
    <t>Spezzano Albanese</t>
  </si>
  <si>
    <t>PPP-IPU-M426-01</t>
  </si>
  <si>
    <t>Colceresa</t>
  </si>
  <si>
    <t>PPP-IPU-I059-01</t>
  </si>
  <si>
    <t>Sannicola</t>
  </si>
  <si>
    <t>PPP-IPU-F399-01</t>
  </si>
  <si>
    <t>Montalbano Jonico</t>
  </si>
  <si>
    <t>PPP-IPU-H994-01</t>
  </si>
  <si>
    <t>San Martino D'Agri</t>
  </si>
  <si>
    <t>PPP-IPU-L532-01</t>
  </si>
  <si>
    <t>Vaglio Basilicata</t>
  </si>
  <si>
    <t>Extra Revenues</t>
  </si>
  <si>
    <t>EPC-IPU-I480-02</t>
  </si>
  <si>
    <t>EPC-IPU-G867-01</t>
  </si>
  <si>
    <t>EPC-IPU-L703-01</t>
  </si>
  <si>
    <t>EPC-IPU-F165-01</t>
  </si>
  <si>
    <t>EPC-IPU-D946-01</t>
  </si>
  <si>
    <t>EPC-IPU-B628-01</t>
  </si>
  <si>
    <t>EPC-IPU-D812-01</t>
  </si>
  <si>
    <t>EPC-IPU-G674-01</t>
  </si>
  <si>
    <t>EPC-IPU-H498-01</t>
  </si>
  <si>
    <t>EPC-IPU-M122-01</t>
  </si>
  <si>
    <t>EPC-IPU-A371-01</t>
  </si>
  <si>
    <t>EPC-IPU-A413-01</t>
  </si>
  <si>
    <t>EPC-IPU-A683-01</t>
  </si>
  <si>
    <t>EPC-IPU-B162-01</t>
  </si>
  <si>
    <t>EPC-IPU-B593-01</t>
  </si>
  <si>
    <t>EPC-IPU-B671-01</t>
  </si>
  <si>
    <t>EPC-IPU-B731-01</t>
  </si>
  <si>
    <t>EPC-IPU-B754-01</t>
  </si>
  <si>
    <t>EPC-IPU-C752-01</t>
  </si>
  <si>
    <t>EPC-IPU-D869-01</t>
  </si>
  <si>
    <t>EPC-IPU-E951-01</t>
  </si>
  <si>
    <t>EPC-IPU-F736-01</t>
  </si>
  <si>
    <t>EPC-IPU-F952-01</t>
  </si>
  <si>
    <t>EPC-IPU-H240-01</t>
  </si>
  <si>
    <t>EPC-IPU-H601-01</t>
  </si>
  <si>
    <t>EPC-IPU-H602-01</t>
  </si>
  <si>
    <t>EPC-IPU-H930-01</t>
  </si>
  <si>
    <t>EPC-IPU-I441-01</t>
  </si>
  <si>
    <t>EPC-IPU-L415-01</t>
  </si>
  <si>
    <t>EPC-IPU-A697-01</t>
  </si>
  <si>
    <t>EPC-IPU-B216-01</t>
  </si>
  <si>
    <t>EPC-IPU-D012-01</t>
  </si>
  <si>
    <t>EPC-IPU-E152-01</t>
  </si>
  <si>
    <t>EPC-IPU-E569-01</t>
  </si>
  <si>
    <t>EPC-IPU-F874-01</t>
  </si>
  <si>
    <t>EPC-IPU-L285-01</t>
  </si>
  <si>
    <t>EPC-IPU-L356-01</t>
  </si>
  <si>
    <t>EPC-IPU-A845-01</t>
  </si>
  <si>
    <t>EPC-IPU-B593-02</t>
  </si>
  <si>
    <t>EPC-IPU-C752-02</t>
  </si>
  <si>
    <t>EPC-IPU-I441-02</t>
  </si>
  <si>
    <t>EPC-IPU-M060-02</t>
  </si>
  <si>
    <t>EPC-IPU-L191-01</t>
  </si>
  <si>
    <t>EPC-IPU-A162-01</t>
  </si>
  <si>
    <t>EPC-IPU-D472-01</t>
  </si>
  <si>
    <t>EPC-IPU-F522-01</t>
  </si>
  <si>
    <t>EPC-IPU-G690-01</t>
  </si>
  <si>
    <t>EPC-IPU-I522-01</t>
  </si>
  <si>
    <t>EPC-IPU-I242-01</t>
  </si>
  <si>
    <t>EPC-EEE-L736-02</t>
  </si>
  <si>
    <t>EPC-IPU-D578-01</t>
  </si>
  <si>
    <t>EPC-IPU-D748-01</t>
  </si>
  <si>
    <t>EPC-IPU-F229-01</t>
  </si>
  <si>
    <t>EPC-IPU-F241-01</t>
  </si>
  <si>
    <t>EPC-IPU-G957-01</t>
  </si>
  <si>
    <t>EPC-IPU-I799-01</t>
  </si>
  <si>
    <t>EPC-IPU-I965-01</t>
  </si>
  <si>
    <t>EPC-IPU-L736-01</t>
  </si>
  <si>
    <t>EPC-EEE-C638-01</t>
  </si>
  <si>
    <t>EPC-IPU-C638-01</t>
  </si>
  <si>
    <t>EPC-IPU-L424-01</t>
  </si>
  <si>
    <t>EPC-IPU-A674-01</t>
  </si>
  <si>
    <t>EPC-IPU-A854-01</t>
  </si>
  <si>
    <t>EPC-IPU-C717-01</t>
  </si>
  <si>
    <t>EPC-IPU-D464-01</t>
  </si>
  <si>
    <t>EPC-IPU-E716-01</t>
  </si>
  <si>
    <t>EPC-IPU-E882-01</t>
  </si>
  <si>
    <t>EPC-IPU-G226-01</t>
  </si>
  <si>
    <t>EPC-IPU-G751-01</t>
  </si>
  <si>
    <t>EPC-IPU-G806-01</t>
  </si>
  <si>
    <t>EPC-IPU-H641-01</t>
  </si>
  <si>
    <t>EPC-IPU-C388-01</t>
  </si>
  <si>
    <t>EPC-IPU-C824-01</t>
  </si>
  <si>
    <t>EPC-IPU-C951-01</t>
  </si>
  <si>
    <t>EPC-IPU-D184-01</t>
  </si>
  <si>
    <t>EPC-IPU-D415-01</t>
  </si>
  <si>
    <t>EPC-IPU-D740-01</t>
  </si>
  <si>
    <t>EPC-IPU-F130-01</t>
  </si>
  <si>
    <t>EPC-IPU-F826-01</t>
  </si>
  <si>
    <t>EPC-IPU-G560-01</t>
  </si>
  <si>
    <t>EPC-IPU-G587-01</t>
  </si>
  <si>
    <t>EPC-IPU-H090-01</t>
  </si>
  <si>
    <t>EPC-IPU-H580-01</t>
  </si>
  <si>
    <t>EPC-IPU-H823-01</t>
  </si>
  <si>
    <t>EPC-IPU-I895-01</t>
  </si>
  <si>
    <t>EPC-IPU-M426-01</t>
  </si>
  <si>
    <t>EPC-IPU-I059-01</t>
  </si>
  <si>
    <t>EPC-IPU-F399-01</t>
  </si>
  <si>
    <t>EPC-IPU-H994-01</t>
  </si>
  <si>
    <t>EPC-IPU-L532-01</t>
  </si>
  <si>
    <t>EPC-IPU-M060-01</t>
  </si>
  <si>
    <t>EPC-IPU-B885-01</t>
  </si>
  <si>
    <t>EPC-IPU-A371-02</t>
  </si>
  <si>
    <t>EPC-IPU-L415-02</t>
  </si>
  <si>
    <t>EPC-IPU-C422-01</t>
  </si>
  <si>
    <t>EPC-IPU-F963-01</t>
  </si>
  <si>
    <t>One Off Works</t>
  </si>
  <si>
    <t>EPC-IPU-F704-03</t>
  </si>
  <si>
    <t>Provincia MZ-BZ</t>
  </si>
  <si>
    <t>Città Metropolitana di Milano</t>
  </si>
  <si>
    <t>EPC-EEE-L736-01</t>
  </si>
  <si>
    <t>Sacca San Biagio</t>
  </si>
  <si>
    <t>VIER</t>
  </si>
  <si>
    <t>Provincia di Potenza - One Off Works</t>
  </si>
  <si>
    <t>Sales</t>
  </si>
  <si>
    <t>Gare lavori</t>
  </si>
  <si>
    <t>Lavori fotovoltaico</t>
  </si>
  <si>
    <t>VIER SG31</t>
  </si>
  <si>
    <t>VIER smart metering</t>
  </si>
  <si>
    <t>EPC-PHV-L736-04</t>
  </si>
  <si>
    <t>VIER monitoraggio</t>
  </si>
  <si>
    <t>Chioggia mobility</t>
  </si>
  <si>
    <t>Chioggia Arena</t>
  </si>
  <si>
    <t>EPC-PHV-L736-03</t>
  </si>
  <si>
    <t>VIER ex Alcoa</t>
  </si>
  <si>
    <t>EPC-IPU-H943-01</t>
  </si>
  <si>
    <t>A2A</t>
  </si>
  <si>
    <t>Sales of Goods</t>
  </si>
  <si>
    <t>Elena fornitura materiali</t>
  </si>
  <si>
    <t>EPC-IPU-E053-02</t>
  </si>
  <si>
    <t>Campi Salentina (Pj Elena)</t>
  </si>
  <si>
    <t>Cellino San Marco (Pj Elena) HM</t>
  </si>
  <si>
    <t>Copertino (Pj Elena)</t>
  </si>
  <si>
    <t>Galatone (Pj Elena)</t>
  </si>
  <si>
    <t>Gallipoli (Pj Elena) HM</t>
  </si>
  <si>
    <t>Guagnano (Pj Elena)</t>
  </si>
  <si>
    <t>Leverano (Pj Elena)</t>
  </si>
  <si>
    <t>Lizzanello (Pj Elena)</t>
  </si>
  <si>
    <t>Manduria (Pj Elena) HM</t>
  </si>
  <si>
    <t>Maruggio (Pj Elena)</t>
  </si>
  <si>
    <t>Saleci Salentino (Pj Elena)</t>
  </si>
  <si>
    <t>San Donaci (Pj Elena)</t>
  </si>
  <si>
    <t>Squinzano (Pj Elena)</t>
  </si>
  <si>
    <t>Surbo (Pj Elena)</t>
  </si>
  <si>
    <t>Trepuzzi (Pj Elena)</t>
  </si>
  <si>
    <t>Veglie (Pj Elena)</t>
  </si>
  <si>
    <t>Other Capex</t>
  </si>
  <si>
    <t>Altri capex 1</t>
  </si>
  <si>
    <t>Altri capex 2</t>
  </si>
  <si>
    <t>Altri capex 3</t>
  </si>
  <si>
    <t>Altri capex 4</t>
  </si>
  <si>
    <t>Elena Incentives</t>
  </si>
  <si>
    <t>PV incentives South</t>
  </si>
  <si>
    <t>PV incentives Centre</t>
  </si>
  <si>
    <t>Provvigioni a intermediari</t>
  </si>
  <si>
    <t>Progetto PBCS</t>
  </si>
  <si>
    <t>PPP-IPU-I489-01</t>
  </si>
  <si>
    <t>Scalea</t>
  </si>
  <si>
    <t>PPP-IPU-I145-01</t>
  </si>
  <si>
    <t>San Salvatore Telesino</t>
  </si>
  <si>
    <t>PPP-IPU-M428-02</t>
  </si>
  <si>
    <t>Presicce</t>
  </si>
  <si>
    <t>CL3-IPU-F952-02</t>
  </si>
  <si>
    <t>Novara</t>
  </si>
  <si>
    <t>PPP-IPU-C650-01</t>
  </si>
  <si>
    <t>Chiuppano</t>
  </si>
  <si>
    <t>PPP-IPU-D269-01</t>
  </si>
  <si>
    <t>Deliceto</t>
  </si>
  <si>
    <t>PPP-IPU-G694-01</t>
  </si>
  <si>
    <t>Piovene Rocchette</t>
  </si>
  <si>
    <t>PPP-EEE-B506-04</t>
  </si>
  <si>
    <t>CL3-IPU-G514-01</t>
  </si>
  <si>
    <t>Petriano</t>
  </si>
  <si>
    <t>PPP-IPU-C888-01</t>
  </si>
  <si>
    <t>Colobraro</t>
  </si>
  <si>
    <t>PPP-IPU-C058-01</t>
  </si>
  <si>
    <t>Castel Baronia</t>
  </si>
  <si>
    <t>Smart City</t>
  </si>
  <si>
    <t>PPP-VS-C638-01</t>
  </si>
  <si>
    <t>Chioggia videosorveglianza</t>
  </si>
  <si>
    <t>PPP-IPU-G543-01</t>
  </si>
  <si>
    <t>Albanesi</t>
  </si>
  <si>
    <t>PPP-EEE-C638-03</t>
  </si>
  <si>
    <t>PPP-IPU-G514-01</t>
  </si>
  <si>
    <t>PPP-IPU-A479-01</t>
  </si>
  <si>
    <t>Asti</t>
  </si>
  <si>
    <t>AQ1-IPU-L191-02</t>
  </si>
  <si>
    <t>EPC-IPU-G426-02</t>
  </si>
  <si>
    <t>Pellezzano</t>
  </si>
  <si>
    <t>EPC-IPU-D542-01</t>
  </si>
  <si>
    <t>Fermo</t>
  </si>
  <si>
    <t>EPC-IPU-B162-03</t>
  </si>
  <si>
    <t>Bresso</t>
  </si>
  <si>
    <t>EPC-IPU-G616-01</t>
  </si>
  <si>
    <t>EPC-IPU-C767-02</t>
  </si>
  <si>
    <t>EPC-IPU-C717-02</t>
  </si>
  <si>
    <t>EPC-IPU-I696-01</t>
  </si>
  <si>
    <t>CL3-IPU-F632-01</t>
  </si>
  <si>
    <t>EPC-IPU-E951-04</t>
  </si>
  <si>
    <t>Illegno SRL</t>
  </si>
  <si>
    <t>EPC-IPU-F632-02</t>
  </si>
  <si>
    <t>Potenza Picena</t>
  </si>
  <si>
    <t>EPC-IPU-D869-02</t>
  </si>
  <si>
    <t>Gallarate</t>
  </si>
  <si>
    <t>EPC-IPU-A413-06</t>
  </si>
  <si>
    <t>EPC-IPU-B162-04</t>
  </si>
  <si>
    <t>EPC-IPU-F736-02</t>
  </si>
  <si>
    <t>Agora</t>
  </si>
  <si>
    <t>EPC-IPU-F348-04</t>
  </si>
  <si>
    <t>Mondolfo</t>
  </si>
  <si>
    <t>EPC-IPU-F201-01</t>
  </si>
  <si>
    <t>EPC-IPU-I441-04</t>
  </si>
  <si>
    <t>Saronno</t>
  </si>
  <si>
    <t>EPC-IPU-M426-02</t>
  </si>
  <si>
    <t>COLCERESA</t>
  </si>
  <si>
    <t>EPC-IPU-I696-02</t>
  </si>
  <si>
    <t>EPC-IPU-F348-01</t>
  </si>
  <si>
    <t>CL3-IPU-B352-01</t>
  </si>
  <si>
    <t>Cagli</t>
  </si>
  <si>
    <t>EPC-IPU-F952-03</t>
  </si>
  <si>
    <t>EPC-IPU-E951-03</t>
  </si>
  <si>
    <t>EPC-IPU-G560-03</t>
  </si>
  <si>
    <t>EPC-IPU-F632-01</t>
  </si>
  <si>
    <t>EPC-IPU-F952-02</t>
  </si>
  <si>
    <t>EPC-IPU-G136-01</t>
  </si>
  <si>
    <t>EPC-IPU-E919-02</t>
  </si>
  <si>
    <t>EPC-IPU-I608-04</t>
  </si>
  <si>
    <t>Senigallia</t>
  </si>
  <si>
    <t>EPC-IPU-D458-01</t>
  </si>
  <si>
    <t>Faenza</t>
  </si>
  <si>
    <t>EPC-IPU-F736-03</t>
  </si>
  <si>
    <t>Bel Guardo</t>
  </si>
  <si>
    <t>Other</t>
  </si>
  <si>
    <t>SINISTRI</t>
  </si>
  <si>
    <t>overheads</t>
  </si>
  <si>
    <t>STRUTTURA BU NORD</t>
  </si>
  <si>
    <t>SEC-CIM-D593-01</t>
  </si>
  <si>
    <t>Filiano</t>
  </si>
  <si>
    <t>CABLAGGIO MLS</t>
  </si>
  <si>
    <t>SEC-PHV-D593-01</t>
  </si>
  <si>
    <t>STRUTTURA</t>
  </si>
  <si>
    <t>SEC-CIM-A519-01</t>
  </si>
  <si>
    <t>Avigliano</t>
  </si>
  <si>
    <t>SEC-CIM-E033-01</t>
  </si>
  <si>
    <t>PREVENTIVI SELETTRA</t>
  </si>
  <si>
    <t>STRUTTURA BU CENTRO</t>
  </si>
  <si>
    <t>STRUTTURA BU SUD</t>
  </si>
  <si>
    <t>MANUTENZIONE MEZZI AZIENDALI</t>
  </si>
  <si>
    <t>CONSUMABILI</t>
  </si>
  <si>
    <t>STRUTTURA BU NORD OVEST</t>
  </si>
  <si>
    <t>SEC-PHV-A519-06</t>
  </si>
  <si>
    <t>SEC-PHV-F415-01</t>
  </si>
  <si>
    <t>Montalto Delle Marche</t>
  </si>
  <si>
    <t>SEC-PHV-M269-01</t>
  </si>
  <si>
    <t>SEC-PHV-M269-03</t>
  </si>
  <si>
    <t>L104 PERMESSI</t>
  </si>
  <si>
    <t>PPP-EEE-C638-02</t>
  </si>
  <si>
    <t>SEC-PHV-I457-01</t>
  </si>
  <si>
    <t>SEC-PHV-A519-05</t>
  </si>
  <si>
    <t>NUMERO VERDE</t>
  </si>
  <si>
    <t>STRUTTURA BU NORD EST</t>
  </si>
  <si>
    <t>SEC-PHV-A519-01</t>
  </si>
  <si>
    <t>MALATTIA</t>
  </si>
  <si>
    <t>EPC-IPU-A683-02</t>
  </si>
  <si>
    <t>Elettrosystem</t>
  </si>
  <si>
    <t>EPC-IPU-E951-08</t>
  </si>
  <si>
    <t>Equipe</t>
  </si>
  <si>
    <t>EPC-IPU-A519-04</t>
  </si>
  <si>
    <t>E. GIANTURCO</t>
  </si>
  <si>
    <t>EPC-IPU-B258-01</t>
  </si>
  <si>
    <t>Buguggiate</t>
  </si>
  <si>
    <t>EPC-IPU-L357-01</t>
  </si>
  <si>
    <t>Trecchina</t>
  </si>
  <si>
    <t>EPC-IPU-M269-04</t>
  </si>
  <si>
    <t>EPC-IPU-C058-01</t>
  </si>
  <si>
    <t>Costruzioni Acocella</t>
  </si>
  <si>
    <t>EPC-IPU-I465-01</t>
  </si>
  <si>
    <t>Sauze Di Cesana</t>
  </si>
  <si>
    <t>EPC-IPU-E716-05</t>
  </si>
  <si>
    <t>ICG srl</t>
  </si>
  <si>
    <t>EPC-IPU-G712-01</t>
  </si>
  <si>
    <t>Pisticci</t>
  </si>
  <si>
    <t>EPC-IPU-E951-05</t>
  </si>
  <si>
    <t>Fajo</t>
  </si>
  <si>
    <t>SEC-IPU-A087-01</t>
  </si>
  <si>
    <t>Agrate Brianza</t>
  </si>
  <si>
    <t>EPC-IPU-A697-02</t>
  </si>
  <si>
    <t>EPC-PHV-L736-02</t>
  </si>
  <si>
    <t>Vier (Ca' Solaro)</t>
  </si>
  <si>
    <t>EPC-IPU-F704-04</t>
  </si>
  <si>
    <t>EPC-IPU-A512-01</t>
  </si>
  <si>
    <t>La Fenice</t>
  </si>
  <si>
    <t>EPC-IPU-B162-02</t>
  </si>
  <si>
    <t>COSTRUZIONI ING. E. PASQUALUCCI SRL</t>
  </si>
  <si>
    <t>EPC-IPU-E246-03</t>
  </si>
  <si>
    <t>GUARDIA PERTICARA</t>
  </si>
  <si>
    <t>EPC-IPU-E906-01</t>
  </si>
  <si>
    <t>Delta Impianti srl</t>
  </si>
  <si>
    <t>PPP-IPU-G230-02</t>
  </si>
  <si>
    <t>EPC-IPU-B731-02</t>
  </si>
  <si>
    <t>Danilo Consonni</t>
  </si>
  <si>
    <t>SEC-IPU-I895-01</t>
  </si>
  <si>
    <t>EPC-IPU-D010-01</t>
  </si>
  <si>
    <t>Logidice srl</t>
  </si>
  <si>
    <t>EPC-IPU-C793-01</t>
  </si>
  <si>
    <t>Claviere</t>
  </si>
  <si>
    <t>SEC-PHV-B008-01</t>
  </si>
  <si>
    <t>Borgorose</t>
  </si>
  <si>
    <t>SEC-PHV-B506-05</t>
  </si>
  <si>
    <t>Campi Salentina PV</t>
  </si>
  <si>
    <t>SEC-PHV-C844-01</t>
  </si>
  <si>
    <t>Collarmele</t>
  </si>
  <si>
    <t>SEC-PHV-C999-01</t>
  </si>
  <si>
    <t>Corfinio</t>
  </si>
  <si>
    <t>PPP-IPU-B357-01</t>
  </si>
  <si>
    <t>VARANO</t>
  </si>
  <si>
    <t>PPP-IPU-A991-01</t>
  </si>
  <si>
    <t>Borgetto</t>
  </si>
  <si>
    <t>PPP-EEE-B506-02</t>
  </si>
  <si>
    <t>PPP-EEE-B506-03</t>
  </si>
  <si>
    <t>PPP-EEE-B506-01</t>
  </si>
  <si>
    <t>PPP-IPU-B593-01</t>
  </si>
  <si>
    <t>Canegrate</t>
  </si>
  <si>
    <t>PPP-IPU-B758-01</t>
  </si>
  <si>
    <t>CARDINALE</t>
  </si>
  <si>
    <t>PPP-IPU-C130-01</t>
  </si>
  <si>
    <t>CASTELLAMMARE DEL GOLFO</t>
  </si>
  <si>
    <t>PPP-IPU-D463-01</t>
  </si>
  <si>
    <t>FAGGIANO</t>
  </si>
  <si>
    <t>PPP-IPU-E205-01</t>
  </si>
  <si>
    <t>GROTTAGLIE</t>
  </si>
  <si>
    <t>PPP-IPU-E246-01</t>
  </si>
  <si>
    <t>Guardia Perticara</t>
  </si>
  <si>
    <t>PPP-IPU-E397-01</t>
  </si>
  <si>
    <t>LACEDONIA</t>
  </si>
  <si>
    <t>PPP-IPU-E493-01</t>
  </si>
  <si>
    <t>LAVELLO</t>
  </si>
  <si>
    <t>PPP-IPU-F158-01</t>
  </si>
  <si>
    <t>MESSINA</t>
  </si>
  <si>
    <t>PPP-IPU-G616-01</t>
  </si>
  <si>
    <t>PPP-IPU-G630-01</t>
  </si>
  <si>
    <t>PIETRAVAIRANO</t>
  </si>
  <si>
    <t>PPP-IPU-H221-01</t>
  </si>
  <si>
    <t>REGALBUTO</t>
  </si>
  <si>
    <t>PPP-IPU-H930-01</t>
  </si>
  <si>
    <t>SAN GIULIANO MILANESE</t>
  </si>
  <si>
    <t>PPP-IPU-I329-01</t>
  </si>
  <si>
    <t>SAN TEODORO</t>
  </si>
  <si>
    <t>PPP-IPU-I393-01</t>
  </si>
  <si>
    <t>SAN VITO SULLO IONIO</t>
  </si>
  <si>
    <t>PPP-IPU-I288-01</t>
  </si>
  <si>
    <t>SANT'ANGELO LE FRATTE</t>
  </si>
  <si>
    <t>PPP-IPU-I824-01</t>
  </si>
  <si>
    <t>SOMMATINO</t>
  </si>
  <si>
    <t>PPP-IPU-L357-01</t>
  </si>
  <si>
    <t>TRECCHINA</t>
  </si>
  <si>
    <t>PPP-IPU-E242-01</t>
  </si>
  <si>
    <t>GUARDIA PIEMONTESE</t>
  </si>
  <si>
    <t>PPP-IPU-I480-01</t>
  </si>
  <si>
    <t>galleries - savona prov</t>
  </si>
  <si>
    <t>CL3-IPU-I608-01</t>
  </si>
  <si>
    <t>EPC-IPU-L415-04</t>
  </si>
  <si>
    <t>Tribiano</t>
  </si>
  <si>
    <t>PPP-IPU-L736-01</t>
  </si>
  <si>
    <t>Eco+Eco srl</t>
  </si>
  <si>
    <t>PPP-IPU-F109-01</t>
  </si>
  <si>
    <t>PPP-IPU-B181-01</t>
  </si>
  <si>
    <t>Brindisi di Montagna</t>
  </si>
  <si>
    <t>EPC-IPU-L415-05</t>
  </si>
  <si>
    <t>PPP-EEE-A208-02</t>
  </si>
  <si>
    <t>Alliste HM</t>
  </si>
  <si>
    <t>EPC-IPU-A413-03</t>
  </si>
  <si>
    <t>EPC-IPU-F348-05</t>
  </si>
  <si>
    <t>EPC-IPU-A413-05</t>
  </si>
  <si>
    <t>EPC-IPU-H930-02</t>
  </si>
  <si>
    <t>San Giuliano Milanese</t>
  </si>
  <si>
    <t>EPC-IPU-E951-07</t>
  </si>
  <si>
    <t>EPC-IPU-A743-07</t>
  </si>
  <si>
    <t>EPC-IPU-D171-02</t>
  </si>
  <si>
    <t>EPC-IPU-H930-03</t>
  </si>
  <si>
    <t>EPC-IPU-L415-03</t>
  </si>
  <si>
    <t>EPC-IPU-G283-01</t>
  </si>
  <si>
    <t>EPC-IPU-F003-01</t>
  </si>
  <si>
    <t>Masate</t>
  </si>
  <si>
    <t>EPC-IPU-D748-02</t>
  </si>
  <si>
    <t>EPC-IPU-F573-07</t>
  </si>
  <si>
    <t>EPC-IPU-G942-02</t>
  </si>
  <si>
    <t>Silvano Renato</t>
  </si>
  <si>
    <t>EPC-IPU-L285-02</t>
  </si>
  <si>
    <t>EPC-IPU-I317-02</t>
  </si>
  <si>
    <t>Sant'Egidio del Monte Albino</t>
  </si>
  <si>
    <t>EPC-IPU-L191-05</t>
  </si>
  <si>
    <t>EPC-IPU-A413-07</t>
  </si>
  <si>
    <t>FERIE</t>
  </si>
  <si>
    <t>MATERNITA'</t>
  </si>
  <si>
    <t>SEC-PHV-D593-04</t>
  </si>
  <si>
    <t>EPC-IPU-L191-07</t>
  </si>
  <si>
    <t>SEC-PHV-D593-05</t>
  </si>
  <si>
    <t>SEC-PHV-A519-07</t>
  </si>
  <si>
    <t>SEC-PHV-A519-08</t>
  </si>
  <si>
    <t>EPC-IPU-L191-06</t>
  </si>
  <si>
    <t>PPP-IPU-C638-05</t>
  </si>
  <si>
    <t>PPP-IPU-A122-01</t>
  </si>
  <si>
    <t>Alassio</t>
  </si>
  <si>
    <t>PPP-IPU-B429-01</t>
  </si>
  <si>
    <t>Caltanissetta</t>
  </si>
  <si>
    <t>PPP-IPU-B619-01</t>
  </si>
  <si>
    <t>Canosa Di Puglia</t>
  </si>
  <si>
    <t>PPP-IPU-E050-01</t>
  </si>
  <si>
    <t>Girifalco</t>
  </si>
  <si>
    <t>PPP-IPU-E773-01</t>
  </si>
  <si>
    <t>Luzzi</t>
  </si>
  <si>
    <t>PPP-EEE-F201-03</t>
  </si>
  <si>
    <t>PPP-IPU-G376-01</t>
  </si>
  <si>
    <t>Pattada</t>
  </si>
  <si>
    <t>PPP-EEE-G426-03</t>
  </si>
  <si>
    <t>Pellezzano HM</t>
  </si>
  <si>
    <t>PPP-IPU-H281-01</t>
  </si>
  <si>
    <t>Riesi</t>
  </si>
  <si>
    <t>PPP-IPU-H488-01</t>
  </si>
  <si>
    <t>Roggiano Gravina</t>
  </si>
  <si>
    <t>PPP-EEE-H683-01</t>
  </si>
  <si>
    <t>Sala Consilina</t>
  </si>
  <si>
    <t>PPP-IPU-H982-01</t>
  </si>
  <si>
    <t>San Marco D'alunzio</t>
  </si>
  <si>
    <t>PPP-IPU-M256-01</t>
  </si>
  <si>
    <t>Scanzano Jonico</t>
  </si>
  <si>
    <t>PPP-IPU-I548-01</t>
  </si>
  <si>
    <t>Scordia</t>
  </si>
  <si>
    <t>SEC-PHV-B792-01</t>
  </si>
  <si>
    <t>Carmiano</t>
  </si>
  <si>
    <t>EPC-VS-C638-01</t>
  </si>
  <si>
    <t>PPP-EEE-L736-02</t>
  </si>
  <si>
    <t>EPC-IPU-M428-01</t>
  </si>
  <si>
    <t>PPP-IPU-C638-02</t>
  </si>
  <si>
    <t>PPP-IPU-H147-02</t>
  </si>
  <si>
    <t>PPP-IPU-D764-01</t>
  </si>
  <si>
    <t>Francavilla Marittima</t>
  </si>
  <si>
    <t>EPC-IPU-A743-04</t>
  </si>
  <si>
    <t>EPC-IPU-H990-01</t>
  </si>
  <si>
    <t>EPC-IPU-G514-01</t>
  </si>
  <si>
    <t>EPC-IPU-H090-02</t>
  </si>
  <si>
    <t>EPC-IPU-E976-01</t>
  </si>
  <si>
    <t>EPC-IPU-B162-05</t>
  </si>
  <si>
    <t>EPC-IPU-E951-06</t>
  </si>
  <si>
    <t>EPC-IPU-E053-01</t>
  </si>
  <si>
    <t>EPC-IPU-C231-02</t>
  </si>
  <si>
    <t>EPC-IPU-L736-02</t>
  </si>
  <si>
    <t>Venezia</t>
  </si>
  <si>
    <t>EPC-IPU-L191-02</t>
  </si>
  <si>
    <t>EPC-IPU-F632-03</t>
  </si>
  <si>
    <t>EPC-IPU-G103-02</t>
  </si>
  <si>
    <t>EPC-IPU-I608-05</t>
  </si>
  <si>
    <t>EPC-IPU-G762-01</t>
  </si>
  <si>
    <t>EPC-IPU-F704-02</t>
  </si>
  <si>
    <t>EPC-IPU-L124-01</t>
  </si>
  <si>
    <t>Edil Condotte srl</t>
  </si>
  <si>
    <t>EPC-IPU-M367-02</t>
  </si>
  <si>
    <t>Ubaldi Luciana</t>
  </si>
  <si>
    <t>EPC-IPU-F348-06</t>
  </si>
  <si>
    <t>EPC-IPU-I332-02</t>
  </si>
  <si>
    <t>C.A. Group</t>
  </si>
  <si>
    <t>EPC-IPU-F205-01</t>
  </si>
  <si>
    <t>Mennekes Electric Italia Srl</t>
  </si>
  <si>
    <t>EPC-IPU-G878-02</t>
  </si>
  <si>
    <t>De Luca Amalia</t>
  </si>
  <si>
    <t>EPC-IPU-I089-01</t>
  </si>
  <si>
    <t>Sorem Forniture</t>
  </si>
  <si>
    <t>SEC-PHV-A519-02</t>
  </si>
  <si>
    <t>SEC-PHV-M269-02</t>
  </si>
  <si>
    <t>SEC-PHV-D593-02</t>
  </si>
  <si>
    <t>PPP-IPU-B111-01</t>
  </si>
  <si>
    <t>Bra</t>
  </si>
  <si>
    <t>PPP-IPU-B266-01</t>
  </si>
  <si>
    <t>Buonabitacolo</t>
  </si>
  <si>
    <t>PPP-IPU-D054-01</t>
  </si>
  <si>
    <t>Corte Brugnatella</t>
  </si>
  <si>
    <t>PPP-IPU-D150-01</t>
  </si>
  <si>
    <t>Cremona</t>
  </si>
  <si>
    <t>PPP-IPU-D228-01</t>
  </si>
  <si>
    <t>Curti</t>
  </si>
  <si>
    <t>PPP-IPU-E339-01</t>
  </si>
  <si>
    <t>Isola Di Capo Rizzuto</t>
  </si>
  <si>
    <t>PPP-IPU-G813-01</t>
  </si>
  <si>
    <t>Pompei</t>
  </si>
  <si>
    <t>PPP-IPU-H355-01</t>
  </si>
  <si>
    <t>Rivoli</t>
  </si>
  <si>
    <t>PPP-IPU-H480-01</t>
  </si>
  <si>
    <t>Rodi Garganico</t>
  </si>
  <si>
    <t>PPP-IPU-H657-01</t>
  </si>
  <si>
    <t>Sacile</t>
  </si>
  <si>
    <t>PPP-IPU-I441-01</t>
  </si>
  <si>
    <t>PPP-IPU-I549-01</t>
  </si>
  <si>
    <t>Scorrano</t>
  </si>
  <si>
    <t>PPP-IPU-L540-01</t>
  </si>
  <si>
    <t>Vairano Patenora</t>
  </si>
  <si>
    <t>PPP-EEE-L868-01</t>
  </si>
  <si>
    <t>Vigarano Mainarda</t>
  </si>
  <si>
    <t>SEC-PHV-H166-01</t>
  </si>
  <si>
    <t>Raiano</t>
  </si>
  <si>
    <t>SEC-PHV-H166-02</t>
  </si>
  <si>
    <t>SEC-PHV-L419-01</t>
  </si>
  <si>
    <t>Tricase PV</t>
  </si>
  <si>
    <t>Civate rinnovo</t>
  </si>
  <si>
    <t>Albinea Proroga Tecnica</t>
  </si>
  <si>
    <t>Falconara Marittima Proroga Tecnica</t>
  </si>
  <si>
    <t>Fermo Proroga tecnica</t>
  </si>
  <si>
    <t>Scheggia e Pascelupo Proroga tecnica</t>
  </si>
  <si>
    <t>Cagli PPP</t>
  </si>
  <si>
    <t>Faenza Proroga tecnica</t>
  </si>
  <si>
    <t>Urbania</t>
  </si>
  <si>
    <t>Esperia</t>
  </si>
  <si>
    <t>Monteleone Sabino</t>
  </si>
  <si>
    <t>Villa Santa Lucia</t>
  </si>
  <si>
    <t>Loreto Aprutino</t>
  </si>
  <si>
    <t>Penne</t>
  </si>
  <si>
    <t>Bellante HM</t>
  </si>
  <si>
    <t>PPP-IPU-I669-01</t>
  </si>
  <si>
    <t>Serrone</t>
  </si>
  <si>
    <t>PPP-IPU-A449-01</t>
  </si>
  <si>
    <t>Artena</t>
  </si>
  <si>
    <t>Gavignano</t>
  </si>
  <si>
    <t>Cantalice</t>
  </si>
  <si>
    <t xml:space="preserve">Poggio San Lorenzo </t>
  </si>
  <si>
    <t>PPP-IPU-C543-01</t>
  </si>
  <si>
    <t>Cervara di Roma</t>
  </si>
  <si>
    <t>PPP-IPU-F740-01</t>
  </si>
  <si>
    <t>Morolo</t>
  </si>
  <si>
    <t>Nettuno</t>
  </si>
  <si>
    <t>Massa Martana</t>
  </si>
  <si>
    <t>Pietragalla Proroga Tecnica</t>
  </si>
  <si>
    <t>Pellezzano Buildings</t>
  </si>
  <si>
    <t>PPP-IPU-A053-01</t>
  </si>
  <si>
    <t>Acri</t>
  </si>
  <si>
    <t>Paride</t>
  </si>
  <si>
    <t>Teramo</t>
  </si>
  <si>
    <t>Torricella</t>
  </si>
  <si>
    <t>GranSasso</t>
  </si>
  <si>
    <t>Tossicia</t>
  </si>
  <si>
    <t>Colledara</t>
  </si>
  <si>
    <t>RoccaSMaria</t>
  </si>
  <si>
    <t>CastelCastagna</t>
  </si>
  <si>
    <t>Crognaleto</t>
  </si>
  <si>
    <t>Castelli</t>
  </si>
  <si>
    <t>PennaSAndrea</t>
  </si>
  <si>
    <t>FanoAdriano</t>
  </si>
  <si>
    <t>Artistica</t>
  </si>
  <si>
    <t>Benevento</t>
  </si>
  <si>
    <t>Santarcangelo</t>
  </si>
  <si>
    <t>Pontelandolfo</t>
  </si>
  <si>
    <t>Paupisi</t>
  </si>
  <si>
    <t>Torrecuso</t>
  </si>
  <si>
    <t>SanBartolomeo</t>
  </si>
  <si>
    <t>Sanleucio</t>
  </si>
  <si>
    <t>Molinara</t>
  </si>
  <si>
    <t>Calvi</t>
  </si>
  <si>
    <t>Ponte</t>
  </si>
  <si>
    <t>Fenix</t>
  </si>
  <si>
    <t>Boscotrecase</t>
  </si>
  <si>
    <t>Sant'Antimo</t>
  </si>
  <si>
    <t>Energia Positiva</t>
  </si>
  <si>
    <t>Zelo Buon Persico</t>
  </si>
  <si>
    <t>Tekne</t>
  </si>
  <si>
    <t>Maletto</t>
  </si>
  <si>
    <t>Villa</t>
  </si>
  <si>
    <t>Colorina</t>
  </si>
  <si>
    <t>Tito</t>
  </si>
  <si>
    <t>Sapri</t>
  </si>
  <si>
    <t>Stefano Dini</t>
  </si>
  <si>
    <t>Tagliacozzo</t>
  </si>
  <si>
    <t>Ischia 2</t>
  </si>
  <si>
    <t>Somma</t>
  </si>
  <si>
    <t>Somma Vesuviana 2</t>
  </si>
  <si>
    <t>Vietri</t>
  </si>
  <si>
    <t>Vietri sul Mare 2</t>
  </si>
  <si>
    <t>Pederzani</t>
  </si>
  <si>
    <t>Comune1 PL</t>
  </si>
  <si>
    <t>Comune2 PL</t>
  </si>
  <si>
    <t>Comune3 PL</t>
  </si>
  <si>
    <t>Cogiatech</t>
  </si>
  <si>
    <t>Piedimonte Etneo</t>
  </si>
  <si>
    <t>Sant'Agata Li Battiati</t>
  </si>
  <si>
    <t>Milo</t>
  </si>
  <si>
    <t>X-Bus</t>
  </si>
  <si>
    <t>Public Fleet Electrification</t>
  </si>
  <si>
    <t>San Giorgio Jonico PV</t>
  </si>
  <si>
    <t>Taviano PV</t>
  </si>
  <si>
    <t>Ugento PV</t>
  </si>
  <si>
    <t>Venna</t>
  </si>
  <si>
    <t>Casarano</t>
  </si>
  <si>
    <t>Castrignano</t>
  </si>
  <si>
    <t>Comune1 PB</t>
  </si>
  <si>
    <t>Comune2 PB</t>
  </si>
  <si>
    <t>Comune3 PB</t>
  </si>
  <si>
    <t>Comune4 PB</t>
  </si>
  <si>
    <t>Comune5 PB</t>
  </si>
  <si>
    <t>Comune6 PB</t>
  </si>
  <si>
    <t>Comune7 PB</t>
  </si>
  <si>
    <t>Comune8 PB</t>
  </si>
  <si>
    <t>Comune9 PB</t>
  </si>
  <si>
    <t>Comune10 PB</t>
  </si>
  <si>
    <t>Comune11 PB</t>
  </si>
  <si>
    <t>Comune12 PB</t>
  </si>
  <si>
    <t>Comune13 PB</t>
  </si>
  <si>
    <t>Comune14 PB</t>
  </si>
  <si>
    <t>Other Works</t>
  </si>
  <si>
    <t>Altri lavori a Privati</t>
  </si>
  <si>
    <t>EPC-IPU-F632-06</t>
  </si>
  <si>
    <t>EPC-IPU-G942-10</t>
  </si>
  <si>
    <t>Amarcord</t>
  </si>
  <si>
    <t>EPC-IPU-A697-03</t>
  </si>
  <si>
    <t>EPC-IPU-E569-04</t>
  </si>
  <si>
    <t>EPC-IPU-I457-01</t>
  </si>
  <si>
    <t>EPC-IPU-L219-01</t>
  </si>
  <si>
    <t>EPC-IPU-C717-03</t>
  </si>
  <si>
    <t>EPC-IPU-A413-08</t>
  </si>
  <si>
    <t>EPC-IPU-E976-08</t>
  </si>
  <si>
    <t>EPC-IPU-A488-02</t>
  </si>
  <si>
    <t>EPC-IPU-H602-02</t>
  </si>
  <si>
    <t>EPC-IPU-F704-01</t>
  </si>
  <si>
    <t>EPC-IPU-F632-04</t>
  </si>
  <si>
    <t>EPC-IPU-D869-03</t>
  </si>
  <si>
    <t>EPC-IPU-F952-04</t>
  </si>
  <si>
    <t>EPC-IPU-E716-06</t>
  </si>
  <si>
    <t>EPC-IPU-F348-07</t>
  </si>
  <si>
    <t>EPC-IPU-H930-04</t>
  </si>
  <si>
    <t>EPC-IPU-F632-05</t>
  </si>
  <si>
    <t>EPC-IPU-C888-02</t>
  </si>
  <si>
    <t>SEC-PHV-A515-03</t>
  </si>
  <si>
    <t>SEC-PHV-I553-02</t>
  </si>
  <si>
    <t>SEC-PHV-L074-02</t>
  </si>
  <si>
    <t>PPP-EEE-A746-02</t>
  </si>
  <si>
    <t>PPP-IPU-B275-01</t>
  </si>
  <si>
    <t>PPP-IPU-A561-01</t>
  </si>
  <si>
    <t>PPP-IPU-G518-01</t>
  </si>
  <si>
    <t>PPP-IPU-H688-01</t>
  </si>
  <si>
    <t>PPP-EEE-H882-02</t>
  </si>
  <si>
    <t>PPP-IPU-I982-01</t>
  </si>
  <si>
    <t>PPP-IPU-L492-01</t>
  </si>
  <si>
    <t>PPP-IPU-L658-01</t>
  </si>
  <si>
    <t>PPP-IPU-L736-03</t>
  </si>
  <si>
    <t>EPC-IPU-A952-01</t>
  </si>
  <si>
    <t>EPC-IPU-A488-03</t>
  </si>
  <si>
    <t>EPC-IPU-E246-04</t>
  </si>
  <si>
    <t>EPC-IPU-G023-04</t>
  </si>
  <si>
    <t>EPC-IPU-E716-03</t>
  </si>
  <si>
    <t>EPC-IPU-L835-02</t>
  </si>
  <si>
    <t>EPC-IPU-I019-02</t>
  </si>
  <si>
    <t>EPC-IPU-C824-02</t>
  </si>
  <si>
    <t>EPC-IPU-A942-03</t>
  </si>
  <si>
    <t>EPC-IPU-D869-05</t>
  </si>
  <si>
    <t>EPC-IPU-L415-08</t>
  </si>
  <si>
    <t>EPC-IPU-C888-03</t>
  </si>
  <si>
    <t>EPC-IPU-I457-05</t>
  </si>
  <si>
    <t>EPC-IPU-A519-05</t>
  </si>
  <si>
    <t>EPC-IPU-L415-07</t>
  </si>
  <si>
    <t>EPC-IPU-I305-03</t>
  </si>
  <si>
    <t>EPC-IPU-D869-04</t>
  </si>
  <si>
    <t>EPC-IPU-B162-06</t>
  </si>
  <si>
    <t>EPC-IPU-D542-02</t>
  </si>
  <si>
    <t>EPC-IPU-I608-01</t>
  </si>
  <si>
    <t>EPC-IPU-L415-06</t>
  </si>
  <si>
    <t>SEC-PHV-D593-06</t>
  </si>
  <si>
    <t>SEC-PHV-D593-07</t>
  </si>
  <si>
    <t>SEC-PHV-D593-08</t>
  </si>
  <si>
    <t>EPC-IPU-C888-01</t>
  </si>
  <si>
    <t>EPC-IPU-I457-02</t>
  </si>
  <si>
    <t>PPP-EEE-G616-02</t>
  </si>
  <si>
    <t>PPP-IPU-L998-01</t>
  </si>
  <si>
    <t>PPP-IPU-H971-01</t>
  </si>
  <si>
    <t>PPP-IPU-A482-01</t>
  </si>
  <si>
    <t>PPP-IPU-M281-01</t>
  </si>
  <si>
    <t>PPP-IPU-E133-01</t>
  </si>
  <si>
    <t>PPP-IPU-F889-01</t>
  </si>
  <si>
    <t>PPP-IPU-E271-01</t>
  </si>
  <si>
    <t>PPP-EEE-G786-01</t>
  </si>
  <si>
    <t>PPP-IPU-F004-01</t>
  </si>
  <si>
    <t>PPP-IPU-F913-01</t>
  </si>
  <si>
    <t>EPC-IPU-A683-03</t>
  </si>
  <si>
    <t>EPC-IPU-C767-04</t>
  </si>
  <si>
    <t>EPC-IPU-A413-09</t>
  </si>
  <si>
    <t>EPC-IPU-C767-03</t>
  </si>
  <si>
    <t>EPC-IPU-C638-02</t>
  </si>
  <si>
    <t>EPC-IPU-H641-02</t>
  </si>
  <si>
    <t>EPC-IPU-I608-06</t>
  </si>
  <si>
    <t>EPC-IPU-I305-05</t>
  </si>
  <si>
    <t>EPC-IPU-I307-05</t>
  </si>
  <si>
    <t>PPP-IPU-G712-01</t>
  </si>
  <si>
    <t>PPP-EEE-C638-04</t>
  </si>
  <si>
    <t>EPC-IPU-H601-02</t>
  </si>
  <si>
    <t>EPC-IPU-G910-01</t>
  </si>
  <si>
    <t>EPC-IPU-E246-05</t>
  </si>
  <si>
    <t>EPC-IPU-L357-02</t>
  </si>
  <si>
    <t>EPC-IPU-D542-04</t>
  </si>
  <si>
    <t>EPC-IPU-B162-08</t>
  </si>
  <si>
    <t>PPP-IPU-D269-02</t>
  </si>
  <si>
    <t>EPC-IPU-I307-04</t>
  </si>
  <si>
    <t>SEC-PHV-A519-04</t>
  </si>
  <si>
    <t>EPC-VS-L736-01</t>
  </si>
  <si>
    <t>EPC-IPU-I305-04</t>
  </si>
  <si>
    <t>EPC-IPU-L074-01</t>
  </si>
  <si>
    <t>EPC-IPU-F952-05</t>
  </si>
  <si>
    <t>EPC-IPU-A271-01</t>
  </si>
  <si>
    <t>EPC-EEE-C638-02</t>
  </si>
  <si>
    <t>EPC-IPU-F573-08</t>
  </si>
  <si>
    <t>EPC-EEE-B294-05</t>
  </si>
  <si>
    <t>EPC-IPU-C717-04</t>
  </si>
  <si>
    <t>EPC-IPU-F704-05</t>
  </si>
  <si>
    <t>EPC-IPU-I457-06</t>
  </si>
  <si>
    <t>EPC-IPU-I608-08</t>
  </si>
  <si>
    <t>EPC-IPU-G674-02</t>
  </si>
  <si>
    <t>EPC-IPU-H307-01</t>
  </si>
  <si>
    <t>EPC-IPU-I820-01</t>
  </si>
  <si>
    <t>EPC-IPU-A017-02</t>
  </si>
  <si>
    <t>EPC-IPU-I608-07</t>
  </si>
  <si>
    <t>EPC-IPU-A047-01</t>
  </si>
  <si>
    <t>EPC-IPU-I307-02</t>
  </si>
  <si>
    <t>SEC-PHV-F158-02</t>
  </si>
  <si>
    <t>SEC-PHV-H882-01</t>
  </si>
  <si>
    <t>SEC-PHV-D593-09</t>
  </si>
  <si>
    <t>PPP-IPU-E402-01</t>
  </si>
  <si>
    <t>PPP-BUS-C638-01</t>
  </si>
  <si>
    <t>PPP-IPU-D440-01</t>
  </si>
  <si>
    <t>PPP-IPU-M018-01</t>
  </si>
  <si>
    <t>PPP-IPU-B098-01</t>
  </si>
  <si>
    <t>PPP-IPU-C616-01</t>
  </si>
  <si>
    <t>PPP-IPU-E407-01</t>
  </si>
  <si>
    <t>AQ1-IPU-F957-01</t>
  </si>
  <si>
    <t>PPP-IPU-L905-01</t>
  </si>
  <si>
    <t>PPP-IPU-B516-01</t>
  </si>
  <si>
    <t>PPP-IPU-G722-01</t>
  </si>
  <si>
    <t>PPP-IPU-L294-01</t>
  </si>
  <si>
    <t>PPP-IPU-M273-01</t>
  </si>
  <si>
    <t>PPP-IPU-I293-01</t>
  </si>
  <si>
    <t>BUS-SMC-B157-01</t>
  </si>
  <si>
    <t>PPP-IPU-F541-01</t>
  </si>
  <si>
    <t>PPP-IPU-E156-01</t>
  </si>
  <si>
    <t>Damniele Posca</t>
  </si>
  <si>
    <t>Metaplast</t>
  </si>
  <si>
    <t>Iren Green Generation</t>
  </si>
  <si>
    <t>Maria Aulicino</t>
  </si>
  <si>
    <t>Edilgornati</t>
  </si>
  <si>
    <t>Edilgifa</t>
  </si>
  <si>
    <t>Santa reparata</t>
  </si>
  <si>
    <t>DRV</t>
  </si>
  <si>
    <t>Avezzano</t>
  </si>
  <si>
    <t>Bellante</t>
  </si>
  <si>
    <t>Burgio</t>
  </si>
  <si>
    <t>Montecatini Terme</t>
  </si>
  <si>
    <t>Petrona'</t>
  </si>
  <si>
    <t>Salaparuta</t>
  </si>
  <si>
    <t>San Giorgio Ionico</t>
  </si>
  <si>
    <t>Strongoli</t>
  </si>
  <si>
    <t>Umbriatico</t>
  </si>
  <si>
    <t>Valverde</t>
  </si>
  <si>
    <t>HYPO VORARLBERG IMMO ITALIA S.R.L.</t>
  </si>
  <si>
    <t>Avigliano PV</t>
  </si>
  <si>
    <t>Sant'Arcangelo</t>
  </si>
  <si>
    <t>Filiano PV</t>
  </si>
  <si>
    <t>Villaputzu</t>
  </si>
  <si>
    <t>San Lucido</t>
  </si>
  <si>
    <t>Atella</t>
  </si>
  <si>
    <t>Petrosino</t>
  </si>
  <si>
    <t>Grammichele</t>
  </si>
  <si>
    <t>Nichelino</t>
  </si>
  <si>
    <t>Gussago</t>
  </si>
  <si>
    <t>Policoro</t>
  </si>
  <si>
    <t>Mascali</t>
  </si>
  <si>
    <t>Nocera Superiore</t>
  </si>
  <si>
    <t>Barzago</t>
  </si>
  <si>
    <t>Associazione Culturale Lds Liberi di Suonare</t>
  </si>
  <si>
    <t>Tigros Servizi Immobiliari Srl</t>
  </si>
  <si>
    <t>Innova Aps</t>
  </si>
  <si>
    <t>Chioggia Servizi Soc. Cons. Arl</t>
  </si>
  <si>
    <t>Troiano S.a.s di Troiano Feliciano &amp; C</t>
  </si>
  <si>
    <t>Sant'arsenio</t>
  </si>
  <si>
    <t>Guffanti A. Spa</t>
  </si>
  <si>
    <t>Venezia - Videosorveglianza</t>
  </si>
  <si>
    <t>Regione Marche Giunta Regionale</t>
  </si>
  <si>
    <t>Bussi sul Tirino - Ufficio Tecnico</t>
  </si>
  <si>
    <t>Provincia di Monza e Brianza</t>
  </si>
  <si>
    <t>Condominio Pian Fiorito</t>
  </si>
  <si>
    <t>Nuova Atlantide-Piccola Soc. Coop.a R.l.</t>
  </si>
  <si>
    <t>Acquaviva Picena - Ufficio Tecnico Urbanistica</t>
  </si>
  <si>
    <t>Laganadi</t>
  </si>
  <si>
    <t>Chioggia BUS</t>
  </si>
  <si>
    <t>Comune Villa San Giovanni</t>
  </si>
  <si>
    <t>Bovalino</t>
  </si>
  <si>
    <t>Chiaravalle Centrale</t>
  </si>
  <si>
    <t>Lago</t>
  </si>
  <si>
    <t>C-AQ1</t>
  </si>
  <si>
    <t>Nove (vi)</t>
  </si>
  <si>
    <t>Campo Calabro</t>
  </si>
  <si>
    <t>Pizzo Calabro</t>
  </si>
  <si>
    <t>Santa Maria la Carita'</t>
  </si>
  <si>
    <t>Sant' Antimo</t>
  </si>
  <si>
    <t>Brescia Mobilita' S.p.a.</t>
  </si>
  <si>
    <t>Gravina di Catania</t>
  </si>
  <si>
    <t>Chiave</t>
  </si>
  <si>
    <t>Org./Inorg.</t>
  </si>
  <si>
    <t>CL3-IPU-F632-02</t>
  </si>
  <si>
    <t>CAMPI SALENTINA</t>
  </si>
  <si>
    <t>Chioggia (veritas)</t>
  </si>
  <si>
    <t>Buonanitacolo</t>
  </si>
  <si>
    <t>Tricase</t>
  </si>
  <si>
    <t>Bolzano</t>
  </si>
  <si>
    <t>RR Giugno</t>
  </si>
  <si>
    <t>SP/CE</t>
  </si>
  <si>
    <t>ricavi o costi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</si>
</sst>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&quot;€&quot;#,##0.00"/>
    <numFmt numFmtId="165" formatCode="_-* #,##0_-;\-* #,##0_-;_-* &quot;-&quot;??_-;_-@_-"/>
    <numFmt numFmtId="167" formatCode="#,##0.00\ &quot;€&quot;"/>
    <numFmt numFmtId="168" formatCode="_-* #,##0.00\ _€_-;\-* #,##0.00\ _€_-;_-* &quot;-&quot;??\ _€_-;_-@_-"/>
    <numFmt numFmtId="169" formatCode="_-* #,##0.0000_-;\-* #,##0.00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Arial"/>
      <family val="2"/>
    </font>
    <font>
      <sz val="8"/>
      <color indexed="8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7"/>
      <name val="Arial"/>
    </font>
    <font>
      <sz val="8"/>
      <color indexed="8"/>
      <name val="Arial"/>
    </font>
    <font>
      <b/>
      <i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theme="0" tint="-0.499984740745262"/>
      <name val="Arial"/>
      <family val="2"/>
    </font>
    <font>
      <sz val="9"/>
      <color indexed="81"/>
      <name val="Tahoma"/>
      <charset val="1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376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8D8A1"/>
        <bgColor indexed="64"/>
      </patternFill>
    </fill>
    <fill>
      <patternFill patternType="lightUp">
        <fgColor theme="0" tint="-0.24994659260841701"/>
        <bgColor indexed="65"/>
      </patternFill>
    </fill>
    <fill>
      <patternFill patternType="solid">
        <fgColor rgb="FFDAF2D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44" fontId="3" fillId="0" borderId="0" xfId="0" applyNumberFormat="1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44" fontId="3" fillId="2" borderId="0" xfId="0" applyNumberFormat="1" applyFont="1" applyFill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4" borderId="0" xfId="0" applyFont="1" applyFill="1" applyAlignment="1">
      <alignment horizontal="left"/>
    </xf>
    <xf numFmtId="43" fontId="0" fillId="0" borderId="0" xfId="1" applyFont="1"/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vertical="center"/>
    </xf>
    <xf numFmtId="165" fontId="0" fillId="0" borderId="0" xfId="1" applyNumberFormat="1" applyFont="1"/>
    <xf numFmtId="165" fontId="3" fillId="0" borderId="0" xfId="1" applyNumberFormat="1" applyFont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3" fontId="3" fillId="0" borderId="0" xfId="1" applyFont="1"/>
    <xf numFmtId="49" fontId="6" fillId="5" borderId="0" xfId="0" applyNumberFormat="1" applyFont="1" applyFill="1" applyAlignment="1">
      <alignment vertical="center"/>
    </xf>
    <xf numFmtId="43" fontId="0" fillId="0" borderId="0" xfId="1" applyFont="1" applyAlignment="1">
      <alignment horizontal="left" vertical="top"/>
    </xf>
    <xf numFmtId="0" fontId="7" fillId="0" borderId="0" xfId="0" applyFont="1" applyAlignment="1">
      <alignment vertical="center"/>
    </xf>
    <xf numFmtId="44" fontId="3" fillId="0" borderId="0" xfId="0" applyNumberFormat="1" applyFont="1" applyFill="1"/>
    <xf numFmtId="43" fontId="0" fillId="0" borderId="0" xfId="1" applyFont="1" applyFill="1" applyAlignment="1">
      <alignment horizontal="left" vertical="top"/>
    </xf>
    <xf numFmtId="44" fontId="0" fillId="0" borderId="0" xfId="0" applyNumberFormat="1" applyFill="1" applyAlignment="1">
      <alignment horizontal="left" vertical="top"/>
    </xf>
    <xf numFmtId="165" fontId="0" fillId="0" borderId="0" xfId="1" applyNumberFormat="1" applyFont="1" applyFill="1" applyAlignment="1">
      <alignment horizontal="left" vertical="top" wrapText="1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right"/>
    </xf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indent="2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vertical="center"/>
    </xf>
    <xf numFmtId="167" fontId="0" fillId="0" borderId="0" xfId="0" applyNumberFormat="1"/>
    <xf numFmtId="168" fontId="0" fillId="0" borderId="0" xfId="0" applyNumberFormat="1"/>
    <xf numFmtId="16" fontId="3" fillId="0" borderId="0" xfId="0" applyNumberFormat="1" applyFont="1"/>
    <xf numFmtId="0" fontId="3" fillId="0" borderId="0" xfId="0" applyFont="1"/>
    <xf numFmtId="165" fontId="0" fillId="0" borderId="0" xfId="1" applyNumberFormat="1" applyFont="1" applyFill="1"/>
    <xf numFmtId="0" fontId="6" fillId="6" borderId="0" xfId="0" applyFont="1" applyFill="1"/>
    <xf numFmtId="0" fontId="6" fillId="6" borderId="0" xfId="0" quotePrefix="1" applyFont="1" applyFill="1"/>
    <xf numFmtId="0" fontId="10" fillId="7" borderId="7" xfId="0" applyFont="1" applyFill="1" applyBorder="1" applyAlignment="1">
      <alignment vertical="center"/>
    </xf>
    <xf numFmtId="17" fontId="11" fillId="8" borderId="7" xfId="0" applyNumberFormat="1" applyFont="1" applyFill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0" fontId="13" fillId="0" borderId="0" xfId="0" applyFont="1"/>
    <xf numFmtId="0" fontId="14" fillId="9" borderId="0" xfId="2" applyNumberFormat="1" applyFont="1" applyFill="1" applyAlignment="1">
      <alignment horizontal="right" vertical="center"/>
    </xf>
    <xf numFmtId="165" fontId="12" fillId="0" borderId="0" xfId="1" applyNumberFormat="1" applyFont="1" applyFill="1" applyBorder="1"/>
    <xf numFmtId="0" fontId="7" fillId="0" borderId="0" xfId="2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2" applyNumberFormat="1" applyFont="1" applyFill="1" applyAlignment="1">
      <alignment horizontal="left" vertical="center"/>
    </xf>
    <xf numFmtId="169" fontId="12" fillId="0" borderId="0" xfId="1" applyNumberFormat="1" applyFont="1" applyFill="1" applyBorder="1"/>
    <xf numFmtId="0" fontId="12" fillId="0" borderId="0" xfId="0" applyFont="1" applyAlignment="1">
      <alignment vertical="center" wrapText="1"/>
    </xf>
    <xf numFmtId="165" fontId="12" fillId="10" borderId="0" xfId="1" applyNumberFormat="1" applyFont="1" applyFill="1"/>
    <xf numFmtId="0" fontId="12" fillId="11" borderId="0" xfId="0" applyFont="1" applyFill="1"/>
    <xf numFmtId="14" fontId="0" fillId="0" borderId="0" xfId="0" applyNumberFormat="1" applyAlignment="1">
      <alignment horizontal="left"/>
    </xf>
    <xf numFmtId="0" fontId="16" fillId="0" borderId="0" xfId="0" applyFont="1"/>
    <xf numFmtId="165" fontId="0" fillId="0" borderId="0" xfId="1" applyNumberFormat="1" applyFont="1" applyFill="1" applyBorder="1"/>
    <xf numFmtId="0" fontId="17" fillId="0" borderId="0" xfId="0" applyFont="1" applyAlignment="1">
      <alignment horizontal="left"/>
    </xf>
    <xf numFmtId="0" fontId="0" fillId="0" borderId="0" xfId="0" applyAlignment="1">
      <alignment vertical="center" wrapText="1"/>
    </xf>
    <xf numFmtId="165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6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ivismartcloud.sharepoint.com/sites/Finance/FPA/Reporting/2026/08_Agosto/20260908_Consolidated%20Reporting_v2.xlsx" TargetMode="External"/><Relationship Id="rId1" Type="http://schemas.openxmlformats.org/officeDocument/2006/relationships/externalLinkPath" Target="/sites/Finance/FPA/Reporting/2026/08_Agosto/20260908_Consolidated%20Reporting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sue"/>
      <sheetName val="Instruction"/>
      <sheetName val="Check List"/>
      <sheetName val="Key Figures1"/>
      <sheetName val="Key Figures2"/>
      <sheetName val="Rev Recap"/>
      <sheetName val="Cont Marg Recap"/>
      <sheetName val="Ebitda adj Recap"/>
      <sheetName val="Capex recap"/>
      <sheetName val="Organic vs M&amp;A FCT"/>
      <sheetName val="Organic vs M&amp;A BDG"/>
      <sheetName val="Effect"/>
      <sheetName val="NE Works"/>
      <sheetName val="Financial by BU"/>
      <sheetName val="P&amp;L"/>
      <sheetName val="BS"/>
      <sheetName val="CF"/>
      <sheetName val="Liquidity FCT"/>
      <sheetName val="Analisi-&gt;"/>
      <sheetName val="Figures Adj."/>
      <sheetName val="CMV2 stanziamenti"/>
      <sheetName val="Pj ACT vsBDG vsFCT"/>
      <sheetName val="Movimentazione cespiti"/>
      <sheetName val="Sanity Check BDV"/>
      <sheetName val="Input&gt;"/>
      <sheetName val="BDV"/>
      <sheetName val="CapEx"/>
      <sheetName val="CVS BU"/>
      <sheetName val="Non Recurring"/>
      <sheetName val="SGP-&gt;"/>
      <sheetName val="Recap SGP26"/>
      <sheetName val="SGP26 8"/>
      <sheetName val="BDG26MTD Conso"/>
      <sheetName val="DB_Commesse_BDG"/>
      <sheetName val="BDG26YTD Conso"/>
      <sheetName val="Dec25"/>
      <sheetName val="FCT26YTD"/>
      <sheetName val="FCT26MTD"/>
      <sheetName val="DB_Commesse_FCT"/>
      <sheetName val="All 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I1">
            <v>7321465.6133333333</v>
          </cell>
        </row>
        <row r="2">
          <cell r="AC2">
            <v>5491099.21</v>
          </cell>
          <cell r="AI2">
            <v>7522962.790000001</v>
          </cell>
        </row>
        <row r="3">
          <cell r="AC3">
            <v>5.4249539971351624E-8</v>
          </cell>
          <cell r="AI3">
            <v>3.2971001928672194E-8</v>
          </cell>
        </row>
        <row r="5">
          <cell r="D5" t="str">
            <v>Altro</v>
          </cell>
          <cell r="F5" t="str">
            <v>Codice Conto</v>
          </cell>
          <cell r="AC5" t="str">
            <v>Giu Bdv</v>
          </cell>
          <cell r="AI5" t="str">
            <v>Ago BdV</v>
          </cell>
        </row>
        <row r="6">
          <cell r="F6">
            <v>100201</v>
          </cell>
          <cell r="AC6">
            <v>4214.29</v>
          </cell>
          <cell r="AI6">
            <v>4214.29</v>
          </cell>
        </row>
        <row r="7">
          <cell r="F7">
            <v>100203</v>
          </cell>
          <cell r="AC7">
            <v>4717032.5999999996</v>
          </cell>
          <cell r="AI7">
            <v>4791708.5999999996</v>
          </cell>
        </row>
        <row r="8">
          <cell r="F8">
            <v>100205</v>
          </cell>
          <cell r="AC8">
            <v>50053944.920000002</v>
          </cell>
          <cell r="AI8">
            <v>50053944.920000002</v>
          </cell>
        </row>
        <row r="9">
          <cell r="F9">
            <v>100207</v>
          </cell>
          <cell r="AC9">
            <v>116700030.42</v>
          </cell>
          <cell r="AI9">
            <v>122021373.57000001</v>
          </cell>
        </row>
        <row r="10">
          <cell r="F10">
            <v>100209</v>
          </cell>
          <cell r="AC10">
            <v>20295751.800000001</v>
          </cell>
          <cell r="AI10">
            <v>21620273.210000001</v>
          </cell>
        </row>
        <row r="11">
          <cell r="F11" t="str">
            <v>Reclass-2</v>
          </cell>
          <cell r="AC11">
            <v>0</v>
          </cell>
          <cell r="AI11">
            <v>0</v>
          </cell>
        </row>
        <row r="12">
          <cell r="F12" t="str">
            <v>Reclass-1</v>
          </cell>
          <cell r="AC12">
            <v>0</v>
          </cell>
          <cell r="AI12">
            <v>0</v>
          </cell>
        </row>
        <row r="13">
          <cell r="F13">
            <v>100211</v>
          </cell>
          <cell r="AC13">
            <v>0</v>
          </cell>
          <cell r="AI13">
            <v>0</v>
          </cell>
        </row>
        <row r="14">
          <cell r="F14">
            <v>100215</v>
          </cell>
          <cell r="AC14">
            <v>354977.91</v>
          </cell>
          <cell r="AI14">
            <v>354977.91</v>
          </cell>
        </row>
        <row r="15">
          <cell r="F15">
            <v>100217</v>
          </cell>
          <cell r="AC15">
            <v>201871.57</v>
          </cell>
          <cell r="AI15">
            <v>210837.82</v>
          </cell>
        </row>
        <row r="16">
          <cell r="F16">
            <v>100223</v>
          </cell>
          <cell r="AC16">
            <v>-1403.05</v>
          </cell>
          <cell r="AI16">
            <v>-1496.05</v>
          </cell>
        </row>
        <row r="17">
          <cell r="F17">
            <v>100225</v>
          </cell>
          <cell r="AC17">
            <v>-2176218.13</v>
          </cell>
          <cell r="AI17">
            <v>-2367944.14</v>
          </cell>
        </row>
        <row r="18">
          <cell r="F18">
            <v>100227</v>
          </cell>
          <cell r="AC18">
            <v>-8082.14</v>
          </cell>
          <cell r="AI18">
            <v>-8392.14</v>
          </cell>
        </row>
        <row r="19">
          <cell r="F19">
            <v>100231</v>
          </cell>
          <cell r="AC19">
            <v>-253386.81</v>
          </cell>
          <cell r="AI19">
            <v>-260807.85</v>
          </cell>
        </row>
        <row r="20">
          <cell r="F20">
            <v>100233</v>
          </cell>
          <cell r="AC20">
            <v>0</v>
          </cell>
          <cell r="AI20">
            <v>0</v>
          </cell>
        </row>
        <row r="21">
          <cell r="F21">
            <v>100235</v>
          </cell>
          <cell r="AC21">
            <v>-41630306.289999999</v>
          </cell>
          <cell r="AI21">
            <v>-43468382.890000001</v>
          </cell>
        </row>
        <row r="22">
          <cell r="F22">
            <v>100237</v>
          </cell>
          <cell r="AC22">
            <v>-195615.56</v>
          </cell>
          <cell r="AI22">
            <v>-205030.81</v>
          </cell>
        </row>
        <row r="23">
          <cell r="F23">
            <v>100239</v>
          </cell>
          <cell r="AC23">
            <v>55778.54</v>
          </cell>
          <cell r="AI23">
            <v>55778.54</v>
          </cell>
        </row>
        <row r="24">
          <cell r="F24">
            <v>100241</v>
          </cell>
          <cell r="AC24">
            <v>-55232.19</v>
          </cell>
          <cell r="AI24">
            <v>-55414.19</v>
          </cell>
        </row>
        <row r="25">
          <cell r="F25">
            <v>100401</v>
          </cell>
          <cell r="AC25">
            <v>106086.67</v>
          </cell>
          <cell r="AI25">
            <v>26096.62</v>
          </cell>
        </row>
        <row r="26">
          <cell r="F26">
            <v>100403</v>
          </cell>
          <cell r="AC26">
            <v>18097</v>
          </cell>
          <cell r="AI26">
            <v>18097</v>
          </cell>
        </row>
        <row r="27">
          <cell r="F27">
            <v>100405</v>
          </cell>
          <cell r="AC27">
            <v>1050820.3999999999</v>
          </cell>
          <cell r="AI27">
            <v>1436481.5099999998</v>
          </cell>
        </row>
        <row r="28">
          <cell r="F28">
            <v>100407</v>
          </cell>
          <cell r="AC28">
            <v>104546</v>
          </cell>
          <cell r="AI28">
            <v>104546</v>
          </cell>
        </row>
        <row r="29">
          <cell r="F29">
            <v>100411</v>
          </cell>
          <cell r="AC29">
            <v>703528.86</v>
          </cell>
          <cell r="AI29">
            <v>758529.87</v>
          </cell>
        </row>
        <row r="30">
          <cell r="F30">
            <v>100413</v>
          </cell>
          <cell r="AC30">
            <v>77813.34</v>
          </cell>
          <cell r="AI30">
            <v>118269.43</v>
          </cell>
        </row>
        <row r="31">
          <cell r="F31">
            <v>100415</v>
          </cell>
          <cell r="AC31">
            <v>372327.78</v>
          </cell>
          <cell r="AI31">
            <v>376426.03</v>
          </cell>
        </row>
        <row r="32">
          <cell r="F32">
            <v>100417</v>
          </cell>
          <cell r="AC32">
            <v>571065.69999999995</v>
          </cell>
          <cell r="AI32">
            <v>571065.69999999995</v>
          </cell>
        </row>
        <row r="33">
          <cell r="F33">
            <v>100419</v>
          </cell>
          <cell r="AC33">
            <v>513770.12</v>
          </cell>
          <cell r="AI33">
            <v>516770.12</v>
          </cell>
        </row>
        <row r="34">
          <cell r="F34">
            <v>100421</v>
          </cell>
          <cell r="AC34">
            <v>348980.49</v>
          </cell>
          <cell r="AI34">
            <v>382931.79</v>
          </cell>
        </row>
        <row r="35">
          <cell r="F35">
            <v>100423</v>
          </cell>
          <cell r="AC35">
            <v>710845.27</v>
          </cell>
          <cell r="AI35">
            <v>924851.84000000008</v>
          </cell>
        </row>
        <row r="36">
          <cell r="F36">
            <v>100425</v>
          </cell>
          <cell r="AC36">
            <v>90383.75</v>
          </cell>
          <cell r="AI36">
            <v>123666.62</v>
          </cell>
        </row>
        <row r="37">
          <cell r="F37">
            <v>100429</v>
          </cell>
          <cell r="AC37">
            <v>-294384.2</v>
          </cell>
          <cell r="AI37">
            <v>-533261</v>
          </cell>
        </row>
        <row r="38">
          <cell r="F38">
            <v>100431</v>
          </cell>
          <cell r="AC38">
            <v>-74338.240000000005</v>
          </cell>
          <cell r="AI38">
            <v>-74989</v>
          </cell>
        </row>
        <row r="39">
          <cell r="F39">
            <v>100433</v>
          </cell>
          <cell r="AC39">
            <v>-36919.339999999997</v>
          </cell>
          <cell r="AI39">
            <v>-68645.06</v>
          </cell>
        </row>
        <row r="40">
          <cell r="F40">
            <v>100435</v>
          </cell>
          <cell r="AC40">
            <v>-638216.69999999995</v>
          </cell>
          <cell r="AI40">
            <v>-693528.48</v>
          </cell>
        </row>
        <row r="41">
          <cell r="F41">
            <v>100437</v>
          </cell>
          <cell r="AC41">
            <v>-74166.880000000005</v>
          </cell>
          <cell r="AI41">
            <v>-115259.12</v>
          </cell>
        </row>
        <row r="42">
          <cell r="F42">
            <v>100439</v>
          </cell>
          <cell r="AC42">
            <v>-326493.87</v>
          </cell>
          <cell r="AI42">
            <v>-333115.81</v>
          </cell>
        </row>
        <row r="43">
          <cell r="F43">
            <v>100441</v>
          </cell>
          <cell r="AC43">
            <v>-473050.14</v>
          </cell>
          <cell r="AI43">
            <v>-478748.5</v>
          </cell>
        </row>
        <row r="44">
          <cell r="F44">
            <v>100443</v>
          </cell>
          <cell r="AC44">
            <v>-390059.69</v>
          </cell>
          <cell r="AI44">
            <v>-395317.49</v>
          </cell>
        </row>
        <row r="45">
          <cell r="F45">
            <v>100445</v>
          </cell>
          <cell r="AC45">
            <v>-230985.9</v>
          </cell>
          <cell r="AI45">
            <v>-253827.97999999998</v>
          </cell>
        </row>
        <row r="46">
          <cell r="F46">
            <v>100447</v>
          </cell>
          <cell r="AC46">
            <v>-662807.72</v>
          </cell>
          <cell r="AI46">
            <v>-821793.89</v>
          </cell>
        </row>
        <row r="47">
          <cell r="F47">
            <v>100449</v>
          </cell>
          <cell r="AC47">
            <v>-88175.81</v>
          </cell>
          <cell r="AI47">
            <v>-122194.12</v>
          </cell>
        </row>
        <row r="48">
          <cell r="F48">
            <v>100453</v>
          </cell>
          <cell r="AC48">
            <v>6766</v>
          </cell>
          <cell r="AI48">
            <v>39409.96</v>
          </cell>
        </row>
        <row r="49">
          <cell r="F49">
            <v>100455</v>
          </cell>
          <cell r="AC49">
            <v>-6353.75</v>
          </cell>
          <cell r="AI49">
            <v>-30870.05</v>
          </cell>
        </row>
        <row r="50">
          <cell r="D50" t="str">
            <v>FV</v>
          </cell>
          <cell r="F50">
            <v>100457</v>
          </cell>
          <cell r="AC50">
            <v>81349.91</v>
          </cell>
          <cell r="AI50">
            <v>81349.91</v>
          </cell>
        </row>
        <row r="51">
          <cell r="D51" t="str">
            <v>FV</v>
          </cell>
          <cell r="F51">
            <v>100459</v>
          </cell>
          <cell r="AC51">
            <v>5035.95</v>
          </cell>
          <cell r="AI51">
            <v>5035.95</v>
          </cell>
        </row>
        <row r="52">
          <cell r="F52">
            <v>100461</v>
          </cell>
          <cell r="AC52">
            <v>44863.199999999997</v>
          </cell>
          <cell r="AI52">
            <v>46863.199999999997</v>
          </cell>
        </row>
        <row r="53">
          <cell r="F53">
            <v>100463</v>
          </cell>
          <cell r="AC53">
            <v>542422.65</v>
          </cell>
          <cell r="AI53">
            <v>542422.65</v>
          </cell>
        </row>
        <row r="54">
          <cell r="F54">
            <v>100465</v>
          </cell>
          <cell r="AC54">
            <v>-56423.24</v>
          </cell>
          <cell r="AI54">
            <v>-59135.35</v>
          </cell>
        </row>
        <row r="55">
          <cell r="F55">
            <v>100467</v>
          </cell>
          <cell r="AC55">
            <v>-18097.310000000001</v>
          </cell>
          <cell r="AI55">
            <v>-18097.310000000001</v>
          </cell>
        </row>
        <row r="56">
          <cell r="F56">
            <v>100601</v>
          </cell>
          <cell r="AC56">
            <v>7297750.9500000002</v>
          </cell>
          <cell r="AI56">
            <v>12654421.800000001</v>
          </cell>
        </row>
        <row r="57">
          <cell r="F57">
            <v>100605</v>
          </cell>
          <cell r="AC57">
            <v>7754.62</v>
          </cell>
          <cell r="AI57">
            <v>49020.62</v>
          </cell>
        </row>
        <row r="58">
          <cell r="F58">
            <v>100607</v>
          </cell>
          <cell r="AC58">
            <v>16044347.02</v>
          </cell>
          <cell r="AI58">
            <v>17114347.02</v>
          </cell>
        </row>
        <row r="59">
          <cell r="F59">
            <v>100609</v>
          </cell>
          <cell r="AC59">
            <v>0</v>
          </cell>
          <cell r="AI59">
            <v>0</v>
          </cell>
        </row>
        <row r="60">
          <cell r="F60">
            <v>100611</v>
          </cell>
          <cell r="AC60">
            <v>3992</v>
          </cell>
          <cell r="AI60">
            <v>3992</v>
          </cell>
        </row>
        <row r="61">
          <cell r="F61">
            <v>100615</v>
          </cell>
          <cell r="AC61">
            <v>150816.43</v>
          </cell>
          <cell r="AI61">
            <v>120180.32</v>
          </cell>
        </row>
        <row r="62">
          <cell r="F62">
            <v>100621</v>
          </cell>
          <cell r="AC62">
            <v>134201.73000000001</v>
          </cell>
          <cell r="AI62">
            <v>135934.92000000001</v>
          </cell>
        </row>
        <row r="63">
          <cell r="F63">
            <v>100622</v>
          </cell>
          <cell r="AC63">
            <v>108000</v>
          </cell>
          <cell r="AI63">
            <v>108000</v>
          </cell>
        </row>
        <row r="64">
          <cell r="F64">
            <v>120209</v>
          </cell>
          <cell r="AC64">
            <v>5063325.13</v>
          </cell>
          <cell r="AI64">
            <v>5244545.07</v>
          </cell>
        </row>
        <row r="65">
          <cell r="F65">
            <v>140201</v>
          </cell>
          <cell r="AC65">
            <v>11427294.68</v>
          </cell>
          <cell r="AI65">
            <v>13779107.630000001</v>
          </cell>
        </row>
        <row r="66">
          <cell r="F66">
            <v>140205</v>
          </cell>
          <cell r="AC66">
            <v>-590461.28</v>
          </cell>
          <cell r="AI66">
            <v>-590461.28</v>
          </cell>
        </row>
        <row r="67">
          <cell r="F67">
            <v>140219</v>
          </cell>
          <cell r="AC67">
            <v>4804.3900000000003</v>
          </cell>
          <cell r="AI67">
            <v>146.4</v>
          </cell>
        </row>
        <row r="68">
          <cell r="F68">
            <v>140221</v>
          </cell>
          <cell r="AC68">
            <v>113167.29</v>
          </cell>
          <cell r="AI68">
            <v>113167.29</v>
          </cell>
        </row>
        <row r="69">
          <cell r="F69">
            <v>140223</v>
          </cell>
          <cell r="AC69">
            <v>116452.71</v>
          </cell>
          <cell r="AI69">
            <v>116452.71</v>
          </cell>
        </row>
        <row r="70">
          <cell r="F70">
            <v>140225</v>
          </cell>
          <cell r="AC70">
            <v>1525</v>
          </cell>
          <cell r="AI70">
            <v>1525</v>
          </cell>
        </row>
        <row r="71">
          <cell r="F71">
            <v>140227</v>
          </cell>
          <cell r="AC71">
            <v>477931.6</v>
          </cell>
          <cell r="AI71">
            <v>563849.75</v>
          </cell>
        </row>
        <row r="72">
          <cell r="F72">
            <v>160201</v>
          </cell>
          <cell r="AC72">
            <v>458495.88</v>
          </cell>
          <cell r="AI72">
            <v>461829.21</v>
          </cell>
        </row>
        <row r="73">
          <cell r="F73">
            <v>160207</v>
          </cell>
          <cell r="AC73">
            <v>18675002.550000001</v>
          </cell>
          <cell r="AI73">
            <v>17662543.34</v>
          </cell>
        </row>
        <row r="74">
          <cell r="F74">
            <v>160208</v>
          </cell>
          <cell r="AC74">
            <v>353262.62</v>
          </cell>
          <cell r="AI74">
            <v>353316.06</v>
          </cell>
        </row>
        <row r="75">
          <cell r="F75">
            <v>160210</v>
          </cell>
          <cell r="AC75">
            <v>156035.07999999999</v>
          </cell>
          <cell r="AI75">
            <v>147938.91</v>
          </cell>
        </row>
        <row r="76">
          <cell r="F76">
            <v>160401</v>
          </cell>
          <cell r="AC76">
            <v>918231.35</v>
          </cell>
          <cell r="AI76">
            <v>1144423.49</v>
          </cell>
        </row>
        <row r="77">
          <cell r="F77">
            <v>160403</v>
          </cell>
          <cell r="AC77">
            <v>3979009.32</v>
          </cell>
          <cell r="AI77">
            <v>2942929.78</v>
          </cell>
        </row>
        <row r="78">
          <cell r="F78">
            <v>160405</v>
          </cell>
          <cell r="AC78">
            <v>838.94</v>
          </cell>
          <cell r="AI78">
            <v>909.42</v>
          </cell>
        </row>
        <row r="79">
          <cell r="F79">
            <v>160407</v>
          </cell>
          <cell r="AC79">
            <v>673332.24</v>
          </cell>
          <cell r="AI79">
            <v>673332.24</v>
          </cell>
        </row>
        <row r="80">
          <cell r="F80">
            <v>160409</v>
          </cell>
          <cell r="AC80">
            <v>16924.23</v>
          </cell>
          <cell r="AI80">
            <v>16924.23</v>
          </cell>
        </row>
        <row r="81">
          <cell r="F81">
            <v>180201</v>
          </cell>
          <cell r="AC81">
            <v>14343.76</v>
          </cell>
          <cell r="AI81">
            <v>7573.08</v>
          </cell>
        </row>
        <row r="82">
          <cell r="F82">
            <v>180209</v>
          </cell>
          <cell r="AC82">
            <v>20984.83</v>
          </cell>
          <cell r="AI82">
            <v>30939.31</v>
          </cell>
        </row>
        <row r="83">
          <cell r="F83">
            <v>180205</v>
          </cell>
          <cell r="AC83">
            <v>1099662.21</v>
          </cell>
          <cell r="AI83">
            <v>9661.7099999999991</v>
          </cell>
        </row>
        <row r="84">
          <cell r="F84">
            <v>180207</v>
          </cell>
          <cell r="AC84">
            <v>28681.07</v>
          </cell>
          <cell r="AI84">
            <v>29778.39</v>
          </cell>
        </row>
        <row r="85">
          <cell r="F85">
            <v>180211</v>
          </cell>
          <cell r="AC85">
            <v>17644.66</v>
          </cell>
          <cell r="AI85">
            <v>5286.42</v>
          </cell>
        </row>
        <row r="86">
          <cell r="F86">
            <v>180213</v>
          </cell>
          <cell r="AC86">
            <v>33298.400000000001</v>
          </cell>
          <cell r="AI86">
            <v>41308.019999999997</v>
          </cell>
        </row>
        <row r="87">
          <cell r="F87">
            <v>180215</v>
          </cell>
          <cell r="AC87">
            <v>465499.2</v>
          </cell>
          <cell r="AI87">
            <v>426672.56</v>
          </cell>
        </row>
        <row r="88">
          <cell r="F88">
            <v>180217</v>
          </cell>
          <cell r="AC88">
            <v>538597.15</v>
          </cell>
          <cell r="AI88">
            <v>178406.61</v>
          </cell>
        </row>
        <row r="89">
          <cell r="F89">
            <v>180219</v>
          </cell>
          <cell r="AC89">
            <v>95494.42</v>
          </cell>
          <cell r="AI89">
            <v>77656.77</v>
          </cell>
        </row>
        <row r="90">
          <cell r="F90">
            <v>180221</v>
          </cell>
          <cell r="AC90">
            <v>85452.06</v>
          </cell>
          <cell r="AI90">
            <v>85435.26</v>
          </cell>
        </row>
        <row r="91">
          <cell r="F91">
            <v>180223</v>
          </cell>
          <cell r="AC91">
            <v>61189.39</v>
          </cell>
          <cell r="AI91">
            <v>30800.9</v>
          </cell>
        </row>
        <row r="92">
          <cell r="F92">
            <v>180225</v>
          </cell>
          <cell r="AC92">
            <v>8271086.0999999996</v>
          </cell>
          <cell r="AI92">
            <v>77231.710000000006</v>
          </cell>
        </row>
        <row r="93">
          <cell r="F93">
            <v>180227</v>
          </cell>
          <cell r="AC93">
            <v>10335272.18</v>
          </cell>
          <cell r="AI93">
            <v>4198567.6100000003</v>
          </cell>
        </row>
        <row r="94">
          <cell r="F94">
            <v>180229</v>
          </cell>
          <cell r="AC94">
            <v>0</v>
          </cell>
          <cell r="AI94">
            <v>0</v>
          </cell>
        </row>
        <row r="95">
          <cell r="F95">
            <v>180231</v>
          </cell>
          <cell r="AC95">
            <v>12432.16</v>
          </cell>
          <cell r="AI95">
            <v>448.71</v>
          </cell>
        </row>
        <row r="96">
          <cell r="F96">
            <v>180281</v>
          </cell>
          <cell r="AC96">
            <v>753.4</v>
          </cell>
          <cell r="AI96">
            <v>311.85000000000002</v>
          </cell>
        </row>
        <row r="97">
          <cell r="F97">
            <v>180235</v>
          </cell>
          <cell r="AC97">
            <v>0</v>
          </cell>
          <cell r="AI97">
            <v>0</v>
          </cell>
        </row>
        <row r="98">
          <cell r="F98">
            <v>180239</v>
          </cell>
          <cell r="AC98">
            <v>0</v>
          </cell>
          <cell r="AI98">
            <v>0</v>
          </cell>
        </row>
        <row r="99">
          <cell r="F99">
            <v>180241</v>
          </cell>
          <cell r="AC99">
            <v>0</v>
          </cell>
          <cell r="AI99">
            <v>0</v>
          </cell>
        </row>
        <row r="100">
          <cell r="F100">
            <v>180243</v>
          </cell>
          <cell r="AC100">
            <v>1158552.69</v>
          </cell>
          <cell r="AI100">
            <v>1053391.3999999999</v>
          </cell>
        </row>
        <row r="101">
          <cell r="F101">
            <v>180245</v>
          </cell>
          <cell r="AC101">
            <v>0</v>
          </cell>
          <cell r="AI101">
            <v>0</v>
          </cell>
        </row>
        <row r="102">
          <cell r="F102">
            <v>180247</v>
          </cell>
          <cell r="AC102">
            <v>232736.16</v>
          </cell>
          <cell r="AI102">
            <v>140937.60000000001</v>
          </cell>
        </row>
        <row r="103">
          <cell r="F103">
            <v>180249</v>
          </cell>
          <cell r="AC103">
            <v>156106.87</v>
          </cell>
          <cell r="AI103">
            <v>27903.26</v>
          </cell>
        </row>
        <row r="104">
          <cell r="F104">
            <v>180251</v>
          </cell>
          <cell r="AC104">
            <v>357901.18</v>
          </cell>
          <cell r="AI104">
            <v>464584.3</v>
          </cell>
        </row>
        <row r="105">
          <cell r="F105">
            <v>180253</v>
          </cell>
          <cell r="AC105">
            <v>82369.06</v>
          </cell>
          <cell r="AI105">
            <v>88654.57</v>
          </cell>
        </row>
        <row r="106">
          <cell r="F106">
            <v>180255</v>
          </cell>
          <cell r="AC106">
            <v>78824.53</v>
          </cell>
          <cell r="AI106">
            <v>13823.53</v>
          </cell>
        </row>
        <row r="107">
          <cell r="F107">
            <v>180257</v>
          </cell>
          <cell r="AC107">
            <v>246.92</v>
          </cell>
          <cell r="AI107">
            <v>268</v>
          </cell>
        </row>
        <row r="108">
          <cell r="F108">
            <v>180259</v>
          </cell>
          <cell r="AC108">
            <v>-35.5</v>
          </cell>
          <cell r="AI108">
            <v>-1628.5</v>
          </cell>
        </row>
        <row r="109">
          <cell r="F109">
            <v>180261</v>
          </cell>
          <cell r="AC109">
            <v>-2838.26</v>
          </cell>
          <cell r="AI109">
            <v>1808.5</v>
          </cell>
        </row>
        <row r="110">
          <cell r="F110">
            <v>180263</v>
          </cell>
          <cell r="AC110">
            <v>0</v>
          </cell>
          <cell r="AI110">
            <v>0</v>
          </cell>
        </row>
        <row r="111">
          <cell r="F111">
            <v>180267</v>
          </cell>
          <cell r="AC111">
            <v>-1830.46</v>
          </cell>
          <cell r="AI111">
            <v>26202.67</v>
          </cell>
        </row>
        <row r="112">
          <cell r="F112">
            <v>180283</v>
          </cell>
          <cell r="AC112">
            <v>3876.34</v>
          </cell>
          <cell r="AI112">
            <v>869.98</v>
          </cell>
        </row>
        <row r="113">
          <cell r="F113">
            <v>200203</v>
          </cell>
          <cell r="AC113">
            <v>-214497.64</v>
          </cell>
          <cell r="AI113">
            <v>-215492.01</v>
          </cell>
        </row>
        <row r="114">
          <cell r="F114">
            <v>220201</v>
          </cell>
          <cell r="AC114">
            <v>-1689000</v>
          </cell>
          <cell r="AI114">
            <v>-1799000</v>
          </cell>
        </row>
        <row r="115">
          <cell r="F115">
            <v>220207</v>
          </cell>
          <cell r="AC115">
            <v>-318274.71999999997</v>
          </cell>
          <cell r="AI115">
            <v>-340642.72</v>
          </cell>
        </row>
        <row r="116">
          <cell r="F116">
            <v>220209</v>
          </cell>
          <cell r="AC116">
            <v>-1369957.26</v>
          </cell>
          <cell r="AI116">
            <v>-2686001.17</v>
          </cell>
        </row>
        <row r="117">
          <cell r="F117">
            <v>220213</v>
          </cell>
          <cell r="AC117">
            <v>6367.63</v>
          </cell>
          <cell r="AI117">
            <v>6367.63</v>
          </cell>
        </row>
        <row r="118">
          <cell r="F118">
            <v>220215</v>
          </cell>
          <cell r="AC118">
            <v>-191000508</v>
          </cell>
          <cell r="AI118">
            <v>-193410191</v>
          </cell>
        </row>
        <row r="119">
          <cell r="F119">
            <v>220217</v>
          </cell>
          <cell r="AC119">
            <v>-3502486.85</v>
          </cell>
          <cell r="AI119">
            <v>-3547477.14</v>
          </cell>
        </row>
        <row r="120">
          <cell r="F120">
            <v>220219</v>
          </cell>
          <cell r="AC120">
            <v>1405</v>
          </cell>
          <cell r="AI120">
            <v>1405</v>
          </cell>
        </row>
        <row r="121">
          <cell r="F121">
            <v>220221</v>
          </cell>
          <cell r="AC121">
            <v>-47359.29</v>
          </cell>
          <cell r="AI121">
            <v>-1</v>
          </cell>
        </row>
        <row r="122">
          <cell r="F122">
            <v>220225</v>
          </cell>
          <cell r="AC122">
            <v>-19537123.109999999</v>
          </cell>
          <cell r="AI122">
            <v>-19537123.109999999</v>
          </cell>
        </row>
        <row r="123">
          <cell r="F123">
            <v>220227</v>
          </cell>
          <cell r="AC123">
            <v>-747631</v>
          </cell>
          <cell r="AI123">
            <v>-747631</v>
          </cell>
        </row>
        <row r="124">
          <cell r="F124">
            <v>240201</v>
          </cell>
          <cell r="AC124">
            <v>-524</v>
          </cell>
          <cell r="AI124">
            <v>-524</v>
          </cell>
        </row>
        <row r="125">
          <cell r="F125">
            <v>240219</v>
          </cell>
          <cell r="AC125">
            <v>-6867686.9100000001</v>
          </cell>
          <cell r="AI125">
            <v>-6880019.8399999999</v>
          </cell>
        </row>
        <row r="126">
          <cell r="F126">
            <v>240221</v>
          </cell>
          <cell r="AC126">
            <v>0</v>
          </cell>
          <cell r="AI126">
            <v>0</v>
          </cell>
        </row>
        <row r="127">
          <cell r="F127">
            <v>240223</v>
          </cell>
          <cell r="AC127">
            <v>-553613.15</v>
          </cell>
          <cell r="AI127">
            <v>-689613.15</v>
          </cell>
        </row>
        <row r="128">
          <cell r="F128">
            <v>240225</v>
          </cell>
          <cell r="AC128">
            <v>-8390.2999999999993</v>
          </cell>
          <cell r="AI128">
            <v>-8390.2999999999993</v>
          </cell>
        </row>
        <row r="129">
          <cell r="F129">
            <v>260201</v>
          </cell>
          <cell r="AC129">
            <v>-977214.22</v>
          </cell>
          <cell r="AI129">
            <v>-1008770</v>
          </cell>
        </row>
        <row r="130">
          <cell r="F130">
            <v>280211</v>
          </cell>
          <cell r="AC130">
            <v>0</v>
          </cell>
          <cell r="AI130">
            <v>0</v>
          </cell>
        </row>
        <row r="131">
          <cell r="F131">
            <v>280221</v>
          </cell>
          <cell r="AC131">
            <v>-18480895.32</v>
          </cell>
          <cell r="AI131">
            <v>327623.67999999999</v>
          </cell>
        </row>
        <row r="132">
          <cell r="F132">
            <v>280225</v>
          </cell>
          <cell r="AC132">
            <v>-31474.01</v>
          </cell>
          <cell r="AI132">
            <v>0</v>
          </cell>
        </row>
        <row r="133">
          <cell r="F133">
            <v>280227</v>
          </cell>
          <cell r="AC133">
            <v>-24317.84</v>
          </cell>
          <cell r="AI133">
            <v>0</v>
          </cell>
        </row>
        <row r="134">
          <cell r="F134">
            <v>280229</v>
          </cell>
          <cell r="AC134">
            <v>-2671.76</v>
          </cell>
          <cell r="AI134">
            <v>0</v>
          </cell>
        </row>
        <row r="135">
          <cell r="F135">
            <v>280231</v>
          </cell>
          <cell r="AC135">
            <v>-273959.44</v>
          </cell>
          <cell r="AI135">
            <v>0</v>
          </cell>
        </row>
        <row r="136">
          <cell r="F136">
            <v>280233</v>
          </cell>
          <cell r="AC136">
            <v>-112014.8</v>
          </cell>
          <cell r="AI136">
            <v>0</v>
          </cell>
        </row>
        <row r="137">
          <cell r="F137">
            <v>280235</v>
          </cell>
          <cell r="AC137">
            <v>-33986.21</v>
          </cell>
          <cell r="AI137">
            <v>0</v>
          </cell>
        </row>
        <row r="138">
          <cell r="F138">
            <v>280237</v>
          </cell>
          <cell r="AC138">
            <v>-106839.03999999999</v>
          </cell>
          <cell r="AI138">
            <v>0</v>
          </cell>
        </row>
        <row r="139">
          <cell r="F139">
            <v>280239</v>
          </cell>
          <cell r="AC139">
            <v>-92137.77</v>
          </cell>
          <cell r="AI139">
            <v>0</v>
          </cell>
        </row>
        <row r="140">
          <cell r="F140">
            <v>280241</v>
          </cell>
          <cell r="AC140">
            <v>-198999.59</v>
          </cell>
          <cell r="AI140">
            <v>0</v>
          </cell>
        </row>
        <row r="141">
          <cell r="F141">
            <v>280243</v>
          </cell>
          <cell r="AC141">
            <v>0</v>
          </cell>
          <cell r="AI141">
            <v>0</v>
          </cell>
        </row>
        <row r="142">
          <cell r="F142">
            <v>280245</v>
          </cell>
          <cell r="AC142">
            <v>-83555.100000000006</v>
          </cell>
          <cell r="AI142">
            <v>0</v>
          </cell>
        </row>
        <row r="143">
          <cell r="F143">
            <v>280247</v>
          </cell>
          <cell r="AC143">
            <v>-69929</v>
          </cell>
          <cell r="AI143">
            <v>0</v>
          </cell>
        </row>
        <row r="144">
          <cell r="F144">
            <v>280249</v>
          </cell>
          <cell r="AC144">
            <v>-107751.95</v>
          </cell>
          <cell r="AI144">
            <v>0</v>
          </cell>
        </row>
        <row r="145">
          <cell r="F145">
            <v>280251</v>
          </cell>
          <cell r="AC145">
            <v>0</v>
          </cell>
          <cell r="AI145">
            <v>0</v>
          </cell>
        </row>
        <row r="146">
          <cell r="F146">
            <v>280253</v>
          </cell>
          <cell r="AC146">
            <v>0</v>
          </cell>
          <cell r="AI146">
            <v>0</v>
          </cell>
        </row>
        <row r="147">
          <cell r="F147">
            <v>280255</v>
          </cell>
          <cell r="AC147">
            <v>0</v>
          </cell>
          <cell r="AI147">
            <v>0</v>
          </cell>
        </row>
        <row r="148">
          <cell r="F148">
            <v>280257</v>
          </cell>
          <cell r="AC148">
            <v>0</v>
          </cell>
          <cell r="AI148">
            <v>0</v>
          </cell>
        </row>
        <row r="149">
          <cell r="F149">
            <v>280259</v>
          </cell>
          <cell r="AC149">
            <v>-278085.78000000003</v>
          </cell>
          <cell r="AI149">
            <v>0</v>
          </cell>
        </row>
        <row r="150">
          <cell r="F150">
            <v>280261</v>
          </cell>
          <cell r="AC150">
            <v>-25776.25</v>
          </cell>
          <cell r="AI150">
            <v>0</v>
          </cell>
        </row>
        <row r="151">
          <cell r="F151">
            <v>280265</v>
          </cell>
          <cell r="AC151">
            <v>-121791.18</v>
          </cell>
          <cell r="AI151">
            <v>0</v>
          </cell>
        </row>
        <row r="152">
          <cell r="F152">
            <v>280401</v>
          </cell>
          <cell r="AC152">
            <v>0</v>
          </cell>
          <cell r="AI152">
            <v>0</v>
          </cell>
        </row>
        <row r="153">
          <cell r="F153">
            <v>280403</v>
          </cell>
          <cell r="AC153">
            <v>-263994.92</v>
          </cell>
          <cell r="AI153">
            <v>-263994.92</v>
          </cell>
        </row>
        <row r="154">
          <cell r="F154">
            <v>300203</v>
          </cell>
          <cell r="AC154">
            <v>937.47</v>
          </cell>
          <cell r="AI154">
            <v>937.47</v>
          </cell>
        </row>
        <row r="155">
          <cell r="F155">
            <v>300205</v>
          </cell>
          <cell r="AC155">
            <v>-12613468.67</v>
          </cell>
          <cell r="AI155">
            <v>-11388559.49</v>
          </cell>
        </row>
        <row r="156">
          <cell r="F156">
            <v>300207</v>
          </cell>
          <cell r="AC156">
            <v>-26476.31</v>
          </cell>
          <cell r="AI156">
            <v>-125938.44</v>
          </cell>
        </row>
        <row r="157">
          <cell r="F157">
            <v>320201</v>
          </cell>
          <cell r="AC157">
            <v>-8571325</v>
          </cell>
          <cell r="AI157">
            <v>0</v>
          </cell>
        </row>
        <row r="158">
          <cell r="F158">
            <v>320203</v>
          </cell>
          <cell r="AC158">
            <v>-52.5</v>
          </cell>
          <cell r="AI158">
            <v>-52.5</v>
          </cell>
        </row>
        <row r="159">
          <cell r="F159">
            <v>320209</v>
          </cell>
          <cell r="AC159">
            <v>-8403086.1899999995</v>
          </cell>
          <cell r="AI159">
            <v>-8403086.1899999995</v>
          </cell>
        </row>
        <row r="160">
          <cell r="F160">
            <v>320401</v>
          </cell>
          <cell r="AC160">
            <v>-3833.7</v>
          </cell>
          <cell r="AI160">
            <v>-4441.3599999999997</v>
          </cell>
        </row>
        <row r="161">
          <cell r="F161">
            <v>320403</v>
          </cell>
          <cell r="AC161">
            <v>-1276516.52</v>
          </cell>
          <cell r="AI161">
            <v>-1234773.32</v>
          </cell>
        </row>
        <row r="162">
          <cell r="F162">
            <v>320405</v>
          </cell>
          <cell r="AC162">
            <v>-285203.44</v>
          </cell>
          <cell r="AI162">
            <v>-240763.92</v>
          </cell>
        </row>
        <row r="163">
          <cell r="F163">
            <v>320409</v>
          </cell>
          <cell r="AC163">
            <v>2328870.65</v>
          </cell>
          <cell r="AI163">
            <v>295139.45999999996</v>
          </cell>
        </row>
        <row r="164">
          <cell r="F164">
            <v>320411</v>
          </cell>
          <cell r="AC164">
            <v>370.74</v>
          </cell>
          <cell r="AI164">
            <v>1777219.46</v>
          </cell>
        </row>
        <row r="165">
          <cell r="F165">
            <v>320413</v>
          </cell>
          <cell r="AC165">
            <v>-154299.89000000001</v>
          </cell>
          <cell r="AI165">
            <v>-543337.47</v>
          </cell>
        </row>
        <row r="166">
          <cell r="F166">
            <v>320601</v>
          </cell>
          <cell r="AC166">
            <v>-28653.37</v>
          </cell>
          <cell r="AI166">
            <v>-28066.18</v>
          </cell>
        </row>
        <row r="167">
          <cell r="F167">
            <v>320603</v>
          </cell>
          <cell r="AC167">
            <v>-74813.490000000005</v>
          </cell>
          <cell r="AI167">
            <v>-63642.109999999993</v>
          </cell>
        </row>
        <row r="168">
          <cell r="F168">
            <v>320605</v>
          </cell>
          <cell r="AC168">
            <v>-113071.76</v>
          </cell>
          <cell r="AI168">
            <v>-52035.17</v>
          </cell>
        </row>
        <row r="169">
          <cell r="F169">
            <v>320613</v>
          </cell>
          <cell r="AC169">
            <v>-179532.42</v>
          </cell>
          <cell r="AI169">
            <v>-178842.75</v>
          </cell>
        </row>
        <row r="170">
          <cell r="F170">
            <v>320617</v>
          </cell>
          <cell r="AC170">
            <v>-10552.3</v>
          </cell>
          <cell r="AI170">
            <v>-11880.89</v>
          </cell>
        </row>
        <row r="171">
          <cell r="F171">
            <v>320803</v>
          </cell>
          <cell r="AC171">
            <v>5733.91</v>
          </cell>
          <cell r="AI171">
            <v>-9456.59</v>
          </cell>
        </row>
        <row r="172">
          <cell r="F172">
            <v>320811</v>
          </cell>
          <cell r="AC172">
            <v>-9204114.6500000004</v>
          </cell>
          <cell r="AI172">
            <v>-10079537.039999999</v>
          </cell>
        </row>
        <row r="173">
          <cell r="F173">
            <v>320813</v>
          </cell>
          <cell r="AC173">
            <v>-3583795.93</v>
          </cell>
          <cell r="AI173">
            <v>-3545249.92</v>
          </cell>
        </row>
        <row r="174">
          <cell r="F174">
            <v>320815</v>
          </cell>
          <cell r="AC174">
            <v>646.59</v>
          </cell>
          <cell r="AI174">
            <v>-4353.41</v>
          </cell>
        </row>
        <row r="175">
          <cell r="F175">
            <v>320817</v>
          </cell>
          <cell r="AC175">
            <v>345.42</v>
          </cell>
          <cell r="AI175">
            <v>345.42</v>
          </cell>
        </row>
        <row r="176">
          <cell r="F176">
            <v>320819</v>
          </cell>
          <cell r="AC176">
            <v>-553689.18000000005</v>
          </cell>
          <cell r="AI176">
            <v>-553689.18000000005</v>
          </cell>
        </row>
        <row r="177">
          <cell r="F177">
            <v>320821</v>
          </cell>
          <cell r="AC177">
            <v>-185691.83</v>
          </cell>
          <cell r="AI177">
            <v>-187921.06</v>
          </cell>
        </row>
        <row r="178">
          <cell r="F178">
            <v>340213</v>
          </cell>
          <cell r="AC178">
            <v>-967511.09</v>
          </cell>
          <cell r="AI178">
            <v>-1001544.81</v>
          </cell>
        </row>
        <row r="179">
          <cell r="F179">
            <v>340215</v>
          </cell>
          <cell r="AC179">
            <v>-252650.5</v>
          </cell>
          <cell r="AI179">
            <v>-263435.83</v>
          </cell>
        </row>
        <row r="180">
          <cell r="F180">
            <v>340217</v>
          </cell>
          <cell r="AC180">
            <v>-6210.96</v>
          </cell>
          <cell r="AI180">
            <v>-7498.69</v>
          </cell>
        </row>
        <row r="181">
          <cell r="F181">
            <v>360201</v>
          </cell>
          <cell r="AC181">
            <v>292751.39</v>
          </cell>
          <cell r="AI181">
            <v>320499.40999999997</v>
          </cell>
        </row>
        <row r="182">
          <cell r="F182">
            <v>360203</v>
          </cell>
          <cell r="AC182">
            <v>-22386.38</v>
          </cell>
          <cell r="AI182">
            <v>-22386.38</v>
          </cell>
        </row>
        <row r="183">
          <cell r="D183" t="str">
            <v>R</v>
          </cell>
          <cell r="F183">
            <v>640201</v>
          </cell>
          <cell r="AC183">
            <v>-2126354.77</v>
          </cell>
          <cell r="AI183">
            <v>-2824723.56</v>
          </cell>
        </row>
        <row r="184">
          <cell r="D184" t="str">
            <v>R</v>
          </cell>
          <cell r="F184">
            <v>660201</v>
          </cell>
          <cell r="AC184">
            <v>-5231.37</v>
          </cell>
          <cell r="AI184">
            <v>-7207.2</v>
          </cell>
        </row>
        <row r="185">
          <cell r="D185" t="str">
            <v>R</v>
          </cell>
          <cell r="F185">
            <v>660203</v>
          </cell>
          <cell r="AC185">
            <v>-9498.5</v>
          </cell>
          <cell r="AI185">
            <v>-13268.5</v>
          </cell>
        </row>
        <row r="186">
          <cell r="D186" t="str">
            <v>C</v>
          </cell>
          <cell r="F186">
            <v>660205</v>
          </cell>
          <cell r="AC186">
            <v>0</v>
          </cell>
          <cell r="AI186">
            <v>0</v>
          </cell>
        </row>
        <row r="187">
          <cell r="D187" t="str">
            <v>R</v>
          </cell>
          <cell r="F187">
            <v>660207</v>
          </cell>
          <cell r="AC187">
            <v>0</v>
          </cell>
          <cell r="AI187">
            <v>0</v>
          </cell>
        </row>
        <row r="188">
          <cell r="D188" t="str">
            <v>R</v>
          </cell>
          <cell r="F188">
            <v>660403</v>
          </cell>
          <cell r="AC188">
            <v>0</v>
          </cell>
          <cell r="AI188">
            <v>-3152.3</v>
          </cell>
        </row>
        <row r="189">
          <cell r="D189" t="str">
            <v>R</v>
          </cell>
          <cell r="F189">
            <v>660407</v>
          </cell>
          <cell r="AC189">
            <v>-13766.53</v>
          </cell>
          <cell r="AI189">
            <v>-23508.42</v>
          </cell>
        </row>
        <row r="190">
          <cell r="D190" t="str">
            <v>R</v>
          </cell>
          <cell r="F190">
            <v>660409</v>
          </cell>
          <cell r="AC190">
            <v>-1375.4</v>
          </cell>
          <cell r="AI190">
            <v>-1691.99</v>
          </cell>
        </row>
        <row r="191">
          <cell r="D191" t="str">
            <v>R</v>
          </cell>
          <cell r="F191">
            <v>660413</v>
          </cell>
          <cell r="AC191">
            <v>-13343.37</v>
          </cell>
          <cell r="AI191">
            <v>-18677.46</v>
          </cell>
        </row>
        <row r="192">
          <cell r="D192" t="str">
            <v>C</v>
          </cell>
          <cell r="F192">
            <v>680201</v>
          </cell>
          <cell r="AC192">
            <v>5934074.3700000001</v>
          </cell>
          <cell r="AI192">
            <v>7723309.6699999999</v>
          </cell>
        </row>
        <row r="193">
          <cell r="D193" t="str">
            <v>C</v>
          </cell>
          <cell r="F193">
            <v>680205</v>
          </cell>
          <cell r="AC193">
            <v>0</v>
          </cell>
          <cell r="AI193">
            <v>0</v>
          </cell>
        </row>
        <row r="194">
          <cell r="D194" t="str">
            <v>C</v>
          </cell>
          <cell r="F194">
            <v>680207</v>
          </cell>
          <cell r="AC194">
            <v>0</v>
          </cell>
          <cell r="AI194">
            <v>0</v>
          </cell>
        </row>
        <row r="195">
          <cell r="D195" t="str">
            <v>C</v>
          </cell>
          <cell r="F195">
            <v>680601</v>
          </cell>
          <cell r="AC195">
            <v>61385.36</v>
          </cell>
          <cell r="AI195">
            <v>82032.819999999992</v>
          </cell>
        </row>
        <row r="196">
          <cell r="D196" t="str">
            <v>C</v>
          </cell>
          <cell r="F196">
            <v>680603</v>
          </cell>
          <cell r="AC196">
            <v>116700.52</v>
          </cell>
          <cell r="AI196">
            <v>175485.84</v>
          </cell>
        </row>
        <row r="197">
          <cell r="D197" t="str">
            <v>C</v>
          </cell>
          <cell r="F197">
            <v>700201</v>
          </cell>
          <cell r="AC197">
            <v>0</v>
          </cell>
          <cell r="AI197">
            <v>26231.66</v>
          </cell>
        </row>
        <row r="198">
          <cell r="D198" t="str">
            <v>C</v>
          </cell>
          <cell r="F198">
            <v>700203</v>
          </cell>
          <cell r="AC198">
            <v>8415918.3300000001</v>
          </cell>
          <cell r="AI198">
            <v>11257259.859999999</v>
          </cell>
        </row>
        <row r="199">
          <cell r="D199" t="str">
            <v>C</v>
          </cell>
          <cell r="F199">
            <v>700205</v>
          </cell>
          <cell r="AC199">
            <v>2671.4</v>
          </cell>
          <cell r="AI199">
            <v>14562.1</v>
          </cell>
        </row>
        <row r="200">
          <cell r="D200" t="str">
            <v>C</v>
          </cell>
          <cell r="F200">
            <v>700207</v>
          </cell>
          <cell r="AC200">
            <v>4312.1000000000004</v>
          </cell>
          <cell r="AI200">
            <v>8970.9600000000009</v>
          </cell>
        </row>
        <row r="201">
          <cell r="D201" t="str">
            <v>C</v>
          </cell>
          <cell r="F201">
            <v>700209</v>
          </cell>
          <cell r="AC201">
            <v>48624.7</v>
          </cell>
          <cell r="AI201">
            <v>60945.79</v>
          </cell>
        </row>
        <row r="202">
          <cell r="D202" t="str">
            <v>C</v>
          </cell>
          <cell r="F202">
            <v>700211</v>
          </cell>
          <cell r="AC202">
            <v>4874.22</v>
          </cell>
          <cell r="AI202">
            <v>5279.23</v>
          </cell>
        </row>
        <row r="203">
          <cell r="D203" t="str">
            <v>C</v>
          </cell>
          <cell r="F203">
            <v>700213</v>
          </cell>
          <cell r="AC203">
            <v>77150.23</v>
          </cell>
          <cell r="AI203">
            <v>77150.23</v>
          </cell>
        </row>
        <row r="204">
          <cell r="D204" t="str">
            <v>C</v>
          </cell>
          <cell r="F204">
            <v>700215</v>
          </cell>
          <cell r="AC204">
            <v>0</v>
          </cell>
          <cell r="AI204">
            <v>0</v>
          </cell>
        </row>
        <row r="205">
          <cell r="D205" t="str">
            <v>C</v>
          </cell>
          <cell r="F205">
            <v>700403</v>
          </cell>
          <cell r="AC205">
            <v>184694.93</v>
          </cell>
          <cell r="AI205">
            <v>257951.85</v>
          </cell>
        </row>
        <row r="206">
          <cell r="D206" t="str">
            <v>C</v>
          </cell>
          <cell r="F206">
            <v>700405</v>
          </cell>
          <cell r="AC206">
            <v>334011.37</v>
          </cell>
          <cell r="AI206">
            <v>568887.39</v>
          </cell>
        </row>
        <row r="207">
          <cell r="D207" t="str">
            <v>C</v>
          </cell>
          <cell r="F207">
            <v>700407</v>
          </cell>
          <cell r="AC207">
            <v>887136.03</v>
          </cell>
          <cell r="AI207">
            <v>1078802.76</v>
          </cell>
        </row>
        <row r="208">
          <cell r="D208" t="str">
            <v>C</v>
          </cell>
          <cell r="F208">
            <v>700409</v>
          </cell>
          <cell r="AC208">
            <v>351421.82</v>
          </cell>
          <cell r="AI208">
            <v>418778.76</v>
          </cell>
        </row>
        <row r="209">
          <cell r="D209" t="str">
            <v>C</v>
          </cell>
          <cell r="F209">
            <v>700411</v>
          </cell>
          <cell r="AC209">
            <v>29914.92</v>
          </cell>
          <cell r="AI209">
            <v>42758.840000000004</v>
          </cell>
        </row>
        <row r="210">
          <cell r="D210" t="str">
            <v>C</v>
          </cell>
          <cell r="F210">
            <v>700601</v>
          </cell>
          <cell r="AC210">
            <v>6897386.9900000002</v>
          </cell>
          <cell r="AI210">
            <v>9751531.6400000006</v>
          </cell>
        </row>
        <row r="211">
          <cell r="D211" t="str">
            <v>C</v>
          </cell>
          <cell r="F211">
            <v>700801</v>
          </cell>
          <cell r="AC211">
            <v>68487.55</v>
          </cell>
          <cell r="AI211">
            <v>80784.009999999995</v>
          </cell>
        </row>
        <row r="212">
          <cell r="D212" t="str">
            <v>C</v>
          </cell>
          <cell r="F212">
            <v>700803</v>
          </cell>
          <cell r="AC212">
            <v>6786.69</v>
          </cell>
          <cell r="AI212">
            <v>12383.109999999999</v>
          </cell>
        </row>
        <row r="213">
          <cell r="D213" t="str">
            <v>C</v>
          </cell>
          <cell r="F213">
            <v>700805</v>
          </cell>
          <cell r="AC213">
            <v>5525.93</v>
          </cell>
          <cell r="AI213">
            <v>7303.8099999999995</v>
          </cell>
        </row>
        <row r="214">
          <cell r="D214" t="str">
            <v>C</v>
          </cell>
          <cell r="F214">
            <v>700809</v>
          </cell>
          <cell r="AC214">
            <v>37706.81</v>
          </cell>
          <cell r="AI214">
            <v>73216.83</v>
          </cell>
        </row>
        <row r="215">
          <cell r="D215" t="str">
            <v>C</v>
          </cell>
          <cell r="F215">
            <v>700811</v>
          </cell>
          <cell r="AC215">
            <v>0</v>
          </cell>
          <cell r="AI215">
            <v>69.900000000000006</v>
          </cell>
        </row>
        <row r="216">
          <cell r="D216" t="str">
            <v>C</v>
          </cell>
          <cell r="F216">
            <v>700813</v>
          </cell>
          <cell r="AC216">
            <v>23124.01</v>
          </cell>
          <cell r="AI216">
            <v>35087.269999999997</v>
          </cell>
        </row>
        <row r="217">
          <cell r="D217" t="str">
            <v>C</v>
          </cell>
          <cell r="F217">
            <v>700815</v>
          </cell>
          <cell r="AC217">
            <v>93192.04</v>
          </cell>
          <cell r="AI217">
            <v>119529.99</v>
          </cell>
        </row>
        <row r="218">
          <cell r="D218" t="str">
            <v>C</v>
          </cell>
          <cell r="F218">
            <v>700817</v>
          </cell>
          <cell r="AC218">
            <v>0</v>
          </cell>
          <cell r="AI218">
            <v>0</v>
          </cell>
        </row>
        <row r="219">
          <cell r="D219" t="str">
            <v>C</v>
          </cell>
          <cell r="F219">
            <v>700819</v>
          </cell>
          <cell r="AC219">
            <v>7191.24</v>
          </cell>
          <cell r="AI219">
            <v>54446.5</v>
          </cell>
        </row>
        <row r="220">
          <cell r="D220" t="str">
            <v>C</v>
          </cell>
          <cell r="F220">
            <v>700821</v>
          </cell>
          <cell r="AC220">
            <v>0</v>
          </cell>
          <cell r="AI220">
            <v>314.52</v>
          </cell>
        </row>
        <row r="221">
          <cell r="D221" t="str">
            <v>C</v>
          </cell>
          <cell r="F221">
            <v>701201</v>
          </cell>
          <cell r="AC221">
            <v>34235.21</v>
          </cell>
          <cell r="AI221">
            <v>60606.44</v>
          </cell>
        </row>
        <row r="222">
          <cell r="D222" t="str">
            <v>C</v>
          </cell>
          <cell r="F222">
            <v>701203</v>
          </cell>
          <cell r="AC222">
            <v>0</v>
          </cell>
          <cell r="AI222">
            <v>0</v>
          </cell>
        </row>
        <row r="223">
          <cell r="D223" t="str">
            <v>C</v>
          </cell>
          <cell r="F223">
            <v>701401</v>
          </cell>
          <cell r="AC223">
            <v>0</v>
          </cell>
          <cell r="AI223">
            <v>0</v>
          </cell>
        </row>
        <row r="224">
          <cell r="D224" t="str">
            <v>C</v>
          </cell>
          <cell r="F224">
            <v>701601</v>
          </cell>
          <cell r="AC224">
            <v>400000</v>
          </cell>
          <cell r="AI224">
            <v>643268</v>
          </cell>
        </row>
        <row r="225">
          <cell r="D225" t="str">
            <v>C</v>
          </cell>
          <cell r="F225">
            <v>701603</v>
          </cell>
          <cell r="AC225">
            <v>106712.87</v>
          </cell>
          <cell r="AI225">
            <v>131921.64000000001</v>
          </cell>
        </row>
        <row r="226">
          <cell r="D226" t="str">
            <v>C</v>
          </cell>
          <cell r="F226">
            <v>701605</v>
          </cell>
          <cell r="AC226">
            <v>5731.17</v>
          </cell>
          <cell r="AI226">
            <v>6617.28</v>
          </cell>
        </row>
        <row r="227">
          <cell r="D227" t="str">
            <v>C</v>
          </cell>
          <cell r="F227">
            <v>701607</v>
          </cell>
          <cell r="AC227">
            <v>155751.20000000001</v>
          </cell>
          <cell r="AI227">
            <v>161022.29999999999</v>
          </cell>
        </row>
        <row r="228">
          <cell r="D228" t="str">
            <v>C</v>
          </cell>
          <cell r="F228">
            <v>701803</v>
          </cell>
          <cell r="AC228">
            <v>0</v>
          </cell>
          <cell r="AI228">
            <v>0</v>
          </cell>
        </row>
        <row r="229">
          <cell r="D229" t="str">
            <v>C</v>
          </cell>
          <cell r="F229">
            <v>701811</v>
          </cell>
          <cell r="AC229">
            <v>6820</v>
          </cell>
          <cell r="AI229">
            <v>6820</v>
          </cell>
        </row>
        <row r="230">
          <cell r="D230" t="str">
            <v>C</v>
          </cell>
          <cell r="F230">
            <v>702001</v>
          </cell>
          <cell r="AC230">
            <v>1014814.45</v>
          </cell>
          <cell r="AI230">
            <v>1355538.96</v>
          </cell>
        </row>
        <row r="231">
          <cell r="D231" t="str">
            <v>C</v>
          </cell>
          <cell r="F231">
            <v>702003</v>
          </cell>
          <cell r="AC231">
            <v>89036.28</v>
          </cell>
          <cell r="AI231">
            <v>135969.4</v>
          </cell>
        </row>
        <row r="232">
          <cell r="D232" t="str">
            <v>C</v>
          </cell>
          <cell r="F232">
            <v>702201</v>
          </cell>
          <cell r="AC232">
            <v>58085.49</v>
          </cell>
          <cell r="AI232">
            <v>71790.039999999994</v>
          </cell>
        </row>
        <row r="233">
          <cell r="D233" t="str">
            <v>C</v>
          </cell>
          <cell r="F233">
            <v>702203</v>
          </cell>
          <cell r="AC233">
            <v>10060.25</v>
          </cell>
          <cell r="AI233">
            <v>19464.099999999999</v>
          </cell>
        </row>
        <row r="234">
          <cell r="D234" t="str">
            <v>C</v>
          </cell>
          <cell r="F234">
            <v>702401</v>
          </cell>
          <cell r="AC234">
            <v>174240.13</v>
          </cell>
          <cell r="AI234">
            <v>223112.19</v>
          </cell>
        </row>
        <row r="235">
          <cell r="D235" t="str">
            <v>C</v>
          </cell>
          <cell r="F235">
            <v>702403</v>
          </cell>
          <cell r="AC235">
            <v>11905.09</v>
          </cell>
          <cell r="AI235">
            <v>21552.53</v>
          </cell>
        </row>
        <row r="236">
          <cell r="D236" t="str">
            <v>C</v>
          </cell>
          <cell r="F236">
            <v>702405</v>
          </cell>
          <cell r="AC236">
            <v>29972.01</v>
          </cell>
          <cell r="AI236">
            <v>33634.39</v>
          </cell>
        </row>
        <row r="237">
          <cell r="D237" t="str">
            <v>C</v>
          </cell>
          <cell r="F237">
            <v>702407</v>
          </cell>
          <cell r="AC237">
            <v>13689.72</v>
          </cell>
          <cell r="AI237">
            <v>15994.31</v>
          </cell>
        </row>
        <row r="238">
          <cell r="D238" t="str">
            <v>C</v>
          </cell>
          <cell r="F238">
            <v>702411</v>
          </cell>
          <cell r="AC238">
            <v>161362.35999999999</v>
          </cell>
          <cell r="AI238">
            <v>191967.13</v>
          </cell>
        </row>
        <row r="239">
          <cell r="D239" t="str">
            <v>C</v>
          </cell>
          <cell r="F239">
            <v>720201</v>
          </cell>
          <cell r="AC239">
            <v>171046.3</v>
          </cell>
          <cell r="AI239">
            <v>264386.57</v>
          </cell>
        </row>
        <row r="240">
          <cell r="D240" t="str">
            <v>C</v>
          </cell>
          <cell r="F240">
            <v>720401</v>
          </cell>
          <cell r="AC240">
            <v>32444.49</v>
          </cell>
          <cell r="AI240">
            <v>51694.26</v>
          </cell>
        </row>
        <row r="241">
          <cell r="D241" t="str">
            <v>C</v>
          </cell>
          <cell r="F241">
            <v>720403</v>
          </cell>
          <cell r="AC241">
            <v>36032.629999999997</v>
          </cell>
          <cell r="AI241">
            <v>48752.84</v>
          </cell>
        </row>
        <row r="242">
          <cell r="D242" t="str">
            <v>C</v>
          </cell>
          <cell r="F242">
            <v>720405</v>
          </cell>
          <cell r="AC242">
            <v>315786.02</v>
          </cell>
          <cell r="AI242">
            <v>422809.09</v>
          </cell>
        </row>
        <row r="243">
          <cell r="D243" t="str">
            <v>C</v>
          </cell>
          <cell r="F243">
            <v>720601</v>
          </cell>
          <cell r="AC243">
            <v>10563.34</v>
          </cell>
          <cell r="AI243">
            <v>17675.22</v>
          </cell>
        </row>
        <row r="244">
          <cell r="D244" t="str">
            <v>C</v>
          </cell>
          <cell r="F244">
            <v>740201</v>
          </cell>
          <cell r="AC244">
            <v>618703.69999999995</v>
          </cell>
          <cell r="AI244">
            <v>892352.82000000007</v>
          </cell>
        </row>
        <row r="245">
          <cell r="D245" t="str">
            <v>C</v>
          </cell>
          <cell r="F245">
            <v>740203</v>
          </cell>
          <cell r="AC245">
            <v>1504399.54</v>
          </cell>
          <cell r="AI245">
            <v>2112551.96</v>
          </cell>
        </row>
        <row r="246">
          <cell r="D246" t="str">
            <v>C</v>
          </cell>
          <cell r="F246">
            <v>740205</v>
          </cell>
          <cell r="AC246">
            <v>633333.35</v>
          </cell>
          <cell r="AI246">
            <v>842556.66</v>
          </cell>
        </row>
        <row r="247">
          <cell r="D247" t="str">
            <v>C</v>
          </cell>
          <cell r="F247">
            <v>740207</v>
          </cell>
          <cell r="AC247">
            <v>79544.460000000006</v>
          </cell>
          <cell r="AI247">
            <v>101489.14</v>
          </cell>
        </row>
        <row r="248">
          <cell r="D248" t="str">
            <v>C</v>
          </cell>
          <cell r="F248">
            <v>740401</v>
          </cell>
          <cell r="AC248">
            <v>356946.4</v>
          </cell>
          <cell r="AI248">
            <v>477601.93</v>
          </cell>
        </row>
        <row r="249">
          <cell r="D249" t="str">
            <v>C</v>
          </cell>
          <cell r="F249">
            <v>740601</v>
          </cell>
          <cell r="AC249">
            <v>175172.22</v>
          </cell>
          <cell r="AI249">
            <v>254125.59000000003</v>
          </cell>
        </row>
        <row r="250">
          <cell r="D250" t="str">
            <v>C</v>
          </cell>
          <cell r="F250">
            <v>740605</v>
          </cell>
          <cell r="AC250">
            <v>13450</v>
          </cell>
          <cell r="AI250">
            <v>20720</v>
          </cell>
        </row>
        <row r="251">
          <cell r="D251" t="str">
            <v>C</v>
          </cell>
          <cell r="F251">
            <v>740607</v>
          </cell>
          <cell r="AC251">
            <v>18708.36</v>
          </cell>
          <cell r="AI251">
            <v>25573.24</v>
          </cell>
        </row>
        <row r="252">
          <cell r="D252" t="str">
            <v>C</v>
          </cell>
          <cell r="F252">
            <v>740609</v>
          </cell>
          <cell r="AC252">
            <v>279271.38</v>
          </cell>
          <cell r="AI252">
            <v>336838.91</v>
          </cell>
        </row>
        <row r="253">
          <cell r="D253" t="str">
            <v>C</v>
          </cell>
          <cell r="F253">
            <v>740611</v>
          </cell>
          <cell r="AC253">
            <v>492524.59</v>
          </cell>
          <cell r="AI253">
            <v>668421.17000000004</v>
          </cell>
        </row>
        <row r="254">
          <cell r="D254" t="str">
            <v>C</v>
          </cell>
          <cell r="F254">
            <v>740801</v>
          </cell>
          <cell r="AC254">
            <v>25766.91</v>
          </cell>
          <cell r="AI254">
            <v>34694.67</v>
          </cell>
        </row>
        <row r="255">
          <cell r="D255" t="str">
            <v>C</v>
          </cell>
          <cell r="F255">
            <v>741001</v>
          </cell>
          <cell r="AC255">
            <v>97064</v>
          </cell>
          <cell r="AI255">
            <v>130549.24</v>
          </cell>
        </row>
        <row r="256">
          <cell r="D256" t="str">
            <v>C</v>
          </cell>
          <cell r="F256">
            <v>741201</v>
          </cell>
          <cell r="AC256">
            <v>127457.54</v>
          </cell>
          <cell r="AI256">
            <v>147790.35</v>
          </cell>
        </row>
        <row r="257">
          <cell r="D257" t="str">
            <v>C</v>
          </cell>
          <cell r="F257">
            <v>741401</v>
          </cell>
          <cell r="AC257">
            <v>408000</v>
          </cell>
          <cell r="AI257">
            <v>544000</v>
          </cell>
        </row>
        <row r="258">
          <cell r="D258" t="str">
            <v>C</v>
          </cell>
          <cell r="F258">
            <v>741601</v>
          </cell>
          <cell r="AC258">
            <v>149854.79999999999</v>
          </cell>
          <cell r="AI258">
            <v>205217.04</v>
          </cell>
        </row>
        <row r="259">
          <cell r="D259" t="str">
            <v>C</v>
          </cell>
          <cell r="F259">
            <v>741605</v>
          </cell>
          <cell r="AC259">
            <v>24883</v>
          </cell>
          <cell r="AI259">
            <v>39557.61</v>
          </cell>
        </row>
        <row r="260">
          <cell r="D260" t="str">
            <v>C</v>
          </cell>
          <cell r="F260">
            <v>741801</v>
          </cell>
          <cell r="AC260">
            <v>19492.5</v>
          </cell>
          <cell r="AI260">
            <v>57664.5</v>
          </cell>
        </row>
        <row r="261">
          <cell r="D261" t="str">
            <v>C</v>
          </cell>
          <cell r="F261">
            <v>741803</v>
          </cell>
          <cell r="AC261">
            <v>49590</v>
          </cell>
          <cell r="AI261">
            <v>56090</v>
          </cell>
        </row>
        <row r="262">
          <cell r="D262" t="str">
            <v>C</v>
          </cell>
          <cell r="F262">
            <v>742001</v>
          </cell>
          <cell r="AC262">
            <v>3642.03</v>
          </cell>
          <cell r="AI262">
            <v>5151.1899999999996</v>
          </cell>
        </row>
        <row r="263">
          <cell r="D263" t="str">
            <v>C</v>
          </cell>
          <cell r="F263">
            <v>742005</v>
          </cell>
          <cell r="AC263">
            <v>40073.67</v>
          </cell>
          <cell r="AI263">
            <v>77938.91</v>
          </cell>
        </row>
        <row r="264">
          <cell r="D264" t="str">
            <v>C</v>
          </cell>
          <cell r="F264">
            <v>742009</v>
          </cell>
          <cell r="AC264">
            <v>51753.99</v>
          </cell>
          <cell r="AI264">
            <v>71459.19</v>
          </cell>
        </row>
        <row r="265">
          <cell r="D265" t="str">
            <v>C</v>
          </cell>
          <cell r="F265">
            <v>760201</v>
          </cell>
          <cell r="AC265">
            <v>468574.12</v>
          </cell>
          <cell r="AI265">
            <v>627224.13</v>
          </cell>
        </row>
        <row r="266">
          <cell r="D266" t="str">
            <v>C</v>
          </cell>
          <cell r="F266">
            <v>760401</v>
          </cell>
          <cell r="AC266">
            <v>827</v>
          </cell>
          <cell r="AI266">
            <v>1102</v>
          </cell>
        </row>
        <row r="267">
          <cell r="D267" t="str">
            <v>C</v>
          </cell>
          <cell r="F267">
            <v>760601</v>
          </cell>
          <cell r="AC267">
            <v>3547370.98</v>
          </cell>
          <cell r="AI267">
            <v>4391419.72</v>
          </cell>
        </row>
        <row r="268">
          <cell r="D268" t="str">
            <v>C</v>
          </cell>
          <cell r="F268">
            <v>760801</v>
          </cell>
          <cell r="AC268">
            <v>929</v>
          </cell>
          <cell r="AI268">
            <v>1239</v>
          </cell>
        </row>
        <row r="269">
          <cell r="D269" t="str">
            <v>C</v>
          </cell>
          <cell r="F269">
            <v>780201</v>
          </cell>
          <cell r="AC269">
            <v>15218.71</v>
          </cell>
          <cell r="AI269">
            <v>27994.27</v>
          </cell>
        </row>
        <row r="270">
          <cell r="D270" t="str">
            <v>C</v>
          </cell>
          <cell r="F270">
            <v>780203</v>
          </cell>
          <cell r="AC270">
            <v>8136.34</v>
          </cell>
          <cell r="AI270">
            <v>10848.45</v>
          </cell>
        </row>
        <row r="271">
          <cell r="D271" t="str">
            <v>C</v>
          </cell>
          <cell r="F271">
            <v>780401</v>
          </cell>
          <cell r="AC271">
            <v>1827.02</v>
          </cell>
          <cell r="AI271">
            <v>2477.7800000000002</v>
          </cell>
        </row>
        <row r="272">
          <cell r="D272" t="str">
            <v>C</v>
          </cell>
          <cell r="F272">
            <v>780601</v>
          </cell>
          <cell r="AC272">
            <v>7949.91</v>
          </cell>
          <cell r="AI272">
            <v>10872.73</v>
          </cell>
        </row>
        <row r="273">
          <cell r="D273" t="str">
            <v>C</v>
          </cell>
          <cell r="F273">
            <v>780603</v>
          </cell>
          <cell r="AC273">
            <v>17095.05</v>
          </cell>
          <cell r="AI273">
            <v>22793.41</v>
          </cell>
        </row>
        <row r="274">
          <cell r="D274" t="str">
            <v>C</v>
          </cell>
          <cell r="F274">
            <v>780801</v>
          </cell>
          <cell r="AC274">
            <v>0</v>
          </cell>
          <cell r="AI274">
            <v>2330.14</v>
          </cell>
        </row>
        <row r="275">
          <cell r="D275" t="str">
            <v>C</v>
          </cell>
          <cell r="F275">
            <v>781001</v>
          </cell>
          <cell r="AC275">
            <v>40982.21</v>
          </cell>
          <cell r="AI275">
            <v>56051.24</v>
          </cell>
        </row>
        <row r="276">
          <cell r="D276" t="str">
            <v>C</v>
          </cell>
          <cell r="F276">
            <v>781201</v>
          </cell>
          <cell r="AC276">
            <v>15346.69</v>
          </cell>
          <cell r="AI276">
            <v>20604.490000000002</v>
          </cell>
        </row>
        <row r="277">
          <cell r="D277" t="str">
            <v>C</v>
          </cell>
          <cell r="F277">
            <v>781401</v>
          </cell>
          <cell r="AC277">
            <v>16185.59</v>
          </cell>
          <cell r="AI277">
            <v>23247.24</v>
          </cell>
        </row>
        <row r="278">
          <cell r="D278" t="str">
            <v>C</v>
          </cell>
          <cell r="F278">
            <v>781801</v>
          </cell>
          <cell r="AC278">
            <v>9780.4599999999991</v>
          </cell>
          <cell r="AI278">
            <v>23160.06</v>
          </cell>
        </row>
        <row r="279">
          <cell r="D279" t="str">
            <v>C</v>
          </cell>
          <cell r="F279">
            <v>782001</v>
          </cell>
          <cell r="AC279">
            <v>2206.33</v>
          </cell>
          <cell r="AI279">
            <v>2941.77</v>
          </cell>
        </row>
        <row r="280">
          <cell r="D280" t="str">
            <v>C</v>
          </cell>
          <cell r="F280">
            <v>761001</v>
          </cell>
          <cell r="AC280">
            <v>22265.11</v>
          </cell>
          <cell r="AI280">
            <v>29686.15</v>
          </cell>
        </row>
        <row r="281">
          <cell r="D281" t="str">
            <v>C</v>
          </cell>
          <cell r="F281">
            <v>761201</v>
          </cell>
          <cell r="AC281">
            <v>0</v>
          </cell>
          <cell r="AI281">
            <v>0</v>
          </cell>
        </row>
        <row r="282">
          <cell r="D282" t="str">
            <v>C</v>
          </cell>
          <cell r="F282">
            <v>800205</v>
          </cell>
          <cell r="AC282">
            <v>-5063325.13</v>
          </cell>
          <cell r="AI282">
            <v>-5355660.1000000006</v>
          </cell>
        </row>
        <row r="283">
          <cell r="D283" t="str">
            <v>C</v>
          </cell>
          <cell r="F283">
            <v>800405</v>
          </cell>
          <cell r="AC283">
            <v>2131263.21</v>
          </cell>
          <cell r="AI283">
            <v>2254513.16</v>
          </cell>
        </row>
        <row r="284">
          <cell r="D284" t="str">
            <v>C</v>
          </cell>
          <cell r="F284">
            <v>820203</v>
          </cell>
          <cell r="AC284">
            <v>0</v>
          </cell>
          <cell r="AI284">
            <v>0</v>
          </cell>
        </row>
        <row r="285">
          <cell r="D285" t="str">
            <v>C</v>
          </cell>
          <cell r="F285">
            <v>840401</v>
          </cell>
          <cell r="AC285">
            <v>1001.39</v>
          </cell>
          <cell r="AI285">
            <v>1245.4299999999998</v>
          </cell>
        </row>
        <row r="286">
          <cell r="D286" t="str">
            <v>C</v>
          </cell>
          <cell r="F286">
            <v>840403</v>
          </cell>
          <cell r="AC286">
            <v>5454.1</v>
          </cell>
          <cell r="AI286">
            <v>11405.68</v>
          </cell>
        </row>
        <row r="287">
          <cell r="D287" t="str">
            <v>C</v>
          </cell>
          <cell r="F287">
            <v>840601</v>
          </cell>
          <cell r="AC287">
            <v>1059.22</v>
          </cell>
          <cell r="AI287">
            <v>2132.81</v>
          </cell>
        </row>
        <row r="288">
          <cell r="D288" t="str">
            <v>C</v>
          </cell>
          <cell r="F288">
            <v>860201</v>
          </cell>
          <cell r="AC288">
            <v>0</v>
          </cell>
          <cell r="AI288">
            <v>0</v>
          </cell>
        </row>
        <row r="289">
          <cell r="D289" t="str">
            <v>C</v>
          </cell>
          <cell r="F289">
            <v>860205</v>
          </cell>
          <cell r="AC289">
            <v>0</v>
          </cell>
          <cell r="AI289">
            <v>0</v>
          </cell>
        </row>
        <row r="290">
          <cell r="D290" t="str">
            <v>C</v>
          </cell>
          <cell r="F290">
            <v>860207</v>
          </cell>
          <cell r="AC290">
            <v>2672.45</v>
          </cell>
          <cell r="AI290">
            <v>22519.83</v>
          </cell>
        </row>
        <row r="291">
          <cell r="D291" t="str">
            <v>C</v>
          </cell>
          <cell r="F291">
            <v>860209</v>
          </cell>
          <cell r="AC291">
            <v>0</v>
          </cell>
          <cell r="AI291">
            <v>172.36</v>
          </cell>
        </row>
        <row r="292">
          <cell r="D292" t="str">
            <v>C</v>
          </cell>
          <cell r="F292">
            <v>880201</v>
          </cell>
          <cell r="AC292">
            <v>3109</v>
          </cell>
          <cell r="AI292">
            <v>4657</v>
          </cell>
        </row>
        <row r="293">
          <cell r="D293" t="str">
            <v>C</v>
          </cell>
          <cell r="F293">
            <v>880203</v>
          </cell>
          <cell r="AC293">
            <v>2714.86</v>
          </cell>
          <cell r="AI293">
            <v>4181.38</v>
          </cell>
        </row>
        <row r="294">
          <cell r="D294" t="str">
            <v>C</v>
          </cell>
          <cell r="F294">
            <v>880205</v>
          </cell>
          <cell r="AC294">
            <v>69294.62</v>
          </cell>
          <cell r="AI294">
            <v>142284.52000000002</v>
          </cell>
        </row>
        <row r="295">
          <cell r="D295" t="str">
            <v>C</v>
          </cell>
          <cell r="F295">
            <v>880207</v>
          </cell>
          <cell r="AC295">
            <v>165226.79</v>
          </cell>
          <cell r="AI295">
            <v>166401.98000000001</v>
          </cell>
        </row>
        <row r="296">
          <cell r="D296" t="str">
            <v>C</v>
          </cell>
          <cell r="F296">
            <v>880209</v>
          </cell>
          <cell r="AC296">
            <v>2375.6799999999998</v>
          </cell>
          <cell r="AI296">
            <v>2685.5499999999997</v>
          </cell>
        </row>
        <row r="297">
          <cell r="D297" t="str">
            <v>C</v>
          </cell>
          <cell r="F297">
            <v>880211</v>
          </cell>
          <cell r="AC297">
            <v>367.42</v>
          </cell>
          <cell r="AI297">
            <v>3798.16</v>
          </cell>
        </row>
        <row r="298">
          <cell r="D298" t="str">
            <v>C</v>
          </cell>
          <cell r="F298">
            <v>880401</v>
          </cell>
          <cell r="AC298">
            <v>0</v>
          </cell>
          <cell r="AI298">
            <v>0</v>
          </cell>
        </row>
        <row r="299">
          <cell r="D299" t="str">
            <v>C</v>
          </cell>
          <cell r="F299">
            <v>880601</v>
          </cell>
          <cell r="AC299">
            <v>-114.67</v>
          </cell>
          <cell r="AI299">
            <v>-107.49</v>
          </cell>
        </row>
        <row r="300">
          <cell r="D300" t="str">
            <v>C</v>
          </cell>
          <cell r="F300">
            <v>880801</v>
          </cell>
          <cell r="AC300">
            <v>0</v>
          </cell>
          <cell r="AI300">
            <v>0</v>
          </cell>
        </row>
        <row r="301">
          <cell r="D301" t="str">
            <v>C</v>
          </cell>
          <cell r="F301">
            <v>880803</v>
          </cell>
          <cell r="AC301">
            <v>3352.25</v>
          </cell>
          <cell r="AI301">
            <v>6011.01</v>
          </cell>
        </row>
        <row r="302">
          <cell r="D302" t="str">
            <v>C</v>
          </cell>
          <cell r="F302">
            <v>881001</v>
          </cell>
          <cell r="AC302">
            <v>22265</v>
          </cell>
          <cell r="AI302">
            <v>24465</v>
          </cell>
        </row>
        <row r="303">
          <cell r="D303" t="str">
            <v>C</v>
          </cell>
          <cell r="F303">
            <v>900201</v>
          </cell>
          <cell r="AC303">
            <v>16821.080000000002</v>
          </cell>
          <cell r="AI303">
            <v>-214475.36</v>
          </cell>
        </row>
        <row r="304">
          <cell r="D304" t="str">
            <v>R</v>
          </cell>
          <cell r="F304">
            <v>900209</v>
          </cell>
          <cell r="AC304">
            <v>-8317.8799999999992</v>
          </cell>
          <cell r="AI304">
            <v>-19111.54</v>
          </cell>
        </row>
        <row r="305">
          <cell r="D305" t="str">
            <v>C</v>
          </cell>
          <cell r="F305">
            <v>920207</v>
          </cell>
          <cell r="AC305">
            <v>59077.17</v>
          </cell>
          <cell r="AI305">
            <v>86476.27</v>
          </cell>
        </row>
        <row r="306">
          <cell r="D306" t="str">
            <v>C</v>
          </cell>
          <cell r="F306">
            <v>920209</v>
          </cell>
          <cell r="AC306">
            <v>0</v>
          </cell>
          <cell r="AI306">
            <v>0</v>
          </cell>
        </row>
        <row r="307">
          <cell r="D307" t="str">
            <v>C</v>
          </cell>
          <cell r="F307">
            <v>920211</v>
          </cell>
          <cell r="AC307">
            <v>0</v>
          </cell>
          <cell r="AI307">
            <v>378.35999999999996</v>
          </cell>
        </row>
        <row r="308">
          <cell r="D308" t="str">
            <v>C</v>
          </cell>
          <cell r="F308">
            <v>920213</v>
          </cell>
          <cell r="AC308">
            <v>615.73</v>
          </cell>
          <cell r="AI308">
            <v>661.76</v>
          </cell>
        </row>
        <row r="309">
          <cell r="D309" t="str">
            <v>C</v>
          </cell>
          <cell r="F309">
            <v>920215</v>
          </cell>
          <cell r="AC309">
            <v>418991.35</v>
          </cell>
          <cell r="AI309">
            <v>487688.42</v>
          </cell>
        </row>
        <row r="310">
          <cell r="D310" t="str">
            <v>C</v>
          </cell>
          <cell r="F310">
            <v>920217</v>
          </cell>
          <cell r="AC310">
            <v>0</v>
          </cell>
          <cell r="AI310">
            <v>0</v>
          </cell>
        </row>
        <row r="311">
          <cell r="D311" t="str">
            <v>C</v>
          </cell>
          <cell r="F311">
            <v>940215</v>
          </cell>
          <cell r="AC311">
            <v>0</v>
          </cell>
          <cell r="AI311">
            <v>0</v>
          </cell>
        </row>
        <row r="312">
          <cell r="D312" t="str">
            <v>C</v>
          </cell>
          <cell r="F312">
            <v>660411</v>
          </cell>
          <cell r="AC312">
            <v>0</v>
          </cell>
          <cell r="AI312">
            <v>-1980.62</v>
          </cell>
        </row>
        <row r="313">
          <cell r="D313" t="str">
            <v>C</v>
          </cell>
          <cell r="F313">
            <v>820201</v>
          </cell>
          <cell r="AC313">
            <v>0</v>
          </cell>
          <cell r="AI313">
            <v>0</v>
          </cell>
        </row>
        <row r="314">
          <cell r="F314" t="str">
            <v>N/A</v>
          </cell>
          <cell r="AC314">
            <v>0</v>
          </cell>
          <cell r="AI314">
            <v>0</v>
          </cell>
        </row>
        <row r="315">
          <cell r="F315" t="str">
            <v>T00008</v>
          </cell>
          <cell r="AC315">
            <v>0</v>
          </cell>
          <cell r="AI315">
            <v>0</v>
          </cell>
        </row>
        <row r="316">
          <cell r="F316" t="str">
            <v>T00009</v>
          </cell>
          <cell r="AC316">
            <v>0</v>
          </cell>
          <cell r="AI316">
            <v>0</v>
          </cell>
        </row>
        <row r="317">
          <cell r="F317">
            <v>100243</v>
          </cell>
          <cell r="AC317">
            <v>0</v>
          </cell>
          <cell r="AI317">
            <v>0</v>
          </cell>
        </row>
        <row r="318">
          <cell r="F318">
            <v>160212</v>
          </cell>
          <cell r="AC318">
            <v>211069.71</v>
          </cell>
          <cell r="AI318">
            <v>166102.54999999999</v>
          </cell>
        </row>
        <row r="319">
          <cell r="F319">
            <v>160214</v>
          </cell>
          <cell r="AC319">
            <v>0</v>
          </cell>
          <cell r="AI319">
            <v>0</v>
          </cell>
        </row>
        <row r="320">
          <cell r="F320">
            <v>160411</v>
          </cell>
          <cell r="AC320">
            <v>1244763.28</v>
          </cell>
          <cell r="AI320">
            <v>2334868.4500000002</v>
          </cell>
        </row>
        <row r="321">
          <cell r="F321">
            <v>180203</v>
          </cell>
          <cell r="AC321">
            <v>-45.94</v>
          </cell>
          <cell r="AI321">
            <v>0</v>
          </cell>
        </row>
        <row r="322">
          <cell r="F322">
            <v>180271</v>
          </cell>
          <cell r="AC322">
            <v>0</v>
          </cell>
          <cell r="AI322">
            <v>0</v>
          </cell>
        </row>
        <row r="323">
          <cell r="F323">
            <v>180273</v>
          </cell>
          <cell r="AC323">
            <v>213597.69</v>
          </cell>
          <cell r="AI323">
            <v>162028.18</v>
          </cell>
        </row>
        <row r="324">
          <cell r="F324">
            <v>180275</v>
          </cell>
          <cell r="AC324">
            <v>172.48</v>
          </cell>
          <cell r="AI324">
            <v>172.48</v>
          </cell>
        </row>
        <row r="325">
          <cell r="F325">
            <v>180277</v>
          </cell>
          <cell r="AC325">
            <v>2357.19</v>
          </cell>
          <cell r="AI325">
            <v>1784.6</v>
          </cell>
        </row>
        <row r="326">
          <cell r="F326">
            <v>180279</v>
          </cell>
          <cell r="AC326">
            <v>1.76</v>
          </cell>
          <cell r="AI326">
            <v>1.76</v>
          </cell>
        </row>
        <row r="327">
          <cell r="F327">
            <v>280217</v>
          </cell>
          <cell r="AC327">
            <v>-2750</v>
          </cell>
          <cell r="AI327">
            <v>0</v>
          </cell>
        </row>
        <row r="328">
          <cell r="F328">
            <v>300209</v>
          </cell>
          <cell r="AC328">
            <v>-470444.6</v>
          </cell>
          <cell r="AI328">
            <v>-555236.14</v>
          </cell>
        </row>
        <row r="329">
          <cell r="F329">
            <v>320407</v>
          </cell>
          <cell r="AC329">
            <v>0</v>
          </cell>
          <cell r="AI329">
            <v>-3868.18</v>
          </cell>
        </row>
        <row r="330">
          <cell r="D330" t="str">
            <v>Revenues</v>
          </cell>
          <cell r="F330">
            <v>620201</v>
          </cell>
          <cell r="AC330">
            <v>0</v>
          </cell>
          <cell r="AI330">
            <v>0</v>
          </cell>
        </row>
        <row r="331">
          <cell r="D331" t="str">
            <v>Revenues</v>
          </cell>
          <cell r="F331">
            <v>620203</v>
          </cell>
          <cell r="AC331">
            <v>-648033.57999999996</v>
          </cell>
          <cell r="AI331">
            <v>-789276.15</v>
          </cell>
        </row>
        <row r="332">
          <cell r="D332" t="str">
            <v>Revenues</v>
          </cell>
          <cell r="F332" t="str">
            <v>- No Class -</v>
          </cell>
          <cell r="AC332">
            <v>-487950.63</v>
          </cell>
          <cell r="AI332">
            <v>-5422691.4000000004</v>
          </cell>
        </row>
        <row r="333">
          <cell r="D333" t="str">
            <v>Revenues</v>
          </cell>
          <cell r="F333" t="str">
            <v>Canone</v>
          </cell>
          <cell r="AC333">
            <v>-147478.23000000001</v>
          </cell>
          <cell r="AI333">
            <v>-1478.23</v>
          </cell>
        </row>
        <row r="334">
          <cell r="D334" t="str">
            <v>Revenues</v>
          </cell>
          <cell r="F334" t="str">
            <v>Cemetary Services</v>
          </cell>
          <cell r="AC334">
            <v>-120594.11</v>
          </cell>
          <cell r="AI334">
            <v>-132712.1</v>
          </cell>
        </row>
        <row r="335">
          <cell r="D335" t="str">
            <v>Revenues</v>
          </cell>
          <cell r="F335" t="str">
            <v>Energy Public Building No ATI</v>
          </cell>
          <cell r="AC335">
            <v>-142518.06</v>
          </cell>
          <cell r="AI335">
            <v>0</v>
          </cell>
        </row>
        <row r="336">
          <cell r="D336" t="str">
            <v>Revenues</v>
          </cell>
          <cell r="F336" t="str">
            <v>Extra Revenues</v>
          </cell>
          <cell r="AC336">
            <v>-2428686.63</v>
          </cell>
          <cell r="AI336">
            <v>-2890914.33</v>
          </cell>
        </row>
        <row r="337">
          <cell r="D337" t="str">
            <v>Revenues</v>
          </cell>
          <cell r="F337" t="str">
            <v>One-Off</v>
          </cell>
          <cell r="AC337">
            <v>-137550.63</v>
          </cell>
          <cell r="AI337">
            <v>0</v>
          </cell>
        </row>
        <row r="338">
          <cell r="D338" t="str">
            <v>Revenues</v>
          </cell>
          <cell r="F338" t="str">
            <v>One-Off No ATI</v>
          </cell>
          <cell r="AC338">
            <v>0</v>
          </cell>
          <cell r="AI338">
            <v>0</v>
          </cell>
        </row>
        <row r="339">
          <cell r="D339" t="str">
            <v>Revenues</v>
          </cell>
          <cell r="F339" t="str">
            <v>Photovoltaic</v>
          </cell>
          <cell r="AC339">
            <v>-44077.59</v>
          </cell>
          <cell r="AI339">
            <v>-452505.19</v>
          </cell>
        </row>
        <row r="340">
          <cell r="D340" t="str">
            <v>Revenues</v>
          </cell>
          <cell r="F340" t="str">
            <v>Public Heat Management No ATI</v>
          </cell>
          <cell r="AC340">
            <v>418.8</v>
          </cell>
          <cell r="AI340">
            <v>418.8</v>
          </cell>
        </row>
        <row r="341">
          <cell r="D341" t="str">
            <v>Revenues</v>
          </cell>
          <cell r="F341" t="str">
            <v>Public Streetlighting ATI</v>
          </cell>
          <cell r="AC341">
            <v>-9422714.3100000005</v>
          </cell>
          <cell r="AI341">
            <v>-7492150.0300000003</v>
          </cell>
        </row>
        <row r="342">
          <cell r="D342" t="str">
            <v>Revenues</v>
          </cell>
          <cell r="F342" t="str">
            <v>Public Streetlighting No ATI</v>
          </cell>
          <cell r="AC342">
            <v>-12368487.01</v>
          </cell>
          <cell r="AI342">
            <v>-11342255.02</v>
          </cell>
        </row>
        <row r="343">
          <cell r="D343" t="str">
            <v>Revenues</v>
          </cell>
          <cell r="F343" t="str">
            <v>Sales of Goods</v>
          </cell>
          <cell r="AC343">
            <v>-345307.64</v>
          </cell>
          <cell r="AI343">
            <v>-387892.49</v>
          </cell>
        </row>
        <row r="344">
          <cell r="D344" t="str">
            <v>Revenues</v>
          </cell>
          <cell r="F344" t="str">
            <v>Smart City</v>
          </cell>
          <cell r="AC344">
            <v>-1223.3900000000001</v>
          </cell>
          <cell r="AI344">
            <v>-20882.060000000001</v>
          </cell>
        </row>
        <row r="345">
          <cell r="D345" t="str">
            <v>Revenues</v>
          </cell>
          <cell r="F345" t="str">
            <v>White Certificates</v>
          </cell>
          <cell r="AC345">
            <v>-149047.5</v>
          </cell>
          <cell r="AI345">
            <v>0</v>
          </cell>
        </row>
        <row r="346">
          <cell r="D346" t="str">
            <v>Revenues</v>
          </cell>
          <cell r="F346" t="str">
            <v>Energy Public Building</v>
          </cell>
          <cell r="AC346">
            <v>-251295.06</v>
          </cell>
          <cell r="AI346">
            <v>-324000</v>
          </cell>
        </row>
        <row r="347">
          <cell r="D347" t="str">
            <v>Revenues</v>
          </cell>
          <cell r="F347" t="str">
            <v>Energy Public Building ATI</v>
          </cell>
          <cell r="AC347">
            <v>-881020.49</v>
          </cell>
          <cell r="AI347">
            <v>-351071.4</v>
          </cell>
        </row>
        <row r="348">
          <cell r="D348" t="str">
            <v>Revenues</v>
          </cell>
          <cell r="F348" t="str">
            <v>Photovoltaic ATI</v>
          </cell>
          <cell r="AC348">
            <v>0</v>
          </cell>
          <cell r="AI348">
            <v>0</v>
          </cell>
        </row>
        <row r="349">
          <cell r="D349" t="str">
            <v>Revenues</v>
          </cell>
          <cell r="F349" t="str">
            <v>Public Streetlighting</v>
          </cell>
          <cell r="AC349">
            <v>-1035801.72</v>
          </cell>
          <cell r="AI349">
            <v>-8286854.5300000003</v>
          </cell>
        </row>
        <row r="350">
          <cell r="D350" t="str">
            <v>C</v>
          </cell>
          <cell r="F350">
            <v>701807</v>
          </cell>
          <cell r="AC350">
            <v>0</v>
          </cell>
          <cell r="AI350">
            <v>1300</v>
          </cell>
        </row>
        <row r="351">
          <cell r="D351" t="str">
            <v>C</v>
          </cell>
          <cell r="F351">
            <v>741607</v>
          </cell>
          <cell r="AC351">
            <v>86889.27</v>
          </cell>
          <cell r="AI351">
            <v>97340.13</v>
          </cell>
        </row>
        <row r="352">
          <cell r="D352" t="str">
            <v>C</v>
          </cell>
          <cell r="F352">
            <v>782801</v>
          </cell>
          <cell r="AC352">
            <v>20.65</v>
          </cell>
          <cell r="AI352">
            <v>912.99</v>
          </cell>
        </row>
        <row r="353">
          <cell r="D353" t="str">
            <v>C</v>
          </cell>
          <cell r="F353">
            <v>783001</v>
          </cell>
          <cell r="AC353">
            <v>0</v>
          </cell>
          <cell r="AI353">
            <v>0</v>
          </cell>
        </row>
        <row r="354">
          <cell r="D354" t="str">
            <v>C</v>
          </cell>
          <cell r="F354">
            <v>940201</v>
          </cell>
          <cell r="AC354">
            <v>0</v>
          </cell>
          <cell r="AI354">
            <v>8469</v>
          </cell>
        </row>
        <row r="355">
          <cell r="D355" t="str">
            <v>C</v>
          </cell>
          <cell r="F355">
            <v>940209</v>
          </cell>
          <cell r="AC355">
            <v>0</v>
          </cell>
          <cell r="AI355">
            <v>45959</v>
          </cell>
        </row>
        <row r="356">
          <cell r="D356" t="str">
            <v>C</v>
          </cell>
          <cell r="F356">
            <v>940601</v>
          </cell>
          <cell r="AC356">
            <v>0</v>
          </cell>
          <cell r="AI356">
            <v>0</v>
          </cell>
        </row>
        <row r="357">
          <cell r="F357" t="str">
            <v>307006-1</v>
          </cell>
          <cell r="AC357">
            <v>0</v>
          </cell>
          <cell r="AI357">
            <v>0</v>
          </cell>
        </row>
        <row r="358">
          <cell r="F358" t="str">
            <v>307906-1</v>
          </cell>
          <cell r="AC358">
            <v>0</v>
          </cell>
          <cell r="AI358">
            <v>0</v>
          </cell>
        </row>
        <row r="359">
          <cell r="D359" t="str">
            <v>C</v>
          </cell>
          <cell r="F359">
            <v>700603</v>
          </cell>
          <cell r="AC359">
            <v>11700.18</v>
          </cell>
          <cell r="AI359">
            <v>26814.940000000002</v>
          </cell>
        </row>
        <row r="360">
          <cell r="D360" t="str">
            <v>C</v>
          </cell>
          <cell r="F360">
            <v>700807</v>
          </cell>
          <cell r="AC360">
            <v>30751.94</v>
          </cell>
          <cell r="AI360">
            <v>31325.5</v>
          </cell>
        </row>
        <row r="361">
          <cell r="D361" t="str">
            <v>R</v>
          </cell>
          <cell r="F361">
            <v>900219</v>
          </cell>
          <cell r="AC361">
            <v>0</v>
          </cell>
          <cell r="AI361">
            <v>0</v>
          </cell>
        </row>
        <row r="362">
          <cell r="F362">
            <v>320825</v>
          </cell>
          <cell r="AC362">
            <v>-290428.52</v>
          </cell>
          <cell r="AI362">
            <v>-391531.25</v>
          </cell>
        </row>
        <row r="363">
          <cell r="D363" t="str">
            <v>C</v>
          </cell>
          <cell r="F363">
            <v>740209</v>
          </cell>
          <cell r="AC363">
            <v>60124.32</v>
          </cell>
          <cell r="AI363">
            <v>79732.86</v>
          </cell>
        </row>
        <row r="364">
          <cell r="D364" t="str">
            <v>C</v>
          </cell>
          <cell r="F364">
            <v>740211</v>
          </cell>
          <cell r="AC364">
            <v>165131.29999999999</v>
          </cell>
          <cell r="AI364">
            <v>225607.77</v>
          </cell>
        </row>
        <row r="365">
          <cell r="D365" t="str">
            <v>C</v>
          </cell>
          <cell r="F365">
            <v>740213</v>
          </cell>
          <cell r="AC365">
            <v>66995</v>
          </cell>
          <cell r="AI365">
            <v>89304.81</v>
          </cell>
        </row>
        <row r="366">
          <cell r="D366" t="str">
            <v>R</v>
          </cell>
          <cell r="F366">
            <v>160203</v>
          </cell>
          <cell r="AC366">
            <v>34.6</v>
          </cell>
          <cell r="AI366">
            <v>-756.79</v>
          </cell>
        </row>
        <row r="367">
          <cell r="D367" t="str">
            <v>C</v>
          </cell>
          <cell r="F367">
            <v>940401</v>
          </cell>
          <cell r="AC367">
            <v>0</v>
          </cell>
          <cell r="AI367">
            <v>0</v>
          </cell>
        </row>
        <row r="368">
          <cell r="F368">
            <v>180265</v>
          </cell>
          <cell r="AC368">
            <v>0</v>
          </cell>
          <cell r="AI368">
            <v>-1.5</v>
          </cell>
        </row>
        <row r="369">
          <cell r="D369" t="str">
            <v>FV</v>
          </cell>
          <cell r="F369">
            <v>100469</v>
          </cell>
          <cell r="AC369">
            <v>967268.17</v>
          </cell>
          <cell r="AI369">
            <v>1164176.77</v>
          </cell>
        </row>
        <row r="370">
          <cell r="D370" t="str">
            <v>FV</v>
          </cell>
          <cell r="F370">
            <v>100471</v>
          </cell>
          <cell r="AC370">
            <v>1301320.47</v>
          </cell>
          <cell r="AI370">
            <v>1645137.95</v>
          </cell>
        </row>
        <row r="371">
          <cell r="F371">
            <v>180285</v>
          </cell>
          <cell r="AC371">
            <v>2756.07</v>
          </cell>
          <cell r="AI371">
            <v>2756.07</v>
          </cell>
        </row>
        <row r="372">
          <cell r="F372">
            <v>320415</v>
          </cell>
          <cell r="AC372">
            <v>0</v>
          </cell>
          <cell r="AI372">
            <v>0</v>
          </cell>
        </row>
        <row r="373">
          <cell r="D373" t="str">
            <v>C</v>
          </cell>
          <cell r="F373">
            <v>701805</v>
          </cell>
          <cell r="AC373">
            <v>852.61</v>
          </cell>
          <cell r="AI373">
            <v>852.61</v>
          </cell>
        </row>
        <row r="374">
          <cell r="F374">
            <v>100409</v>
          </cell>
          <cell r="AC374">
            <v>36920</v>
          </cell>
          <cell r="AI374">
            <v>69815.58</v>
          </cell>
        </row>
        <row r="375">
          <cell r="F375">
            <v>100427</v>
          </cell>
          <cell r="AC375">
            <v>46069.52</v>
          </cell>
          <cell r="AI375">
            <v>46069.52</v>
          </cell>
        </row>
        <row r="376">
          <cell r="F376">
            <v>100451</v>
          </cell>
          <cell r="AC376">
            <v>-43114.12</v>
          </cell>
          <cell r="AI376">
            <v>-43338.58</v>
          </cell>
        </row>
        <row r="377">
          <cell r="D377" t="str">
            <v>FV</v>
          </cell>
          <cell r="F377">
            <v>100473</v>
          </cell>
          <cell r="AC377">
            <v>865955.56</v>
          </cell>
          <cell r="AI377">
            <v>921393.76</v>
          </cell>
        </row>
        <row r="378">
          <cell r="D378" t="str">
            <v>FV</v>
          </cell>
          <cell r="F378">
            <v>100475</v>
          </cell>
          <cell r="AC378">
            <v>891789.26</v>
          </cell>
          <cell r="AI378">
            <v>973496.14</v>
          </cell>
        </row>
        <row r="379">
          <cell r="D379" t="str">
            <v>FV</v>
          </cell>
          <cell r="F379">
            <v>100477</v>
          </cell>
          <cell r="AC379">
            <v>1010700.7</v>
          </cell>
          <cell r="AI379">
            <v>1115669.57</v>
          </cell>
        </row>
        <row r="380">
          <cell r="D380" t="str">
            <v>FV</v>
          </cell>
          <cell r="F380">
            <v>100479</v>
          </cell>
          <cell r="AC380">
            <v>775202.49</v>
          </cell>
          <cell r="AI380">
            <v>829090.49</v>
          </cell>
        </row>
        <row r="381">
          <cell r="D381" t="str">
            <v>FV</v>
          </cell>
          <cell r="F381">
            <v>100481</v>
          </cell>
          <cell r="AC381">
            <v>1032784.16</v>
          </cell>
          <cell r="AI381">
            <v>1087160.78</v>
          </cell>
        </row>
        <row r="382">
          <cell r="D382" t="str">
            <v>FV</v>
          </cell>
          <cell r="F382">
            <v>100483</v>
          </cell>
          <cell r="AC382">
            <v>925345.51</v>
          </cell>
          <cell r="AI382">
            <v>991956.75</v>
          </cell>
        </row>
        <row r="383">
          <cell r="D383" t="str">
            <v>FV</v>
          </cell>
          <cell r="F383">
            <v>100485</v>
          </cell>
          <cell r="AC383">
            <v>816241.22</v>
          </cell>
          <cell r="AI383">
            <v>916403.37</v>
          </cell>
        </row>
        <row r="384">
          <cell r="D384" t="str">
            <v>FV</v>
          </cell>
          <cell r="F384">
            <v>100487</v>
          </cell>
          <cell r="AC384">
            <v>572027.84</v>
          </cell>
          <cell r="AI384">
            <v>838538.06</v>
          </cell>
        </row>
        <row r="385">
          <cell r="D385" t="str">
            <v>FV</v>
          </cell>
          <cell r="F385">
            <v>100489</v>
          </cell>
          <cell r="AC385">
            <v>1062632.8700000001</v>
          </cell>
          <cell r="AI385">
            <v>1087448.49</v>
          </cell>
        </row>
        <row r="386">
          <cell r="D386" t="str">
            <v>FV</v>
          </cell>
          <cell r="F386">
            <v>100491</v>
          </cell>
          <cell r="AC386">
            <v>536988.21</v>
          </cell>
          <cell r="AI386">
            <v>766621.33</v>
          </cell>
        </row>
        <row r="387">
          <cell r="F387">
            <v>100603</v>
          </cell>
          <cell r="AC387">
            <v>491899.5</v>
          </cell>
          <cell r="AI387">
            <v>491899.5</v>
          </cell>
        </row>
        <row r="388">
          <cell r="F388">
            <v>100623</v>
          </cell>
          <cell r="AC388">
            <v>2888550.21</v>
          </cell>
          <cell r="AI388">
            <v>2888550.21</v>
          </cell>
        </row>
        <row r="389">
          <cell r="F389">
            <v>100625</v>
          </cell>
          <cell r="AC389">
            <v>894050.18</v>
          </cell>
          <cell r="AI389">
            <v>894050.18</v>
          </cell>
        </row>
        <row r="390">
          <cell r="F390">
            <v>100627</v>
          </cell>
          <cell r="AC390">
            <v>978336.66</v>
          </cell>
          <cell r="AI390">
            <v>978336.66</v>
          </cell>
        </row>
        <row r="391">
          <cell r="F391">
            <v>160216</v>
          </cell>
          <cell r="AC391">
            <v>619022.96</v>
          </cell>
          <cell r="AI391">
            <v>641999.5</v>
          </cell>
        </row>
        <row r="392">
          <cell r="F392">
            <v>160218</v>
          </cell>
          <cell r="AC392">
            <v>3335</v>
          </cell>
          <cell r="AI392">
            <v>3335</v>
          </cell>
        </row>
        <row r="393">
          <cell r="F393">
            <v>180246</v>
          </cell>
          <cell r="AC393">
            <v>0</v>
          </cell>
          <cell r="AI393">
            <v>0</v>
          </cell>
        </row>
        <row r="394">
          <cell r="F394">
            <v>180287</v>
          </cell>
          <cell r="AC394">
            <v>2383934.38</v>
          </cell>
          <cell r="AI394">
            <v>1318575.45</v>
          </cell>
        </row>
        <row r="395">
          <cell r="F395">
            <v>180289</v>
          </cell>
          <cell r="AC395">
            <v>15273.92</v>
          </cell>
          <cell r="AI395">
            <v>2984.46</v>
          </cell>
        </row>
        <row r="396">
          <cell r="F396">
            <v>180291</v>
          </cell>
          <cell r="AC396">
            <v>395.41</v>
          </cell>
          <cell r="AI396">
            <v>395.41</v>
          </cell>
        </row>
        <row r="397">
          <cell r="F397">
            <v>180295</v>
          </cell>
          <cell r="AC397">
            <v>-2.25</v>
          </cell>
          <cell r="AI397">
            <v>-2.25</v>
          </cell>
        </row>
        <row r="398">
          <cell r="F398">
            <v>180297</v>
          </cell>
          <cell r="AC398">
            <v>0</v>
          </cell>
          <cell r="AI398">
            <v>0</v>
          </cell>
        </row>
        <row r="399">
          <cell r="F399">
            <v>180299</v>
          </cell>
          <cell r="AC399">
            <v>52.98</v>
          </cell>
          <cell r="AI399">
            <v>460.52</v>
          </cell>
        </row>
        <row r="400">
          <cell r="F400">
            <v>180301</v>
          </cell>
          <cell r="AC400">
            <v>87.78</v>
          </cell>
          <cell r="AI400">
            <v>87.78</v>
          </cell>
        </row>
        <row r="401">
          <cell r="F401">
            <v>180303</v>
          </cell>
          <cell r="AC401">
            <v>0.61</v>
          </cell>
          <cell r="AI401">
            <v>0.61</v>
          </cell>
        </row>
        <row r="402">
          <cell r="F402">
            <v>180307</v>
          </cell>
          <cell r="AC402">
            <v>-621.03</v>
          </cell>
          <cell r="AI402">
            <v>-621.03</v>
          </cell>
        </row>
        <row r="403">
          <cell r="F403">
            <v>180309</v>
          </cell>
          <cell r="AC403">
            <v>3338.42</v>
          </cell>
          <cell r="AI403">
            <v>3338.42</v>
          </cell>
        </row>
        <row r="404">
          <cell r="F404">
            <v>180311</v>
          </cell>
          <cell r="AC404">
            <v>-779.27</v>
          </cell>
          <cell r="AI404">
            <v>-779.27</v>
          </cell>
        </row>
        <row r="405">
          <cell r="F405">
            <v>180313</v>
          </cell>
          <cell r="AC405">
            <v>570016.92000000004</v>
          </cell>
          <cell r="AI405">
            <v>524561.23</v>
          </cell>
        </row>
        <row r="406">
          <cell r="F406">
            <v>180317</v>
          </cell>
          <cell r="AC406">
            <v>-590.80999999999995</v>
          </cell>
          <cell r="AI406">
            <v>-587.39</v>
          </cell>
        </row>
        <row r="407">
          <cell r="F407">
            <v>220203</v>
          </cell>
          <cell r="AC407">
            <v>0</v>
          </cell>
          <cell r="AI407">
            <v>0</v>
          </cell>
        </row>
        <row r="408">
          <cell r="F408">
            <v>280271</v>
          </cell>
          <cell r="AC408">
            <v>-655956.93000000005</v>
          </cell>
          <cell r="AI408">
            <v>0</v>
          </cell>
        </row>
        <row r="409">
          <cell r="F409">
            <v>320207</v>
          </cell>
          <cell r="AC409">
            <v>-18872.54</v>
          </cell>
          <cell r="AI409">
            <v>-18872.54</v>
          </cell>
        </row>
        <row r="410">
          <cell r="F410">
            <v>320611</v>
          </cell>
          <cell r="AC410">
            <v>315.39</v>
          </cell>
          <cell r="AI410">
            <v>315.39</v>
          </cell>
        </row>
        <row r="411">
          <cell r="D411" t="str">
            <v>C</v>
          </cell>
          <cell r="F411">
            <v>680401</v>
          </cell>
          <cell r="AC411">
            <v>81.89</v>
          </cell>
          <cell r="AI411">
            <v>81.89</v>
          </cell>
        </row>
        <row r="412">
          <cell r="D412" t="str">
            <v>C</v>
          </cell>
          <cell r="F412">
            <v>680403</v>
          </cell>
          <cell r="AC412">
            <v>0</v>
          </cell>
          <cell r="AI412">
            <v>220</v>
          </cell>
        </row>
        <row r="413">
          <cell r="D413" t="str">
            <v>C</v>
          </cell>
          <cell r="F413">
            <v>700823</v>
          </cell>
          <cell r="AC413">
            <v>5007.96</v>
          </cell>
          <cell r="AI413">
            <v>7207.96</v>
          </cell>
        </row>
        <row r="414">
          <cell r="D414" t="str">
            <v>C</v>
          </cell>
          <cell r="F414">
            <v>720605</v>
          </cell>
          <cell r="AC414">
            <v>0</v>
          </cell>
          <cell r="AI414">
            <v>6500</v>
          </cell>
        </row>
        <row r="415">
          <cell r="D415" t="str">
            <v>C</v>
          </cell>
          <cell r="F415">
            <v>740603</v>
          </cell>
          <cell r="AC415">
            <v>0</v>
          </cell>
          <cell r="AI415">
            <v>520</v>
          </cell>
        </row>
        <row r="416">
          <cell r="D416" t="str">
            <v>C</v>
          </cell>
          <cell r="F416">
            <v>741203</v>
          </cell>
          <cell r="AC416">
            <v>0</v>
          </cell>
          <cell r="AI416">
            <v>0</v>
          </cell>
        </row>
        <row r="417">
          <cell r="D417" t="str">
            <v>C</v>
          </cell>
          <cell r="F417">
            <v>742003</v>
          </cell>
          <cell r="AC417">
            <v>16799.88</v>
          </cell>
          <cell r="AI417">
            <v>23760.71</v>
          </cell>
        </row>
        <row r="418">
          <cell r="D418" t="str">
            <v>C</v>
          </cell>
          <cell r="F418">
            <v>820403</v>
          </cell>
          <cell r="AC418">
            <v>0</v>
          </cell>
          <cell r="AI418">
            <v>0</v>
          </cell>
        </row>
        <row r="419">
          <cell r="D419" t="str">
            <v>R</v>
          </cell>
          <cell r="F419">
            <v>900205</v>
          </cell>
          <cell r="AC419">
            <v>0</v>
          </cell>
          <cell r="AI419">
            <v>0</v>
          </cell>
        </row>
        <row r="420">
          <cell r="D420" t="str">
            <v>R</v>
          </cell>
          <cell r="F420">
            <v>900211</v>
          </cell>
          <cell r="AC420">
            <v>0</v>
          </cell>
          <cell r="AI420">
            <v>0</v>
          </cell>
        </row>
        <row r="421">
          <cell r="D421" t="str">
            <v>C</v>
          </cell>
          <cell r="F421">
            <v>920401</v>
          </cell>
          <cell r="AC421">
            <v>0</v>
          </cell>
          <cell r="AI421">
            <v>0</v>
          </cell>
        </row>
        <row r="422">
          <cell r="F422">
            <v>100629</v>
          </cell>
          <cell r="AC422">
            <v>0</v>
          </cell>
          <cell r="AI422">
            <v>0</v>
          </cell>
        </row>
        <row r="423">
          <cell r="F423">
            <v>100631</v>
          </cell>
          <cell r="AC423">
            <v>0</v>
          </cell>
          <cell r="AI423">
            <v>0</v>
          </cell>
        </row>
        <row r="424">
          <cell r="F424">
            <v>220229</v>
          </cell>
          <cell r="AC424">
            <v>0</v>
          </cell>
          <cell r="AI424">
            <v>0</v>
          </cell>
        </row>
        <row r="425">
          <cell r="F425">
            <v>240227</v>
          </cell>
          <cell r="AC425">
            <v>-773576.75</v>
          </cell>
          <cell r="AI425">
            <v>-721576.75</v>
          </cell>
        </row>
        <row r="426">
          <cell r="F426" t="str">
            <v>3000 -</v>
          </cell>
          <cell r="AC426">
            <v>0</v>
          </cell>
          <cell r="AI426">
            <v>0</v>
          </cell>
        </row>
        <row r="427">
          <cell r="F427" t="str">
            <v>GST-001</v>
          </cell>
          <cell r="AC427">
            <v>588931.56000000006</v>
          </cell>
          <cell r="AI427">
            <v>661599.88</v>
          </cell>
        </row>
        <row r="428">
          <cell r="F428" t="str">
            <v>GST-002</v>
          </cell>
          <cell r="AC428">
            <v>-645871.07999999996</v>
          </cell>
          <cell r="AI428">
            <v>-787113.65</v>
          </cell>
        </row>
        <row r="429">
          <cell r="D429" t="str">
            <v>C</v>
          </cell>
          <cell r="F429" t="str">
            <v>GST-005</v>
          </cell>
          <cell r="AC429">
            <v>56939.519999999997</v>
          </cell>
          <cell r="AI429">
            <v>123959.8</v>
          </cell>
        </row>
        <row r="430">
          <cell r="F430" t="str">
            <v>GST-008</v>
          </cell>
          <cell r="AC430">
            <v>0</v>
          </cell>
          <cell r="AI430">
            <v>1553.97</v>
          </cell>
        </row>
        <row r="431">
          <cell r="F431" t="str">
            <v>GST-009</v>
          </cell>
          <cell r="AC431">
            <v>0</v>
          </cell>
          <cell r="AI431">
            <v>0</v>
          </cell>
        </row>
        <row r="432">
          <cell r="D432" t="str">
            <v>C</v>
          </cell>
          <cell r="F432" t="str">
            <v>GST-012</v>
          </cell>
          <cell r="AC432">
            <v>0</v>
          </cell>
          <cell r="AI432">
            <v>0</v>
          </cell>
        </row>
        <row r="433">
          <cell r="D433" t="str">
            <v>C</v>
          </cell>
          <cell r="F433" t="str">
            <v>GST-013</v>
          </cell>
          <cell r="AC433">
            <v>0</v>
          </cell>
          <cell r="AI433">
            <v>0</v>
          </cell>
        </row>
        <row r="434">
          <cell r="F434" t="str">
            <v>STD-005</v>
          </cell>
          <cell r="AC434">
            <v>0</v>
          </cell>
          <cell r="AI434">
            <v>0</v>
          </cell>
        </row>
        <row r="435">
          <cell r="F435">
            <v>180315</v>
          </cell>
          <cell r="AC435">
            <v>0.01</v>
          </cell>
          <cell r="AI435">
            <v>0.01</v>
          </cell>
        </row>
        <row r="436">
          <cell r="F436">
            <v>100635</v>
          </cell>
          <cell r="AC436">
            <v>7300000</v>
          </cell>
          <cell r="AI436">
            <v>7918688</v>
          </cell>
        </row>
        <row r="437">
          <cell r="F437">
            <v>180319</v>
          </cell>
          <cell r="AC437">
            <v>129634.94</v>
          </cell>
          <cell r="AI437">
            <v>39673.79</v>
          </cell>
        </row>
        <row r="438">
          <cell r="F438">
            <v>180321</v>
          </cell>
          <cell r="AC438">
            <v>521746.86</v>
          </cell>
          <cell r="AI438">
            <v>344830.48</v>
          </cell>
        </row>
        <row r="439">
          <cell r="F439">
            <v>180323</v>
          </cell>
          <cell r="AC439">
            <v>2283.13</v>
          </cell>
          <cell r="AI439">
            <v>105.35</v>
          </cell>
        </row>
        <row r="440">
          <cell r="F440">
            <v>180325</v>
          </cell>
          <cell r="AC440">
            <v>31470.29</v>
          </cell>
          <cell r="AI440">
            <v>240562.87</v>
          </cell>
        </row>
        <row r="441">
          <cell r="D441" t="str">
            <v>C</v>
          </cell>
          <cell r="F441">
            <v>761601</v>
          </cell>
          <cell r="AC441">
            <v>1348</v>
          </cell>
          <cell r="AI441">
            <v>1797</v>
          </cell>
        </row>
        <row r="442">
          <cell r="D442" t="str">
            <v>C</v>
          </cell>
          <cell r="F442">
            <v>782401</v>
          </cell>
          <cell r="AC442">
            <v>673.37</v>
          </cell>
          <cell r="AI442">
            <v>897.83</v>
          </cell>
        </row>
        <row r="443">
          <cell r="F443" t="str">
            <v>GST-007</v>
          </cell>
          <cell r="AC443">
            <v>0</v>
          </cell>
          <cell r="AI443">
            <v>0</v>
          </cell>
        </row>
        <row r="444">
          <cell r="D444" t="str">
            <v>R</v>
          </cell>
          <cell r="F444">
            <v>920221</v>
          </cell>
          <cell r="AC444">
            <v>0</v>
          </cell>
          <cell r="AI444">
            <v>0</v>
          </cell>
        </row>
        <row r="445">
          <cell r="D445" t="str">
            <v>FV</v>
          </cell>
          <cell r="F445">
            <v>100493</v>
          </cell>
          <cell r="AC445">
            <v>204148.46</v>
          </cell>
          <cell r="AI445">
            <v>270032.82</v>
          </cell>
        </row>
        <row r="446">
          <cell r="F446">
            <v>100637</v>
          </cell>
          <cell r="AC446">
            <v>44.98</v>
          </cell>
          <cell r="AI446">
            <v>44.98</v>
          </cell>
        </row>
        <row r="447">
          <cell r="F447">
            <v>160220</v>
          </cell>
          <cell r="AC447">
            <v>5062.5</v>
          </cell>
          <cell r="AI447">
            <v>5062.5</v>
          </cell>
        </row>
        <row r="448">
          <cell r="F448">
            <v>160222</v>
          </cell>
          <cell r="AC448">
            <v>137585.87</v>
          </cell>
          <cell r="AI448">
            <v>137585.87</v>
          </cell>
        </row>
        <row r="449">
          <cell r="F449">
            <v>160224</v>
          </cell>
          <cell r="AC449">
            <v>16.75</v>
          </cell>
          <cell r="AI449">
            <v>16.75</v>
          </cell>
        </row>
        <row r="450">
          <cell r="F450">
            <v>160413</v>
          </cell>
          <cell r="AC450">
            <v>1305.52</v>
          </cell>
          <cell r="AI450">
            <v>7425.49</v>
          </cell>
        </row>
        <row r="451">
          <cell r="F451">
            <v>180327</v>
          </cell>
          <cell r="AC451">
            <v>148767.79999999999</v>
          </cell>
          <cell r="AI451">
            <v>132826.54999999999</v>
          </cell>
        </row>
        <row r="452">
          <cell r="F452">
            <v>180329</v>
          </cell>
          <cell r="AC452">
            <v>297925.46000000002</v>
          </cell>
          <cell r="AI452">
            <v>322932.67</v>
          </cell>
        </row>
        <row r="453">
          <cell r="F453">
            <v>320827</v>
          </cell>
          <cell r="AC453">
            <v>-5871.6</v>
          </cell>
          <cell r="AI453">
            <v>-5871.6</v>
          </cell>
        </row>
        <row r="454">
          <cell r="F454">
            <v>320829</v>
          </cell>
          <cell r="AC454">
            <v>-19406.54</v>
          </cell>
          <cell r="AI454">
            <v>-19406.54</v>
          </cell>
        </row>
        <row r="455">
          <cell r="F455">
            <v>320831</v>
          </cell>
          <cell r="AC455">
            <v>-223335.3</v>
          </cell>
          <cell r="AI455">
            <v>-223335.3</v>
          </cell>
        </row>
        <row r="456">
          <cell r="D456" t="str">
            <v>R</v>
          </cell>
          <cell r="F456">
            <v>680209</v>
          </cell>
          <cell r="AC456">
            <v>-1767627.08</v>
          </cell>
          <cell r="AI456">
            <v>-2001545.22</v>
          </cell>
        </row>
        <row r="457">
          <cell r="D457" t="str">
            <v>R</v>
          </cell>
          <cell r="F457">
            <v>700217</v>
          </cell>
          <cell r="AC457">
            <v>-4414506.26</v>
          </cell>
          <cell r="AI457">
            <v>-5877412.6799999997</v>
          </cell>
        </row>
        <row r="458">
          <cell r="D458" t="str">
            <v>R</v>
          </cell>
          <cell r="F458">
            <v>740215</v>
          </cell>
          <cell r="AC458">
            <v>-1971649.52</v>
          </cell>
          <cell r="AI458">
            <v>-2475534.92</v>
          </cell>
        </row>
        <row r="459">
          <cell r="F459">
            <v>100249</v>
          </cell>
          <cell r="AC459">
            <v>29035480.52</v>
          </cell>
          <cell r="AI459">
            <v>29035480.52</v>
          </cell>
        </row>
        <row r="460">
          <cell r="F460">
            <v>100251</v>
          </cell>
          <cell r="AC460">
            <v>-4244018.43</v>
          </cell>
          <cell r="AI460">
            <v>-4531375.83</v>
          </cell>
        </row>
        <row r="461">
          <cell r="D461" t="str">
            <v>FV</v>
          </cell>
          <cell r="F461">
            <v>100495</v>
          </cell>
          <cell r="AC461">
            <v>261711.78</v>
          </cell>
          <cell r="AI461">
            <v>261711.78</v>
          </cell>
        </row>
        <row r="462">
          <cell r="D462" t="str">
            <v>FV</v>
          </cell>
          <cell r="F462">
            <v>100497</v>
          </cell>
          <cell r="AC462">
            <v>330943.51</v>
          </cell>
          <cell r="AI462">
            <v>330943.51</v>
          </cell>
        </row>
        <row r="463">
          <cell r="D463" t="str">
            <v>FV</v>
          </cell>
          <cell r="F463">
            <v>100499</v>
          </cell>
          <cell r="AC463">
            <v>129020.33</v>
          </cell>
          <cell r="AI463">
            <v>143607.9</v>
          </cell>
        </row>
        <row r="464">
          <cell r="F464">
            <v>100501</v>
          </cell>
          <cell r="AC464">
            <v>3399355.54</v>
          </cell>
          <cell r="AI464">
            <v>3399355.54</v>
          </cell>
        </row>
        <row r="465">
          <cell r="F465">
            <v>100503</v>
          </cell>
          <cell r="AC465">
            <v>-1302951.51</v>
          </cell>
          <cell r="AI465">
            <v>-1302951.51</v>
          </cell>
        </row>
        <row r="466">
          <cell r="F466">
            <v>140229</v>
          </cell>
          <cell r="AC466">
            <v>2167245.92</v>
          </cell>
          <cell r="AI466">
            <v>1700391.73</v>
          </cell>
        </row>
        <row r="467">
          <cell r="F467">
            <v>220233</v>
          </cell>
          <cell r="AC467">
            <v>1075640.1100000001</v>
          </cell>
          <cell r="AI467">
            <v>1075640.1100000001</v>
          </cell>
        </row>
        <row r="468">
          <cell r="F468">
            <v>220235</v>
          </cell>
          <cell r="AC468">
            <v>-36817.82</v>
          </cell>
          <cell r="AI468">
            <v>-36817.82</v>
          </cell>
        </row>
        <row r="469">
          <cell r="F469">
            <v>280405</v>
          </cell>
          <cell r="AC469">
            <v>-1445322.96</v>
          </cell>
          <cell r="AI469">
            <v>-1445322.96</v>
          </cell>
        </row>
        <row r="470">
          <cell r="F470">
            <v>280407</v>
          </cell>
          <cell r="AC470">
            <v>-696613.91</v>
          </cell>
          <cell r="AI470">
            <v>-696613.91</v>
          </cell>
        </row>
        <row r="471">
          <cell r="D471" t="str">
            <v>FV</v>
          </cell>
          <cell r="F471">
            <v>100509</v>
          </cell>
          <cell r="AC471">
            <v>57320.6</v>
          </cell>
          <cell r="AI471">
            <v>57320.6</v>
          </cell>
        </row>
        <row r="472">
          <cell r="D472" t="str">
            <v>FV</v>
          </cell>
          <cell r="F472">
            <v>100513</v>
          </cell>
          <cell r="AC472">
            <v>244636.05</v>
          </cell>
          <cell r="AI472">
            <v>411699.71</v>
          </cell>
        </row>
        <row r="473">
          <cell r="D473" t="str">
            <v>FV</v>
          </cell>
          <cell r="F473">
            <v>100515</v>
          </cell>
          <cell r="AC473">
            <v>93466.25</v>
          </cell>
          <cell r="AI473">
            <v>110808.86</v>
          </cell>
        </row>
        <row r="474">
          <cell r="D474" t="str">
            <v>C</v>
          </cell>
          <cell r="F474">
            <v>761605</v>
          </cell>
          <cell r="AC474">
            <v>0</v>
          </cell>
          <cell r="AI474">
            <v>0</v>
          </cell>
        </row>
        <row r="475">
          <cell r="D475" t="str">
            <v>C</v>
          </cell>
          <cell r="F475">
            <v>900221</v>
          </cell>
          <cell r="AC475">
            <v>0</v>
          </cell>
          <cell r="AI475">
            <v>0</v>
          </cell>
        </row>
        <row r="476">
          <cell r="D476" t="str">
            <v>C</v>
          </cell>
          <cell r="F476">
            <v>920219</v>
          </cell>
          <cell r="AC476">
            <v>0</v>
          </cell>
          <cell r="AI476">
            <v>0</v>
          </cell>
        </row>
        <row r="477">
          <cell r="D477" t="str">
            <v>C</v>
          </cell>
          <cell r="F477">
            <v>761607</v>
          </cell>
          <cell r="AC477">
            <v>862072.2</v>
          </cell>
          <cell r="AI477">
            <v>1149429.6000000001</v>
          </cell>
        </row>
        <row r="478">
          <cell r="F478">
            <v>180331</v>
          </cell>
          <cell r="AC478">
            <v>42888.39</v>
          </cell>
          <cell r="AI478">
            <v>68270.009999999995</v>
          </cell>
        </row>
        <row r="479">
          <cell r="F479">
            <v>220237</v>
          </cell>
          <cell r="AC479">
            <v>-16075</v>
          </cell>
          <cell r="AI479">
            <v>-16075</v>
          </cell>
        </row>
        <row r="480">
          <cell r="F480">
            <v>280275</v>
          </cell>
          <cell r="AC480">
            <v>-77878.89</v>
          </cell>
          <cell r="AI480">
            <v>0</v>
          </cell>
        </row>
        <row r="481">
          <cell r="F481">
            <v>280277</v>
          </cell>
          <cell r="AC481">
            <v>-397344.58</v>
          </cell>
          <cell r="AI481">
            <v>0</v>
          </cell>
        </row>
        <row r="482">
          <cell r="D482" t="str">
            <v>Revenues</v>
          </cell>
          <cell r="F482" t="str">
            <v>Generico</v>
          </cell>
          <cell r="AC482">
            <v>0</v>
          </cell>
          <cell r="AI482">
            <v>-3444</v>
          </cell>
        </row>
        <row r="483">
          <cell r="D483" t="str">
            <v>Revenues</v>
          </cell>
          <cell r="F483" t="str">
            <v>One Off Works</v>
          </cell>
          <cell r="AI483">
            <v>-179090.09</v>
          </cell>
        </row>
        <row r="484">
          <cell r="D484" t="str">
            <v>Revenues</v>
          </cell>
          <cell r="F484" t="str">
            <v>Smart Buildings</v>
          </cell>
          <cell r="AI484">
            <v>-327617.44</v>
          </cell>
        </row>
        <row r="485">
          <cell r="D485" t="str">
            <v>FV</v>
          </cell>
          <cell r="F485">
            <v>100505</v>
          </cell>
          <cell r="AI485">
            <v>154101.24</v>
          </cell>
        </row>
        <row r="486">
          <cell r="F486">
            <v>160205</v>
          </cell>
          <cell r="AI486">
            <v>-28579.75</v>
          </cell>
        </row>
        <row r="487">
          <cell r="F487">
            <v>180333</v>
          </cell>
          <cell r="AI487">
            <v>21886.84</v>
          </cell>
        </row>
        <row r="488">
          <cell r="F488">
            <v>180335</v>
          </cell>
          <cell r="AI488">
            <v>96.16</v>
          </cell>
        </row>
        <row r="489">
          <cell r="F489">
            <v>180337</v>
          </cell>
          <cell r="AI489">
            <v>1451695.41</v>
          </cell>
        </row>
        <row r="490">
          <cell r="F490">
            <v>180351</v>
          </cell>
          <cell r="AI490">
            <v>18937.43</v>
          </cell>
        </row>
        <row r="491">
          <cell r="F491">
            <v>280279</v>
          </cell>
          <cell r="AI491">
            <v>-24795591.890000001</v>
          </cell>
        </row>
        <row r="492">
          <cell r="F492">
            <v>320417</v>
          </cell>
          <cell r="AI492">
            <v>-428566.25</v>
          </cell>
        </row>
        <row r="493">
          <cell r="D493" t="str">
            <v>C</v>
          </cell>
          <cell r="F493">
            <v>700401</v>
          </cell>
          <cell r="AI493">
            <v>25298.76</v>
          </cell>
        </row>
        <row r="494">
          <cell r="D494" t="str">
            <v>C</v>
          </cell>
          <cell r="F494">
            <v>840201</v>
          </cell>
          <cell r="AI494">
            <v>27236.49</v>
          </cell>
        </row>
        <row r="495">
          <cell r="D495" t="str">
            <v>C</v>
          </cell>
          <cell r="F495" t="str">
            <v>68/05/501</v>
          </cell>
          <cell r="AI495">
            <v>3355.78</v>
          </cell>
        </row>
        <row r="496">
          <cell r="F496" t="str">
            <v>24/05/002</v>
          </cell>
          <cell r="AI496">
            <v>172828.39</v>
          </cell>
        </row>
        <row r="497">
          <cell r="F497" t="str">
            <v>24/05/003</v>
          </cell>
          <cell r="AI497">
            <v>121605.94</v>
          </cell>
        </row>
        <row r="498">
          <cell r="F498" t="str">
            <v>24/05/006</v>
          </cell>
          <cell r="AI498">
            <v>56.06</v>
          </cell>
        </row>
        <row r="499">
          <cell r="F499">
            <v>120201</v>
          </cell>
          <cell r="AI499">
            <v>111115.03</v>
          </cell>
        </row>
        <row r="500">
          <cell r="F500">
            <v>120205</v>
          </cell>
          <cell r="AI500">
            <v>23970.69</v>
          </cell>
        </row>
        <row r="501">
          <cell r="D501" t="str">
            <v>C</v>
          </cell>
          <cell r="F501">
            <v>881201</v>
          </cell>
          <cell r="AI501">
            <v>530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nrico Molena" id="{E842511A-945E-4337-B5FC-26BDF8FAE486}" userId="S::enrico.molena@civismart.eu::51812a82-63ef-4509-8eac-5e420c6fd27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95" dT="2026-05-25T08:34:39.34" personId="{E842511A-945E-4337-B5FC-26BDF8FAE486}" id="{4F9786AA-1EBE-456A-A2C2-FDE241CA74AD}">
    <text>Nel BDG si chiamavano come “other” capex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495" dT="2026-05-25T08:34:39.34" personId="{E842511A-945E-4337-B5FC-26BDF8FAE486}" id="{E372948B-E77D-4B4A-9423-6D6DC108020E}">
    <text>Nel BDG si chiamavano come “other” capex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9628427.app.netsuite.com/app/reporting/reportrunner.nl?acctid=443&amp;reload=T&amp;reporttype=REGIST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E933-3850-4EFB-BB06-7EFE33D2B091}">
  <sheetPr filterMode="1"/>
  <dimension ref="A3:M387"/>
  <sheetViews>
    <sheetView showGridLines="0" tabSelected="1" topLeftCell="A305" workbookViewId="0">
      <selection activeCell="G247" sqref="G247:G376"/>
    </sheetView>
  </sheetViews>
  <sheetFormatPr defaultRowHeight="15" x14ac:dyDescent="0.25"/>
  <cols>
    <col min="3" max="3" width="25" customWidth="1"/>
    <col min="4" max="4" width="15.7109375" customWidth="1"/>
    <col min="5" max="5" width="49" bestFit="1" customWidth="1"/>
    <col min="6" max="6" width="15" style="18" bestFit="1" customWidth="1"/>
    <col min="7" max="7" width="12.85546875" style="14" bestFit="1" customWidth="1"/>
    <col min="8" max="8" width="15" style="18" bestFit="1" customWidth="1"/>
    <col min="9" max="9" width="15.28515625" bestFit="1" customWidth="1"/>
    <col min="13" max="13" width="11.5703125" bestFit="1" customWidth="1"/>
  </cols>
  <sheetData>
    <row r="3" spans="1:13" x14ac:dyDescent="0.25">
      <c r="F3" s="18">
        <f>+SUM(F5:F1000)</f>
        <v>9.4862798505346291E-8</v>
      </c>
      <c r="G3" s="18">
        <f>+SUM(G5:G1000)</f>
        <v>6.0000000007566996</v>
      </c>
      <c r="H3" s="18">
        <f>+SUM(H5:H1000)</f>
        <v>6.0000001857988536</v>
      </c>
      <c r="M3" s="18">
        <v>673226.64</v>
      </c>
    </row>
    <row r="4" spans="1:13" x14ac:dyDescent="0.25">
      <c r="A4" t="s">
        <v>2331</v>
      </c>
      <c r="B4" t="s">
        <v>2332</v>
      </c>
      <c r="C4" s="28" t="s">
        <v>828</v>
      </c>
      <c r="D4" s="28" t="s">
        <v>446</v>
      </c>
      <c r="E4" s="13" t="s">
        <v>447</v>
      </c>
      <c r="F4" s="19" t="s">
        <v>826</v>
      </c>
      <c r="G4" s="27" t="s">
        <v>5</v>
      </c>
      <c r="H4" s="19" t="s">
        <v>827</v>
      </c>
    </row>
    <row r="5" spans="1:13" hidden="1" x14ac:dyDescent="0.25">
      <c r="A5" t="s">
        <v>873</v>
      </c>
      <c r="C5" t="s">
        <v>829</v>
      </c>
      <c r="D5">
        <f>+_xlfn.NUMBERVALUE(LEFT(E5,6))</f>
        <v>100201</v>
      </c>
      <c r="E5" s="15" t="s">
        <v>450</v>
      </c>
      <c r="F5" s="18">
        <f>+_xlfn.XLOOKUP(D5,CVS!E:E,CVS!I:I,0)</f>
        <v>4214.29</v>
      </c>
      <c r="G5" s="14">
        <f>+SUMIFS('De Giorgi BDV'!C:C,'De Giorgi BDV'!D:D,D5)</f>
        <v>0</v>
      </c>
      <c r="H5" s="18">
        <f>+F5+G5</f>
        <v>4214.29</v>
      </c>
      <c r="I5" s="14">
        <f>+_xlfn.XLOOKUP(D5,[1]BDV!$F:$F,[1]BDV!$AI:$AI)</f>
        <v>4214.29</v>
      </c>
      <c r="J5" s="42">
        <f t="shared" ref="J5:J68" si="0">+H5-I5</f>
        <v>0</v>
      </c>
    </row>
    <row r="6" spans="1:13" hidden="1" x14ac:dyDescent="0.25">
      <c r="A6" t="s">
        <v>873</v>
      </c>
      <c r="B6">
        <v>0</v>
      </c>
      <c r="C6" t="s">
        <v>829</v>
      </c>
      <c r="D6">
        <f t="shared" ref="D6:D69" si="1">+_xlfn.NUMBERVALUE(LEFT(E6,6))</f>
        <v>100203</v>
      </c>
      <c r="E6" s="15" t="s">
        <v>451</v>
      </c>
      <c r="F6" s="18">
        <f>+_xlfn.XLOOKUP(D6,CVS!E:E,CVS!I:I,0)</f>
        <v>4758632.5999999996</v>
      </c>
      <c r="G6" s="14">
        <f>+SUMIFS('De Giorgi BDV'!C:C,'De Giorgi BDV'!D:D,D6)</f>
        <v>33076</v>
      </c>
      <c r="H6" s="18">
        <f t="shared" ref="H6:H69" si="2">+F6+G6</f>
        <v>4791708.5999999996</v>
      </c>
      <c r="I6" s="14">
        <f>+_xlfn.XLOOKUP(D6,[1]BDV!$F:$F,[1]BDV!$AI:$AI)</f>
        <v>4791708.5999999996</v>
      </c>
      <c r="J6" s="42">
        <f t="shared" si="0"/>
        <v>0</v>
      </c>
    </row>
    <row r="7" spans="1:13" hidden="1" x14ac:dyDescent="0.25">
      <c r="A7" t="s">
        <v>873</v>
      </c>
      <c r="B7">
        <v>0</v>
      </c>
      <c r="C7" t="s">
        <v>829</v>
      </c>
      <c r="D7">
        <f t="shared" si="1"/>
        <v>100205</v>
      </c>
      <c r="E7" s="15" t="s">
        <v>452</v>
      </c>
      <c r="F7" s="18">
        <f>+_xlfn.XLOOKUP(D7,CVS!E:E,CVS!I:I,0)</f>
        <v>50053944.920000002</v>
      </c>
      <c r="G7" s="14">
        <f>+SUMIFS('De Giorgi BDV'!C:C,'De Giorgi BDV'!D:D,D7)</f>
        <v>0</v>
      </c>
      <c r="H7" s="18">
        <f t="shared" si="2"/>
        <v>50053944.920000002</v>
      </c>
      <c r="I7" s="14">
        <f>+_xlfn.XLOOKUP(D7,[1]BDV!$F:$F,[1]BDV!$AI:$AI)</f>
        <v>50053944.920000002</v>
      </c>
      <c r="J7" s="42">
        <f t="shared" si="0"/>
        <v>0</v>
      </c>
    </row>
    <row r="8" spans="1:13" hidden="1" x14ac:dyDescent="0.25">
      <c r="A8" t="s">
        <v>873</v>
      </c>
      <c r="B8">
        <v>0</v>
      </c>
      <c r="C8" t="s">
        <v>829</v>
      </c>
      <c r="D8">
        <f t="shared" si="1"/>
        <v>100207</v>
      </c>
      <c r="E8" s="15" t="s">
        <v>453</v>
      </c>
      <c r="F8" s="18">
        <f>+_xlfn.XLOOKUP(D8,CVS!E:E,CVS!I:I,0)</f>
        <v>120976572.62</v>
      </c>
      <c r="G8" s="14">
        <f>+SUMIFS('De Giorgi BDV'!C:C,'De Giorgi BDV'!D:D,D8)</f>
        <v>1044800.95</v>
      </c>
      <c r="H8" s="18">
        <f t="shared" si="2"/>
        <v>122021373.57000001</v>
      </c>
      <c r="I8" s="14">
        <f>+_xlfn.XLOOKUP(D8,[1]BDV!$F:$F,[1]BDV!$AI:$AI)</f>
        <v>122021373.57000001</v>
      </c>
      <c r="J8" s="42">
        <f t="shared" si="0"/>
        <v>0</v>
      </c>
    </row>
    <row r="9" spans="1:13" hidden="1" x14ac:dyDescent="0.25">
      <c r="A9" t="s">
        <v>873</v>
      </c>
      <c r="B9">
        <v>0</v>
      </c>
      <c r="C9" t="s">
        <v>829</v>
      </c>
      <c r="D9">
        <f t="shared" si="1"/>
        <v>100209</v>
      </c>
      <c r="E9" s="15" t="s">
        <v>454</v>
      </c>
      <c r="F9" s="18">
        <f>+_xlfn.XLOOKUP(D9,CVS!E:E,CVS!I:I,0)</f>
        <v>21620273.210000001</v>
      </c>
      <c r="G9" s="14">
        <f>+SUMIFS('De Giorgi BDV'!C:C,'De Giorgi BDV'!D:D,D9)</f>
        <v>0</v>
      </c>
      <c r="H9" s="18">
        <f t="shared" si="2"/>
        <v>21620273.210000001</v>
      </c>
      <c r="I9" s="14">
        <f>+_xlfn.XLOOKUP(D9,[1]BDV!$F:$F,[1]BDV!$AI:$AI)</f>
        <v>21620273.210000001</v>
      </c>
      <c r="J9" s="42">
        <f t="shared" si="0"/>
        <v>0</v>
      </c>
    </row>
    <row r="10" spans="1:13" hidden="1" x14ac:dyDescent="0.25">
      <c r="A10" t="s">
        <v>873</v>
      </c>
      <c r="B10">
        <v>0</v>
      </c>
      <c r="C10" t="s">
        <v>829</v>
      </c>
      <c r="D10">
        <f t="shared" si="1"/>
        <v>100215</v>
      </c>
      <c r="E10" s="15" t="s">
        <v>455</v>
      </c>
      <c r="F10" s="18">
        <f>+_xlfn.XLOOKUP(D10,CVS!E:E,CVS!I:I,0)</f>
        <v>354977.91</v>
      </c>
      <c r="G10" s="14">
        <f>+SUMIFS('De Giorgi BDV'!C:C,'De Giorgi BDV'!D:D,D10)</f>
        <v>0</v>
      </c>
      <c r="H10" s="18">
        <f t="shared" si="2"/>
        <v>354977.91</v>
      </c>
      <c r="I10" s="14">
        <f>+_xlfn.XLOOKUP(D10,[1]BDV!$F:$F,[1]BDV!$AI:$AI)</f>
        <v>354977.91</v>
      </c>
      <c r="J10" s="42">
        <f t="shared" si="0"/>
        <v>0</v>
      </c>
    </row>
    <row r="11" spans="1:13" hidden="1" x14ac:dyDescent="0.25">
      <c r="A11" t="s">
        <v>873</v>
      </c>
      <c r="B11">
        <v>0</v>
      </c>
      <c r="C11" t="s">
        <v>829</v>
      </c>
      <c r="D11">
        <f t="shared" si="1"/>
        <v>100217</v>
      </c>
      <c r="E11" s="15" t="s">
        <v>456</v>
      </c>
      <c r="F11" s="18">
        <f>+_xlfn.XLOOKUP(D11,CVS!E:E,CVS!I:I,0)</f>
        <v>201871.57</v>
      </c>
      <c r="G11" s="14">
        <f>+SUMIFS('De Giorgi BDV'!C:C,'De Giorgi BDV'!D:D,D11)</f>
        <v>8966.25</v>
      </c>
      <c r="H11" s="18">
        <f t="shared" si="2"/>
        <v>210837.82</v>
      </c>
      <c r="I11" s="14">
        <f>+_xlfn.XLOOKUP(D11,[1]BDV!$F:$F,[1]BDV!$AI:$AI)</f>
        <v>210837.82</v>
      </c>
      <c r="J11" s="42">
        <f t="shared" si="0"/>
        <v>0</v>
      </c>
    </row>
    <row r="12" spans="1:13" hidden="1" x14ac:dyDescent="0.25">
      <c r="A12" t="s">
        <v>873</v>
      </c>
      <c r="B12">
        <v>0</v>
      </c>
      <c r="C12" t="s">
        <v>829</v>
      </c>
      <c r="D12">
        <f t="shared" si="1"/>
        <v>100223</v>
      </c>
      <c r="E12" s="15" t="s">
        <v>457</v>
      </c>
      <c r="F12" s="18">
        <f>+_xlfn.XLOOKUP(D12,CVS!E:E,CVS!I:I,0)</f>
        <v>-1496.05</v>
      </c>
      <c r="G12" s="14">
        <f>+SUMIFS('De Giorgi BDV'!C:C,'De Giorgi BDV'!D:D,D12)</f>
        <v>0</v>
      </c>
      <c r="H12" s="18">
        <f t="shared" si="2"/>
        <v>-1496.05</v>
      </c>
      <c r="I12" s="14">
        <f>+_xlfn.XLOOKUP(D12,[1]BDV!$F:$F,[1]BDV!$AI:$AI)</f>
        <v>-1496.05</v>
      </c>
      <c r="J12" s="42">
        <f t="shared" si="0"/>
        <v>0</v>
      </c>
    </row>
    <row r="13" spans="1:13" hidden="1" x14ac:dyDescent="0.25">
      <c r="A13" t="s">
        <v>873</v>
      </c>
      <c r="B13">
        <v>0</v>
      </c>
      <c r="C13" t="s">
        <v>829</v>
      </c>
      <c r="D13">
        <f t="shared" si="1"/>
        <v>100225</v>
      </c>
      <c r="E13" s="15" t="s">
        <v>458</v>
      </c>
      <c r="F13" s="18">
        <f>+_xlfn.XLOOKUP(D13,CVS!E:E,CVS!I:I,0)</f>
        <v>-2334868.14</v>
      </c>
      <c r="G13" s="14">
        <f>+SUMIFS('De Giorgi BDV'!C:C,'De Giorgi BDV'!D:D,D13)</f>
        <v>-33076</v>
      </c>
      <c r="H13" s="18">
        <f t="shared" si="2"/>
        <v>-2367944.14</v>
      </c>
      <c r="I13" s="14">
        <f>+_xlfn.XLOOKUP(D13,[1]BDV!$F:$F,[1]BDV!$AI:$AI)</f>
        <v>-2367944.14</v>
      </c>
      <c r="J13" s="42">
        <f t="shared" si="0"/>
        <v>0</v>
      </c>
    </row>
    <row r="14" spans="1:13" hidden="1" x14ac:dyDescent="0.25">
      <c r="A14" t="s">
        <v>873</v>
      </c>
      <c r="B14">
        <v>0</v>
      </c>
      <c r="C14" t="s">
        <v>829</v>
      </c>
      <c r="D14">
        <f t="shared" si="1"/>
        <v>100227</v>
      </c>
      <c r="E14" s="15" t="s">
        <v>459</v>
      </c>
      <c r="F14" s="18">
        <f>+_xlfn.XLOOKUP(D14,CVS!E:E,CVS!I:I,0)</f>
        <v>-8392.14</v>
      </c>
      <c r="G14" s="14">
        <f>+SUMIFS('De Giorgi BDV'!C:C,'De Giorgi BDV'!D:D,D14)</f>
        <v>0</v>
      </c>
      <c r="H14" s="18">
        <f t="shared" si="2"/>
        <v>-8392.14</v>
      </c>
      <c r="I14" s="14">
        <f>+_xlfn.XLOOKUP(D14,[1]BDV!$F:$F,[1]BDV!$AI:$AI)</f>
        <v>-8392.14</v>
      </c>
      <c r="J14" s="42">
        <f t="shared" si="0"/>
        <v>0</v>
      </c>
    </row>
    <row r="15" spans="1:13" hidden="1" x14ac:dyDescent="0.25">
      <c r="A15" t="s">
        <v>873</v>
      </c>
      <c r="B15">
        <v>0</v>
      </c>
      <c r="C15" t="s">
        <v>829</v>
      </c>
      <c r="D15">
        <f t="shared" si="1"/>
        <v>100231</v>
      </c>
      <c r="E15" s="15" t="s">
        <v>460</v>
      </c>
      <c r="F15" s="18">
        <f>+_xlfn.XLOOKUP(D15,CVS!E:E,CVS!I:I,0)</f>
        <v>-260807.85</v>
      </c>
      <c r="G15" s="14">
        <f>+SUMIFS('De Giorgi BDV'!C:C,'De Giorgi BDV'!D:D,D15)</f>
        <v>0</v>
      </c>
      <c r="H15" s="18">
        <f t="shared" si="2"/>
        <v>-260807.85</v>
      </c>
      <c r="I15" s="14">
        <f>+_xlfn.XLOOKUP(D15,[1]BDV!$F:$F,[1]BDV!$AI:$AI)</f>
        <v>-260807.85</v>
      </c>
      <c r="J15" s="42">
        <f t="shared" si="0"/>
        <v>0</v>
      </c>
    </row>
    <row r="16" spans="1:13" hidden="1" x14ac:dyDescent="0.25">
      <c r="A16" t="s">
        <v>873</v>
      </c>
      <c r="B16">
        <v>0</v>
      </c>
      <c r="C16" t="s">
        <v>829</v>
      </c>
      <c r="D16">
        <f t="shared" si="1"/>
        <v>100235</v>
      </c>
      <c r="E16" s="15" t="s">
        <v>461</v>
      </c>
      <c r="F16" s="18">
        <f>+_xlfn.XLOOKUP(D16,CVS!E:E,CVS!I:I,0)</f>
        <v>-43002348.350000001</v>
      </c>
      <c r="G16" s="14">
        <f>+SUMIFS('De Giorgi BDV'!C:C,'De Giorgi BDV'!D:D,D16)</f>
        <v>-466034.54</v>
      </c>
      <c r="H16" s="18">
        <f t="shared" si="2"/>
        <v>-43468382.890000001</v>
      </c>
      <c r="I16" s="14">
        <f>+_xlfn.XLOOKUP(D16,[1]BDV!$F:$F,[1]BDV!$AI:$AI)</f>
        <v>-43468382.890000001</v>
      </c>
      <c r="J16" s="42">
        <f t="shared" si="0"/>
        <v>0</v>
      </c>
    </row>
    <row r="17" spans="1:10" hidden="1" x14ac:dyDescent="0.25">
      <c r="A17" t="s">
        <v>873</v>
      </c>
      <c r="B17">
        <v>0</v>
      </c>
      <c r="C17" t="s">
        <v>829</v>
      </c>
      <c r="D17">
        <f t="shared" si="1"/>
        <v>100237</v>
      </c>
      <c r="E17" s="15" t="s">
        <v>462</v>
      </c>
      <c r="F17" s="18">
        <f>+_xlfn.XLOOKUP(D17,CVS!E:E,CVS!I:I,0)</f>
        <v>-196064.56</v>
      </c>
      <c r="G17" s="14">
        <f>+SUMIFS('De Giorgi BDV'!C:C,'De Giorgi BDV'!D:D,D17)</f>
        <v>-8966.25</v>
      </c>
      <c r="H17" s="18">
        <f t="shared" si="2"/>
        <v>-205030.81</v>
      </c>
      <c r="I17" s="14">
        <f>+_xlfn.XLOOKUP(D17,[1]BDV!$F:$F,[1]BDV!$AI:$AI)</f>
        <v>-205030.81</v>
      </c>
      <c r="J17" s="42">
        <f t="shared" si="0"/>
        <v>0</v>
      </c>
    </row>
    <row r="18" spans="1:10" hidden="1" x14ac:dyDescent="0.25">
      <c r="A18" t="s">
        <v>873</v>
      </c>
      <c r="B18">
        <v>0</v>
      </c>
      <c r="C18" t="s">
        <v>829</v>
      </c>
      <c r="D18">
        <f t="shared" si="1"/>
        <v>100239</v>
      </c>
      <c r="E18" s="15" t="s">
        <v>463</v>
      </c>
      <c r="F18" s="18">
        <f>+_xlfn.XLOOKUP(D18,CVS!E:E,CVS!I:I,0)</f>
        <v>55778.54</v>
      </c>
      <c r="G18" s="14">
        <f>+SUMIFS('De Giorgi BDV'!C:C,'De Giorgi BDV'!D:D,D18)</f>
        <v>0</v>
      </c>
      <c r="H18" s="18">
        <f t="shared" si="2"/>
        <v>55778.54</v>
      </c>
      <c r="I18" s="14">
        <f>+_xlfn.XLOOKUP(D18,[1]BDV!$F:$F,[1]BDV!$AI:$AI)</f>
        <v>55778.54</v>
      </c>
      <c r="J18" s="42">
        <f t="shared" si="0"/>
        <v>0</v>
      </c>
    </row>
    <row r="19" spans="1:10" hidden="1" x14ac:dyDescent="0.25">
      <c r="A19" t="s">
        <v>873</v>
      </c>
      <c r="B19">
        <v>0</v>
      </c>
      <c r="C19" t="s">
        <v>829</v>
      </c>
      <c r="D19">
        <f t="shared" si="1"/>
        <v>100241</v>
      </c>
      <c r="E19" s="15" t="s">
        <v>464</v>
      </c>
      <c r="F19" s="18">
        <f>+_xlfn.XLOOKUP(D19,CVS!E:E,CVS!I:I,0)</f>
        <v>-55414.19</v>
      </c>
      <c r="G19" s="14">
        <f>+SUMIFS('De Giorgi BDV'!C:C,'De Giorgi BDV'!D:D,D19)</f>
        <v>0</v>
      </c>
      <c r="H19" s="18">
        <f t="shared" si="2"/>
        <v>-55414.19</v>
      </c>
      <c r="I19" s="14">
        <f>+_xlfn.XLOOKUP(D19,[1]BDV!$F:$F,[1]BDV!$AI:$AI)</f>
        <v>-55414.19</v>
      </c>
      <c r="J19" s="42">
        <f t="shared" si="0"/>
        <v>0</v>
      </c>
    </row>
    <row r="20" spans="1:10" hidden="1" x14ac:dyDescent="0.25">
      <c r="A20" t="s">
        <v>873</v>
      </c>
      <c r="B20">
        <v>0</v>
      </c>
      <c r="C20" t="s">
        <v>829</v>
      </c>
      <c r="D20">
        <f t="shared" si="1"/>
        <v>100249</v>
      </c>
      <c r="E20" s="15" t="s">
        <v>465</v>
      </c>
      <c r="F20" s="18">
        <f>+_xlfn.XLOOKUP(D20,CVS!E:E,CVS!I:I,0)</f>
        <v>29035480.52</v>
      </c>
      <c r="G20" s="14">
        <f>+SUMIFS('De Giorgi BDV'!C:C,'De Giorgi BDV'!D:D,D20)</f>
        <v>0</v>
      </c>
      <c r="H20" s="18">
        <f t="shared" si="2"/>
        <v>29035480.52</v>
      </c>
      <c r="I20" s="14">
        <f>+_xlfn.XLOOKUP(D20,[1]BDV!$F:$F,[1]BDV!$AI:$AI)</f>
        <v>29035480.52</v>
      </c>
      <c r="J20" s="42">
        <f t="shared" si="0"/>
        <v>0</v>
      </c>
    </row>
    <row r="21" spans="1:10" hidden="1" x14ac:dyDescent="0.25">
      <c r="A21" t="s">
        <v>873</v>
      </c>
      <c r="B21">
        <v>0</v>
      </c>
      <c r="C21" t="s">
        <v>829</v>
      </c>
      <c r="D21">
        <f t="shared" si="1"/>
        <v>100251</v>
      </c>
      <c r="E21" s="15" t="s">
        <v>466</v>
      </c>
      <c r="F21" s="18">
        <f>+_xlfn.XLOOKUP(D21,CVS!E:E,CVS!I:I,0)</f>
        <v>-4531375.83</v>
      </c>
      <c r="G21" s="14">
        <f>+SUMIFS('De Giorgi BDV'!C:C,'De Giorgi BDV'!D:D,D21)</f>
        <v>0</v>
      </c>
      <c r="H21" s="18">
        <f t="shared" si="2"/>
        <v>-4531375.83</v>
      </c>
      <c r="I21" s="14">
        <f>+_xlfn.XLOOKUP(D21,[1]BDV!$F:$F,[1]BDV!$AI:$AI)</f>
        <v>-4531375.83</v>
      </c>
      <c r="J21" s="42">
        <f t="shared" si="0"/>
        <v>0</v>
      </c>
    </row>
    <row r="22" spans="1:10" hidden="1" x14ac:dyDescent="0.25">
      <c r="A22" t="s">
        <v>873</v>
      </c>
      <c r="B22">
        <v>0</v>
      </c>
      <c r="C22" t="s">
        <v>830</v>
      </c>
      <c r="D22">
        <f t="shared" si="1"/>
        <v>100401</v>
      </c>
      <c r="E22" s="15" t="s">
        <v>467</v>
      </c>
      <c r="F22" s="18">
        <f>+_xlfn.XLOOKUP(D22,CVS!E:E,CVS!I:I,0)</f>
        <v>14238.97</v>
      </c>
      <c r="G22" s="14">
        <f>+SUMIFS('De Giorgi BDV'!C:C,'De Giorgi BDV'!D:D,D22)</f>
        <v>11857.65</v>
      </c>
      <c r="H22" s="18">
        <f t="shared" si="2"/>
        <v>26096.62</v>
      </c>
      <c r="I22" s="14">
        <f>+_xlfn.XLOOKUP(D22,[1]BDV!$F:$F,[1]BDV!$AI:$AI)</f>
        <v>26096.62</v>
      </c>
      <c r="J22" s="42">
        <f t="shared" si="0"/>
        <v>0</v>
      </c>
    </row>
    <row r="23" spans="1:10" hidden="1" x14ac:dyDescent="0.25">
      <c r="A23" t="s">
        <v>873</v>
      </c>
      <c r="B23">
        <v>0</v>
      </c>
      <c r="C23" t="s">
        <v>830</v>
      </c>
      <c r="D23">
        <f t="shared" si="1"/>
        <v>100403</v>
      </c>
      <c r="E23" s="15" t="s">
        <v>468</v>
      </c>
      <c r="F23" s="18">
        <f>+_xlfn.XLOOKUP(D23,CVS!E:E,CVS!I:I,0)</f>
        <v>18097</v>
      </c>
      <c r="G23" s="14">
        <f>+SUMIFS('De Giorgi BDV'!C:C,'De Giorgi BDV'!D:D,D23)</f>
        <v>0</v>
      </c>
      <c r="H23" s="18">
        <f t="shared" si="2"/>
        <v>18097</v>
      </c>
      <c r="I23" s="14">
        <f>+_xlfn.XLOOKUP(D23,[1]BDV!$F:$F,[1]BDV!$AI:$AI)</f>
        <v>18097</v>
      </c>
      <c r="J23" s="42">
        <f t="shared" si="0"/>
        <v>0</v>
      </c>
    </row>
    <row r="24" spans="1:10" hidden="1" x14ac:dyDescent="0.25">
      <c r="A24" t="s">
        <v>873</v>
      </c>
      <c r="B24">
        <v>0</v>
      </c>
      <c r="C24" t="s">
        <v>830</v>
      </c>
      <c r="D24">
        <f t="shared" si="1"/>
        <v>100405</v>
      </c>
      <c r="E24" s="15" t="s">
        <v>469</v>
      </c>
      <c r="F24" s="18">
        <f>+_xlfn.XLOOKUP(D24,CVS!E:E,CVS!I:I,0)</f>
        <v>1050820.3999999999</v>
      </c>
      <c r="G24" s="14">
        <f>+SUMIFS('De Giorgi BDV'!C:C,'De Giorgi BDV'!D:D,D24)</f>
        <v>385661.11</v>
      </c>
      <c r="H24" s="18">
        <f t="shared" si="2"/>
        <v>1436481.5099999998</v>
      </c>
      <c r="I24" s="14">
        <f>+_xlfn.XLOOKUP(D24,[1]BDV!$F:$F,[1]BDV!$AI:$AI)</f>
        <v>1436481.5099999998</v>
      </c>
      <c r="J24" s="42">
        <f t="shared" si="0"/>
        <v>0</v>
      </c>
    </row>
    <row r="25" spans="1:10" hidden="1" x14ac:dyDescent="0.25">
      <c r="A25" t="s">
        <v>873</v>
      </c>
      <c r="B25">
        <v>0</v>
      </c>
      <c r="C25" t="s">
        <v>830</v>
      </c>
      <c r="D25">
        <f t="shared" si="1"/>
        <v>100407</v>
      </c>
      <c r="E25" s="15" t="s">
        <v>470</v>
      </c>
      <c r="F25" s="18">
        <f>+_xlfn.XLOOKUP(D25,CVS!E:E,CVS!I:I,0)</f>
        <v>104546</v>
      </c>
      <c r="G25" s="14">
        <f>+SUMIFS('De Giorgi BDV'!C:C,'De Giorgi BDV'!D:D,D25)</f>
        <v>0</v>
      </c>
      <c r="H25" s="18">
        <f t="shared" si="2"/>
        <v>104546</v>
      </c>
      <c r="I25" s="14">
        <f>+_xlfn.XLOOKUP(D25,[1]BDV!$F:$F,[1]BDV!$AI:$AI)</f>
        <v>104546</v>
      </c>
      <c r="J25" s="42">
        <f t="shared" si="0"/>
        <v>0</v>
      </c>
    </row>
    <row r="26" spans="1:10" hidden="1" x14ac:dyDescent="0.25">
      <c r="A26" t="s">
        <v>873</v>
      </c>
      <c r="B26">
        <v>0</v>
      </c>
      <c r="C26" t="s">
        <v>830</v>
      </c>
      <c r="D26">
        <f t="shared" si="1"/>
        <v>100409</v>
      </c>
      <c r="E26" s="15" t="s">
        <v>471</v>
      </c>
      <c r="F26" s="18">
        <f>+_xlfn.XLOOKUP(D26,CVS!E:E,CVS!I:I,0)</f>
        <v>36920</v>
      </c>
      <c r="G26" s="14">
        <f>+SUMIFS('De Giorgi BDV'!C:C,'De Giorgi BDV'!D:D,D26)</f>
        <v>32895.58</v>
      </c>
      <c r="H26" s="18">
        <f t="shared" si="2"/>
        <v>69815.58</v>
      </c>
      <c r="I26" s="14">
        <f>+_xlfn.XLOOKUP(D26,[1]BDV!$F:$F,[1]BDV!$AI:$AI)</f>
        <v>69815.58</v>
      </c>
      <c r="J26" s="42">
        <f t="shared" si="0"/>
        <v>0</v>
      </c>
    </row>
    <row r="27" spans="1:10" hidden="1" x14ac:dyDescent="0.25">
      <c r="A27" t="s">
        <v>873</v>
      </c>
      <c r="B27">
        <v>0</v>
      </c>
      <c r="C27" t="s">
        <v>830</v>
      </c>
      <c r="D27">
        <f t="shared" si="1"/>
        <v>100411</v>
      </c>
      <c r="E27" s="15" t="s">
        <v>472</v>
      </c>
      <c r="F27" s="18">
        <f>+_xlfn.XLOOKUP(D27,CVS!E:E,CVS!I:I,0)</f>
        <v>717177.2</v>
      </c>
      <c r="G27" s="14">
        <f>+SUMIFS('De Giorgi BDV'!C:C,'De Giorgi BDV'!D:D,D27)</f>
        <v>41352.67</v>
      </c>
      <c r="H27" s="18">
        <f t="shared" si="2"/>
        <v>758529.87</v>
      </c>
      <c r="I27" s="14">
        <f>+_xlfn.XLOOKUP(D27,[1]BDV!$F:$F,[1]BDV!$AI:$AI)</f>
        <v>758529.87</v>
      </c>
      <c r="J27" s="42">
        <f t="shared" si="0"/>
        <v>0</v>
      </c>
    </row>
    <row r="28" spans="1:10" hidden="1" x14ac:dyDescent="0.25">
      <c r="A28" t="s">
        <v>873</v>
      </c>
      <c r="B28">
        <v>0</v>
      </c>
      <c r="C28" t="s">
        <v>830</v>
      </c>
      <c r="D28">
        <f t="shared" si="1"/>
        <v>100413</v>
      </c>
      <c r="E28" s="15" t="s">
        <v>473</v>
      </c>
      <c r="F28" s="18">
        <f>+_xlfn.XLOOKUP(D28,CVS!E:E,CVS!I:I,0)</f>
        <v>77813.34</v>
      </c>
      <c r="G28" s="14">
        <f>+SUMIFS('De Giorgi BDV'!C:C,'De Giorgi BDV'!D:D,D28)</f>
        <v>40456.089999999997</v>
      </c>
      <c r="H28" s="18">
        <f t="shared" si="2"/>
        <v>118269.43</v>
      </c>
      <c r="I28" s="14">
        <f>+_xlfn.XLOOKUP(D28,[1]BDV!$F:$F,[1]BDV!$AI:$AI)</f>
        <v>118269.43</v>
      </c>
      <c r="J28" s="42">
        <f t="shared" si="0"/>
        <v>0</v>
      </c>
    </row>
    <row r="29" spans="1:10" hidden="1" x14ac:dyDescent="0.25">
      <c r="A29" t="s">
        <v>873</v>
      </c>
      <c r="B29">
        <v>0</v>
      </c>
      <c r="C29" t="s">
        <v>830</v>
      </c>
      <c r="D29">
        <f t="shared" si="1"/>
        <v>100415</v>
      </c>
      <c r="E29" s="15" t="s">
        <v>474</v>
      </c>
      <c r="F29" s="18">
        <f>+_xlfn.XLOOKUP(D29,CVS!E:E,CVS!I:I,0)</f>
        <v>372327.78</v>
      </c>
      <c r="G29" s="14">
        <f>+SUMIFS('De Giorgi BDV'!C:C,'De Giorgi BDV'!D:D,D29)</f>
        <v>4098.25</v>
      </c>
      <c r="H29" s="18">
        <f t="shared" si="2"/>
        <v>376426.03</v>
      </c>
      <c r="I29" s="14">
        <f>+_xlfn.XLOOKUP(D29,[1]BDV!$F:$F,[1]BDV!$AI:$AI)</f>
        <v>376426.03</v>
      </c>
      <c r="J29" s="42">
        <f t="shared" si="0"/>
        <v>0</v>
      </c>
    </row>
    <row r="30" spans="1:10" hidden="1" x14ac:dyDescent="0.25">
      <c r="A30" t="s">
        <v>873</v>
      </c>
      <c r="B30">
        <v>0</v>
      </c>
      <c r="C30" t="s">
        <v>830</v>
      </c>
      <c r="D30">
        <f t="shared" si="1"/>
        <v>100417</v>
      </c>
      <c r="E30" s="15" t="s">
        <v>475</v>
      </c>
      <c r="F30" s="18">
        <f>+_xlfn.XLOOKUP(D30,CVS!E:E,CVS!I:I,0)</f>
        <v>571065.69999999995</v>
      </c>
      <c r="G30" s="14">
        <f>+SUMIFS('De Giorgi BDV'!C:C,'De Giorgi BDV'!D:D,D30)</f>
        <v>0</v>
      </c>
      <c r="H30" s="18">
        <f t="shared" si="2"/>
        <v>571065.69999999995</v>
      </c>
      <c r="I30" s="14">
        <f>+_xlfn.XLOOKUP(D30,[1]BDV!$F:$F,[1]BDV!$AI:$AI)</f>
        <v>571065.69999999995</v>
      </c>
      <c r="J30" s="42">
        <f t="shared" si="0"/>
        <v>0</v>
      </c>
    </row>
    <row r="31" spans="1:10" hidden="1" x14ac:dyDescent="0.25">
      <c r="A31" t="s">
        <v>873</v>
      </c>
      <c r="B31">
        <v>0</v>
      </c>
      <c r="C31" t="s">
        <v>830</v>
      </c>
      <c r="D31">
        <f t="shared" si="1"/>
        <v>100419</v>
      </c>
      <c r="E31" s="15" t="s">
        <v>476</v>
      </c>
      <c r="F31" s="18">
        <f>+_xlfn.XLOOKUP(D31,CVS!E:E,CVS!I:I,0)</f>
        <v>516770.12</v>
      </c>
      <c r="G31" s="14">
        <f>+SUMIFS('De Giorgi BDV'!C:C,'De Giorgi BDV'!D:D,D31)</f>
        <v>0</v>
      </c>
      <c r="H31" s="18">
        <f t="shared" si="2"/>
        <v>516770.12</v>
      </c>
      <c r="I31" s="14">
        <f>+_xlfn.XLOOKUP(D31,[1]BDV!$F:$F,[1]BDV!$AI:$AI)</f>
        <v>516770.12</v>
      </c>
      <c r="J31" s="42">
        <f t="shared" si="0"/>
        <v>0</v>
      </c>
    </row>
    <row r="32" spans="1:10" hidden="1" x14ac:dyDescent="0.25">
      <c r="A32" t="s">
        <v>873</v>
      </c>
      <c r="B32">
        <v>0</v>
      </c>
      <c r="C32" t="s">
        <v>830</v>
      </c>
      <c r="D32">
        <f t="shared" si="1"/>
        <v>100421</v>
      </c>
      <c r="E32" s="15" t="s">
        <v>477</v>
      </c>
      <c r="F32" s="18">
        <f>+_xlfn.XLOOKUP(D32,CVS!E:E,CVS!I:I,0)</f>
        <v>364211.72</v>
      </c>
      <c r="G32" s="14">
        <f>+SUMIFS('De Giorgi BDV'!C:C,'De Giorgi BDV'!D:D,D32)</f>
        <v>18720.07</v>
      </c>
      <c r="H32" s="18">
        <f t="shared" si="2"/>
        <v>382931.79</v>
      </c>
      <c r="I32" s="14">
        <f>+_xlfn.XLOOKUP(D32,[1]BDV!$F:$F,[1]BDV!$AI:$AI)</f>
        <v>382931.79</v>
      </c>
      <c r="J32" s="42">
        <f t="shared" si="0"/>
        <v>0</v>
      </c>
    </row>
    <row r="33" spans="1:10" hidden="1" x14ac:dyDescent="0.25">
      <c r="A33" t="s">
        <v>873</v>
      </c>
      <c r="B33">
        <v>0</v>
      </c>
      <c r="C33" t="s">
        <v>830</v>
      </c>
      <c r="D33">
        <f t="shared" si="1"/>
        <v>100423</v>
      </c>
      <c r="E33" s="15" t="s">
        <v>478</v>
      </c>
      <c r="F33" s="18">
        <f>+_xlfn.XLOOKUP(D33,CVS!E:E,CVS!I:I,0)</f>
        <v>710845.27</v>
      </c>
      <c r="G33" s="14">
        <f>+SUMIFS('De Giorgi BDV'!C:C,'De Giorgi BDV'!D:D,D33)</f>
        <v>214006.57</v>
      </c>
      <c r="H33" s="18">
        <f t="shared" si="2"/>
        <v>924851.84000000008</v>
      </c>
      <c r="I33" s="14">
        <f>+_xlfn.XLOOKUP(D33,[1]BDV!$F:$F,[1]BDV!$AI:$AI)</f>
        <v>924851.84000000008</v>
      </c>
      <c r="J33" s="42">
        <f t="shared" si="0"/>
        <v>0</v>
      </c>
    </row>
    <row r="34" spans="1:10" hidden="1" x14ac:dyDescent="0.25">
      <c r="A34" t="s">
        <v>873</v>
      </c>
      <c r="B34">
        <v>0</v>
      </c>
      <c r="C34" t="s">
        <v>830</v>
      </c>
      <c r="D34">
        <f t="shared" si="1"/>
        <v>100425</v>
      </c>
      <c r="E34" s="15" t="s">
        <v>479</v>
      </c>
      <c r="F34" s="18">
        <f>+_xlfn.XLOOKUP(D34,CVS!E:E,CVS!I:I,0)</f>
        <v>90383.75</v>
      </c>
      <c r="G34" s="14">
        <f>+SUMIFS('De Giorgi BDV'!C:C,'De Giorgi BDV'!D:D,D34)</f>
        <v>33282.870000000003</v>
      </c>
      <c r="H34" s="18">
        <f t="shared" si="2"/>
        <v>123666.62</v>
      </c>
      <c r="I34" s="14">
        <f>+_xlfn.XLOOKUP(D34,[1]BDV!$F:$F,[1]BDV!$AI:$AI)</f>
        <v>123666.62</v>
      </c>
      <c r="J34" s="42">
        <f t="shared" si="0"/>
        <v>0</v>
      </c>
    </row>
    <row r="35" spans="1:10" hidden="1" x14ac:dyDescent="0.25">
      <c r="A35" t="s">
        <v>873</v>
      </c>
      <c r="B35">
        <v>0</v>
      </c>
      <c r="C35" t="s">
        <v>830</v>
      </c>
      <c r="D35">
        <f t="shared" si="1"/>
        <v>100427</v>
      </c>
      <c r="E35" s="15" t="s">
        <v>480</v>
      </c>
      <c r="F35" s="18">
        <f>+_xlfn.XLOOKUP(D35,CVS!E:E,CVS!I:I,0)</f>
        <v>46069.52</v>
      </c>
      <c r="G35" s="14">
        <f>+SUMIFS('De Giorgi BDV'!C:C,'De Giorgi BDV'!D:D,D35)</f>
        <v>0</v>
      </c>
      <c r="H35" s="18">
        <f t="shared" si="2"/>
        <v>46069.52</v>
      </c>
      <c r="I35" s="14">
        <f>+_xlfn.XLOOKUP(D35,[1]BDV!$F:$F,[1]BDV!$AI:$AI)</f>
        <v>46069.52</v>
      </c>
      <c r="J35" s="42">
        <f t="shared" si="0"/>
        <v>0</v>
      </c>
    </row>
    <row r="36" spans="1:10" hidden="1" x14ac:dyDescent="0.25">
      <c r="A36" t="s">
        <v>873</v>
      </c>
      <c r="B36">
        <v>0</v>
      </c>
      <c r="C36" t="s">
        <v>830</v>
      </c>
      <c r="D36">
        <f t="shared" si="1"/>
        <v>100429</v>
      </c>
      <c r="E36" s="15" t="s">
        <v>481</v>
      </c>
      <c r="F36" s="18">
        <f>+_xlfn.XLOOKUP(D36,CVS!E:E,CVS!I:I,0)</f>
        <v>-299457.09999999998</v>
      </c>
      <c r="G36" s="14">
        <f>+SUMIFS('De Giorgi BDV'!C:C,'De Giorgi BDV'!D:D,D36)</f>
        <v>-233803.9</v>
      </c>
      <c r="H36" s="18">
        <f t="shared" si="2"/>
        <v>-533261</v>
      </c>
      <c r="I36" s="14">
        <f>+_xlfn.XLOOKUP(D36,[1]BDV!$F:$F,[1]BDV!$AI:$AI)</f>
        <v>-533261</v>
      </c>
      <c r="J36" s="42">
        <f t="shared" si="0"/>
        <v>0</v>
      </c>
    </row>
    <row r="37" spans="1:10" hidden="1" x14ac:dyDescent="0.25">
      <c r="A37" t="s">
        <v>873</v>
      </c>
      <c r="B37">
        <v>0</v>
      </c>
      <c r="C37" t="s">
        <v>830</v>
      </c>
      <c r="D37">
        <f t="shared" si="1"/>
        <v>100431</v>
      </c>
      <c r="E37" s="15" t="s">
        <v>482</v>
      </c>
      <c r="F37" s="18">
        <f>+_xlfn.XLOOKUP(D37,CVS!E:E,CVS!I:I,0)</f>
        <v>-74989</v>
      </c>
      <c r="G37" s="14">
        <f>+SUMIFS('De Giorgi BDV'!C:C,'De Giorgi BDV'!D:D,D37)</f>
        <v>0</v>
      </c>
      <c r="H37" s="18">
        <f t="shared" si="2"/>
        <v>-74989</v>
      </c>
      <c r="I37" s="14">
        <f>+_xlfn.XLOOKUP(D37,[1]BDV!$F:$F,[1]BDV!$AI:$AI)</f>
        <v>-74989</v>
      </c>
      <c r="J37" s="42">
        <f t="shared" si="0"/>
        <v>0</v>
      </c>
    </row>
    <row r="38" spans="1:10" hidden="1" x14ac:dyDescent="0.25">
      <c r="A38" t="s">
        <v>873</v>
      </c>
      <c r="B38">
        <v>0</v>
      </c>
      <c r="C38" t="s">
        <v>830</v>
      </c>
      <c r="D38">
        <f t="shared" si="1"/>
        <v>100433</v>
      </c>
      <c r="E38" s="15" t="s">
        <v>483</v>
      </c>
      <c r="F38" s="18">
        <f>+_xlfn.XLOOKUP(D38,CVS!E:E,CVS!I:I,0)</f>
        <v>-36919.339999999997</v>
      </c>
      <c r="G38" s="14">
        <f>+SUMIFS('De Giorgi BDV'!C:C,'De Giorgi BDV'!D:D,D38)</f>
        <v>-31725.72</v>
      </c>
      <c r="H38" s="18">
        <f t="shared" si="2"/>
        <v>-68645.06</v>
      </c>
      <c r="I38" s="14">
        <f>+_xlfn.XLOOKUP(D38,[1]BDV!$F:$F,[1]BDV!$AI:$AI)</f>
        <v>-68645.06</v>
      </c>
      <c r="J38" s="42">
        <f t="shared" si="0"/>
        <v>0</v>
      </c>
    </row>
    <row r="39" spans="1:10" hidden="1" x14ac:dyDescent="0.25">
      <c r="A39" t="s">
        <v>873</v>
      </c>
      <c r="B39">
        <v>0</v>
      </c>
      <c r="C39" t="s">
        <v>830</v>
      </c>
      <c r="D39">
        <f t="shared" si="1"/>
        <v>100435</v>
      </c>
      <c r="E39" s="15" t="s">
        <v>484</v>
      </c>
      <c r="F39" s="18">
        <f>+_xlfn.XLOOKUP(D39,CVS!E:E,CVS!I:I,0)</f>
        <v>-652334.16</v>
      </c>
      <c r="G39" s="14">
        <f>+SUMIFS('De Giorgi BDV'!C:C,'De Giorgi BDV'!D:D,D39)</f>
        <v>-41194.32</v>
      </c>
      <c r="H39" s="18">
        <f t="shared" si="2"/>
        <v>-693528.48</v>
      </c>
      <c r="I39" s="14">
        <f>+_xlfn.XLOOKUP(D39,[1]BDV!$F:$F,[1]BDV!$AI:$AI)</f>
        <v>-693528.48</v>
      </c>
      <c r="J39" s="42">
        <f t="shared" si="0"/>
        <v>0</v>
      </c>
    </row>
    <row r="40" spans="1:10" hidden="1" x14ac:dyDescent="0.25">
      <c r="A40" t="s">
        <v>873</v>
      </c>
      <c r="B40">
        <v>0</v>
      </c>
      <c r="C40" t="s">
        <v>830</v>
      </c>
      <c r="D40">
        <f t="shared" si="1"/>
        <v>100437</v>
      </c>
      <c r="E40" s="15" t="s">
        <v>485</v>
      </c>
      <c r="F40" s="18">
        <f>+_xlfn.XLOOKUP(D40,CVS!E:E,CVS!I:I,0)</f>
        <v>-74803.03</v>
      </c>
      <c r="G40" s="14">
        <f>+SUMIFS('De Giorgi BDV'!C:C,'De Giorgi BDV'!D:D,D40)</f>
        <v>-40456.089999999997</v>
      </c>
      <c r="H40" s="18">
        <f t="shared" si="2"/>
        <v>-115259.12</v>
      </c>
      <c r="I40" s="14">
        <f>+_xlfn.XLOOKUP(D40,[1]BDV!$F:$F,[1]BDV!$AI:$AI)</f>
        <v>-115259.12</v>
      </c>
      <c r="J40" s="42">
        <f t="shared" si="0"/>
        <v>0</v>
      </c>
    </row>
    <row r="41" spans="1:10" hidden="1" x14ac:dyDescent="0.25">
      <c r="A41" t="s">
        <v>873</v>
      </c>
      <c r="B41">
        <v>0</v>
      </c>
      <c r="C41" t="s">
        <v>830</v>
      </c>
      <c r="D41">
        <f t="shared" si="1"/>
        <v>100439</v>
      </c>
      <c r="E41" s="15" t="s">
        <v>486</v>
      </c>
      <c r="F41" s="18">
        <f>+_xlfn.XLOOKUP(D41,CVS!E:E,CVS!I:I,0)</f>
        <v>-329143.84000000003</v>
      </c>
      <c r="G41" s="14">
        <f>+SUMIFS('De Giorgi BDV'!C:C,'De Giorgi BDV'!D:D,D41)</f>
        <v>-3971.97</v>
      </c>
      <c r="H41" s="18">
        <f t="shared" si="2"/>
        <v>-333115.81</v>
      </c>
      <c r="I41" s="14">
        <f>+_xlfn.XLOOKUP(D41,[1]BDV!$F:$F,[1]BDV!$AI:$AI)</f>
        <v>-333115.81</v>
      </c>
      <c r="J41" s="42">
        <f t="shared" si="0"/>
        <v>0</v>
      </c>
    </row>
    <row r="42" spans="1:10" hidden="1" x14ac:dyDescent="0.25">
      <c r="A42" t="s">
        <v>873</v>
      </c>
      <c r="B42">
        <v>0</v>
      </c>
      <c r="C42" t="s">
        <v>830</v>
      </c>
      <c r="D42">
        <f t="shared" si="1"/>
        <v>100441</v>
      </c>
      <c r="E42" s="15" t="s">
        <v>487</v>
      </c>
      <c r="F42" s="18">
        <f>+_xlfn.XLOOKUP(D42,CVS!E:E,CVS!I:I,0)</f>
        <v>-478748.5</v>
      </c>
      <c r="G42" s="14">
        <f>+SUMIFS('De Giorgi BDV'!C:C,'De Giorgi BDV'!D:D,D42)</f>
        <v>0</v>
      </c>
      <c r="H42" s="18">
        <f t="shared" si="2"/>
        <v>-478748.5</v>
      </c>
      <c r="I42" s="14">
        <f>+_xlfn.XLOOKUP(D42,[1]BDV!$F:$F,[1]BDV!$AI:$AI)</f>
        <v>-478748.5</v>
      </c>
      <c r="J42" s="42">
        <f t="shared" si="0"/>
        <v>0</v>
      </c>
    </row>
    <row r="43" spans="1:10" hidden="1" x14ac:dyDescent="0.25">
      <c r="A43" t="s">
        <v>873</v>
      </c>
      <c r="B43">
        <v>0</v>
      </c>
      <c r="C43" t="s">
        <v>830</v>
      </c>
      <c r="D43">
        <f t="shared" si="1"/>
        <v>100443</v>
      </c>
      <c r="E43" s="15" t="s">
        <v>488</v>
      </c>
      <c r="F43" s="18">
        <f>+_xlfn.XLOOKUP(D43,CVS!E:E,CVS!I:I,0)</f>
        <v>-395317.49</v>
      </c>
      <c r="G43" s="14">
        <f>+SUMIFS('De Giorgi BDV'!C:C,'De Giorgi BDV'!D:D,D43)</f>
        <v>0</v>
      </c>
      <c r="H43" s="18">
        <f t="shared" si="2"/>
        <v>-395317.49</v>
      </c>
      <c r="I43" s="14">
        <f>+_xlfn.XLOOKUP(D43,[1]BDV!$F:$F,[1]BDV!$AI:$AI)</f>
        <v>-395317.49</v>
      </c>
      <c r="J43" s="42">
        <f t="shared" si="0"/>
        <v>0</v>
      </c>
    </row>
    <row r="44" spans="1:10" hidden="1" x14ac:dyDescent="0.25">
      <c r="A44" t="s">
        <v>873</v>
      </c>
      <c r="B44">
        <v>0</v>
      </c>
      <c r="C44" t="s">
        <v>830</v>
      </c>
      <c r="D44">
        <f t="shared" si="1"/>
        <v>100445</v>
      </c>
      <c r="E44" s="15" t="s">
        <v>489</v>
      </c>
      <c r="F44" s="18">
        <f>+_xlfn.XLOOKUP(D44,CVS!E:E,CVS!I:I,0)</f>
        <v>-237452.24</v>
      </c>
      <c r="G44" s="14">
        <f>+SUMIFS('De Giorgi BDV'!C:C,'De Giorgi BDV'!D:D,D44)</f>
        <v>-16375.74</v>
      </c>
      <c r="H44" s="18">
        <f t="shared" si="2"/>
        <v>-253827.97999999998</v>
      </c>
      <c r="I44" s="14">
        <f>+_xlfn.XLOOKUP(D44,[1]BDV!$F:$F,[1]BDV!$AI:$AI)</f>
        <v>-253827.97999999998</v>
      </c>
      <c r="J44" s="42">
        <f t="shared" si="0"/>
        <v>0</v>
      </c>
    </row>
    <row r="45" spans="1:10" hidden="1" x14ac:dyDescent="0.25">
      <c r="A45" t="s">
        <v>873</v>
      </c>
      <c r="B45">
        <v>0</v>
      </c>
      <c r="C45" t="s">
        <v>830</v>
      </c>
      <c r="D45">
        <f t="shared" si="1"/>
        <v>100447</v>
      </c>
      <c r="E45" s="15" t="s">
        <v>490</v>
      </c>
      <c r="F45" s="18">
        <f>+_xlfn.XLOOKUP(D45,CVS!E:E,CVS!I:I,0)</f>
        <v>-666067.87</v>
      </c>
      <c r="G45" s="14">
        <f>+SUMIFS('De Giorgi BDV'!C:C,'De Giorgi BDV'!D:D,D45)</f>
        <v>-155726.01999999999</v>
      </c>
      <c r="H45" s="18">
        <f t="shared" si="2"/>
        <v>-821793.89</v>
      </c>
      <c r="I45" s="14">
        <f>+_xlfn.XLOOKUP(D45,[1]BDV!$F:$F,[1]BDV!$AI:$AI)</f>
        <v>-821793.89</v>
      </c>
      <c r="J45" s="42">
        <f t="shared" si="0"/>
        <v>0</v>
      </c>
    </row>
    <row r="46" spans="1:10" hidden="1" x14ac:dyDescent="0.25">
      <c r="A46" t="s">
        <v>873</v>
      </c>
      <c r="B46">
        <v>0</v>
      </c>
      <c r="C46" t="s">
        <v>830</v>
      </c>
      <c r="D46">
        <f t="shared" si="1"/>
        <v>100449</v>
      </c>
      <c r="E46" s="15" t="s">
        <v>491</v>
      </c>
      <c r="F46" s="18">
        <f>+_xlfn.XLOOKUP(D46,CVS!E:E,CVS!I:I,0)</f>
        <v>-88911.25</v>
      </c>
      <c r="G46" s="14">
        <f>+SUMIFS('De Giorgi BDV'!C:C,'De Giorgi BDV'!D:D,D46)</f>
        <v>-33282.870000000003</v>
      </c>
      <c r="H46" s="18">
        <f t="shared" si="2"/>
        <v>-122194.12</v>
      </c>
      <c r="I46" s="14">
        <f>+_xlfn.XLOOKUP(D46,[1]BDV!$F:$F,[1]BDV!$AI:$AI)</f>
        <v>-122194.12</v>
      </c>
      <c r="J46" s="42">
        <f t="shared" si="0"/>
        <v>0</v>
      </c>
    </row>
    <row r="47" spans="1:10" hidden="1" x14ac:dyDescent="0.25">
      <c r="A47" t="s">
        <v>873</v>
      </c>
      <c r="B47">
        <v>0</v>
      </c>
      <c r="C47" t="s">
        <v>830</v>
      </c>
      <c r="D47">
        <f t="shared" si="1"/>
        <v>100451</v>
      </c>
      <c r="E47" s="15" t="s">
        <v>492</v>
      </c>
      <c r="F47" s="18">
        <f>+_xlfn.XLOOKUP(D47,CVS!E:E,CVS!I:I,0)</f>
        <v>-43338.58</v>
      </c>
      <c r="G47" s="14">
        <f>+SUMIFS('De Giorgi BDV'!C:C,'De Giorgi BDV'!D:D,D47)</f>
        <v>0</v>
      </c>
      <c r="H47" s="18">
        <f t="shared" si="2"/>
        <v>-43338.58</v>
      </c>
      <c r="I47" s="14">
        <f>+_xlfn.XLOOKUP(D47,[1]BDV!$F:$F,[1]BDV!$AI:$AI)</f>
        <v>-43338.58</v>
      </c>
      <c r="J47" s="42">
        <f t="shared" si="0"/>
        <v>0</v>
      </c>
    </row>
    <row r="48" spans="1:10" hidden="1" x14ac:dyDescent="0.25">
      <c r="A48" t="s">
        <v>873</v>
      </c>
      <c r="B48">
        <v>0</v>
      </c>
      <c r="C48" t="s">
        <v>830</v>
      </c>
      <c r="D48">
        <f t="shared" si="1"/>
        <v>100453</v>
      </c>
      <c r="E48" s="15" t="s">
        <v>493</v>
      </c>
      <c r="F48" s="18">
        <f>+_xlfn.XLOOKUP(D48,CVS!E:E,CVS!I:I,0)</f>
        <v>6766</v>
      </c>
      <c r="G48" s="14">
        <f>+SUMIFS('De Giorgi BDV'!C:C,'De Giorgi BDV'!D:D,D48)</f>
        <v>32643.96</v>
      </c>
      <c r="H48" s="18">
        <f t="shared" si="2"/>
        <v>39409.96</v>
      </c>
      <c r="I48" s="14">
        <f>+_xlfn.XLOOKUP(D48,[1]BDV!$F:$F,[1]BDV!$AI:$AI)</f>
        <v>39409.96</v>
      </c>
      <c r="J48" s="42">
        <f t="shared" si="0"/>
        <v>0</v>
      </c>
    </row>
    <row r="49" spans="1:10" hidden="1" x14ac:dyDescent="0.25">
      <c r="A49" t="s">
        <v>873</v>
      </c>
      <c r="B49">
        <v>0</v>
      </c>
      <c r="C49" t="s">
        <v>830</v>
      </c>
      <c r="D49">
        <f t="shared" si="1"/>
        <v>100455</v>
      </c>
      <c r="E49" s="15" t="s">
        <v>494</v>
      </c>
      <c r="F49" s="18">
        <f>+_xlfn.XLOOKUP(D49,CVS!E:E,CVS!I:I,0)</f>
        <v>-6367.3</v>
      </c>
      <c r="G49" s="14">
        <f>+SUMIFS('De Giorgi BDV'!C:C,'De Giorgi BDV'!D:D,D49)</f>
        <v>-24502.75</v>
      </c>
      <c r="H49" s="18">
        <f t="shared" si="2"/>
        <v>-30870.05</v>
      </c>
      <c r="I49" s="14">
        <f>+_xlfn.XLOOKUP(D49,[1]BDV!$F:$F,[1]BDV!$AI:$AI)</f>
        <v>-30870.05</v>
      </c>
      <c r="J49" s="42">
        <f t="shared" si="0"/>
        <v>0</v>
      </c>
    </row>
    <row r="50" spans="1:10" hidden="1" x14ac:dyDescent="0.25">
      <c r="A50" t="s">
        <v>873</v>
      </c>
      <c r="B50" t="s">
        <v>862</v>
      </c>
      <c r="C50" t="s">
        <v>830</v>
      </c>
      <c r="D50">
        <f t="shared" si="1"/>
        <v>100457</v>
      </c>
      <c r="E50" s="15" t="s">
        <v>495</v>
      </c>
      <c r="F50" s="18">
        <f>+_xlfn.XLOOKUP(D50,CVS!E:E,CVS!I:I,0)</f>
        <v>81349.91</v>
      </c>
      <c r="G50" s="14">
        <f>+SUMIFS('De Giorgi BDV'!C:C,'De Giorgi BDV'!D:D,D50)</f>
        <v>0</v>
      </c>
      <c r="H50" s="18">
        <f t="shared" si="2"/>
        <v>81349.91</v>
      </c>
      <c r="I50" s="14">
        <f>+_xlfn.XLOOKUP(D50,[1]BDV!$F:$F,[1]BDV!$AI:$AI)</f>
        <v>81349.91</v>
      </c>
      <c r="J50" s="42">
        <f t="shared" si="0"/>
        <v>0</v>
      </c>
    </row>
    <row r="51" spans="1:10" hidden="1" x14ac:dyDescent="0.25">
      <c r="A51" t="s">
        <v>873</v>
      </c>
      <c r="B51" t="s">
        <v>862</v>
      </c>
      <c r="C51" t="s">
        <v>830</v>
      </c>
      <c r="D51">
        <f t="shared" si="1"/>
        <v>100459</v>
      </c>
      <c r="E51" s="15" t="s">
        <v>496</v>
      </c>
      <c r="F51" s="18">
        <f>+_xlfn.XLOOKUP(D51,CVS!E:E,CVS!I:I,0)</f>
        <v>5035.95</v>
      </c>
      <c r="G51" s="14">
        <f>+SUMIFS('De Giorgi BDV'!C:C,'De Giorgi BDV'!D:D,D51)</f>
        <v>0</v>
      </c>
      <c r="H51" s="18">
        <f t="shared" si="2"/>
        <v>5035.95</v>
      </c>
      <c r="I51" s="14">
        <f>+_xlfn.XLOOKUP(D51,[1]BDV!$F:$F,[1]BDV!$AI:$AI)</f>
        <v>5035.95</v>
      </c>
      <c r="J51" s="42">
        <f t="shared" si="0"/>
        <v>0</v>
      </c>
    </row>
    <row r="52" spans="1:10" hidden="1" x14ac:dyDescent="0.25">
      <c r="A52" t="s">
        <v>873</v>
      </c>
      <c r="B52">
        <v>0</v>
      </c>
      <c r="C52" t="s">
        <v>830</v>
      </c>
      <c r="D52">
        <f t="shared" si="1"/>
        <v>100461</v>
      </c>
      <c r="E52" s="15" t="s">
        <v>497</v>
      </c>
      <c r="F52" s="18">
        <f>+_xlfn.XLOOKUP(D52,CVS!E:E,CVS!I:I,0)</f>
        <v>46863.199999999997</v>
      </c>
      <c r="G52" s="14">
        <f>+SUMIFS('De Giorgi BDV'!C:C,'De Giorgi BDV'!D:D,D52)</f>
        <v>0</v>
      </c>
      <c r="H52" s="18">
        <f t="shared" si="2"/>
        <v>46863.199999999997</v>
      </c>
      <c r="I52" s="14">
        <f>+_xlfn.XLOOKUP(D52,[1]BDV!$F:$F,[1]BDV!$AI:$AI)</f>
        <v>46863.199999999997</v>
      </c>
      <c r="J52" s="42">
        <f t="shared" si="0"/>
        <v>0</v>
      </c>
    </row>
    <row r="53" spans="1:10" hidden="1" x14ac:dyDescent="0.25">
      <c r="A53" t="s">
        <v>873</v>
      </c>
      <c r="B53">
        <v>0</v>
      </c>
      <c r="C53" t="s">
        <v>830</v>
      </c>
      <c r="D53">
        <f t="shared" si="1"/>
        <v>100463</v>
      </c>
      <c r="E53" s="15" t="s">
        <v>498</v>
      </c>
      <c r="F53" s="18">
        <f>+_xlfn.XLOOKUP(D53,CVS!E:E,CVS!I:I,0)</f>
        <v>542422.65</v>
      </c>
      <c r="G53" s="14">
        <f>+SUMIFS('De Giorgi BDV'!C:C,'De Giorgi BDV'!D:D,D53)</f>
        <v>0</v>
      </c>
      <c r="H53" s="18">
        <f t="shared" si="2"/>
        <v>542422.65</v>
      </c>
      <c r="I53" s="14">
        <f>+_xlfn.XLOOKUP(D53,[1]BDV!$F:$F,[1]BDV!$AI:$AI)</f>
        <v>542422.65</v>
      </c>
      <c r="J53" s="42">
        <f t="shared" si="0"/>
        <v>0</v>
      </c>
    </row>
    <row r="54" spans="1:10" hidden="1" x14ac:dyDescent="0.25">
      <c r="A54" t="s">
        <v>873</v>
      </c>
      <c r="B54">
        <v>0</v>
      </c>
      <c r="C54" t="s">
        <v>830</v>
      </c>
      <c r="D54">
        <f t="shared" si="1"/>
        <v>100465</v>
      </c>
      <c r="E54" s="15" t="s">
        <v>499</v>
      </c>
      <c r="F54" s="18">
        <f>+_xlfn.XLOOKUP(D54,CVS!E:E,CVS!I:I,0)</f>
        <v>-59135.35</v>
      </c>
      <c r="G54" s="14">
        <f>+SUMIFS('De Giorgi BDV'!C:C,'De Giorgi BDV'!D:D,D54)</f>
        <v>0</v>
      </c>
      <c r="H54" s="18">
        <f t="shared" si="2"/>
        <v>-59135.35</v>
      </c>
      <c r="I54" s="14">
        <f>+_xlfn.XLOOKUP(D54,[1]BDV!$F:$F,[1]BDV!$AI:$AI)</f>
        <v>-59135.35</v>
      </c>
      <c r="J54" s="42">
        <f t="shared" si="0"/>
        <v>0</v>
      </c>
    </row>
    <row r="55" spans="1:10" hidden="1" x14ac:dyDescent="0.25">
      <c r="A55" t="s">
        <v>873</v>
      </c>
      <c r="B55">
        <v>0</v>
      </c>
      <c r="C55" t="s">
        <v>830</v>
      </c>
      <c r="D55">
        <f t="shared" si="1"/>
        <v>100467</v>
      </c>
      <c r="E55" s="15" t="s">
        <v>500</v>
      </c>
      <c r="F55" s="18">
        <f>+_xlfn.XLOOKUP(D55,CVS!E:E,CVS!I:I,0)</f>
        <v>-18097.310000000001</v>
      </c>
      <c r="G55" s="14">
        <f>+SUMIFS('De Giorgi BDV'!C:C,'De Giorgi BDV'!D:D,D55)</f>
        <v>0</v>
      </c>
      <c r="H55" s="18">
        <f t="shared" si="2"/>
        <v>-18097.310000000001</v>
      </c>
      <c r="I55" s="14">
        <f>+_xlfn.XLOOKUP(D55,[1]BDV!$F:$F,[1]BDV!$AI:$AI)</f>
        <v>-18097.310000000001</v>
      </c>
      <c r="J55" s="42">
        <f t="shared" si="0"/>
        <v>0</v>
      </c>
    </row>
    <row r="56" spans="1:10" hidden="1" x14ac:dyDescent="0.25">
      <c r="A56" t="s">
        <v>873</v>
      </c>
      <c r="B56" t="s">
        <v>862</v>
      </c>
      <c r="C56" t="s">
        <v>830</v>
      </c>
      <c r="D56">
        <f t="shared" si="1"/>
        <v>100469</v>
      </c>
      <c r="E56" s="15" t="s">
        <v>501</v>
      </c>
      <c r="F56" s="18">
        <f>+_xlfn.XLOOKUP(D56,CVS!E:E,CVS!I:I,0)</f>
        <v>1164176.77</v>
      </c>
      <c r="G56" s="14">
        <f>+SUMIFS('De Giorgi BDV'!C:C,'De Giorgi BDV'!D:D,D56)</f>
        <v>0</v>
      </c>
      <c r="H56" s="18">
        <f t="shared" si="2"/>
        <v>1164176.77</v>
      </c>
      <c r="I56" s="14">
        <f>+_xlfn.XLOOKUP(D56,[1]BDV!$F:$F,[1]BDV!$AI:$AI)</f>
        <v>1164176.77</v>
      </c>
      <c r="J56" s="42">
        <f t="shared" si="0"/>
        <v>0</v>
      </c>
    </row>
    <row r="57" spans="1:10" hidden="1" x14ac:dyDescent="0.25">
      <c r="A57" t="s">
        <v>873</v>
      </c>
      <c r="B57" t="s">
        <v>862</v>
      </c>
      <c r="C57" t="s">
        <v>830</v>
      </c>
      <c r="D57">
        <f t="shared" si="1"/>
        <v>100471</v>
      </c>
      <c r="E57" s="15" t="s">
        <v>502</v>
      </c>
      <c r="F57" s="18">
        <f>+_xlfn.XLOOKUP(D57,CVS!E:E,CVS!I:I,0)</f>
        <v>1645137.95</v>
      </c>
      <c r="G57" s="14">
        <f>+SUMIFS('De Giorgi BDV'!C:C,'De Giorgi BDV'!D:D,D57)</f>
        <v>0</v>
      </c>
      <c r="H57" s="18">
        <f t="shared" si="2"/>
        <v>1645137.95</v>
      </c>
      <c r="I57" s="14">
        <f>+_xlfn.XLOOKUP(D57,[1]BDV!$F:$F,[1]BDV!$AI:$AI)</f>
        <v>1645137.95</v>
      </c>
      <c r="J57" s="42">
        <f t="shared" si="0"/>
        <v>0</v>
      </c>
    </row>
    <row r="58" spans="1:10" hidden="1" x14ac:dyDescent="0.25">
      <c r="A58" t="s">
        <v>873</v>
      </c>
      <c r="B58" t="s">
        <v>862</v>
      </c>
      <c r="C58" t="s">
        <v>830</v>
      </c>
      <c r="D58">
        <f t="shared" si="1"/>
        <v>100473</v>
      </c>
      <c r="E58" s="15" t="s">
        <v>503</v>
      </c>
      <c r="F58" s="18">
        <f>+_xlfn.XLOOKUP(D58,CVS!E:E,CVS!I:I,0)</f>
        <v>921393.76</v>
      </c>
      <c r="G58" s="14">
        <f>+SUMIFS('De Giorgi BDV'!C:C,'De Giorgi BDV'!D:D,D58)</f>
        <v>0</v>
      </c>
      <c r="H58" s="18">
        <f t="shared" si="2"/>
        <v>921393.76</v>
      </c>
      <c r="I58" s="14">
        <f>+_xlfn.XLOOKUP(D58,[1]BDV!$F:$F,[1]BDV!$AI:$AI)</f>
        <v>921393.76</v>
      </c>
      <c r="J58" s="42">
        <f t="shared" si="0"/>
        <v>0</v>
      </c>
    </row>
    <row r="59" spans="1:10" hidden="1" x14ac:dyDescent="0.25">
      <c r="A59" t="s">
        <v>873</v>
      </c>
      <c r="B59" t="s">
        <v>862</v>
      </c>
      <c r="C59" t="s">
        <v>830</v>
      </c>
      <c r="D59">
        <f t="shared" si="1"/>
        <v>100475</v>
      </c>
      <c r="E59" s="15" t="s">
        <v>504</v>
      </c>
      <c r="F59" s="18">
        <f>+_xlfn.XLOOKUP(D59,CVS!E:E,CVS!I:I,0)</f>
        <v>973496.14</v>
      </c>
      <c r="G59" s="14">
        <f>+SUMIFS('De Giorgi BDV'!C:C,'De Giorgi BDV'!D:D,D59)</f>
        <v>0</v>
      </c>
      <c r="H59" s="18">
        <f t="shared" si="2"/>
        <v>973496.14</v>
      </c>
      <c r="I59" s="14">
        <f>+_xlfn.XLOOKUP(D59,[1]BDV!$F:$F,[1]BDV!$AI:$AI)</f>
        <v>973496.14</v>
      </c>
      <c r="J59" s="42">
        <f t="shared" si="0"/>
        <v>0</v>
      </c>
    </row>
    <row r="60" spans="1:10" hidden="1" x14ac:dyDescent="0.25">
      <c r="A60" t="s">
        <v>873</v>
      </c>
      <c r="B60" t="s">
        <v>862</v>
      </c>
      <c r="C60" t="s">
        <v>830</v>
      </c>
      <c r="D60">
        <f t="shared" si="1"/>
        <v>100477</v>
      </c>
      <c r="E60" s="15" t="s">
        <v>505</v>
      </c>
      <c r="F60" s="18">
        <f>+_xlfn.XLOOKUP(D60,CVS!E:E,CVS!I:I,0)</f>
        <v>1115669.57</v>
      </c>
      <c r="G60" s="14">
        <f>+SUMIFS('De Giorgi BDV'!C:C,'De Giorgi BDV'!D:D,D60)</f>
        <v>0</v>
      </c>
      <c r="H60" s="18">
        <f t="shared" si="2"/>
        <v>1115669.57</v>
      </c>
      <c r="I60" s="14">
        <f>+_xlfn.XLOOKUP(D60,[1]BDV!$F:$F,[1]BDV!$AI:$AI)</f>
        <v>1115669.57</v>
      </c>
      <c r="J60" s="42">
        <f t="shared" si="0"/>
        <v>0</v>
      </c>
    </row>
    <row r="61" spans="1:10" hidden="1" x14ac:dyDescent="0.25">
      <c r="A61" t="s">
        <v>873</v>
      </c>
      <c r="B61" t="s">
        <v>862</v>
      </c>
      <c r="C61" t="s">
        <v>830</v>
      </c>
      <c r="D61">
        <f t="shared" si="1"/>
        <v>100479</v>
      </c>
      <c r="E61" s="15" t="s">
        <v>506</v>
      </c>
      <c r="F61" s="18">
        <f>+_xlfn.XLOOKUP(D61,CVS!E:E,CVS!I:I,0)</f>
        <v>829090.49</v>
      </c>
      <c r="G61" s="14">
        <f>+SUMIFS('De Giorgi BDV'!C:C,'De Giorgi BDV'!D:D,D61)</f>
        <v>0</v>
      </c>
      <c r="H61" s="18">
        <f t="shared" si="2"/>
        <v>829090.49</v>
      </c>
      <c r="I61" s="14">
        <f>+_xlfn.XLOOKUP(D61,[1]BDV!$F:$F,[1]BDV!$AI:$AI)</f>
        <v>829090.49</v>
      </c>
      <c r="J61" s="42">
        <f t="shared" si="0"/>
        <v>0</v>
      </c>
    </row>
    <row r="62" spans="1:10" hidden="1" x14ac:dyDescent="0.25">
      <c r="A62" t="s">
        <v>873</v>
      </c>
      <c r="B62" t="s">
        <v>862</v>
      </c>
      <c r="C62" t="s">
        <v>830</v>
      </c>
      <c r="D62">
        <f t="shared" si="1"/>
        <v>100481</v>
      </c>
      <c r="E62" s="15" t="s">
        <v>507</v>
      </c>
      <c r="F62" s="18">
        <f>+_xlfn.XLOOKUP(D62,CVS!E:E,CVS!I:I,0)</f>
        <v>1087160.78</v>
      </c>
      <c r="G62" s="14">
        <f>+SUMIFS('De Giorgi BDV'!C:C,'De Giorgi BDV'!D:D,D62)</f>
        <v>0</v>
      </c>
      <c r="H62" s="18">
        <f t="shared" si="2"/>
        <v>1087160.78</v>
      </c>
      <c r="I62" s="14">
        <f>+_xlfn.XLOOKUP(D62,[1]BDV!$F:$F,[1]BDV!$AI:$AI)</f>
        <v>1087160.78</v>
      </c>
      <c r="J62" s="42">
        <f t="shared" si="0"/>
        <v>0</v>
      </c>
    </row>
    <row r="63" spans="1:10" hidden="1" x14ac:dyDescent="0.25">
      <c r="A63" t="s">
        <v>873</v>
      </c>
      <c r="B63" t="s">
        <v>862</v>
      </c>
      <c r="C63" t="s">
        <v>830</v>
      </c>
      <c r="D63">
        <f t="shared" si="1"/>
        <v>100483</v>
      </c>
      <c r="E63" s="15" t="s">
        <v>508</v>
      </c>
      <c r="F63" s="18">
        <f>+_xlfn.XLOOKUP(D63,CVS!E:E,CVS!I:I,0)</f>
        <v>991956.75</v>
      </c>
      <c r="G63" s="14">
        <f>+SUMIFS('De Giorgi BDV'!C:C,'De Giorgi BDV'!D:D,D63)</f>
        <v>0</v>
      </c>
      <c r="H63" s="18">
        <f t="shared" si="2"/>
        <v>991956.75</v>
      </c>
      <c r="I63" s="14">
        <f>+_xlfn.XLOOKUP(D63,[1]BDV!$F:$F,[1]BDV!$AI:$AI)</f>
        <v>991956.75</v>
      </c>
      <c r="J63" s="42">
        <f t="shared" si="0"/>
        <v>0</v>
      </c>
    </row>
    <row r="64" spans="1:10" hidden="1" x14ac:dyDescent="0.25">
      <c r="A64" t="s">
        <v>873</v>
      </c>
      <c r="B64" t="s">
        <v>862</v>
      </c>
      <c r="C64" t="s">
        <v>830</v>
      </c>
      <c r="D64">
        <f t="shared" si="1"/>
        <v>100485</v>
      </c>
      <c r="E64" s="15" t="s">
        <v>509</v>
      </c>
      <c r="F64" s="18">
        <f>+_xlfn.XLOOKUP(D64,CVS!E:E,CVS!I:I,0)</f>
        <v>916403.37</v>
      </c>
      <c r="G64" s="14">
        <f>+SUMIFS('De Giorgi BDV'!C:C,'De Giorgi BDV'!D:D,D64)</f>
        <v>0</v>
      </c>
      <c r="H64" s="18">
        <f t="shared" si="2"/>
        <v>916403.37</v>
      </c>
      <c r="I64" s="14">
        <f>+_xlfn.XLOOKUP(D64,[1]BDV!$F:$F,[1]BDV!$AI:$AI)</f>
        <v>916403.37</v>
      </c>
      <c r="J64" s="42">
        <f t="shared" si="0"/>
        <v>0</v>
      </c>
    </row>
    <row r="65" spans="1:10" hidden="1" x14ac:dyDescent="0.25">
      <c r="A65" t="s">
        <v>873</v>
      </c>
      <c r="B65" t="s">
        <v>862</v>
      </c>
      <c r="C65" t="s">
        <v>830</v>
      </c>
      <c r="D65">
        <f t="shared" si="1"/>
        <v>100487</v>
      </c>
      <c r="E65" s="15" t="s">
        <v>510</v>
      </c>
      <c r="F65" s="18">
        <f>+_xlfn.XLOOKUP(D65,CVS!E:E,CVS!I:I,0)</f>
        <v>838538.06</v>
      </c>
      <c r="G65" s="14">
        <f>+SUMIFS('De Giorgi BDV'!C:C,'De Giorgi BDV'!D:D,D65)</f>
        <v>0</v>
      </c>
      <c r="H65" s="18">
        <f t="shared" si="2"/>
        <v>838538.06</v>
      </c>
      <c r="I65" s="14">
        <f>+_xlfn.XLOOKUP(D65,[1]BDV!$F:$F,[1]BDV!$AI:$AI)</f>
        <v>838538.06</v>
      </c>
      <c r="J65" s="42">
        <f t="shared" si="0"/>
        <v>0</v>
      </c>
    </row>
    <row r="66" spans="1:10" hidden="1" x14ac:dyDescent="0.25">
      <c r="A66" t="s">
        <v>873</v>
      </c>
      <c r="B66" t="s">
        <v>862</v>
      </c>
      <c r="C66" t="s">
        <v>830</v>
      </c>
      <c r="D66">
        <f t="shared" si="1"/>
        <v>100489</v>
      </c>
      <c r="E66" s="15" t="s">
        <v>511</v>
      </c>
      <c r="F66" s="18">
        <f>+_xlfn.XLOOKUP(D66,CVS!E:E,CVS!I:I,0)</f>
        <v>1087448.49</v>
      </c>
      <c r="G66" s="14">
        <f>+SUMIFS('De Giorgi BDV'!C:C,'De Giorgi BDV'!D:D,D66)</f>
        <v>0</v>
      </c>
      <c r="H66" s="18">
        <f t="shared" si="2"/>
        <v>1087448.49</v>
      </c>
      <c r="I66" s="14">
        <f>+_xlfn.XLOOKUP(D66,[1]BDV!$F:$F,[1]BDV!$AI:$AI)</f>
        <v>1087448.49</v>
      </c>
      <c r="J66" s="42">
        <f t="shared" si="0"/>
        <v>0</v>
      </c>
    </row>
    <row r="67" spans="1:10" hidden="1" x14ac:dyDescent="0.25">
      <c r="A67" t="s">
        <v>873</v>
      </c>
      <c r="B67" t="s">
        <v>862</v>
      </c>
      <c r="C67" t="s">
        <v>830</v>
      </c>
      <c r="D67">
        <f t="shared" si="1"/>
        <v>100491</v>
      </c>
      <c r="E67" s="15" t="s">
        <v>512</v>
      </c>
      <c r="F67" s="18">
        <f>+_xlfn.XLOOKUP(D67,CVS!E:E,CVS!I:I,0)</f>
        <v>766621.33</v>
      </c>
      <c r="G67" s="14">
        <f>+SUMIFS('De Giorgi BDV'!C:C,'De Giorgi BDV'!D:D,D67)</f>
        <v>0</v>
      </c>
      <c r="H67" s="18">
        <f t="shared" si="2"/>
        <v>766621.33</v>
      </c>
      <c r="I67" s="14">
        <f>+_xlfn.XLOOKUP(D67,[1]BDV!$F:$F,[1]BDV!$AI:$AI)</f>
        <v>766621.33</v>
      </c>
      <c r="J67" s="42">
        <f t="shared" si="0"/>
        <v>0</v>
      </c>
    </row>
    <row r="68" spans="1:10" hidden="1" x14ac:dyDescent="0.25">
      <c r="A68" t="s">
        <v>873</v>
      </c>
      <c r="B68" t="s">
        <v>862</v>
      </c>
      <c r="C68" t="s">
        <v>830</v>
      </c>
      <c r="D68">
        <f t="shared" si="1"/>
        <v>100493</v>
      </c>
      <c r="E68" s="15" t="s">
        <v>513</v>
      </c>
      <c r="F68" s="18">
        <f>+_xlfn.XLOOKUP(D68,CVS!E:E,CVS!I:I,0)</f>
        <v>270032.82</v>
      </c>
      <c r="G68" s="14">
        <f>+SUMIFS('De Giorgi BDV'!C:C,'De Giorgi BDV'!D:D,D68)</f>
        <v>0</v>
      </c>
      <c r="H68" s="18">
        <f t="shared" si="2"/>
        <v>270032.82</v>
      </c>
      <c r="I68" s="14">
        <f>+_xlfn.XLOOKUP(D68,[1]BDV!$F:$F,[1]BDV!$AI:$AI)</f>
        <v>270032.82</v>
      </c>
      <c r="J68" s="42">
        <f t="shared" si="0"/>
        <v>0</v>
      </c>
    </row>
    <row r="69" spans="1:10" hidden="1" x14ac:dyDescent="0.25">
      <c r="A69" t="s">
        <v>873</v>
      </c>
      <c r="B69" t="s">
        <v>862</v>
      </c>
      <c r="C69" t="s">
        <v>830</v>
      </c>
      <c r="D69">
        <f t="shared" si="1"/>
        <v>100495</v>
      </c>
      <c r="E69" s="15" t="s">
        <v>514</v>
      </c>
      <c r="F69" s="18">
        <f>+_xlfn.XLOOKUP(D69,CVS!E:E,CVS!I:I,0)</f>
        <v>261711.78</v>
      </c>
      <c r="G69" s="14">
        <f>+SUMIFS('De Giorgi BDV'!C:C,'De Giorgi BDV'!D:D,D69)</f>
        <v>0</v>
      </c>
      <c r="H69" s="18">
        <f t="shared" si="2"/>
        <v>261711.78</v>
      </c>
      <c r="I69" s="14">
        <f>+_xlfn.XLOOKUP(D69,[1]BDV!$F:$F,[1]BDV!$AI:$AI)</f>
        <v>261711.78</v>
      </c>
      <c r="J69" s="42">
        <f t="shared" ref="J69:J132" si="3">+H69-I69</f>
        <v>0</v>
      </c>
    </row>
    <row r="70" spans="1:10" hidden="1" x14ac:dyDescent="0.25">
      <c r="A70" t="s">
        <v>873</v>
      </c>
      <c r="B70" t="s">
        <v>862</v>
      </c>
      <c r="C70" t="s">
        <v>830</v>
      </c>
      <c r="D70">
        <f t="shared" ref="D70:D133" si="4">+_xlfn.NUMBERVALUE(LEFT(E70,6))</f>
        <v>100497</v>
      </c>
      <c r="E70" s="15" t="s">
        <v>515</v>
      </c>
      <c r="F70" s="18">
        <f>+_xlfn.XLOOKUP(D70,CVS!E:E,CVS!I:I,0)</f>
        <v>330943.51</v>
      </c>
      <c r="G70" s="14">
        <f>+SUMIFS('De Giorgi BDV'!C:C,'De Giorgi BDV'!D:D,D70)</f>
        <v>0</v>
      </c>
      <c r="H70" s="18">
        <f t="shared" ref="H70:H133" si="5">+F70+G70</f>
        <v>330943.51</v>
      </c>
      <c r="I70" s="14">
        <f>+_xlfn.XLOOKUP(D70,[1]BDV!$F:$F,[1]BDV!$AI:$AI)</f>
        <v>330943.51</v>
      </c>
      <c r="J70" s="42">
        <f t="shared" si="3"/>
        <v>0</v>
      </c>
    </row>
    <row r="71" spans="1:10" hidden="1" x14ac:dyDescent="0.25">
      <c r="A71" t="s">
        <v>873</v>
      </c>
      <c r="B71" t="s">
        <v>862</v>
      </c>
      <c r="C71" t="s">
        <v>830</v>
      </c>
      <c r="D71">
        <f t="shared" si="4"/>
        <v>100499</v>
      </c>
      <c r="E71" s="15" t="s">
        <v>516</v>
      </c>
      <c r="F71" s="18">
        <f>+_xlfn.XLOOKUP(D71,CVS!E:E,CVS!I:I,0)</f>
        <v>143607.9</v>
      </c>
      <c r="G71" s="14">
        <f>+SUMIFS('De Giorgi BDV'!C:C,'De Giorgi BDV'!D:D,D71)</f>
        <v>0</v>
      </c>
      <c r="H71" s="18">
        <f t="shared" si="5"/>
        <v>143607.9</v>
      </c>
      <c r="I71" s="14">
        <f>+_xlfn.XLOOKUP(D71,[1]BDV!$F:$F,[1]BDV!$AI:$AI)</f>
        <v>143607.9</v>
      </c>
      <c r="J71" s="42">
        <f t="shared" si="3"/>
        <v>0</v>
      </c>
    </row>
    <row r="72" spans="1:10" hidden="1" x14ac:dyDescent="0.25">
      <c r="A72" t="s">
        <v>873</v>
      </c>
      <c r="B72">
        <v>0</v>
      </c>
      <c r="C72" t="s">
        <v>829</v>
      </c>
      <c r="D72">
        <f t="shared" si="4"/>
        <v>100501</v>
      </c>
      <c r="E72" s="15" t="s">
        <v>517</v>
      </c>
      <c r="F72" s="18">
        <f>+_xlfn.XLOOKUP(D72,CVS!E:E,CVS!I:I,0)</f>
        <v>3399355.54</v>
      </c>
      <c r="G72" s="14">
        <f>+SUMIFS('De Giorgi BDV'!C:C,'De Giorgi BDV'!D:D,D72)</f>
        <v>0</v>
      </c>
      <c r="H72" s="18">
        <f t="shared" si="5"/>
        <v>3399355.54</v>
      </c>
      <c r="I72" s="14">
        <f>+_xlfn.XLOOKUP(D72,[1]BDV!$F:$F,[1]BDV!$AI:$AI)</f>
        <v>3399355.54</v>
      </c>
      <c r="J72" s="42">
        <f t="shared" si="3"/>
        <v>0</v>
      </c>
    </row>
    <row r="73" spans="1:10" hidden="1" x14ac:dyDescent="0.25">
      <c r="A73" t="s">
        <v>873</v>
      </c>
      <c r="B73">
        <v>0</v>
      </c>
      <c r="C73" t="s">
        <v>829</v>
      </c>
      <c r="D73">
        <f t="shared" si="4"/>
        <v>100503</v>
      </c>
      <c r="E73" s="15" t="s">
        <v>518</v>
      </c>
      <c r="F73" s="18">
        <f>+_xlfn.XLOOKUP(D73,CVS!E:E,CVS!I:I,0)</f>
        <v>-1302951.51</v>
      </c>
      <c r="G73" s="14">
        <f>+SUMIFS('De Giorgi BDV'!C:C,'De Giorgi BDV'!D:D,D73)</f>
        <v>0</v>
      </c>
      <c r="H73" s="18">
        <f t="shared" si="5"/>
        <v>-1302951.51</v>
      </c>
      <c r="I73" s="14">
        <f>+_xlfn.XLOOKUP(D73,[1]BDV!$F:$F,[1]BDV!$AI:$AI)</f>
        <v>-1302951.51</v>
      </c>
      <c r="J73" s="42">
        <f t="shared" si="3"/>
        <v>0</v>
      </c>
    </row>
    <row r="74" spans="1:10" hidden="1" x14ac:dyDescent="0.25">
      <c r="A74" t="s">
        <v>873</v>
      </c>
      <c r="B74" t="s">
        <v>862</v>
      </c>
      <c r="C74" t="s">
        <v>830</v>
      </c>
      <c r="D74">
        <f t="shared" si="4"/>
        <v>100505</v>
      </c>
      <c r="E74" s="15" t="s">
        <v>519</v>
      </c>
      <c r="F74" s="18">
        <f>+_xlfn.XLOOKUP(D74,CVS!E:E,CVS!I:I,0)</f>
        <v>154101.24</v>
      </c>
      <c r="G74" s="14">
        <f>+SUMIFS('De Giorgi BDV'!C:C,'De Giorgi BDV'!D:D,D74)</f>
        <v>0</v>
      </c>
      <c r="H74" s="18">
        <f t="shared" si="5"/>
        <v>154101.24</v>
      </c>
      <c r="I74" s="14">
        <f>+_xlfn.XLOOKUP(D74,[1]BDV!$F:$F,[1]BDV!$AI:$AI)</f>
        <v>154101.24</v>
      </c>
      <c r="J74" s="42">
        <f t="shared" si="3"/>
        <v>0</v>
      </c>
    </row>
    <row r="75" spans="1:10" hidden="1" x14ac:dyDescent="0.25">
      <c r="A75" t="s">
        <v>873</v>
      </c>
      <c r="B75" t="s">
        <v>862</v>
      </c>
      <c r="C75" t="s">
        <v>830</v>
      </c>
      <c r="D75">
        <f t="shared" si="4"/>
        <v>100509</v>
      </c>
      <c r="E75" s="15" t="s">
        <v>520</v>
      </c>
      <c r="F75" s="18">
        <f>+_xlfn.XLOOKUP(D75,CVS!E:E,CVS!I:I,0)</f>
        <v>57320.6</v>
      </c>
      <c r="G75" s="14">
        <f>+SUMIFS('De Giorgi BDV'!C:C,'De Giorgi BDV'!D:D,D75)</f>
        <v>0</v>
      </c>
      <c r="H75" s="18">
        <f t="shared" si="5"/>
        <v>57320.6</v>
      </c>
      <c r="I75" s="14">
        <f>+_xlfn.XLOOKUP(D75,[1]BDV!$F:$F,[1]BDV!$AI:$AI)</f>
        <v>57320.6</v>
      </c>
      <c r="J75" s="42">
        <f t="shared" si="3"/>
        <v>0</v>
      </c>
    </row>
    <row r="76" spans="1:10" hidden="1" x14ac:dyDescent="0.25">
      <c r="A76" t="s">
        <v>873</v>
      </c>
      <c r="B76" t="s">
        <v>862</v>
      </c>
      <c r="C76" t="s">
        <v>830</v>
      </c>
      <c r="D76">
        <f t="shared" si="4"/>
        <v>100513</v>
      </c>
      <c r="E76" s="15" t="s">
        <v>521</v>
      </c>
      <c r="F76" s="18">
        <f>+_xlfn.XLOOKUP(D76,CVS!E:E,CVS!I:I,0)</f>
        <v>411699.71</v>
      </c>
      <c r="G76" s="14">
        <f>+SUMIFS('De Giorgi BDV'!C:C,'De Giorgi BDV'!D:D,D76)</f>
        <v>0</v>
      </c>
      <c r="H76" s="18">
        <f t="shared" si="5"/>
        <v>411699.71</v>
      </c>
      <c r="I76" s="14">
        <f>+_xlfn.XLOOKUP(D76,[1]BDV!$F:$F,[1]BDV!$AI:$AI)</f>
        <v>411699.71</v>
      </c>
      <c r="J76" s="42">
        <f t="shared" si="3"/>
        <v>0</v>
      </c>
    </row>
    <row r="77" spans="1:10" hidden="1" x14ac:dyDescent="0.25">
      <c r="A77" t="s">
        <v>873</v>
      </c>
      <c r="B77" t="s">
        <v>862</v>
      </c>
      <c r="C77" t="s">
        <v>830</v>
      </c>
      <c r="D77">
        <f t="shared" si="4"/>
        <v>100515</v>
      </c>
      <c r="E77" s="15" t="s">
        <v>522</v>
      </c>
      <c r="F77" s="18">
        <f>+_xlfn.XLOOKUP(D77,CVS!E:E,CVS!I:I,0)</f>
        <v>110808.86</v>
      </c>
      <c r="G77" s="14">
        <f>+SUMIFS('De Giorgi BDV'!C:C,'De Giorgi BDV'!D:D,D77)</f>
        <v>0</v>
      </c>
      <c r="H77" s="18">
        <f t="shared" si="5"/>
        <v>110808.86</v>
      </c>
      <c r="I77" s="14">
        <f>+_xlfn.XLOOKUP(D77,[1]BDV!$F:$F,[1]BDV!$AI:$AI)</f>
        <v>110808.86</v>
      </c>
      <c r="J77" s="42">
        <f t="shared" si="3"/>
        <v>0</v>
      </c>
    </row>
    <row r="78" spans="1:10" hidden="1" x14ac:dyDescent="0.25">
      <c r="A78" t="s">
        <v>873</v>
      </c>
      <c r="B78">
        <v>0</v>
      </c>
      <c r="C78" t="s">
        <v>831</v>
      </c>
      <c r="D78">
        <f t="shared" si="4"/>
        <v>100601</v>
      </c>
      <c r="E78" s="15" t="s">
        <v>523</v>
      </c>
      <c r="F78" s="18">
        <f>+_xlfn.XLOOKUP(D78,CVS!E:E,CVS!I:I,0)</f>
        <v>12654421.800000001</v>
      </c>
      <c r="G78" s="14">
        <f>+SUMIFS('De Giorgi BDV'!C:C,'De Giorgi BDV'!D:D,D78)</f>
        <v>0</v>
      </c>
      <c r="H78" s="18">
        <f t="shared" si="5"/>
        <v>12654421.800000001</v>
      </c>
      <c r="I78" s="14">
        <f>+_xlfn.XLOOKUP(D78,[1]BDV!$F:$F,[1]BDV!$AI:$AI)</f>
        <v>12654421.800000001</v>
      </c>
      <c r="J78" s="42">
        <f t="shared" si="3"/>
        <v>0</v>
      </c>
    </row>
    <row r="79" spans="1:10" hidden="1" x14ac:dyDescent="0.25">
      <c r="A79" t="s">
        <v>873</v>
      </c>
      <c r="B79">
        <v>0</v>
      </c>
      <c r="C79" t="s">
        <v>831</v>
      </c>
      <c r="D79">
        <f t="shared" si="4"/>
        <v>100603</v>
      </c>
      <c r="E79" s="15" t="s">
        <v>524</v>
      </c>
      <c r="F79" s="18">
        <f>+_xlfn.XLOOKUP(D79,CVS!E:E,CVS!I:I,0)</f>
        <v>491899.5</v>
      </c>
      <c r="G79" s="14">
        <f>+SUMIFS('De Giorgi BDV'!C:C,'De Giorgi BDV'!D:D,D79)</f>
        <v>0</v>
      </c>
      <c r="H79" s="18">
        <f t="shared" si="5"/>
        <v>491899.5</v>
      </c>
      <c r="I79" s="14">
        <f>+_xlfn.XLOOKUP(D79,[1]BDV!$F:$F,[1]BDV!$AI:$AI)</f>
        <v>491899.5</v>
      </c>
      <c r="J79" s="42">
        <f t="shared" si="3"/>
        <v>0</v>
      </c>
    </row>
    <row r="80" spans="1:10" hidden="1" x14ac:dyDescent="0.25">
      <c r="A80" t="s">
        <v>873</v>
      </c>
      <c r="B80">
        <v>0</v>
      </c>
      <c r="C80" t="s">
        <v>831</v>
      </c>
      <c r="D80">
        <f t="shared" si="4"/>
        <v>100605</v>
      </c>
      <c r="E80" s="15" t="s">
        <v>525</v>
      </c>
      <c r="F80" s="18">
        <f>+_xlfn.XLOOKUP(D80,CVS!E:E,CVS!I:I,0)</f>
        <v>46954.62</v>
      </c>
      <c r="G80" s="14">
        <f>+SUMIFS('De Giorgi BDV'!C:C,'De Giorgi BDV'!D:D,D80)</f>
        <v>2066</v>
      </c>
      <c r="H80" s="18">
        <f t="shared" si="5"/>
        <v>49020.62</v>
      </c>
      <c r="I80" s="14">
        <f>+_xlfn.XLOOKUP(D80,[1]BDV!$F:$F,[1]BDV!$AI:$AI)</f>
        <v>49020.62</v>
      </c>
      <c r="J80" s="42">
        <f t="shared" si="3"/>
        <v>0</v>
      </c>
    </row>
    <row r="81" spans="1:10" hidden="1" x14ac:dyDescent="0.25">
      <c r="A81" t="s">
        <v>873</v>
      </c>
      <c r="B81">
        <v>0</v>
      </c>
      <c r="C81" t="s">
        <v>832</v>
      </c>
      <c r="D81">
        <f t="shared" si="4"/>
        <v>100607</v>
      </c>
      <c r="E81" s="15" t="s">
        <v>526</v>
      </c>
      <c r="F81" s="18">
        <f>+_xlfn.XLOOKUP(D81,CVS!E:E,CVS!I:I,0)</f>
        <v>17114347.02</v>
      </c>
      <c r="G81" s="14">
        <f>+SUMIFS('De Giorgi BDV'!C:C,'De Giorgi BDV'!D:D,D81)</f>
        <v>0</v>
      </c>
      <c r="H81" s="18">
        <f t="shared" si="5"/>
        <v>17114347.02</v>
      </c>
      <c r="I81" s="14">
        <f>+_xlfn.XLOOKUP(D81,[1]BDV!$F:$F,[1]BDV!$AI:$AI)</f>
        <v>17114347.02</v>
      </c>
      <c r="J81" s="42">
        <f t="shared" si="3"/>
        <v>0</v>
      </c>
    </row>
    <row r="82" spans="1:10" hidden="1" x14ac:dyDescent="0.25">
      <c r="A82" t="s">
        <v>873</v>
      </c>
      <c r="B82">
        <v>0</v>
      </c>
      <c r="C82" t="s">
        <v>832</v>
      </c>
      <c r="D82">
        <f t="shared" si="4"/>
        <v>100611</v>
      </c>
      <c r="E82" s="15" t="s">
        <v>527</v>
      </c>
      <c r="F82" s="18">
        <f>+_xlfn.XLOOKUP(D82,CVS!E:E,CVS!I:I,0)</f>
        <v>3992</v>
      </c>
      <c r="G82" s="14">
        <f>+SUMIFS('De Giorgi BDV'!C:C,'De Giorgi BDV'!D:D,D82)</f>
        <v>0</v>
      </c>
      <c r="H82" s="18">
        <f t="shared" si="5"/>
        <v>3992</v>
      </c>
      <c r="I82" s="14">
        <f>+_xlfn.XLOOKUP(D82,[1]BDV!$F:$F,[1]BDV!$AI:$AI)</f>
        <v>3992</v>
      </c>
      <c r="J82" s="42">
        <f t="shared" si="3"/>
        <v>0</v>
      </c>
    </row>
    <row r="83" spans="1:10" hidden="1" x14ac:dyDescent="0.25">
      <c r="A83" t="s">
        <v>873</v>
      </c>
      <c r="B83">
        <v>0</v>
      </c>
      <c r="C83" t="s">
        <v>832</v>
      </c>
      <c r="D83">
        <f t="shared" si="4"/>
        <v>100615</v>
      </c>
      <c r="E83" s="15" t="s">
        <v>528</v>
      </c>
      <c r="F83" s="18">
        <f>+_xlfn.XLOOKUP(D83,CVS!E:E,CVS!I:I,0)</f>
        <v>120180.32</v>
      </c>
      <c r="G83" s="14">
        <f>+SUMIFS('De Giorgi BDV'!C:C,'De Giorgi BDV'!D:D,D83)</f>
        <v>0</v>
      </c>
      <c r="H83" s="18">
        <f t="shared" si="5"/>
        <v>120180.32</v>
      </c>
      <c r="I83" s="14">
        <f>+_xlfn.XLOOKUP(D83,[1]BDV!$F:$F,[1]BDV!$AI:$AI)</f>
        <v>120180.32</v>
      </c>
      <c r="J83" s="42">
        <f t="shared" si="3"/>
        <v>0</v>
      </c>
    </row>
    <row r="84" spans="1:10" hidden="1" x14ac:dyDescent="0.25">
      <c r="A84" t="s">
        <v>873</v>
      </c>
      <c r="B84">
        <v>0</v>
      </c>
      <c r="C84" t="s">
        <v>832</v>
      </c>
      <c r="D84">
        <f t="shared" si="4"/>
        <v>100621</v>
      </c>
      <c r="E84" s="15" t="s">
        <v>529</v>
      </c>
      <c r="F84" s="18">
        <f>+_xlfn.XLOOKUP(D84,CVS!E:E,CVS!I:I,0)</f>
        <v>135934.92000000001</v>
      </c>
      <c r="G84" s="14">
        <f>+SUMIFS('De Giorgi BDV'!C:C,'De Giorgi BDV'!D:D,D84)</f>
        <v>0</v>
      </c>
      <c r="H84" s="18">
        <f t="shared" si="5"/>
        <v>135934.92000000001</v>
      </c>
      <c r="I84" s="14">
        <f>+_xlfn.XLOOKUP(D84,[1]BDV!$F:$F,[1]BDV!$AI:$AI)</f>
        <v>135934.92000000001</v>
      </c>
      <c r="J84" s="42">
        <f t="shared" si="3"/>
        <v>0</v>
      </c>
    </row>
    <row r="85" spans="1:10" hidden="1" x14ac:dyDescent="0.25">
      <c r="A85" t="s">
        <v>873</v>
      </c>
      <c r="B85">
        <v>0</v>
      </c>
      <c r="C85" t="s">
        <v>833</v>
      </c>
      <c r="D85">
        <f t="shared" si="4"/>
        <v>100622</v>
      </c>
      <c r="E85" s="15" t="s">
        <v>530</v>
      </c>
      <c r="F85" s="18">
        <f>+_xlfn.XLOOKUP(D85,CVS!E:E,CVS!I:I,0)</f>
        <v>108000</v>
      </c>
      <c r="G85" s="14">
        <f>+SUMIFS('De Giorgi BDV'!C:C,'De Giorgi BDV'!D:D,D85)</f>
        <v>0</v>
      </c>
      <c r="H85" s="18">
        <f t="shared" si="5"/>
        <v>108000</v>
      </c>
      <c r="I85" s="14">
        <f>+_xlfn.XLOOKUP(D85,[1]BDV!$F:$F,[1]BDV!$AI:$AI)</f>
        <v>108000</v>
      </c>
      <c r="J85" s="42">
        <f t="shared" si="3"/>
        <v>0</v>
      </c>
    </row>
    <row r="86" spans="1:10" hidden="1" x14ac:dyDescent="0.25">
      <c r="A86" t="s">
        <v>873</v>
      </c>
      <c r="B86">
        <v>0</v>
      </c>
      <c r="C86" t="s">
        <v>831</v>
      </c>
      <c r="D86">
        <f t="shared" si="4"/>
        <v>100623</v>
      </c>
      <c r="E86" s="15" t="s">
        <v>531</v>
      </c>
      <c r="F86" s="18">
        <f>+_xlfn.XLOOKUP(D86,CVS!E:E,CVS!I:I,0)</f>
        <v>2888550.21</v>
      </c>
      <c r="G86" s="14">
        <f>+SUMIFS('De Giorgi BDV'!C:C,'De Giorgi BDV'!D:D,D86)</f>
        <v>0</v>
      </c>
      <c r="H86" s="18">
        <f t="shared" si="5"/>
        <v>2888550.21</v>
      </c>
      <c r="I86" s="14">
        <f>+_xlfn.XLOOKUP(D86,[1]BDV!$F:$F,[1]BDV!$AI:$AI)</f>
        <v>2888550.21</v>
      </c>
      <c r="J86" s="42">
        <f t="shared" si="3"/>
        <v>0</v>
      </c>
    </row>
    <row r="87" spans="1:10" hidden="1" x14ac:dyDescent="0.25">
      <c r="A87" t="s">
        <v>873</v>
      </c>
      <c r="B87">
        <v>0</v>
      </c>
      <c r="C87" t="s">
        <v>831</v>
      </c>
      <c r="D87">
        <f t="shared" si="4"/>
        <v>100625</v>
      </c>
      <c r="E87" s="15" t="s">
        <v>532</v>
      </c>
      <c r="F87" s="18">
        <f>+_xlfn.XLOOKUP(D87,CVS!E:E,CVS!I:I,0)</f>
        <v>894050.18</v>
      </c>
      <c r="G87" s="14">
        <f>+SUMIFS('De Giorgi BDV'!C:C,'De Giorgi BDV'!D:D,D87)</f>
        <v>0</v>
      </c>
      <c r="H87" s="18">
        <f t="shared" si="5"/>
        <v>894050.18</v>
      </c>
      <c r="I87" s="14">
        <f>+_xlfn.XLOOKUP(D87,[1]BDV!$F:$F,[1]BDV!$AI:$AI)</f>
        <v>894050.18</v>
      </c>
      <c r="J87" s="42">
        <f t="shared" si="3"/>
        <v>0</v>
      </c>
    </row>
    <row r="88" spans="1:10" hidden="1" x14ac:dyDescent="0.25">
      <c r="A88" t="s">
        <v>873</v>
      </c>
      <c r="B88">
        <v>0</v>
      </c>
      <c r="C88" t="s">
        <v>831</v>
      </c>
      <c r="D88">
        <f t="shared" si="4"/>
        <v>100627</v>
      </c>
      <c r="E88" s="15" t="s">
        <v>533</v>
      </c>
      <c r="F88" s="18">
        <f>+_xlfn.XLOOKUP(D88,CVS!E:E,CVS!I:I,0)</f>
        <v>978336.66</v>
      </c>
      <c r="G88" s="14">
        <f>+SUMIFS('De Giorgi BDV'!C:C,'De Giorgi BDV'!D:D,D88)</f>
        <v>0</v>
      </c>
      <c r="H88" s="18">
        <f t="shared" si="5"/>
        <v>978336.66</v>
      </c>
      <c r="I88" s="14">
        <f>+_xlfn.XLOOKUP(D88,[1]BDV!$F:$F,[1]BDV!$AI:$AI)</f>
        <v>978336.66</v>
      </c>
      <c r="J88" s="42">
        <f t="shared" si="3"/>
        <v>0</v>
      </c>
    </row>
    <row r="89" spans="1:10" hidden="1" x14ac:dyDescent="0.25">
      <c r="A89" t="s">
        <v>873</v>
      </c>
      <c r="B89">
        <v>0</v>
      </c>
      <c r="C89" t="s">
        <v>831</v>
      </c>
      <c r="D89">
        <f t="shared" si="4"/>
        <v>100635</v>
      </c>
      <c r="E89" s="15" t="s">
        <v>534</v>
      </c>
      <c r="F89" s="18">
        <f>+_xlfn.XLOOKUP(D89,CVS!E:E,CVS!I:I,0)</f>
        <v>7918688</v>
      </c>
      <c r="G89" s="14">
        <f>+SUMIFS('De Giorgi BDV'!C:C,'De Giorgi BDV'!D:D,D89)</f>
        <v>0</v>
      </c>
      <c r="H89" s="18">
        <f t="shared" si="5"/>
        <v>7918688</v>
      </c>
      <c r="I89" s="14">
        <f>+_xlfn.XLOOKUP(D89,[1]BDV!$F:$F,[1]BDV!$AI:$AI)</f>
        <v>7918688</v>
      </c>
      <c r="J89" s="42">
        <f t="shared" si="3"/>
        <v>0</v>
      </c>
    </row>
    <row r="90" spans="1:10" hidden="1" x14ac:dyDescent="0.25">
      <c r="A90" t="s">
        <v>873</v>
      </c>
      <c r="B90">
        <v>0</v>
      </c>
      <c r="C90" t="s">
        <v>832</v>
      </c>
      <c r="D90">
        <f t="shared" si="4"/>
        <v>100637</v>
      </c>
      <c r="E90" s="15" t="s">
        <v>535</v>
      </c>
      <c r="F90" s="18">
        <f>+_xlfn.XLOOKUP(D90,CVS!E:E,CVS!I:I,0)</f>
        <v>44.98</v>
      </c>
      <c r="G90" s="14">
        <f>+SUMIFS('De Giorgi BDV'!C:C,'De Giorgi BDV'!D:D,D90)</f>
        <v>0</v>
      </c>
      <c r="H90" s="18">
        <f t="shared" si="5"/>
        <v>44.98</v>
      </c>
      <c r="I90" s="14">
        <f>+_xlfn.XLOOKUP(D90,[1]BDV!$F:$F,[1]BDV!$AI:$AI)</f>
        <v>44.98</v>
      </c>
      <c r="J90" s="42">
        <f t="shared" si="3"/>
        <v>0</v>
      </c>
    </row>
    <row r="91" spans="1:10" hidden="1" x14ac:dyDescent="0.25">
      <c r="A91" t="s">
        <v>873</v>
      </c>
      <c r="B91">
        <v>0</v>
      </c>
      <c r="C91" t="s">
        <v>834</v>
      </c>
      <c r="D91">
        <f t="shared" si="4"/>
        <v>120209</v>
      </c>
      <c r="E91" s="15" t="s">
        <v>536</v>
      </c>
      <c r="F91" s="18">
        <f>+_xlfn.XLOOKUP(D91,CVS!E:E,CVS!I:I,0)</f>
        <v>5244545.07</v>
      </c>
      <c r="G91" s="14">
        <f>+SUMIFS('De Giorgi BDV'!C:C,'De Giorgi BDV'!D:D,D91)</f>
        <v>0</v>
      </c>
      <c r="H91" s="18">
        <f t="shared" si="5"/>
        <v>5244545.07</v>
      </c>
      <c r="I91" s="14">
        <f>+_xlfn.XLOOKUP(D91,[1]BDV!$F:$F,[1]BDV!$AI:$AI)</f>
        <v>5244545.07</v>
      </c>
      <c r="J91" s="42">
        <f t="shared" si="3"/>
        <v>0</v>
      </c>
    </row>
    <row r="92" spans="1:10" hidden="1" x14ac:dyDescent="0.25">
      <c r="A92" t="s">
        <v>873</v>
      </c>
      <c r="B92">
        <v>0</v>
      </c>
      <c r="C92" t="s">
        <v>835</v>
      </c>
      <c r="D92">
        <f t="shared" si="4"/>
        <v>140201</v>
      </c>
      <c r="E92" s="15" t="s">
        <v>537</v>
      </c>
      <c r="F92" s="18">
        <f>+_xlfn.XLOOKUP(D92,CVS!E:E,CVS!I:I,0)</f>
        <v>13611788.140000001</v>
      </c>
      <c r="G92" s="14">
        <f>+SUMIFS('De Giorgi BDV'!C:C,'De Giorgi BDV'!D:D,D92)</f>
        <v>167319.49</v>
      </c>
      <c r="H92" s="18">
        <f t="shared" si="5"/>
        <v>13779107.630000001</v>
      </c>
      <c r="I92" s="14">
        <f>+_xlfn.XLOOKUP(D92,[1]BDV!$F:$F,[1]BDV!$AI:$AI)</f>
        <v>13779107.630000001</v>
      </c>
      <c r="J92" s="42">
        <f t="shared" si="3"/>
        <v>0</v>
      </c>
    </row>
    <row r="93" spans="1:10" hidden="1" x14ac:dyDescent="0.25">
      <c r="A93" t="s">
        <v>873</v>
      </c>
      <c r="B93">
        <v>0</v>
      </c>
      <c r="C93" t="s">
        <v>835</v>
      </c>
      <c r="D93">
        <f t="shared" si="4"/>
        <v>140205</v>
      </c>
      <c r="E93" s="15" t="s">
        <v>538</v>
      </c>
      <c r="F93" s="18">
        <f>+_xlfn.XLOOKUP(D93,CVS!E:E,CVS!I:I,0)</f>
        <v>-590461.28</v>
      </c>
      <c r="G93" s="14">
        <f>+SUMIFS('De Giorgi BDV'!C:C,'De Giorgi BDV'!D:D,D93)</f>
        <v>0</v>
      </c>
      <c r="H93" s="18">
        <f t="shared" si="5"/>
        <v>-590461.28</v>
      </c>
      <c r="I93" s="14">
        <f>+_xlfn.XLOOKUP(D93,[1]BDV!$F:$F,[1]BDV!$AI:$AI)</f>
        <v>-590461.28</v>
      </c>
      <c r="J93" s="42">
        <f t="shared" si="3"/>
        <v>0</v>
      </c>
    </row>
    <row r="94" spans="1:10" hidden="1" x14ac:dyDescent="0.25">
      <c r="A94" t="s">
        <v>873</v>
      </c>
      <c r="B94">
        <v>0</v>
      </c>
      <c r="C94" t="s">
        <v>835</v>
      </c>
      <c r="D94">
        <f t="shared" si="4"/>
        <v>140219</v>
      </c>
      <c r="E94" s="15" t="s">
        <v>539</v>
      </c>
      <c r="F94" s="18">
        <f>+_xlfn.XLOOKUP(D94,CVS!E:E,CVS!I:I,0)</f>
        <v>146.4</v>
      </c>
      <c r="G94" s="14">
        <f>+SUMIFS('De Giorgi BDV'!C:C,'De Giorgi BDV'!D:D,D94)</f>
        <v>0</v>
      </c>
      <c r="H94" s="18">
        <f t="shared" si="5"/>
        <v>146.4</v>
      </c>
      <c r="I94" s="14">
        <f>+_xlfn.XLOOKUP(D94,[1]BDV!$F:$F,[1]BDV!$AI:$AI)</f>
        <v>146.4</v>
      </c>
      <c r="J94" s="42">
        <f t="shared" si="3"/>
        <v>0</v>
      </c>
    </row>
    <row r="95" spans="1:10" hidden="1" x14ac:dyDescent="0.25">
      <c r="A95" t="s">
        <v>873</v>
      </c>
      <c r="B95">
        <v>0</v>
      </c>
      <c r="C95" t="s">
        <v>835</v>
      </c>
      <c r="D95">
        <f t="shared" si="4"/>
        <v>140221</v>
      </c>
      <c r="E95" s="15" t="s">
        <v>540</v>
      </c>
      <c r="F95" s="18">
        <f>+_xlfn.XLOOKUP(D95,CVS!E:E,CVS!I:I,0)</f>
        <v>113167.29</v>
      </c>
      <c r="G95" s="14">
        <f>+SUMIFS('De Giorgi BDV'!C:C,'De Giorgi BDV'!D:D,D95)</f>
        <v>0</v>
      </c>
      <c r="H95" s="18">
        <f t="shared" si="5"/>
        <v>113167.29</v>
      </c>
      <c r="I95" s="14">
        <f>+_xlfn.XLOOKUP(D95,[1]BDV!$F:$F,[1]BDV!$AI:$AI)</f>
        <v>113167.29</v>
      </c>
      <c r="J95" s="42">
        <f t="shared" si="3"/>
        <v>0</v>
      </c>
    </row>
    <row r="96" spans="1:10" hidden="1" x14ac:dyDescent="0.25">
      <c r="A96" t="s">
        <v>873</v>
      </c>
      <c r="B96">
        <v>0</v>
      </c>
      <c r="C96" t="s">
        <v>836</v>
      </c>
      <c r="D96">
        <f t="shared" si="4"/>
        <v>140223</v>
      </c>
      <c r="E96" s="15" t="s">
        <v>541</v>
      </c>
      <c r="F96" s="18">
        <f>+_xlfn.XLOOKUP(D96,CVS!E:E,CVS!I:I,0)</f>
        <v>116452.71</v>
      </c>
      <c r="G96" s="14">
        <f>+SUMIFS('De Giorgi BDV'!C:C,'De Giorgi BDV'!D:D,D96)</f>
        <v>0</v>
      </c>
      <c r="H96" s="18">
        <f t="shared" si="5"/>
        <v>116452.71</v>
      </c>
      <c r="I96" s="14">
        <f>+_xlfn.XLOOKUP(D96,[1]BDV!$F:$F,[1]BDV!$AI:$AI)</f>
        <v>116452.71</v>
      </c>
      <c r="J96" s="42">
        <f t="shared" si="3"/>
        <v>0</v>
      </c>
    </row>
    <row r="97" spans="1:10" hidden="1" x14ac:dyDescent="0.25">
      <c r="A97" t="s">
        <v>873</v>
      </c>
      <c r="B97">
        <v>0</v>
      </c>
      <c r="C97" t="s">
        <v>835</v>
      </c>
      <c r="D97">
        <f t="shared" si="4"/>
        <v>140225</v>
      </c>
      <c r="E97" s="15" t="s">
        <v>542</v>
      </c>
      <c r="F97" s="18">
        <f>+_xlfn.XLOOKUP(D97,CVS!E:E,CVS!I:I,0)</f>
        <v>1525</v>
      </c>
      <c r="G97" s="14">
        <f>+SUMIFS('De Giorgi BDV'!C:C,'De Giorgi BDV'!D:D,D97)</f>
        <v>0</v>
      </c>
      <c r="H97" s="18">
        <f t="shared" si="5"/>
        <v>1525</v>
      </c>
      <c r="I97" s="14">
        <f>+_xlfn.XLOOKUP(D97,[1]BDV!$F:$F,[1]BDV!$AI:$AI)</f>
        <v>1525</v>
      </c>
      <c r="J97" s="42">
        <f t="shared" si="3"/>
        <v>0</v>
      </c>
    </row>
    <row r="98" spans="1:10" hidden="1" x14ac:dyDescent="0.25">
      <c r="A98" t="s">
        <v>873</v>
      </c>
      <c r="B98">
        <v>0</v>
      </c>
      <c r="C98" t="s">
        <v>832</v>
      </c>
      <c r="D98">
        <f t="shared" si="4"/>
        <v>140227</v>
      </c>
      <c r="E98" s="15" t="s">
        <v>543</v>
      </c>
      <c r="F98" s="18">
        <f>+_xlfn.XLOOKUP(D98,CVS!E:E,CVS!I:I,0)</f>
        <v>563849.75</v>
      </c>
      <c r="G98" s="14">
        <f>+SUMIFS('De Giorgi BDV'!C:C,'De Giorgi BDV'!D:D,D98)</f>
        <v>0</v>
      </c>
      <c r="H98" s="18">
        <f t="shared" si="5"/>
        <v>563849.75</v>
      </c>
      <c r="I98" s="14">
        <f>+_xlfn.XLOOKUP(D98,[1]BDV!$F:$F,[1]BDV!$AI:$AI)</f>
        <v>563849.75</v>
      </c>
      <c r="J98" s="42">
        <f t="shared" si="3"/>
        <v>0</v>
      </c>
    </row>
    <row r="99" spans="1:10" hidden="1" x14ac:dyDescent="0.25">
      <c r="A99" t="s">
        <v>873</v>
      </c>
      <c r="B99">
        <v>0</v>
      </c>
      <c r="C99" t="s">
        <v>835</v>
      </c>
      <c r="D99">
        <f t="shared" si="4"/>
        <v>140229</v>
      </c>
      <c r="E99" s="15" t="s">
        <v>544</v>
      </c>
      <c r="F99" s="18">
        <f>+_xlfn.XLOOKUP(D99,CVS!E:E,CVS!I:I,0)</f>
        <v>1700391.73</v>
      </c>
      <c r="G99" s="14">
        <f>+SUMIFS('De Giorgi BDV'!C:C,'De Giorgi BDV'!D:D,D99)</f>
        <v>0</v>
      </c>
      <c r="H99" s="18">
        <f t="shared" si="5"/>
        <v>1700391.73</v>
      </c>
      <c r="I99" s="14">
        <f>+_xlfn.XLOOKUP(D99,[1]BDV!$F:$F,[1]BDV!$AI:$AI)</f>
        <v>1700391.73</v>
      </c>
      <c r="J99" s="42">
        <f t="shared" si="3"/>
        <v>0</v>
      </c>
    </row>
    <row r="100" spans="1:10" hidden="1" x14ac:dyDescent="0.25">
      <c r="A100" t="s">
        <v>873</v>
      </c>
      <c r="B100">
        <v>0</v>
      </c>
      <c r="C100" t="s">
        <v>831</v>
      </c>
      <c r="D100">
        <f t="shared" si="4"/>
        <v>160201</v>
      </c>
      <c r="E100" s="15" t="s">
        <v>545</v>
      </c>
      <c r="F100" s="18">
        <f>+_xlfn.XLOOKUP(D100,CVS!E:E,CVS!I:I,0)</f>
        <v>461829.21</v>
      </c>
      <c r="G100" s="14">
        <f>+SUMIFS('De Giorgi BDV'!C:C,'De Giorgi BDV'!D:D,D100)</f>
        <v>0</v>
      </c>
      <c r="H100" s="18">
        <f t="shared" si="5"/>
        <v>461829.21</v>
      </c>
      <c r="I100" s="14">
        <f>+_xlfn.XLOOKUP(D100,[1]BDV!$F:$F,[1]BDV!$AI:$AI)</f>
        <v>461829.21</v>
      </c>
      <c r="J100" s="42">
        <f t="shared" si="3"/>
        <v>0</v>
      </c>
    </row>
    <row r="101" spans="1:10" hidden="1" x14ac:dyDescent="0.25">
      <c r="A101" t="s">
        <v>874</v>
      </c>
      <c r="B101" t="s">
        <v>863</v>
      </c>
      <c r="C101" t="s">
        <v>837</v>
      </c>
      <c r="D101">
        <f t="shared" si="4"/>
        <v>160203</v>
      </c>
      <c r="E101" s="15" t="s">
        <v>546</v>
      </c>
      <c r="F101" s="18">
        <f>+_xlfn.XLOOKUP(D101,CVS!E:E,CVS!I:I,0)</f>
        <v>-756.79</v>
      </c>
      <c r="G101" s="14">
        <f>+SUMIFS('De Giorgi BDV'!C:C,'De Giorgi BDV'!D:D,D101)</f>
        <v>0</v>
      </c>
      <c r="H101" s="18">
        <f t="shared" si="5"/>
        <v>-756.79</v>
      </c>
      <c r="I101" s="14">
        <f>+_xlfn.XLOOKUP(D101,[1]BDV!$F:$F,[1]BDV!$AI:$AI)</f>
        <v>-756.79</v>
      </c>
      <c r="J101" s="42">
        <f t="shared" si="3"/>
        <v>0</v>
      </c>
    </row>
    <row r="102" spans="1:10" hidden="1" x14ac:dyDescent="0.25">
      <c r="A102" t="s">
        <v>873</v>
      </c>
      <c r="B102">
        <v>0</v>
      </c>
      <c r="C102" t="s">
        <v>832</v>
      </c>
      <c r="D102">
        <f t="shared" si="4"/>
        <v>160205</v>
      </c>
      <c r="E102" s="15" t="s">
        <v>547</v>
      </c>
      <c r="F102" s="18">
        <f>+_xlfn.XLOOKUP(D102,CVS!E:E,CVS!I:I,0)</f>
        <v>-28579.75</v>
      </c>
      <c r="G102" s="14">
        <f>+SUMIFS('De Giorgi BDV'!C:C,'De Giorgi BDV'!D:D,D102)</f>
        <v>0</v>
      </c>
      <c r="H102" s="18">
        <f t="shared" si="5"/>
        <v>-28579.75</v>
      </c>
      <c r="I102" s="14">
        <f>+_xlfn.XLOOKUP(D102,[1]BDV!$F:$F,[1]BDV!$AI:$AI)</f>
        <v>-28579.75</v>
      </c>
      <c r="J102" s="42">
        <f t="shared" si="3"/>
        <v>0</v>
      </c>
    </row>
    <row r="103" spans="1:10" hidden="1" x14ac:dyDescent="0.25">
      <c r="A103" t="s">
        <v>873</v>
      </c>
      <c r="B103">
        <v>0</v>
      </c>
      <c r="C103" t="s">
        <v>835</v>
      </c>
      <c r="D103">
        <f t="shared" si="4"/>
        <v>160207</v>
      </c>
      <c r="E103" s="15" t="s">
        <v>548</v>
      </c>
      <c r="F103" s="18">
        <f>+_xlfn.XLOOKUP(D103,CVS!E:E,CVS!I:I,0)</f>
        <v>17628920.23</v>
      </c>
      <c r="G103" s="14">
        <f>+SUMIFS('De Giorgi BDV'!C:C,'De Giorgi BDV'!D:D,D103)</f>
        <v>33623.11</v>
      </c>
      <c r="H103" s="18">
        <f t="shared" si="5"/>
        <v>17662543.34</v>
      </c>
      <c r="I103" s="14">
        <f>+_xlfn.XLOOKUP(D103,[1]BDV!$F:$F,[1]BDV!$AI:$AI)</f>
        <v>17662543.34</v>
      </c>
      <c r="J103" s="42">
        <f t="shared" si="3"/>
        <v>0</v>
      </c>
    </row>
    <row r="104" spans="1:10" hidden="1" x14ac:dyDescent="0.25">
      <c r="A104" t="s">
        <v>873</v>
      </c>
      <c r="B104">
        <v>0</v>
      </c>
      <c r="C104" t="s">
        <v>832</v>
      </c>
      <c r="D104">
        <f t="shared" si="4"/>
        <v>160208</v>
      </c>
      <c r="E104" s="15" t="s">
        <v>549</v>
      </c>
      <c r="F104" s="18">
        <f>+_xlfn.XLOOKUP(D104,CVS!E:E,CVS!I:I,0)</f>
        <v>353316.06</v>
      </c>
      <c r="G104" s="14">
        <f>+SUMIFS('De Giorgi BDV'!C:C,'De Giorgi BDV'!D:D,D104)</f>
        <v>0</v>
      </c>
      <c r="H104" s="18">
        <f t="shared" si="5"/>
        <v>353316.06</v>
      </c>
      <c r="I104" s="14">
        <f>+_xlfn.XLOOKUP(D104,[1]BDV!$F:$F,[1]BDV!$AI:$AI)</f>
        <v>353316.06</v>
      </c>
      <c r="J104" s="42">
        <f t="shared" si="3"/>
        <v>0</v>
      </c>
    </row>
    <row r="105" spans="1:10" hidden="1" x14ac:dyDescent="0.25">
      <c r="A105" t="s">
        <v>873</v>
      </c>
      <c r="B105">
        <v>0</v>
      </c>
      <c r="C105" t="s">
        <v>838</v>
      </c>
      <c r="D105">
        <f t="shared" si="4"/>
        <v>160210</v>
      </c>
      <c r="E105" s="15" t="s">
        <v>550</v>
      </c>
      <c r="F105" s="18">
        <f>+_xlfn.XLOOKUP(D105,CVS!E:E,CVS!I:I,0)</f>
        <v>147938.91</v>
      </c>
      <c r="G105" s="14">
        <f>+SUMIFS('De Giorgi BDV'!C:C,'De Giorgi BDV'!D:D,D105)</f>
        <v>0</v>
      </c>
      <c r="H105" s="18">
        <f t="shared" si="5"/>
        <v>147938.91</v>
      </c>
      <c r="I105" s="14">
        <f>+_xlfn.XLOOKUP(D105,[1]BDV!$F:$F,[1]BDV!$AI:$AI)</f>
        <v>147938.91</v>
      </c>
      <c r="J105" s="42">
        <f t="shared" si="3"/>
        <v>0</v>
      </c>
    </row>
    <row r="106" spans="1:10" hidden="1" x14ac:dyDescent="0.25">
      <c r="A106" t="s">
        <v>873</v>
      </c>
      <c r="B106">
        <v>0</v>
      </c>
      <c r="C106" t="s">
        <v>838</v>
      </c>
      <c r="D106">
        <f t="shared" si="4"/>
        <v>160212</v>
      </c>
      <c r="E106" s="15" t="s">
        <v>551</v>
      </c>
      <c r="F106" s="18">
        <f>+_xlfn.XLOOKUP(D106,CVS!E:E,CVS!I:I,0)</f>
        <v>166102.54999999999</v>
      </c>
      <c r="G106" s="14">
        <f>+SUMIFS('De Giorgi BDV'!C:C,'De Giorgi BDV'!D:D,D106)</f>
        <v>0</v>
      </c>
      <c r="H106" s="18">
        <f t="shared" si="5"/>
        <v>166102.54999999999</v>
      </c>
      <c r="I106" s="14">
        <f>+_xlfn.XLOOKUP(D106,[1]BDV!$F:$F,[1]BDV!$AI:$AI)</f>
        <v>166102.54999999999</v>
      </c>
      <c r="J106" s="42">
        <f t="shared" si="3"/>
        <v>0</v>
      </c>
    </row>
    <row r="107" spans="1:10" hidden="1" x14ac:dyDescent="0.25">
      <c r="A107" t="s">
        <v>873</v>
      </c>
      <c r="B107">
        <v>0</v>
      </c>
      <c r="C107" t="s">
        <v>832</v>
      </c>
      <c r="D107">
        <f t="shared" si="4"/>
        <v>160216</v>
      </c>
      <c r="E107" s="15" t="s">
        <v>552</v>
      </c>
      <c r="F107" s="18">
        <f>+_xlfn.XLOOKUP(D107,CVS!E:E,CVS!I:I,0)</f>
        <v>641999.5</v>
      </c>
      <c r="G107" s="14">
        <f>+SUMIFS('De Giorgi BDV'!C:C,'De Giorgi BDV'!D:D,D107)</f>
        <v>0</v>
      </c>
      <c r="H107" s="18">
        <f t="shared" si="5"/>
        <v>641999.5</v>
      </c>
      <c r="I107" s="14">
        <f>+_xlfn.XLOOKUP(D107,[1]BDV!$F:$F,[1]BDV!$AI:$AI)</f>
        <v>641999.5</v>
      </c>
      <c r="J107" s="42">
        <f t="shared" si="3"/>
        <v>0</v>
      </c>
    </row>
    <row r="108" spans="1:10" hidden="1" x14ac:dyDescent="0.25">
      <c r="A108" t="s">
        <v>873</v>
      </c>
      <c r="B108">
        <v>0</v>
      </c>
      <c r="C108" t="s">
        <v>832</v>
      </c>
      <c r="D108">
        <f t="shared" si="4"/>
        <v>160218</v>
      </c>
      <c r="E108" s="15" t="s">
        <v>553</v>
      </c>
      <c r="F108" s="18">
        <f>+_xlfn.XLOOKUP(D108,CVS!E:E,CVS!I:I,0)</f>
        <v>3335</v>
      </c>
      <c r="G108" s="14">
        <f>+SUMIFS('De Giorgi BDV'!C:C,'De Giorgi BDV'!D:D,D108)</f>
        <v>0</v>
      </c>
      <c r="H108" s="18">
        <f t="shared" si="5"/>
        <v>3335</v>
      </c>
      <c r="I108" s="14">
        <f>+_xlfn.XLOOKUP(D108,[1]BDV!$F:$F,[1]BDV!$AI:$AI)</f>
        <v>3335</v>
      </c>
      <c r="J108" s="42">
        <f t="shared" si="3"/>
        <v>0</v>
      </c>
    </row>
    <row r="109" spans="1:10" hidden="1" x14ac:dyDescent="0.25">
      <c r="A109" t="s">
        <v>873</v>
      </c>
      <c r="B109">
        <v>0</v>
      </c>
      <c r="C109" t="s">
        <v>832</v>
      </c>
      <c r="D109">
        <f t="shared" si="4"/>
        <v>160220</v>
      </c>
      <c r="E109" s="15" t="s">
        <v>554</v>
      </c>
      <c r="F109" s="18">
        <f>+_xlfn.XLOOKUP(D109,CVS!E:E,CVS!I:I,0)</f>
        <v>5062.5</v>
      </c>
      <c r="G109" s="14">
        <f>+SUMIFS('De Giorgi BDV'!C:C,'De Giorgi BDV'!D:D,D109)</f>
        <v>0</v>
      </c>
      <c r="H109" s="18">
        <f t="shared" si="5"/>
        <v>5062.5</v>
      </c>
      <c r="I109" s="14">
        <f>+_xlfn.XLOOKUP(D109,[1]BDV!$F:$F,[1]BDV!$AI:$AI)</f>
        <v>5062.5</v>
      </c>
      <c r="J109" s="42">
        <f t="shared" si="3"/>
        <v>0</v>
      </c>
    </row>
    <row r="110" spans="1:10" hidden="1" x14ac:dyDescent="0.25">
      <c r="A110" t="s">
        <v>873</v>
      </c>
      <c r="B110">
        <v>0</v>
      </c>
      <c r="C110" t="s">
        <v>832</v>
      </c>
      <c r="D110">
        <f t="shared" si="4"/>
        <v>160222</v>
      </c>
      <c r="E110" s="15" t="s">
        <v>555</v>
      </c>
      <c r="F110" s="18">
        <f>+_xlfn.XLOOKUP(D110,CVS!E:E,CVS!I:I,0)</f>
        <v>137585.87</v>
      </c>
      <c r="G110" s="14">
        <f>+SUMIFS('De Giorgi BDV'!C:C,'De Giorgi BDV'!D:D,D110)</f>
        <v>0</v>
      </c>
      <c r="H110" s="18">
        <f t="shared" si="5"/>
        <v>137585.87</v>
      </c>
      <c r="I110" s="14">
        <f>+_xlfn.XLOOKUP(D110,[1]BDV!$F:$F,[1]BDV!$AI:$AI)</f>
        <v>137585.87</v>
      </c>
      <c r="J110" s="42">
        <f t="shared" si="3"/>
        <v>0</v>
      </c>
    </row>
    <row r="111" spans="1:10" hidden="1" x14ac:dyDescent="0.25">
      <c r="A111" t="s">
        <v>873</v>
      </c>
      <c r="B111">
        <v>0</v>
      </c>
      <c r="C111" t="s">
        <v>835</v>
      </c>
      <c r="D111">
        <f t="shared" si="4"/>
        <v>160224</v>
      </c>
      <c r="E111" s="15" t="s">
        <v>556</v>
      </c>
      <c r="F111" s="18">
        <f>+_xlfn.XLOOKUP(D111,CVS!E:E,CVS!I:I,0)</f>
        <v>16.75</v>
      </c>
      <c r="G111" s="14">
        <f>+SUMIFS('De Giorgi BDV'!C:C,'De Giorgi BDV'!D:D,D111)</f>
        <v>0</v>
      </c>
      <c r="H111" s="18">
        <f t="shared" si="5"/>
        <v>16.75</v>
      </c>
      <c r="I111" s="14">
        <f>+_xlfn.XLOOKUP(D111,[1]BDV!$F:$F,[1]BDV!$AI:$AI)</f>
        <v>16.75</v>
      </c>
      <c r="J111" s="42">
        <f t="shared" si="3"/>
        <v>0</v>
      </c>
    </row>
    <row r="112" spans="1:10" hidden="1" x14ac:dyDescent="0.25">
      <c r="A112" t="s">
        <v>873</v>
      </c>
      <c r="B112">
        <v>0</v>
      </c>
      <c r="C112" t="s">
        <v>836</v>
      </c>
      <c r="D112">
        <f t="shared" si="4"/>
        <v>160401</v>
      </c>
      <c r="E112" s="15" t="s">
        <v>557</v>
      </c>
      <c r="F112" s="18">
        <f>+_xlfn.XLOOKUP(D112,CVS!E:E,CVS!I:I,0)</f>
        <v>1012821.4</v>
      </c>
      <c r="G112" s="14">
        <f>+SUMIFS('De Giorgi BDV'!C:C,'De Giorgi BDV'!D:D,D112)</f>
        <v>131602.09</v>
      </c>
      <c r="H112" s="18">
        <f t="shared" si="5"/>
        <v>1144423.49</v>
      </c>
      <c r="I112" s="14">
        <f>+_xlfn.XLOOKUP(D112,[1]BDV!$F:$F,[1]BDV!$AI:$AI)</f>
        <v>1144423.49</v>
      </c>
      <c r="J112" s="42">
        <f t="shared" si="3"/>
        <v>0</v>
      </c>
    </row>
    <row r="113" spans="1:10" hidden="1" x14ac:dyDescent="0.25">
      <c r="A113" t="s">
        <v>873</v>
      </c>
      <c r="B113">
        <v>0</v>
      </c>
      <c r="C113" t="s">
        <v>836</v>
      </c>
      <c r="D113">
        <f t="shared" si="4"/>
        <v>160403</v>
      </c>
      <c r="E113" s="15" t="s">
        <v>558</v>
      </c>
      <c r="F113" s="18">
        <f>+_xlfn.XLOOKUP(D113,CVS!E:E,CVS!I:I,0)</f>
        <v>2942929.78</v>
      </c>
      <c r="G113" s="14">
        <f>+SUMIFS('De Giorgi BDV'!C:C,'De Giorgi BDV'!D:D,D113)</f>
        <v>0</v>
      </c>
      <c r="H113" s="18">
        <f t="shared" si="5"/>
        <v>2942929.78</v>
      </c>
      <c r="I113" s="14">
        <f>+_xlfn.XLOOKUP(D113,[1]BDV!$F:$F,[1]BDV!$AI:$AI)</f>
        <v>2942929.78</v>
      </c>
      <c r="J113" s="42">
        <f t="shared" si="3"/>
        <v>0</v>
      </c>
    </row>
    <row r="114" spans="1:10" hidden="1" x14ac:dyDescent="0.25">
      <c r="A114" t="s">
        <v>873</v>
      </c>
      <c r="B114">
        <v>0</v>
      </c>
      <c r="C114" t="s">
        <v>836</v>
      </c>
      <c r="D114">
        <f t="shared" si="4"/>
        <v>160405</v>
      </c>
      <c r="E114" s="15" t="s">
        <v>559</v>
      </c>
      <c r="F114" s="18">
        <f>+_xlfn.XLOOKUP(D114,CVS!E:E,CVS!I:I,0)</f>
        <v>909.42</v>
      </c>
      <c r="G114" s="14">
        <f>+SUMIFS('De Giorgi BDV'!C:C,'De Giorgi BDV'!D:D,D114)</f>
        <v>0</v>
      </c>
      <c r="H114" s="18">
        <f t="shared" si="5"/>
        <v>909.42</v>
      </c>
      <c r="I114" s="14">
        <f>+_xlfn.XLOOKUP(D114,[1]BDV!$F:$F,[1]BDV!$AI:$AI)</f>
        <v>909.42</v>
      </c>
      <c r="J114" s="42">
        <f t="shared" si="3"/>
        <v>0</v>
      </c>
    </row>
    <row r="115" spans="1:10" hidden="1" x14ac:dyDescent="0.25">
      <c r="A115" t="s">
        <v>873</v>
      </c>
      <c r="B115">
        <v>0</v>
      </c>
      <c r="C115" t="s">
        <v>836</v>
      </c>
      <c r="D115">
        <f t="shared" si="4"/>
        <v>160407</v>
      </c>
      <c r="E115" s="15" t="s">
        <v>560</v>
      </c>
      <c r="F115" s="18">
        <f>+_xlfn.XLOOKUP(D115,CVS!E:E,CVS!I:I,0)</f>
        <v>673332.24</v>
      </c>
      <c r="G115" s="14">
        <f>+SUMIFS('De Giorgi BDV'!C:C,'De Giorgi BDV'!D:D,D115)</f>
        <v>0</v>
      </c>
      <c r="H115" s="18">
        <f t="shared" si="5"/>
        <v>673332.24</v>
      </c>
      <c r="I115" s="14">
        <f>+_xlfn.XLOOKUP(D115,[1]BDV!$F:$F,[1]BDV!$AI:$AI)</f>
        <v>673332.24</v>
      </c>
      <c r="J115" s="42">
        <f t="shared" si="3"/>
        <v>0</v>
      </c>
    </row>
    <row r="116" spans="1:10" hidden="1" x14ac:dyDescent="0.25">
      <c r="A116" t="s">
        <v>873</v>
      </c>
      <c r="B116">
        <v>0</v>
      </c>
      <c r="C116" t="s">
        <v>836</v>
      </c>
      <c r="D116">
        <f t="shared" si="4"/>
        <v>160409</v>
      </c>
      <c r="E116" s="15" t="s">
        <v>561</v>
      </c>
      <c r="F116" s="18">
        <f>+_xlfn.XLOOKUP(D116,CVS!E:E,CVS!I:I,0)</f>
        <v>16924.23</v>
      </c>
      <c r="G116" s="14">
        <f>+SUMIFS('De Giorgi BDV'!C:C,'De Giorgi BDV'!D:D,D116)</f>
        <v>0</v>
      </c>
      <c r="H116" s="18">
        <f t="shared" si="5"/>
        <v>16924.23</v>
      </c>
      <c r="I116" s="14">
        <f>+_xlfn.XLOOKUP(D116,[1]BDV!$F:$F,[1]BDV!$AI:$AI)</f>
        <v>16924.23</v>
      </c>
      <c r="J116" s="42">
        <f t="shared" si="3"/>
        <v>0</v>
      </c>
    </row>
    <row r="117" spans="1:10" hidden="1" x14ac:dyDescent="0.25">
      <c r="A117" t="s">
        <v>873</v>
      </c>
      <c r="B117">
        <v>0</v>
      </c>
      <c r="C117" t="s">
        <v>836</v>
      </c>
      <c r="D117">
        <f t="shared" si="4"/>
        <v>160411</v>
      </c>
      <c r="E117" s="15" t="s">
        <v>562</v>
      </c>
      <c r="F117" s="18">
        <f>+_xlfn.XLOOKUP(D117,CVS!E:E,CVS!I:I,0)</f>
        <v>2334868.4500000002</v>
      </c>
      <c r="G117" s="14">
        <f>+SUMIFS('De Giorgi BDV'!C:C,'De Giorgi BDV'!D:D,D117)</f>
        <v>0</v>
      </c>
      <c r="H117" s="18">
        <f t="shared" si="5"/>
        <v>2334868.4500000002</v>
      </c>
      <c r="I117" s="14">
        <f>+_xlfn.XLOOKUP(D117,[1]BDV!$F:$F,[1]BDV!$AI:$AI)</f>
        <v>2334868.4500000002</v>
      </c>
      <c r="J117" s="42">
        <f t="shared" si="3"/>
        <v>0</v>
      </c>
    </row>
    <row r="118" spans="1:10" hidden="1" x14ac:dyDescent="0.25">
      <c r="A118" t="s">
        <v>873</v>
      </c>
      <c r="B118">
        <v>0</v>
      </c>
      <c r="C118" t="s">
        <v>836</v>
      </c>
      <c r="D118">
        <f t="shared" si="4"/>
        <v>160413</v>
      </c>
      <c r="E118" s="15" t="s">
        <v>563</v>
      </c>
      <c r="F118" s="18">
        <f>+_xlfn.XLOOKUP(D118,CVS!E:E,CVS!I:I,0)</f>
        <v>1305.52</v>
      </c>
      <c r="G118" s="14">
        <f>+SUMIFS('De Giorgi BDV'!C:C,'De Giorgi BDV'!D:D,D118)</f>
        <v>6119.97</v>
      </c>
      <c r="H118" s="18">
        <f t="shared" si="5"/>
        <v>7425.49</v>
      </c>
      <c r="I118" s="14">
        <f>+_xlfn.XLOOKUP(D118,[1]BDV!$F:$F,[1]BDV!$AI:$AI)</f>
        <v>7425.49</v>
      </c>
      <c r="J118" s="42">
        <f t="shared" si="3"/>
        <v>0</v>
      </c>
    </row>
    <row r="119" spans="1:10" hidden="1" x14ac:dyDescent="0.25">
      <c r="A119" t="s">
        <v>873</v>
      </c>
      <c r="B119">
        <v>0</v>
      </c>
      <c r="C119" t="s">
        <v>839</v>
      </c>
      <c r="D119">
        <f t="shared" si="4"/>
        <v>180201</v>
      </c>
      <c r="E119" s="15" t="s">
        <v>564</v>
      </c>
      <c r="F119" s="18">
        <f>+_xlfn.XLOOKUP(D119,CVS!E:E,CVS!I:I,0)</f>
        <v>7566.21</v>
      </c>
      <c r="G119" s="14">
        <f>+SUMIFS('De Giorgi BDV'!C:C,'De Giorgi BDV'!D:D,D119)</f>
        <v>6.87</v>
      </c>
      <c r="H119" s="18">
        <f t="shared" si="5"/>
        <v>7573.08</v>
      </c>
      <c r="I119" s="14">
        <f>+_xlfn.XLOOKUP(D119,[1]BDV!$F:$F,[1]BDV!$AI:$AI)</f>
        <v>7573.08</v>
      </c>
      <c r="J119" s="42">
        <f t="shared" si="3"/>
        <v>0</v>
      </c>
    </row>
    <row r="120" spans="1:10" hidden="1" x14ac:dyDescent="0.25">
      <c r="A120" t="s">
        <v>873</v>
      </c>
      <c r="B120">
        <v>0</v>
      </c>
      <c r="C120" t="s">
        <v>839</v>
      </c>
      <c r="D120">
        <f t="shared" si="4"/>
        <v>180205</v>
      </c>
      <c r="E120" s="15" t="s">
        <v>565</v>
      </c>
      <c r="F120" s="18">
        <f>+_xlfn.XLOOKUP(D120,CVS!E:E,CVS!I:I,0)</f>
        <v>9661.7099999999991</v>
      </c>
      <c r="G120" s="14">
        <f>+SUMIFS('De Giorgi BDV'!C:C,'De Giorgi BDV'!D:D,D120)</f>
        <v>0</v>
      </c>
      <c r="H120" s="18">
        <f t="shared" si="5"/>
        <v>9661.7099999999991</v>
      </c>
      <c r="I120" s="14">
        <f>+_xlfn.XLOOKUP(D120,[1]BDV!$F:$F,[1]BDV!$AI:$AI)</f>
        <v>9661.7099999999991</v>
      </c>
      <c r="J120" s="42">
        <f t="shared" si="3"/>
        <v>0</v>
      </c>
    </row>
    <row r="121" spans="1:10" hidden="1" x14ac:dyDescent="0.25">
      <c r="A121" t="s">
        <v>873</v>
      </c>
      <c r="B121">
        <v>0</v>
      </c>
      <c r="C121" t="s">
        <v>839</v>
      </c>
      <c r="D121">
        <f t="shared" si="4"/>
        <v>180207</v>
      </c>
      <c r="E121" s="15" t="s">
        <v>566</v>
      </c>
      <c r="F121" s="18">
        <f>+_xlfn.XLOOKUP(D121,CVS!E:E,CVS!I:I,0)</f>
        <v>29778.39</v>
      </c>
      <c r="G121" s="14">
        <f>+SUMIFS('De Giorgi BDV'!C:C,'De Giorgi BDV'!D:D,D121)</f>
        <v>0</v>
      </c>
      <c r="H121" s="18">
        <f t="shared" si="5"/>
        <v>29778.39</v>
      </c>
      <c r="I121" s="14">
        <f>+_xlfn.XLOOKUP(D121,[1]BDV!$F:$F,[1]BDV!$AI:$AI)</f>
        <v>29778.39</v>
      </c>
      <c r="J121" s="42">
        <f t="shared" si="3"/>
        <v>0</v>
      </c>
    </row>
    <row r="122" spans="1:10" hidden="1" x14ac:dyDescent="0.25">
      <c r="A122" t="s">
        <v>873</v>
      </c>
      <c r="B122">
        <v>0</v>
      </c>
      <c r="C122" t="s">
        <v>839</v>
      </c>
      <c r="D122">
        <f t="shared" si="4"/>
        <v>180209</v>
      </c>
      <c r="E122" s="15" t="s">
        <v>567</v>
      </c>
      <c r="F122" s="18">
        <f>+_xlfn.XLOOKUP(D122,CVS!E:E,CVS!I:I,0)</f>
        <v>30939.31</v>
      </c>
      <c r="G122" s="14">
        <f>+SUMIFS('De Giorgi BDV'!C:C,'De Giorgi BDV'!D:D,D122)</f>
        <v>0</v>
      </c>
      <c r="H122" s="18">
        <f t="shared" si="5"/>
        <v>30939.31</v>
      </c>
      <c r="I122" s="14">
        <f>+_xlfn.XLOOKUP(D122,[1]BDV!$F:$F,[1]BDV!$AI:$AI)</f>
        <v>30939.31</v>
      </c>
      <c r="J122" s="42">
        <f t="shared" si="3"/>
        <v>0</v>
      </c>
    </row>
    <row r="123" spans="1:10" hidden="1" x14ac:dyDescent="0.25">
      <c r="A123" t="s">
        <v>873</v>
      </c>
      <c r="B123">
        <v>0</v>
      </c>
      <c r="C123" t="s">
        <v>839</v>
      </c>
      <c r="D123">
        <f t="shared" si="4"/>
        <v>180211</v>
      </c>
      <c r="E123" s="15" t="s">
        <v>568</v>
      </c>
      <c r="F123" s="18">
        <f>+_xlfn.XLOOKUP(D123,CVS!E:E,CVS!I:I,0)</f>
        <v>5286.42</v>
      </c>
      <c r="G123" s="14">
        <f>+SUMIFS('De Giorgi BDV'!C:C,'De Giorgi BDV'!D:D,D123)</f>
        <v>0</v>
      </c>
      <c r="H123" s="18">
        <f t="shared" si="5"/>
        <v>5286.42</v>
      </c>
      <c r="I123" s="14">
        <f>+_xlfn.XLOOKUP(D123,[1]BDV!$F:$F,[1]BDV!$AI:$AI)</f>
        <v>5286.42</v>
      </c>
      <c r="J123" s="42">
        <f t="shared" si="3"/>
        <v>0</v>
      </c>
    </row>
    <row r="124" spans="1:10" hidden="1" x14ac:dyDescent="0.25">
      <c r="A124" t="s">
        <v>873</v>
      </c>
      <c r="B124">
        <v>0</v>
      </c>
      <c r="C124" t="s">
        <v>839</v>
      </c>
      <c r="D124">
        <f t="shared" si="4"/>
        <v>180213</v>
      </c>
      <c r="E124" s="15" t="s">
        <v>569</v>
      </c>
      <c r="F124" s="18">
        <f>+_xlfn.XLOOKUP(D124,CVS!E:E,CVS!I:I,0)</f>
        <v>41308.019999999997</v>
      </c>
      <c r="G124" s="14">
        <f>+SUMIFS('De Giorgi BDV'!C:C,'De Giorgi BDV'!D:D,D124)</f>
        <v>0</v>
      </c>
      <c r="H124" s="18">
        <f t="shared" si="5"/>
        <v>41308.019999999997</v>
      </c>
      <c r="I124" s="14">
        <f>+_xlfn.XLOOKUP(D124,[1]BDV!$F:$F,[1]BDV!$AI:$AI)</f>
        <v>41308.019999999997</v>
      </c>
      <c r="J124" s="42">
        <f t="shared" si="3"/>
        <v>0</v>
      </c>
    </row>
    <row r="125" spans="1:10" hidden="1" x14ac:dyDescent="0.25">
      <c r="A125" t="s">
        <v>873</v>
      </c>
      <c r="B125">
        <v>0</v>
      </c>
      <c r="C125" t="s">
        <v>839</v>
      </c>
      <c r="D125">
        <f t="shared" si="4"/>
        <v>180215</v>
      </c>
      <c r="E125" s="15" t="s">
        <v>570</v>
      </c>
      <c r="F125" s="18">
        <f>+_xlfn.XLOOKUP(D125,CVS!E:E,CVS!I:I,0)</f>
        <v>426672.56</v>
      </c>
      <c r="G125" s="14">
        <f>+SUMIFS('De Giorgi BDV'!C:C,'De Giorgi BDV'!D:D,D125)</f>
        <v>0</v>
      </c>
      <c r="H125" s="18">
        <f t="shared" si="5"/>
        <v>426672.56</v>
      </c>
      <c r="I125" s="14">
        <f>+_xlfn.XLOOKUP(D125,[1]BDV!$F:$F,[1]BDV!$AI:$AI)</f>
        <v>426672.56</v>
      </c>
      <c r="J125" s="42">
        <f t="shared" si="3"/>
        <v>0</v>
      </c>
    </row>
    <row r="126" spans="1:10" hidden="1" x14ac:dyDescent="0.25">
      <c r="A126" t="s">
        <v>873</v>
      </c>
      <c r="B126">
        <v>0</v>
      </c>
      <c r="C126" t="s">
        <v>839</v>
      </c>
      <c r="D126">
        <f t="shared" si="4"/>
        <v>180217</v>
      </c>
      <c r="E126" s="15" t="s">
        <v>571</v>
      </c>
      <c r="F126" s="18">
        <f>+_xlfn.XLOOKUP(D126,CVS!E:E,CVS!I:I,0)</f>
        <v>178406.61</v>
      </c>
      <c r="G126" s="14">
        <f>+SUMIFS('De Giorgi BDV'!C:C,'De Giorgi BDV'!D:D,D126)</f>
        <v>0</v>
      </c>
      <c r="H126" s="18">
        <f t="shared" si="5"/>
        <v>178406.61</v>
      </c>
      <c r="I126" s="14">
        <f>+_xlfn.XLOOKUP(D126,[1]BDV!$F:$F,[1]BDV!$AI:$AI)</f>
        <v>178406.61</v>
      </c>
      <c r="J126" s="42">
        <f t="shared" si="3"/>
        <v>0</v>
      </c>
    </row>
    <row r="127" spans="1:10" hidden="1" x14ac:dyDescent="0.25">
      <c r="A127" t="s">
        <v>873</v>
      </c>
      <c r="B127">
        <v>0</v>
      </c>
      <c r="C127" t="s">
        <v>839</v>
      </c>
      <c r="D127">
        <f t="shared" si="4"/>
        <v>180219</v>
      </c>
      <c r="E127" s="15" t="s">
        <v>572</v>
      </c>
      <c r="F127" s="18">
        <f>+_xlfn.XLOOKUP(D127,CVS!E:E,CVS!I:I,0)</f>
        <v>77656.77</v>
      </c>
      <c r="G127" s="14">
        <f>+SUMIFS('De Giorgi BDV'!C:C,'De Giorgi BDV'!D:D,D127)</f>
        <v>0</v>
      </c>
      <c r="H127" s="18">
        <f t="shared" si="5"/>
        <v>77656.77</v>
      </c>
      <c r="I127" s="14">
        <f>+_xlfn.XLOOKUP(D127,[1]BDV!$F:$F,[1]BDV!$AI:$AI)</f>
        <v>77656.77</v>
      </c>
      <c r="J127" s="42">
        <f t="shared" si="3"/>
        <v>0</v>
      </c>
    </row>
    <row r="128" spans="1:10" hidden="1" x14ac:dyDescent="0.25">
      <c r="A128" t="s">
        <v>873</v>
      </c>
      <c r="B128">
        <v>0</v>
      </c>
      <c r="C128" t="s">
        <v>839</v>
      </c>
      <c r="D128">
        <f t="shared" si="4"/>
        <v>180221</v>
      </c>
      <c r="E128" s="15" t="s">
        <v>573</v>
      </c>
      <c r="F128" s="18">
        <f>+_xlfn.XLOOKUP(D128,CVS!E:E,CVS!I:I,0)</f>
        <v>85435.26</v>
      </c>
      <c r="G128" s="14">
        <f>+SUMIFS('De Giorgi BDV'!C:C,'De Giorgi BDV'!D:D,D128)</f>
        <v>0</v>
      </c>
      <c r="H128" s="18">
        <f t="shared" si="5"/>
        <v>85435.26</v>
      </c>
      <c r="I128" s="14">
        <f>+_xlfn.XLOOKUP(D128,[1]BDV!$F:$F,[1]BDV!$AI:$AI)</f>
        <v>85435.26</v>
      </c>
      <c r="J128" s="42">
        <f t="shared" si="3"/>
        <v>0</v>
      </c>
    </row>
    <row r="129" spans="1:10" hidden="1" x14ac:dyDescent="0.25">
      <c r="A129" t="s">
        <v>873</v>
      </c>
      <c r="B129">
        <v>0</v>
      </c>
      <c r="C129" t="s">
        <v>839</v>
      </c>
      <c r="D129">
        <f t="shared" si="4"/>
        <v>180223</v>
      </c>
      <c r="E129" s="15" t="s">
        <v>574</v>
      </c>
      <c r="F129" s="18">
        <f>+_xlfn.XLOOKUP(D129,CVS!E:E,CVS!I:I,0)</f>
        <v>30800.9</v>
      </c>
      <c r="G129" s="14">
        <f>+SUMIFS('De Giorgi BDV'!C:C,'De Giorgi BDV'!D:D,D129)</f>
        <v>0</v>
      </c>
      <c r="H129" s="18">
        <f t="shared" si="5"/>
        <v>30800.9</v>
      </c>
      <c r="I129" s="14">
        <f>+_xlfn.XLOOKUP(D129,[1]BDV!$F:$F,[1]BDV!$AI:$AI)</f>
        <v>30800.9</v>
      </c>
      <c r="J129" s="42">
        <f t="shared" si="3"/>
        <v>0</v>
      </c>
    </row>
    <row r="130" spans="1:10" hidden="1" x14ac:dyDescent="0.25">
      <c r="A130" t="s">
        <v>873</v>
      </c>
      <c r="B130">
        <v>0</v>
      </c>
      <c r="C130" t="s">
        <v>839</v>
      </c>
      <c r="D130">
        <f t="shared" si="4"/>
        <v>180225</v>
      </c>
      <c r="E130" s="15" t="s">
        <v>575</v>
      </c>
      <c r="F130" s="18">
        <f>+_xlfn.XLOOKUP(D130,CVS!E:E,CVS!I:I,0)</f>
        <v>77231.710000000006</v>
      </c>
      <c r="G130" s="14">
        <f>+SUMIFS('De Giorgi BDV'!C:C,'De Giorgi BDV'!D:D,D130)</f>
        <v>0</v>
      </c>
      <c r="H130" s="18">
        <f t="shared" si="5"/>
        <v>77231.710000000006</v>
      </c>
      <c r="I130" s="14">
        <f>+_xlfn.XLOOKUP(D130,[1]BDV!$F:$F,[1]BDV!$AI:$AI)</f>
        <v>77231.710000000006</v>
      </c>
      <c r="J130" s="42">
        <f t="shared" si="3"/>
        <v>0</v>
      </c>
    </row>
    <row r="131" spans="1:10" hidden="1" x14ac:dyDescent="0.25">
      <c r="A131" t="s">
        <v>873</v>
      </c>
      <c r="B131">
        <v>0</v>
      </c>
      <c r="C131" t="s">
        <v>839</v>
      </c>
      <c r="D131">
        <f t="shared" si="4"/>
        <v>180227</v>
      </c>
      <c r="E131" s="15" t="s">
        <v>576</v>
      </c>
      <c r="F131" s="18">
        <f>+_xlfn.XLOOKUP(D131,CVS!E:E,CVS!I:I,0)</f>
        <v>4198567.6100000003</v>
      </c>
      <c r="G131" s="14">
        <f>+SUMIFS('De Giorgi BDV'!C:C,'De Giorgi BDV'!D:D,D131)</f>
        <v>0</v>
      </c>
      <c r="H131" s="18">
        <f t="shared" si="5"/>
        <v>4198567.6100000003</v>
      </c>
      <c r="I131" s="14">
        <f>+_xlfn.XLOOKUP(D131,[1]BDV!$F:$F,[1]BDV!$AI:$AI)</f>
        <v>4198567.6100000003</v>
      </c>
      <c r="J131" s="42">
        <f t="shared" si="3"/>
        <v>0</v>
      </c>
    </row>
    <row r="132" spans="1:10" hidden="1" x14ac:dyDescent="0.25">
      <c r="A132" t="s">
        <v>873</v>
      </c>
      <c r="B132">
        <v>0</v>
      </c>
      <c r="C132" t="s">
        <v>839</v>
      </c>
      <c r="D132">
        <f t="shared" si="4"/>
        <v>180231</v>
      </c>
      <c r="E132" s="15" t="s">
        <v>577</v>
      </c>
      <c r="F132" s="18">
        <f>+_xlfn.XLOOKUP(D132,CVS!E:E,CVS!I:I,0)</f>
        <v>448.71</v>
      </c>
      <c r="G132" s="14">
        <f>+SUMIFS('De Giorgi BDV'!C:C,'De Giorgi BDV'!D:D,D132)</f>
        <v>0</v>
      </c>
      <c r="H132" s="18">
        <f t="shared" si="5"/>
        <v>448.71</v>
      </c>
      <c r="I132" s="14">
        <f>+_xlfn.XLOOKUP(D132,[1]BDV!$F:$F,[1]BDV!$AI:$AI)</f>
        <v>448.71</v>
      </c>
      <c r="J132" s="42">
        <f t="shared" si="3"/>
        <v>0</v>
      </c>
    </row>
    <row r="133" spans="1:10" hidden="1" x14ac:dyDescent="0.25">
      <c r="A133" t="s">
        <v>873</v>
      </c>
      <c r="B133">
        <v>0</v>
      </c>
      <c r="C133" t="s">
        <v>839</v>
      </c>
      <c r="D133">
        <f t="shared" si="4"/>
        <v>180243</v>
      </c>
      <c r="E133" s="15" t="s">
        <v>578</v>
      </c>
      <c r="F133" s="18">
        <f>+_xlfn.XLOOKUP(D133,CVS!E:E,CVS!I:I,0)</f>
        <v>1053391.3999999999</v>
      </c>
      <c r="G133" s="14">
        <f>+SUMIFS('De Giorgi BDV'!C:C,'De Giorgi BDV'!D:D,D133)</f>
        <v>0</v>
      </c>
      <c r="H133" s="18">
        <f t="shared" si="5"/>
        <v>1053391.3999999999</v>
      </c>
      <c r="I133" s="14">
        <f>+_xlfn.XLOOKUP(D133,[1]BDV!$F:$F,[1]BDV!$AI:$AI)</f>
        <v>1053391.3999999999</v>
      </c>
      <c r="J133" s="42">
        <f t="shared" ref="J133:J196" si="6">+H133-I133</f>
        <v>0</v>
      </c>
    </row>
    <row r="134" spans="1:10" hidden="1" x14ac:dyDescent="0.25">
      <c r="A134" t="s">
        <v>873</v>
      </c>
      <c r="B134">
        <v>0</v>
      </c>
      <c r="C134" t="s">
        <v>839</v>
      </c>
      <c r="D134">
        <f t="shared" ref="D134:D197" si="7">+_xlfn.NUMBERVALUE(LEFT(E134,6))</f>
        <v>180247</v>
      </c>
      <c r="E134" s="15" t="s">
        <v>579</v>
      </c>
      <c r="F134" s="18">
        <f>+_xlfn.XLOOKUP(D134,CVS!E:E,CVS!I:I,0)</f>
        <v>140937.60000000001</v>
      </c>
      <c r="G134" s="14">
        <f>+SUMIFS('De Giorgi BDV'!C:C,'De Giorgi BDV'!D:D,D134)</f>
        <v>0</v>
      </c>
      <c r="H134" s="18">
        <f t="shared" ref="H134:H197" si="8">+F134+G134</f>
        <v>140937.60000000001</v>
      </c>
      <c r="I134" s="14">
        <f>+_xlfn.XLOOKUP(D134,[1]BDV!$F:$F,[1]BDV!$AI:$AI)</f>
        <v>140937.60000000001</v>
      </c>
      <c r="J134" s="42">
        <f t="shared" si="6"/>
        <v>0</v>
      </c>
    </row>
    <row r="135" spans="1:10" hidden="1" x14ac:dyDescent="0.25">
      <c r="A135" t="s">
        <v>873</v>
      </c>
      <c r="B135">
        <v>0</v>
      </c>
      <c r="C135" t="s">
        <v>839</v>
      </c>
      <c r="D135">
        <f t="shared" si="7"/>
        <v>180249</v>
      </c>
      <c r="E135" s="15" t="s">
        <v>580</v>
      </c>
      <c r="F135" s="18">
        <f>+_xlfn.XLOOKUP(D135,CVS!E:E,CVS!I:I,0)</f>
        <v>27903.26</v>
      </c>
      <c r="G135" s="14">
        <f>+SUMIFS('De Giorgi BDV'!C:C,'De Giorgi BDV'!D:D,D135)</f>
        <v>0</v>
      </c>
      <c r="H135" s="18">
        <f t="shared" si="8"/>
        <v>27903.26</v>
      </c>
      <c r="I135" s="14">
        <f>+_xlfn.XLOOKUP(D135,[1]BDV!$F:$F,[1]BDV!$AI:$AI)</f>
        <v>27903.26</v>
      </c>
      <c r="J135" s="42">
        <f t="shared" si="6"/>
        <v>0</v>
      </c>
    </row>
    <row r="136" spans="1:10" hidden="1" x14ac:dyDescent="0.25">
      <c r="A136" t="s">
        <v>873</v>
      </c>
      <c r="B136">
        <v>0</v>
      </c>
      <c r="C136" t="s">
        <v>839</v>
      </c>
      <c r="D136">
        <f t="shared" si="7"/>
        <v>180251</v>
      </c>
      <c r="E136" s="15" t="s">
        <v>581</v>
      </c>
      <c r="F136" s="18">
        <f>+_xlfn.XLOOKUP(D136,CVS!E:E,CVS!I:I,0)</f>
        <v>464584.3</v>
      </c>
      <c r="G136" s="14">
        <f>+SUMIFS('De Giorgi BDV'!C:C,'De Giorgi BDV'!D:D,D136)</f>
        <v>0</v>
      </c>
      <c r="H136" s="18">
        <f t="shared" si="8"/>
        <v>464584.3</v>
      </c>
      <c r="I136" s="14">
        <f>+_xlfn.XLOOKUP(D136,[1]BDV!$F:$F,[1]BDV!$AI:$AI)</f>
        <v>464584.3</v>
      </c>
      <c r="J136" s="42">
        <f t="shared" si="6"/>
        <v>0</v>
      </c>
    </row>
    <row r="137" spans="1:10" hidden="1" x14ac:dyDescent="0.25">
      <c r="A137" t="s">
        <v>873</v>
      </c>
      <c r="B137">
        <v>0</v>
      </c>
      <c r="C137" t="s">
        <v>839</v>
      </c>
      <c r="D137">
        <f t="shared" si="7"/>
        <v>180253</v>
      </c>
      <c r="E137" s="15" t="s">
        <v>582</v>
      </c>
      <c r="F137" s="18">
        <f>+_xlfn.XLOOKUP(D137,CVS!E:E,CVS!I:I,0)</f>
        <v>88654.57</v>
      </c>
      <c r="G137" s="14">
        <f>+SUMIFS('De Giorgi BDV'!C:C,'De Giorgi BDV'!D:D,D137)</f>
        <v>0</v>
      </c>
      <c r="H137" s="18">
        <f t="shared" si="8"/>
        <v>88654.57</v>
      </c>
      <c r="I137" s="14">
        <f>+_xlfn.XLOOKUP(D137,[1]BDV!$F:$F,[1]BDV!$AI:$AI)</f>
        <v>88654.57</v>
      </c>
      <c r="J137" s="42">
        <f t="shared" si="6"/>
        <v>0</v>
      </c>
    </row>
    <row r="138" spans="1:10" hidden="1" x14ac:dyDescent="0.25">
      <c r="A138" t="s">
        <v>873</v>
      </c>
      <c r="B138">
        <v>0</v>
      </c>
      <c r="C138" t="s">
        <v>839</v>
      </c>
      <c r="D138">
        <f t="shared" si="7"/>
        <v>180255</v>
      </c>
      <c r="E138" s="15" t="s">
        <v>583</v>
      </c>
      <c r="F138" s="18">
        <f>+_xlfn.XLOOKUP(D138,CVS!E:E,CVS!I:I,0)</f>
        <v>13823.53</v>
      </c>
      <c r="G138" s="14">
        <f>+SUMIFS('De Giorgi BDV'!C:C,'De Giorgi BDV'!D:D,D138)</f>
        <v>0</v>
      </c>
      <c r="H138" s="18">
        <f t="shared" si="8"/>
        <v>13823.53</v>
      </c>
      <c r="I138" s="14">
        <f>+_xlfn.XLOOKUP(D138,[1]BDV!$F:$F,[1]BDV!$AI:$AI)</f>
        <v>13823.53</v>
      </c>
      <c r="J138" s="42">
        <f t="shared" si="6"/>
        <v>0</v>
      </c>
    </row>
    <row r="139" spans="1:10" hidden="1" x14ac:dyDescent="0.25">
      <c r="A139" t="s">
        <v>873</v>
      </c>
      <c r="B139">
        <v>0</v>
      </c>
      <c r="C139" t="s">
        <v>840</v>
      </c>
      <c r="D139">
        <f t="shared" si="7"/>
        <v>180257</v>
      </c>
      <c r="E139" s="15" t="s">
        <v>584</v>
      </c>
      <c r="F139" s="18">
        <f>+_xlfn.XLOOKUP(D139,CVS!E:E,CVS!I:I,0)</f>
        <v>268</v>
      </c>
      <c r="G139" s="14">
        <f>+SUMIFS('De Giorgi BDV'!C:C,'De Giorgi BDV'!D:D,D139)</f>
        <v>0</v>
      </c>
      <c r="H139" s="18">
        <f t="shared" si="8"/>
        <v>268</v>
      </c>
      <c r="I139" s="14">
        <f>+_xlfn.XLOOKUP(D139,[1]BDV!$F:$F,[1]BDV!$AI:$AI)</f>
        <v>268</v>
      </c>
      <c r="J139" s="42">
        <f t="shared" si="6"/>
        <v>0</v>
      </c>
    </row>
    <row r="140" spans="1:10" hidden="1" x14ac:dyDescent="0.25">
      <c r="A140" t="s">
        <v>873</v>
      </c>
      <c r="B140">
        <v>0</v>
      </c>
      <c r="C140" t="s">
        <v>840</v>
      </c>
      <c r="D140">
        <f t="shared" si="7"/>
        <v>180259</v>
      </c>
      <c r="E140" s="15" t="s">
        <v>585</v>
      </c>
      <c r="F140" s="18">
        <f>+_xlfn.XLOOKUP(D140,CVS!E:E,CVS!I:I,0)</f>
        <v>-1628.5</v>
      </c>
      <c r="G140" s="14">
        <f>+SUMIFS('De Giorgi BDV'!C:C,'De Giorgi BDV'!D:D,D140)</f>
        <v>0</v>
      </c>
      <c r="H140" s="18">
        <f t="shared" si="8"/>
        <v>-1628.5</v>
      </c>
      <c r="I140" s="14">
        <f>+_xlfn.XLOOKUP(D140,[1]BDV!$F:$F,[1]BDV!$AI:$AI)</f>
        <v>-1628.5</v>
      </c>
      <c r="J140" s="42">
        <f t="shared" si="6"/>
        <v>0</v>
      </c>
    </row>
    <row r="141" spans="1:10" hidden="1" x14ac:dyDescent="0.25">
      <c r="A141" t="s">
        <v>873</v>
      </c>
      <c r="B141">
        <v>0</v>
      </c>
      <c r="C141" t="s">
        <v>840</v>
      </c>
      <c r="D141">
        <f t="shared" si="7"/>
        <v>180261</v>
      </c>
      <c r="E141" s="15" t="s">
        <v>586</v>
      </c>
      <c r="F141" s="18">
        <f>+_xlfn.XLOOKUP(D141,CVS!E:E,CVS!I:I,0)</f>
        <v>1808.5</v>
      </c>
      <c r="G141" s="14">
        <f>+SUMIFS('De Giorgi BDV'!C:C,'De Giorgi BDV'!D:D,D141)</f>
        <v>0</v>
      </c>
      <c r="H141" s="18">
        <f t="shared" si="8"/>
        <v>1808.5</v>
      </c>
      <c r="I141" s="14">
        <f>+_xlfn.XLOOKUP(D141,[1]BDV!$F:$F,[1]BDV!$AI:$AI)</f>
        <v>1808.5</v>
      </c>
      <c r="J141" s="42">
        <f t="shared" si="6"/>
        <v>0</v>
      </c>
    </row>
    <row r="142" spans="1:10" hidden="1" x14ac:dyDescent="0.25">
      <c r="A142" t="s">
        <v>873</v>
      </c>
      <c r="B142">
        <v>0</v>
      </c>
      <c r="C142" t="s">
        <v>839</v>
      </c>
      <c r="D142">
        <f t="shared" si="7"/>
        <v>180265</v>
      </c>
      <c r="E142" s="15" t="s">
        <v>587</v>
      </c>
      <c r="F142" s="18">
        <f>+_xlfn.XLOOKUP(D142,CVS!E:E,CVS!I:I,0)</f>
        <v>-1.5</v>
      </c>
      <c r="G142" s="14">
        <f>+SUMIFS('De Giorgi BDV'!C:C,'De Giorgi BDV'!D:D,D142)</f>
        <v>0</v>
      </c>
      <c r="H142" s="18">
        <f t="shared" si="8"/>
        <v>-1.5</v>
      </c>
      <c r="I142" s="14">
        <f>+_xlfn.XLOOKUP(D142,[1]BDV!$F:$F,[1]BDV!$AI:$AI)</f>
        <v>-1.5</v>
      </c>
      <c r="J142" s="42">
        <f t="shared" si="6"/>
        <v>0</v>
      </c>
    </row>
    <row r="143" spans="1:10" hidden="1" x14ac:dyDescent="0.25">
      <c r="A143" t="s">
        <v>873</v>
      </c>
      <c r="B143">
        <v>0</v>
      </c>
      <c r="C143" t="s">
        <v>839</v>
      </c>
      <c r="D143">
        <f t="shared" si="7"/>
        <v>180267</v>
      </c>
      <c r="E143" s="15" t="s">
        <v>588</v>
      </c>
      <c r="F143" s="18">
        <f>+_xlfn.XLOOKUP(D143,CVS!E:E,CVS!I:I,0)</f>
        <v>26202.67</v>
      </c>
      <c r="G143" s="14">
        <f>+SUMIFS('De Giorgi BDV'!C:C,'De Giorgi BDV'!D:D,D143)</f>
        <v>0</v>
      </c>
      <c r="H143" s="18">
        <f t="shared" si="8"/>
        <v>26202.67</v>
      </c>
      <c r="I143" s="14">
        <f>+_xlfn.XLOOKUP(D143,[1]BDV!$F:$F,[1]BDV!$AI:$AI)</f>
        <v>26202.67</v>
      </c>
      <c r="J143" s="42">
        <f t="shared" si="6"/>
        <v>0</v>
      </c>
    </row>
    <row r="144" spans="1:10" hidden="1" x14ac:dyDescent="0.25">
      <c r="A144" t="s">
        <v>873</v>
      </c>
      <c r="B144">
        <v>0</v>
      </c>
      <c r="C144" t="s">
        <v>839</v>
      </c>
      <c r="D144">
        <f t="shared" si="7"/>
        <v>180273</v>
      </c>
      <c r="E144" s="15" t="s">
        <v>589</v>
      </c>
      <c r="F144" s="18">
        <f>+_xlfn.XLOOKUP(D144,CVS!E:E,CVS!I:I,0)</f>
        <v>162028.18</v>
      </c>
      <c r="G144" s="14">
        <f>+SUMIFS('De Giorgi BDV'!C:C,'De Giorgi BDV'!D:D,D144)</f>
        <v>0</v>
      </c>
      <c r="H144" s="18">
        <f t="shared" si="8"/>
        <v>162028.18</v>
      </c>
      <c r="I144" s="14">
        <f>+_xlfn.XLOOKUP(D144,[1]BDV!$F:$F,[1]BDV!$AI:$AI)</f>
        <v>162028.18</v>
      </c>
      <c r="J144" s="42">
        <f t="shared" si="6"/>
        <v>0</v>
      </c>
    </row>
    <row r="145" spans="1:10" hidden="1" x14ac:dyDescent="0.25">
      <c r="A145" t="s">
        <v>873</v>
      </c>
      <c r="B145">
        <v>0</v>
      </c>
      <c r="C145" t="s">
        <v>839</v>
      </c>
      <c r="D145">
        <f t="shared" si="7"/>
        <v>180275</v>
      </c>
      <c r="E145" s="15" t="s">
        <v>590</v>
      </c>
      <c r="F145" s="18">
        <f>+_xlfn.XLOOKUP(D145,CVS!E:E,CVS!I:I,0)</f>
        <v>172.48</v>
      </c>
      <c r="G145" s="14">
        <f>+SUMIFS('De Giorgi BDV'!C:C,'De Giorgi BDV'!D:D,D145)</f>
        <v>0</v>
      </c>
      <c r="H145" s="18">
        <f t="shared" si="8"/>
        <v>172.48</v>
      </c>
      <c r="I145" s="14">
        <f>+_xlfn.XLOOKUP(D145,[1]BDV!$F:$F,[1]BDV!$AI:$AI)</f>
        <v>172.48</v>
      </c>
      <c r="J145" s="42">
        <f t="shared" si="6"/>
        <v>0</v>
      </c>
    </row>
    <row r="146" spans="1:10" hidden="1" x14ac:dyDescent="0.25">
      <c r="A146" t="s">
        <v>873</v>
      </c>
      <c r="B146">
        <v>0</v>
      </c>
      <c r="C146" t="s">
        <v>839</v>
      </c>
      <c r="D146">
        <f t="shared" si="7"/>
        <v>180277</v>
      </c>
      <c r="E146" s="15" t="s">
        <v>591</v>
      </c>
      <c r="F146" s="18">
        <f>+_xlfn.XLOOKUP(D146,CVS!E:E,CVS!I:I,0)</f>
        <v>1784.6</v>
      </c>
      <c r="G146" s="14">
        <f>+SUMIFS('De Giorgi BDV'!C:C,'De Giorgi BDV'!D:D,D146)</f>
        <v>0</v>
      </c>
      <c r="H146" s="18">
        <f t="shared" si="8"/>
        <v>1784.6</v>
      </c>
      <c r="I146" s="14">
        <f>+_xlfn.XLOOKUP(D146,[1]BDV!$F:$F,[1]BDV!$AI:$AI)</f>
        <v>1784.6</v>
      </c>
      <c r="J146" s="42">
        <f t="shared" si="6"/>
        <v>0</v>
      </c>
    </row>
    <row r="147" spans="1:10" hidden="1" x14ac:dyDescent="0.25">
      <c r="A147" t="s">
        <v>873</v>
      </c>
      <c r="B147">
        <v>0</v>
      </c>
      <c r="C147" t="s">
        <v>839</v>
      </c>
      <c r="D147">
        <f t="shared" si="7"/>
        <v>180279</v>
      </c>
      <c r="E147" s="15" t="s">
        <v>592</v>
      </c>
      <c r="F147" s="18">
        <f>+_xlfn.XLOOKUP(D147,CVS!E:E,CVS!I:I,0)</f>
        <v>1.76</v>
      </c>
      <c r="G147" s="14">
        <f>+SUMIFS('De Giorgi BDV'!C:C,'De Giorgi BDV'!D:D,D147)</f>
        <v>0</v>
      </c>
      <c r="H147" s="18">
        <f t="shared" si="8"/>
        <v>1.76</v>
      </c>
      <c r="I147" s="14">
        <f>+_xlfn.XLOOKUP(D147,[1]BDV!$F:$F,[1]BDV!$AI:$AI)</f>
        <v>1.76</v>
      </c>
      <c r="J147" s="42">
        <f t="shared" si="6"/>
        <v>0</v>
      </c>
    </row>
    <row r="148" spans="1:10" hidden="1" x14ac:dyDescent="0.25">
      <c r="A148" t="s">
        <v>873</v>
      </c>
      <c r="B148">
        <v>0</v>
      </c>
      <c r="C148" t="s">
        <v>839</v>
      </c>
      <c r="D148">
        <f t="shared" si="7"/>
        <v>180281</v>
      </c>
      <c r="E148" s="15" t="s">
        <v>593</v>
      </c>
      <c r="F148" s="18">
        <f>+_xlfn.XLOOKUP(D148,CVS!E:E,CVS!I:I,0)</f>
        <v>311.85000000000002</v>
      </c>
      <c r="G148" s="14">
        <f>+SUMIFS('De Giorgi BDV'!C:C,'De Giorgi BDV'!D:D,D148)</f>
        <v>0</v>
      </c>
      <c r="H148" s="18">
        <f t="shared" si="8"/>
        <v>311.85000000000002</v>
      </c>
      <c r="I148" s="14">
        <f>+_xlfn.XLOOKUP(D148,[1]BDV!$F:$F,[1]BDV!$AI:$AI)</f>
        <v>311.85000000000002</v>
      </c>
      <c r="J148" s="42">
        <f t="shared" si="6"/>
        <v>0</v>
      </c>
    </row>
    <row r="149" spans="1:10" hidden="1" x14ac:dyDescent="0.25">
      <c r="A149" t="s">
        <v>873</v>
      </c>
      <c r="B149">
        <v>0</v>
      </c>
      <c r="C149" t="s">
        <v>839</v>
      </c>
      <c r="D149">
        <f t="shared" si="7"/>
        <v>180283</v>
      </c>
      <c r="E149" s="15" t="s">
        <v>594</v>
      </c>
      <c r="F149" s="18">
        <f>+_xlfn.XLOOKUP(D149,CVS!E:E,CVS!I:I,0)</f>
        <v>869.98</v>
      </c>
      <c r="G149" s="14">
        <f>+SUMIFS('De Giorgi BDV'!C:C,'De Giorgi BDV'!D:D,D149)</f>
        <v>0</v>
      </c>
      <c r="H149" s="18">
        <f t="shared" si="8"/>
        <v>869.98</v>
      </c>
      <c r="I149" s="14">
        <f>+_xlfn.XLOOKUP(D149,[1]BDV!$F:$F,[1]BDV!$AI:$AI)</f>
        <v>869.98</v>
      </c>
      <c r="J149" s="42">
        <f t="shared" si="6"/>
        <v>0</v>
      </c>
    </row>
    <row r="150" spans="1:10" hidden="1" x14ac:dyDescent="0.25">
      <c r="A150" t="s">
        <v>873</v>
      </c>
      <c r="B150">
        <v>0</v>
      </c>
      <c r="C150" t="s">
        <v>839</v>
      </c>
      <c r="D150">
        <f t="shared" si="7"/>
        <v>180285</v>
      </c>
      <c r="E150" s="15" t="s">
        <v>595</v>
      </c>
      <c r="F150" s="18">
        <f>+_xlfn.XLOOKUP(D150,CVS!E:E,CVS!I:I,0)</f>
        <v>2756.07</v>
      </c>
      <c r="G150" s="14">
        <f>+SUMIFS('De Giorgi BDV'!C:C,'De Giorgi BDV'!D:D,D150)</f>
        <v>0</v>
      </c>
      <c r="H150" s="18">
        <f t="shared" si="8"/>
        <v>2756.07</v>
      </c>
      <c r="I150" s="14">
        <f>+_xlfn.XLOOKUP(D150,[1]BDV!$F:$F,[1]BDV!$AI:$AI)</f>
        <v>2756.07</v>
      </c>
      <c r="J150" s="42">
        <f t="shared" si="6"/>
        <v>0</v>
      </c>
    </row>
    <row r="151" spans="1:10" hidden="1" x14ac:dyDescent="0.25">
      <c r="A151" t="s">
        <v>873</v>
      </c>
      <c r="B151">
        <v>0</v>
      </c>
      <c r="C151" t="s">
        <v>839</v>
      </c>
      <c r="D151">
        <f t="shared" si="7"/>
        <v>180287</v>
      </c>
      <c r="E151" s="15" t="s">
        <v>596</v>
      </c>
      <c r="F151" s="18">
        <f>+_xlfn.XLOOKUP(D151,CVS!E:E,CVS!I:I,0)</f>
        <v>1318575.45</v>
      </c>
      <c r="G151" s="14">
        <f>+SUMIFS('De Giorgi BDV'!C:C,'De Giorgi BDV'!D:D,D151)</f>
        <v>0</v>
      </c>
      <c r="H151" s="18">
        <f t="shared" si="8"/>
        <v>1318575.45</v>
      </c>
      <c r="I151" s="14">
        <f>+_xlfn.XLOOKUP(D151,[1]BDV!$F:$F,[1]BDV!$AI:$AI)</f>
        <v>1318575.45</v>
      </c>
      <c r="J151" s="42">
        <f t="shared" si="6"/>
        <v>0</v>
      </c>
    </row>
    <row r="152" spans="1:10" hidden="1" x14ac:dyDescent="0.25">
      <c r="A152" t="s">
        <v>873</v>
      </c>
      <c r="B152">
        <v>0</v>
      </c>
      <c r="C152" t="s">
        <v>839</v>
      </c>
      <c r="D152">
        <f t="shared" si="7"/>
        <v>180289</v>
      </c>
      <c r="E152" s="15" t="s">
        <v>597</v>
      </c>
      <c r="F152" s="18">
        <f>+_xlfn.XLOOKUP(D152,CVS!E:E,CVS!I:I,0)</f>
        <v>2984.46</v>
      </c>
      <c r="G152" s="14">
        <f>+SUMIFS('De Giorgi BDV'!C:C,'De Giorgi BDV'!D:D,D152)</f>
        <v>0</v>
      </c>
      <c r="H152" s="18">
        <f t="shared" si="8"/>
        <v>2984.46</v>
      </c>
      <c r="I152" s="14">
        <f>+_xlfn.XLOOKUP(D152,[1]BDV!$F:$F,[1]BDV!$AI:$AI)</f>
        <v>2984.46</v>
      </c>
      <c r="J152" s="42">
        <f t="shared" si="6"/>
        <v>0</v>
      </c>
    </row>
    <row r="153" spans="1:10" hidden="1" x14ac:dyDescent="0.25">
      <c r="A153" t="s">
        <v>873</v>
      </c>
      <c r="B153">
        <v>0</v>
      </c>
      <c r="C153" t="s">
        <v>839</v>
      </c>
      <c r="D153">
        <f t="shared" si="7"/>
        <v>180291</v>
      </c>
      <c r="E153" s="15" t="s">
        <v>598</v>
      </c>
      <c r="F153" s="18">
        <f>+_xlfn.XLOOKUP(D153,CVS!E:E,CVS!I:I,0)</f>
        <v>395.41</v>
      </c>
      <c r="G153" s="14">
        <f>+SUMIFS('De Giorgi BDV'!C:C,'De Giorgi BDV'!D:D,D153)</f>
        <v>0</v>
      </c>
      <c r="H153" s="18">
        <f t="shared" si="8"/>
        <v>395.41</v>
      </c>
      <c r="I153" s="14">
        <f>+_xlfn.XLOOKUP(D153,[1]BDV!$F:$F,[1]BDV!$AI:$AI)</f>
        <v>395.41</v>
      </c>
      <c r="J153" s="42">
        <f t="shared" si="6"/>
        <v>0</v>
      </c>
    </row>
    <row r="154" spans="1:10" hidden="1" x14ac:dyDescent="0.25">
      <c r="A154" t="s">
        <v>873</v>
      </c>
      <c r="B154">
        <v>0</v>
      </c>
      <c r="C154" t="s">
        <v>839</v>
      </c>
      <c r="D154">
        <f t="shared" si="7"/>
        <v>180295</v>
      </c>
      <c r="E154" s="15" t="s">
        <v>599</v>
      </c>
      <c r="F154" s="18">
        <f>+_xlfn.XLOOKUP(D154,CVS!E:E,CVS!I:I,0)</f>
        <v>-2.25</v>
      </c>
      <c r="G154" s="14">
        <f>+SUMIFS('De Giorgi BDV'!C:C,'De Giorgi BDV'!D:D,D154)</f>
        <v>0</v>
      </c>
      <c r="H154" s="18">
        <f t="shared" si="8"/>
        <v>-2.25</v>
      </c>
      <c r="I154" s="14">
        <f>+_xlfn.XLOOKUP(D154,[1]BDV!$F:$F,[1]BDV!$AI:$AI)</f>
        <v>-2.25</v>
      </c>
      <c r="J154" s="42">
        <f t="shared" si="6"/>
        <v>0</v>
      </c>
    </row>
    <row r="155" spans="1:10" hidden="1" x14ac:dyDescent="0.25">
      <c r="A155" t="s">
        <v>873</v>
      </c>
      <c r="B155">
        <v>0</v>
      </c>
      <c r="C155" t="s">
        <v>839</v>
      </c>
      <c r="D155">
        <f t="shared" si="7"/>
        <v>180299</v>
      </c>
      <c r="E155" s="15" t="s">
        <v>600</v>
      </c>
      <c r="F155" s="18">
        <f>+_xlfn.XLOOKUP(D155,CVS!E:E,CVS!I:I,0)</f>
        <v>460.52</v>
      </c>
      <c r="G155" s="14">
        <f>+SUMIFS('De Giorgi BDV'!C:C,'De Giorgi BDV'!D:D,D155)</f>
        <v>0</v>
      </c>
      <c r="H155" s="18">
        <f t="shared" si="8"/>
        <v>460.52</v>
      </c>
      <c r="I155" s="14">
        <f>+_xlfn.XLOOKUP(D155,[1]BDV!$F:$F,[1]BDV!$AI:$AI)</f>
        <v>460.52</v>
      </c>
      <c r="J155" s="42">
        <f t="shared" si="6"/>
        <v>0</v>
      </c>
    </row>
    <row r="156" spans="1:10" hidden="1" x14ac:dyDescent="0.25">
      <c r="A156" t="s">
        <v>873</v>
      </c>
      <c r="B156">
        <v>0</v>
      </c>
      <c r="C156" t="s">
        <v>839</v>
      </c>
      <c r="D156">
        <f t="shared" si="7"/>
        <v>180301</v>
      </c>
      <c r="E156" s="15" t="s">
        <v>601</v>
      </c>
      <c r="F156" s="18">
        <f>+_xlfn.XLOOKUP(D156,CVS!E:E,CVS!I:I,0)</f>
        <v>87.78</v>
      </c>
      <c r="G156" s="14">
        <f>+SUMIFS('De Giorgi BDV'!C:C,'De Giorgi BDV'!D:D,D156)</f>
        <v>0</v>
      </c>
      <c r="H156" s="18">
        <f t="shared" si="8"/>
        <v>87.78</v>
      </c>
      <c r="I156" s="14">
        <f>+_xlfn.XLOOKUP(D156,[1]BDV!$F:$F,[1]BDV!$AI:$AI)</f>
        <v>87.78</v>
      </c>
      <c r="J156" s="42">
        <f t="shared" si="6"/>
        <v>0</v>
      </c>
    </row>
    <row r="157" spans="1:10" hidden="1" x14ac:dyDescent="0.25">
      <c r="A157" t="s">
        <v>873</v>
      </c>
      <c r="B157">
        <v>0</v>
      </c>
      <c r="C157" t="s">
        <v>839</v>
      </c>
      <c r="D157">
        <f t="shared" si="7"/>
        <v>180303</v>
      </c>
      <c r="E157" s="15" t="s">
        <v>602</v>
      </c>
      <c r="F157" s="18">
        <f>+_xlfn.XLOOKUP(D157,CVS!E:E,CVS!I:I,0)</f>
        <v>0.61</v>
      </c>
      <c r="G157" s="14">
        <f>+SUMIFS('De Giorgi BDV'!C:C,'De Giorgi BDV'!D:D,D157)</f>
        <v>0</v>
      </c>
      <c r="H157" s="18">
        <f t="shared" si="8"/>
        <v>0.61</v>
      </c>
      <c r="I157" s="14">
        <f>+_xlfn.XLOOKUP(D157,[1]BDV!$F:$F,[1]BDV!$AI:$AI)</f>
        <v>0.61</v>
      </c>
      <c r="J157" s="42">
        <f t="shared" si="6"/>
        <v>0</v>
      </c>
    </row>
    <row r="158" spans="1:10" hidden="1" x14ac:dyDescent="0.25">
      <c r="A158" t="s">
        <v>873</v>
      </c>
      <c r="B158">
        <v>0</v>
      </c>
      <c r="C158" t="s">
        <v>839</v>
      </c>
      <c r="D158">
        <f t="shared" si="7"/>
        <v>180307</v>
      </c>
      <c r="E158" s="15" t="s">
        <v>603</v>
      </c>
      <c r="F158" s="18">
        <f>+_xlfn.XLOOKUP(D158,CVS!E:E,CVS!I:I,0)</f>
        <v>-621.03</v>
      </c>
      <c r="G158" s="14">
        <f>+SUMIFS('De Giorgi BDV'!C:C,'De Giorgi BDV'!D:D,D158)</f>
        <v>0</v>
      </c>
      <c r="H158" s="18">
        <f t="shared" si="8"/>
        <v>-621.03</v>
      </c>
      <c r="I158" s="14">
        <f>+_xlfn.XLOOKUP(D158,[1]BDV!$F:$F,[1]BDV!$AI:$AI)</f>
        <v>-621.03</v>
      </c>
      <c r="J158" s="42">
        <f t="shared" si="6"/>
        <v>0</v>
      </c>
    </row>
    <row r="159" spans="1:10" hidden="1" x14ac:dyDescent="0.25">
      <c r="A159" t="s">
        <v>873</v>
      </c>
      <c r="B159">
        <v>0</v>
      </c>
      <c r="C159" t="s">
        <v>839</v>
      </c>
      <c r="D159">
        <f t="shared" si="7"/>
        <v>180309</v>
      </c>
      <c r="E159" s="15" t="s">
        <v>604</v>
      </c>
      <c r="F159" s="18">
        <f>+_xlfn.XLOOKUP(D159,CVS!E:E,CVS!I:I,0)</f>
        <v>3338.42</v>
      </c>
      <c r="G159" s="14">
        <f>+SUMIFS('De Giorgi BDV'!C:C,'De Giorgi BDV'!D:D,D159)</f>
        <v>0</v>
      </c>
      <c r="H159" s="18">
        <f t="shared" si="8"/>
        <v>3338.42</v>
      </c>
      <c r="I159" s="14">
        <f>+_xlfn.XLOOKUP(D159,[1]BDV!$F:$F,[1]BDV!$AI:$AI)</f>
        <v>3338.42</v>
      </c>
      <c r="J159" s="42">
        <f t="shared" si="6"/>
        <v>0</v>
      </c>
    </row>
    <row r="160" spans="1:10" hidden="1" x14ac:dyDescent="0.25">
      <c r="A160" t="s">
        <v>873</v>
      </c>
      <c r="B160">
        <v>0</v>
      </c>
      <c r="C160" t="s">
        <v>839</v>
      </c>
      <c r="D160">
        <f t="shared" si="7"/>
        <v>180311</v>
      </c>
      <c r="E160" s="15" t="s">
        <v>605</v>
      </c>
      <c r="F160" s="18">
        <f>+_xlfn.XLOOKUP(D160,CVS!E:E,CVS!I:I,0)</f>
        <v>-779.27</v>
      </c>
      <c r="G160" s="14">
        <f>+SUMIFS('De Giorgi BDV'!C:C,'De Giorgi BDV'!D:D,D160)</f>
        <v>0</v>
      </c>
      <c r="H160" s="18">
        <f t="shared" si="8"/>
        <v>-779.27</v>
      </c>
      <c r="I160" s="14">
        <f>+_xlfn.XLOOKUP(D160,[1]BDV!$F:$F,[1]BDV!$AI:$AI)</f>
        <v>-779.27</v>
      </c>
      <c r="J160" s="42">
        <f t="shared" si="6"/>
        <v>0</v>
      </c>
    </row>
    <row r="161" spans="1:10" hidden="1" x14ac:dyDescent="0.25">
      <c r="A161" t="s">
        <v>873</v>
      </c>
      <c r="B161">
        <v>0</v>
      </c>
      <c r="C161" t="s">
        <v>839</v>
      </c>
      <c r="D161">
        <f t="shared" si="7"/>
        <v>180313</v>
      </c>
      <c r="E161" s="15" t="s">
        <v>606</v>
      </c>
      <c r="F161" s="18">
        <f>+_xlfn.XLOOKUP(D161,CVS!E:E,CVS!I:I,0)</f>
        <v>524561.23</v>
      </c>
      <c r="G161" s="14">
        <f>+SUMIFS('De Giorgi BDV'!C:C,'De Giorgi BDV'!D:D,D161)</f>
        <v>0</v>
      </c>
      <c r="H161" s="18">
        <f t="shared" si="8"/>
        <v>524561.23</v>
      </c>
      <c r="I161" s="14">
        <f>+_xlfn.XLOOKUP(D161,[1]BDV!$F:$F,[1]BDV!$AI:$AI)</f>
        <v>524561.23</v>
      </c>
      <c r="J161" s="42">
        <f t="shared" si="6"/>
        <v>0</v>
      </c>
    </row>
    <row r="162" spans="1:10" hidden="1" x14ac:dyDescent="0.25">
      <c r="A162" t="s">
        <v>873</v>
      </c>
      <c r="B162">
        <v>0</v>
      </c>
      <c r="C162" t="s">
        <v>839</v>
      </c>
      <c r="D162">
        <f t="shared" si="7"/>
        <v>180315</v>
      </c>
      <c r="E162" s="15" t="s">
        <v>607</v>
      </c>
      <c r="F162" s="18">
        <f>+_xlfn.XLOOKUP(D162,CVS!E:E,CVS!I:I,0)</f>
        <v>0.01</v>
      </c>
      <c r="G162" s="14">
        <f>+SUMIFS('De Giorgi BDV'!C:C,'De Giorgi BDV'!D:D,D162)</f>
        <v>0</v>
      </c>
      <c r="H162" s="18">
        <f t="shared" si="8"/>
        <v>0.01</v>
      </c>
      <c r="I162" s="14">
        <f>+_xlfn.XLOOKUP(D162,[1]BDV!$F:$F,[1]BDV!$AI:$AI)</f>
        <v>0.01</v>
      </c>
      <c r="J162" s="42">
        <f t="shared" si="6"/>
        <v>0</v>
      </c>
    </row>
    <row r="163" spans="1:10" hidden="1" x14ac:dyDescent="0.25">
      <c r="A163" t="s">
        <v>873</v>
      </c>
      <c r="B163">
        <v>0</v>
      </c>
      <c r="C163" t="s">
        <v>839</v>
      </c>
      <c r="D163">
        <f t="shared" si="7"/>
        <v>180317</v>
      </c>
      <c r="E163" s="15" t="s">
        <v>608</v>
      </c>
      <c r="F163" s="18">
        <f>+_xlfn.XLOOKUP(D163,CVS!E:E,CVS!I:I,0)</f>
        <v>-587.39</v>
      </c>
      <c r="G163" s="14">
        <f>+SUMIFS('De Giorgi BDV'!C:C,'De Giorgi BDV'!D:D,D163)</f>
        <v>0</v>
      </c>
      <c r="H163" s="18">
        <f t="shared" si="8"/>
        <v>-587.39</v>
      </c>
      <c r="I163" s="14">
        <f>+_xlfn.XLOOKUP(D163,[1]BDV!$F:$F,[1]BDV!$AI:$AI)</f>
        <v>-587.39</v>
      </c>
      <c r="J163" s="42">
        <f t="shared" si="6"/>
        <v>0</v>
      </c>
    </row>
    <row r="164" spans="1:10" hidden="1" x14ac:dyDescent="0.25">
      <c r="A164" t="s">
        <v>873</v>
      </c>
      <c r="B164">
        <v>0</v>
      </c>
      <c r="C164" t="s">
        <v>839</v>
      </c>
      <c r="D164">
        <f t="shared" si="7"/>
        <v>180319</v>
      </c>
      <c r="E164" s="15" t="s">
        <v>609</v>
      </c>
      <c r="F164" s="18">
        <f>+_xlfn.XLOOKUP(D164,CVS!E:E,CVS!I:I,0)</f>
        <v>39673.79</v>
      </c>
      <c r="G164" s="14">
        <f>+SUMIFS('De Giorgi BDV'!C:C,'De Giorgi BDV'!D:D,D164)</f>
        <v>0</v>
      </c>
      <c r="H164" s="18">
        <f t="shared" si="8"/>
        <v>39673.79</v>
      </c>
      <c r="I164" s="14">
        <f>+_xlfn.XLOOKUP(D164,[1]BDV!$F:$F,[1]BDV!$AI:$AI)</f>
        <v>39673.79</v>
      </c>
      <c r="J164" s="42">
        <f t="shared" si="6"/>
        <v>0</v>
      </c>
    </row>
    <row r="165" spans="1:10" hidden="1" x14ac:dyDescent="0.25">
      <c r="A165" t="s">
        <v>873</v>
      </c>
      <c r="B165">
        <v>0</v>
      </c>
      <c r="C165" t="s">
        <v>839</v>
      </c>
      <c r="D165">
        <f t="shared" si="7"/>
        <v>180321</v>
      </c>
      <c r="E165" s="15" t="s">
        <v>610</v>
      </c>
      <c r="F165" s="18">
        <f>+_xlfn.XLOOKUP(D165,CVS!E:E,CVS!I:I,0)</f>
        <v>344830.48</v>
      </c>
      <c r="G165" s="14">
        <f>+SUMIFS('De Giorgi BDV'!C:C,'De Giorgi BDV'!D:D,D165)</f>
        <v>0</v>
      </c>
      <c r="H165" s="18">
        <f t="shared" si="8"/>
        <v>344830.48</v>
      </c>
      <c r="I165" s="14">
        <f>+_xlfn.XLOOKUP(D165,[1]BDV!$F:$F,[1]BDV!$AI:$AI)</f>
        <v>344830.48</v>
      </c>
      <c r="J165" s="42">
        <f t="shared" si="6"/>
        <v>0</v>
      </c>
    </row>
    <row r="166" spans="1:10" hidden="1" x14ac:dyDescent="0.25">
      <c r="A166" t="s">
        <v>873</v>
      </c>
      <c r="B166">
        <v>0</v>
      </c>
      <c r="C166" t="s">
        <v>839</v>
      </c>
      <c r="D166">
        <f t="shared" si="7"/>
        <v>180323</v>
      </c>
      <c r="E166" s="15" t="s">
        <v>611</v>
      </c>
      <c r="F166" s="18">
        <f>+_xlfn.XLOOKUP(D166,CVS!E:E,CVS!I:I,0)</f>
        <v>105.35</v>
      </c>
      <c r="G166" s="14">
        <f>+SUMIFS('De Giorgi BDV'!C:C,'De Giorgi BDV'!D:D,D166)</f>
        <v>0</v>
      </c>
      <c r="H166" s="18">
        <f t="shared" si="8"/>
        <v>105.35</v>
      </c>
      <c r="I166" s="14">
        <f>+_xlfn.XLOOKUP(D166,[1]BDV!$F:$F,[1]BDV!$AI:$AI)</f>
        <v>105.35</v>
      </c>
      <c r="J166" s="42">
        <f t="shared" si="6"/>
        <v>0</v>
      </c>
    </row>
    <row r="167" spans="1:10" hidden="1" x14ac:dyDescent="0.25">
      <c r="A167" t="s">
        <v>873</v>
      </c>
      <c r="B167">
        <v>0</v>
      </c>
      <c r="C167" t="s">
        <v>839</v>
      </c>
      <c r="D167">
        <f t="shared" si="7"/>
        <v>180325</v>
      </c>
      <c r="E167" s="15" t="s">
        <v>612</v>
      </c>
      <c r="F167" s="18">
        <f>+_xlfn.XLOOKUP(D167,CVS!E:E,CVS!I:I,0)</f>
        <v>240562.87</v>
      </c>
      <c r="G167" s="14">
        <f>+SUMIFS('De Giorgi BDV'!C:C,'De Giorgi BDV'!D:D,D167)</f>
        <v>0</v>
      </c>
      <c r="H167" s="18">
        <f t="shared" si="8"/>
        <v>240562.87</v>
      </c>
      <c r="I167" s="14">
        <f>+_xlfn.XLOOKUP(D167,[1]BDV!$F:$F,[1]BDV!$AI:$AI)</f>
        <v>240562.87</v>
      </c>
      <c r="J167" s="42">
        <f t="shared" si="6"/>
        <v>0</v>
      </c>
    </row>
    <row r="168" spans="1:10" hidden="1" x14ac:dyDescent="0.25">
      <c r="A168" t="s">
        <v>873</v>
      </c>
      <c r="B168">
        <v>0</v>
      </c>
      <c r="C168" t="s">
        <v>839</v>
      </c>
      <c r="D168">
        <f t="shared" si="7"/>
        <v>180327</v>
      </c>
      <c r="E168" s="15" t="s">
        <v>613</v>
      </c>
      <c r="F168" s="18">
        <f>+_xlfn.XLOOKUP(D168,CVS!E:E,CVS!I:I,0)</f>
        <v>132826.54999999999</v>
      </c>
      <c r="G168" s="14">
        <f>+SUMIFS('De Giorgi BDV'!C:C,'De Giorgi BDV'!D:D,D168)</f>
        <v>0</v>
      </c>
      <c r="H168" s="18">
        <f t="shared" si="8"/>
        <v>132826.54999999999</v>
      </c>
      <c r="I168" s="14">
        <f>+_xlfn.XLOOKUP(D168,[1]BDV!$F:$F,[1]BDV!$AI:$AI)</f>
        <v>132826.54999999999</v>
      </c>
      <c r="J168" s="42">
        <f t="shared" si="6"/>
        <v>0</v>
      </c>
    </row>
    <row r="169" spans="1:10" hidden="1" x14ac:dyDescent="0.25">
      <c r="A169" t="s">
        <v>873</v>
      </c>
      <c r="B169">
        <v>0</v>
      </c>
      <c r="C169" t="s">
        <v>839</v>
      </c>
      <c r="D169">
        <f t="shared" si="7"/>
        <v>180329</v>
      </c>
      <c r="E169" s="15" t="s">
        <v>614</v>
      </c>
      <c r="F169" s="18">
        <f>+_xlfn.XLOOKUP(D169,CVS!E:E,CVS!I:I,0)</f>
        <v>322932.67</v>
      </c>
      <c r="G169" s="14">
        <f>+SUMIFS('De Giorgi BDV'!C:C,'De Giorgi BDV'!D:D,D169)</f>
        <v>0</v>
      </c>
      <c r="H169" s="18">
        <f t="shared" si="8"/>
        <v>322932.67</v>
      </c>
      <c r="I169" s="14">
        <f>+_xlfn.XLOOKUP(D169,[1]BDV!$F:$F,[1]BDV!$AI:$AI)</f>
        <v>322932.67</v>
      </c>
      <c r="J169" s="42">
        <f t="shared" si="6"/>
        <v>0</v>
      </c>
    </row>
    <row r="170" spans="1:10" hidden="1" x14ac:dyDescent="0.25">
      <c r="A170" t="s">
        <v>873</v>
      </c>
      <c r="B170">
        <v>0</v>
      </c>
      <c r="C170" t="s">
        <v>839</v>
      </c>
      <c r="D170">
        <f t="shared" si="7"/>
        <v>180331</v>
      </c>
      <c r="E170" s="15" t="s">
        <v>615</v>
      </c>
      <c r="F170" s="18">
        <f>+_xlfn.XLOOKUP(D170,CVS!E:E,CVS!I:I,0)</f>
        <v>68270.009999999995</v>
      </c>
      <c r="G170" s="14">
        <f>+SUMIFS('De Giorgi BDV'!C:C,'De Giorgi BDV'!D:D,D170)</f>
        <v>0</v>
      </c>
      <c r="H170" s="18">
        <f t="shared" si="8"/>
        <v>68270.009999999995</v>
      </c>
      <c r="I170" s="14">
        <f>+_xlfn.XLOOKUP(D170,[1]BDV!$F:$F,[1]BDV!$AI:$AI)</f>
        <v>68270.009999999995</v>
      </c>
      <c r="J170" s="42">
        <f t="shared" si="6"/>
        <v>0</v>
      </c>
    </row>
    <row r="171" spans="1:10" hidden="1" x14ac:dyDescent="0.25">
      <c r="A171" t="s">
        <v>873</v>
      </c>
      <c r="B171">
        <v>0</v>
      </c>
      <c r="C171" t="s">
        <v>839</v>
      </c>
      <c r="D171">
        <f t="shared" si="7"/>
        <v>180333</v>
      </c>
      <c r="E171" s="15" t="s">
        <v>616</v>
      </c>
      <c r="F171" s="18">
        <f>+_xlfn.XLOOKUP(D171,CVS!E:E,CVS!I:I,0)</f>
        <v>21886.84</v>
      </c>
      <c r="G171" s="14">
        <f>+SUMIFS('De Giorgi BDV'!C:C,'De Giorgi BDV'!D:D,D171)</f>
        <v>0</v>
      </c>
      <c r="H171" s="18">
        <f t="shared" si="8"/>
        <v>21886.84</v>
      </c>
      <c r="I171" s="14">
        <f>+_xlfn.XLOOKUP(D171,[1]BDV!$F:$F,[1]BDV!$AI:$AI)</f>
        <v>21886.84</v>
      </c>
      <c r="J171" s="42">
        <f t="shared" si="6"/>
        <v>0</v>
      </c>
    </row>
    <row r="172" spans="1:10" hidden="1" x14ac:dyDescent="0.25">
      <c r="A172" t="s">
        <v>873</v>
      </c>
      <c r="B172">
        <v>0</v>
      </c>
      <c r="C172" t="s">
        <v>839</v>
      </c>
      <c r="D172">
        <f t="shared" si="7"/>
        <v>180335</v>
      </c>
      <c r="E172" s="15" t="s">
        <v>617</v>
      </c>
      <c r="F172" s="18">
        <f>+_xlfn.XLOOKUP(D172,CVS!E:E,CVS!I:I,0)</f>
        <v>96.16</v>
      </c>
      <c r="G172" s="14">
        <f>+SUMIFS('De Giorgi BDV'!C:C,'De Giorgi BDV'!D:D,D172)</f>
        <v>0</v>
      </c>
      <c r="H172" s="18">
        <f t="shared" si="8"/>
        <v>96.16</v>
      </c>
      <c r="I172" s="14">
        <f>+_xlfn.XLOOKUP(D172,[1]BDV!$F:$F,[1]BDV!$AI:$AI)</f>
        <v>96.16</v>
      </c>
      <c r="J172" s="42">
        <f t="shared" si="6"/>
        <v>0</v>
      </c>
    </row>
    <row r="173" spans="1:10" hidden="1" x14ac:dyDescent="0.25">
      <c r="A173" t="s">
        <v>873</v>
      </c>
      <c r="B173">
        <v>0</v>
      </c>
      <c r="C173" t="s">
        <v>839</v>
      </c>
      <c r="D173">
        <f t="shared" si="7"/>
        <v>180337</v>
      </c>
      <c r="E173" s="15" t="s">
        <v>618</v>
      </c>
      <c r="F173" s="18">
        <f>+_xlfn.XLOOKUP(D173,CVS!E:E,CVS!I:I,0)</f>
        <v>1451695.41</v>
      </c>
      <c r="G173" s="14">
        <f>+SUMIFS('De Giorgi BDV'!C:C,'De Giorgi BDV'!D:D,D173)</f>
        <v>0</v>
      </c>
      <c r="H173" s="18">
        <f t="shared" si="8"/>
        <v>1451695.41</v>
      </c>
      <c r="I173" s="14">
        <f>+_xlfn.XLOOKUP(D173,[1]BDV!$F:$F,[1]BDV!$AI:$AI)</f>
        <v>1451695.41</v>
      </c>
      <c r="J173" s="42">
        <f t="shared" si="6"/>
        <v>0</v>
      </c>
    </row>
    <row r="174" spans="1:10" hidden="1" x14ac:dyDescent="0.25">
      <c r="A174" t="s">
        <v>873</v>
      </c>
      <c r="B174">
        <v>0</v>
      </c>
      <c r="C174" t="s">
        <v>839</v>
      </c>
      <c r="D174">
        <f t="shared" si="7"/>
        <v>180351</v>
      </c>
      <c r="E174" s="15" t="s">
        <v>619</v>
      </c>
      <c r="F174" s="18">
        <f>+_xlfn.XLOOKUP(D174,CVS!E:E,CVS!I:I,0)</f>
        <v>18937.43</v>
      </c>
      <c r="G174" s="14">
        <f>+SUMIFS('De Giorgi BDV'!C:C,'De Giorgi BDV'!D:D,D174)</f>
        <v>0</v>
      </c>
      <c r="H174" s="18">
        <f t="shared" si="8"/>
        <v>18937.43</v>
      </c>
      <c r="I174" s="14">
        <f>+_xlfn.XLOOKUP(D174,[1]BDV!$F:$F,[1]BDV!$AI:$AI)</f>
        <v>18937.43</v>
      </c>
      <c r="J174" s="42">
        <f t="shared" si="6"/>
        <v>0</v>
      </c>
    </row>
    <row r="175" spans="1:10" hidden="1" x14ac:dyDescent="0.25">
      <c r="A175" t="s">
        <v>873</v>
      </c>
      <c r="B175">
        <v>0</v>
      </c>
      <c r="C175" t="s">
        <v>841</v>
      </c>
      <c r="D175">
        <f t="shared" si="7"/>
        <v>200203</v>
      </c>
      <c r="E175" s="15" t="s">
        <v>620</v>
      </c>
      <c r="F175" s="18">
        <f>+_xlfn.XLOOKUP(D175,CVS!E:E,CVS!I:I,0)</f>
        <v>-214497.64</v>
      </c>
      <c r="G175" s="14">
        <f>+SUMIFS('De Giorgi BDV'!C:C,'De Giorgi BDV'!D:D,D175)</f>
        <v>-994.37</v>
      </c>
      <c r="H175" s="18">
        <f t="shared" si="8"/>
        <v>-215492.01</v>
      </c>
      <c r="I175" s="14">
        <f>+_xlfn.XLOOKUP(D175,[1]BDV!$F:$F,[1]BDV!$AI:$AI)</f>
        <v>-215492.01</v>
      </c>
      <c r="J175" s="42">
        <f t="shared" si="6"/>
        <v>0</v>
      </c>
    </row>
    <row r="176" spans="1:10" hidden="1" x14ac:dyDescent="0.25">
      <c r="A176" t="s">
        <v>873</v>
      </c>
      <c r="B176">
        <v>0</v>
      </c>
      <c r="C176" t="s">
        <v>842</v>
      </c>
      <c r="D176">
        <f t="shared" si="7"/>
        <v>220201</v>
      </c>
      <c r="E176" s="15" t="s">
        <v>621</v>
      </c>
      <c r="F176" s="18">
        <f>+_xlfn.XLOOKUP(D176,CVS!E:E,CVS!I:I,0)</f>
        <v>-1699000</v>
      </c>
      <c r="G176" s="14">
        <f>+SUMIFS('De Giorgi BDV'!C:C,'De Giorgi BDV'!D:D,D176)</f>
        <v>-100000</v>
      </c>
      <c r="H176" s="18">
        <f t="shared" si="8"/>
        <v>-1799000</v>
      </c>
      <c r="I176" s="14">
        <f>+_xlfn.XLOOKUP(D176,[1]BDV!$F:$F,[1]BDV!$AI:$AI)</f>
        <v>-1799000</v>
      </c>
      <c r="J176" s="42">
        <f t="shared" si="6"/>
        <v>0</v>
      </c>
    </row>
    <row r="177" spans="1:10" hidden="1" x14ac:dyDescent="0.25">
      <c r="A177" t="s">
        <v>873</v>
      </c>
      <c r="B177">
        <v>0</v>
      </c>
      <c r="C177" t="s">
        <v>843</v>
      </c>
      <c r="D177">
        <f t="shared" si="7"/>
        <v>220207</v>
      </c>
      <c r="E177" s="15" t="s">
        <v>622</v>
      </c>
      <c r="F177" s="18">
        <f>+_xlfn.XLOOKUP(D177,CVS!E:E,CVS!I:I,0)</f>
        <v>-320642.71999999997</v>
      </c>
      <c r="G177" s="14">
        <f>+SUMIFS('De Giorgi BDV'!C:C,'De Giorgi BDV'!D:D,D177)</f>
        <v>-20000</v>
      </c>
      <c r="H177" s="18">
        <f t="shared" si="8"/>
        <v>-340642.72</v>
      </c>
      <c r="I177" s="14">
        <f>+_xlfn.XLOOKUP(D177,[1]BDV!$F:$F,[1]BDV!$AI:$AI)</f>
        <v>-340642.72</v>
      </c>
      <c r="J177" s="42">
        <f t="shared" si="6"/>
        <v>0</v>
      </c>
    </row>
    <row r="178" spans="1:10" hidden="1" x14ac:dyDescent="0.25">
      <c r="A178" t="s">
        <v>873</v>
      </c>
      <c r="B178">
        <v>0</v>
      </c>
      <c r="C178" t="s">
        <v>833</v>
      </c>
      <c r="D178">
        <f t="shared" si="7"/>
        <v>220209</v>
      </c>
      <c r="E178" s="15" t="s">
        <v>623</v>
      </c>
      <c r="F178" s="18">
        <f>+_xlfn.XLOOKUP(D178,CVS!E:E,CVS!I:I,0)</f>
        <v>-1369957.26</v>
      </c>
      <c r="G178" s="14">
        <f>+SUMIFS('De Giorgi BDV'!C:C,'De Giorgi BDV'!D:D,D178)</f>
        <v>-1316043.9099999999</v>
      </c>
      <c r="H178" s="18">
        <f t="shared" si="8"/>
        <v>-2686001.17</v>
      </c>
      <c r="I178" s="14">
        <f>+_xlfn.XLOOKUP(D178,[1]BDV!$F:$F,[1]BDV!$AI:$AI)</f>
        <v>-2686001.17</v>
      </c>
      <c r="J178" s="42">
        <f t="shared" si="6"/>
        <v>0</v>
      </c>
    </row>
    <row r="179" spans="1:10" hidden="1" x14ac:dyDescent="0.25">
      <c r="A179" t="s">
        <v>873</v>
      </c>
      <c r="B179">
        <v>0</v>
      </c>
      <c r="C179" t="s">
        <v>833</v>
      </c>
      <c r="D179">
        <f t="shared" si="7"/>
        <v>220213</v>
      </c>
      <c r="E179" s="15" t="s">
        <v>624</v>
      </c>
      <c r="F179" s="18">
        <f>+_xlfn.XLOOKUP(D179,CVS!E:E,CVS!I:I,0)</f>
        <v>6367.63</v>
      </c>
      <c r="G179" s="14">
        <f>+SUMIFS('De Giorgi BDV'!C:C,'De Giorgi BDV'!D:D,D179)</f>
        <v>0</v>
      </c>
      <c r="H179" s="18">
        <f t="shared" si="8"/>
        <v>6367.63</v>
      </c>
      <c r="I179" s="14">
        <f>+_xlfn.XLOOKUP(D179,[1]BDV!$F:$F,[1]BDV!$AI:$AI)</f>
        <v>6367.63</v>
      </c>
      <c r="J179" s="42">
        <f t="shared" si="6"/>
        <v>0</v>
      </c>
    </row>
    <row r="180" spans="1:10" hidden="1" x14ac:dyDescent="0.25">
      <c r="A180" t="s">
        <v>873</v>
      </c>
      <c r="B180">
        <v>0</v>
      </c>
      <c r="C180" t="s">
        <v>844</v>
      </c>
      <c r="D180">
        <f t="shared" si="7"/>
        <v>220215</v>
      </c>
      <c r="E180" s="15" t="s">
        <v>625</v>
      </c>
      <c r="F180" s="18">
        <f>+_xlfn.XLOOKUP(D180,CVS!E:E,CVS!I:I,0)</f>
        <v>-193410191</v>
      </c>
      <c r="G180" s="14">
        <f>+SUMIFS('De Giorgi BDV'!C:C,'De Giorgi BDV'!D:D,D180)</f>
        <v>0</v>
      </c>
      <c r="H180" s="18">
        <f t="shared" si="8"/>
        <v>-193410191</v>
      </c>
      <c r="I180" s="14">
        <f>+_xlfn.XLOOKUP(D180,[1]BDV!$F:$F,[1]BDV!$AI:$AI)</f>
        <v>-193410191</v>
      </c>
      <c r="J180" s="42">
        <f t="shared" si="6"/>
        <v>0</v>
      </c>
    </row>
    <row r="181" spans="1:10" hidden="1" x14ac:dyDescent="0.25">
      <c r="A181" t="s">
        <v>873</v>
      </c>
      <c r="B181">
        <v>0</v>
      </c>
      <c r="C181" t="s">
        <v>845</v>
      </c>
      <c r="D181">
        <f t="shared" si="7"/>
        <v>220217</v>
      </c>
      <c r="E181" s="15" t="s">
        <v>626</v>
      </c>
      <c r="F181" s="18">
        <f>+_xlfn.XLOOKUP(D181,CVS!E:E,CVS!I:I,0)</f>
        <v>-3547477.14</v>
      </c>
      <c r="G181" s="14">
        <f>+SUMIFS('De Giorgi BDV'!C:C,'De Giorgi BDV'!D:D,D181)</f>
        <v>0</v>
      </c>
      <c r="H181" s="18">
        <f t="shared" si="8"/>
        <v>-3547477.14</v>
      </c>
      <c r="I181" s="14">
        <f>+_xlfn.XLOOKUP(D181,[1]BDV!$F:$F,[1]BDV!$AI:$AI)</f>
        <v>-3547477.14</v>
      </c>
      <c r="J181" s="42">
        <f t="shared" si="6"/>
        <v>0</v>
      </c>
    </row>
    <row r="182" spans="1:10" hidden="1" x14ac:dyDescent="0.25">
      <c r="A182" t="s">
        <v>873</v>
      </c>
      <c r="B182">
        <v>0</v>
      </c>
      <c r="C182" t="s">
        <v>845</v>
      </c>
      <c r="D182">
        <f t="shared" si="7"/>
        <v>220219</v>
      </c>
      <c r="E182" s="15" t="s">
        <v>627</v>
      </c>
      <c r="F182" s="18">
        <f>+_xlfn.XLOOKUP(D182,CVS!E:E,CVS!I:I,0)</f>
        <v>1405</v>
      </c>
      <c r="G182" s="14">
        <f>+SUMIFS('De Giorgi BDV'!C:C,'De Giorgi BDV'!D:D,D182)</f>
        <v>0</v>
      </c>
      <c r="H182" s="18">
        <f t="shared" si="8"/>
        <v>1405</v>
      </c>
      <c r="I182" s="14">
        <f>+_xlfn.XLOOKUP(D182,[1]BDV!$F:$F,[1]BDV!$AI:$AI)</f>
        <v>1405</v>
      </c>
      <c r="J182" s="42">
        <f t="shared" si="6"/>
        <v>0</v>
      </c>
    </row>
    <row r="183" spans="1:10" hidden="1" x14ac:dyDescent="0.25">
      <c r="A183" t="s">
        <v>873</v>
      </c>
      <c r="B183">
        <v>0</v>
      </c>
      <c r="C183" t="s">
        <v>845</v>
      </c>
      <c r="D183">
        <f t="shared" si="7"/>
        <v>220221</v>
      </c>
      <c r="E183" s="15" t="s">
        <v>628</v>
      </c>
      <c r="F183" s="18">
        <f>+_xlfn.XLOOKUP(D183,CVS!E:E,CVS!I:I,0)</f>
        <v>-1</v>
      </c>
      <c r="G183" s="14">
        <f>+SUMIFS('De Giorgi BDV'!C:C,'De Giorgi BDV'!D:D,D183)</f>
        <v>0</v>
      </c>
      <c r="H183" s="18">
        <f t="shared" si="8"/>
        <v>-1</v>
      </c>
      <c r="I183" s="14">
        <f>+_xlfn.XLOOKUP(D183,[1]BDV!$F:$F,[1]BDV!$AI:$AI)</f>
        <v>-1</v>
      </c>
      <c r="J183" s="42">
        <f t="shared" si="6"/>
        <v>0</v>
      </c>
    </row>
    <row r="184" spans="1:10" hidden="1" x14ac:dyDescent="0.25">
      <c r="A184" t="s">
        <v>873</v>
      </c>
      <c r="B184">
        <v>0</v>
      </c>
      <c r="C184" t="s">
        <v>833</v>
      </c>
      <c r="D184">
        <f t="shared" si="7"/>
        <v>220225</v>
      </c>
      <c r="E184" s="15" t="s">
        <v>629</v>
      </c>
      <c r="F184" s="18">
        <f>+_xlfn.XLOOKUP(D184,CVS!E:E,CVS!I:I,0)</f>
        <v>-19537123.109999999</v>
      </c>
      <c r="G184" s="14">
        <f>+SUMIFS('De Giorgi BDV'!C:C,'De Giorgi BDV'!D:D,D184)</f>
        <v>0</v>
      </c>
      <c r="H184" s="18">
        <f t="shared" si="8"/>
        <v>-19537123.109999999</v>
      </c>
      <c r="I184" s="14">
        <f>+_xlfn.XLOOKUP(D184,[1]BDV!$F:$F,[1]BDV!$AI:$AI)</f>
        <v>-19537123.109999999</v>
      </c>
      <c r="J184" s="42">
        <f t="shared" si="6"/>
        <v>0</v>
      </c>
    </row>
    <row r="185" spans="1:10" hidden="1" x14ac:dyDescent="0.25">
      <c r="A185" t="s">
        <v>873</v>
      </c>
      <c r="B185">
        <v>0</v>
      </c>
      <c r="C185" t="s">
        <v>833</v>
      </c>
      <c r="D185">
        <f t="shared" si="7"/>
        <v>220227</v>
      </c>
      <c r="E185" s="15" t="s">
        <v>630</v>
      </c>
      <c r="F185" s="18">
        <f>+_xlfn.XLOOKUP(D185,CVS!E:E,CVS!I:I,0)</f>
        <v>-747631</v>
      </c>
      <c r="G185" s="14">
        <f>+SUMIFS('De Giorgi BDV'!C:C,'De Giorgi BDV'!D:D,D185)</f>
        <v>0</v>
      </c>
      <c r="H185" s="18">
        <f t="shared" si="8"/>
        <v>-747631</v>
      </c>
      <c r="I185" s="14">
        <f>+_xlfn.XLOOKUP(D185,[1]BDV!$F:$F,[1]BDV!$AI:$AI)</f>
        <v>-747631</v>
      </c>
      <c r="J185" s="42">
        <f t="shared" si="6"/>
        <v>0</v>
      </c>
    </row>
    <row r="186" spans="1:10" hidden="1" x14ac:dyDescent="0.25">
      <c r="A186" t="s">
        <v>873</v>
      </c>
      <c r="B186">
        <v>0</v>
      </c>
      <c r="C186" t="s">
        <v>842</v>
      </c>
      <c r="D186">
        <f t="shared" si="7"/>
        <v>220233</v>
      </c>
      <c r="E186" s="15" t="s">
        <v>631</v>
      </c>
      <c r="F186" s="18">
        <f>+_xlfn.XLOOKUP(D186,CVS!E:E,CVS!I:I,0)</f>
        <v>1075640.1100000001</v>
      </c>
      <c r="G186" s="14">
        <f>+SUMIFS('De Giorgi BDV'!C:C,'De Giorgi BDV'!D:D,D186)</f>
        <v>0</v>
      </c>
      <c r="H186" s="18">
        <f t="shared" si="8"/>
        <v>1075640.1100000001</v>
      </c>
      <c r="I186" s="14">
        <f>+_xlfn.XLOOKUP(D186,[1]BDV!$F:$F,[1]BDV!$AI:$AI)</f>
        <v>1075640.1100000001</v>
      </c>
      <c r="J186" s="42">
        <f t="shared" si="6"/>
        <v>0</v>
      </c>
    </row>
    <row r="187" spans="1:10" hidden="1" x14ac:dyDescent="0.25">
      <c r="A187" t="s">
        <v>873</v>
      </c>
      <c r="B187">
        <v>0</v>
      </c>
      <c r="C187" t="s">
        <v>842</v>
      </c>
      <c r="D187">
        <f t="shared" si="7"/>
        <v>220235</v>
      </c>
      <c r="E187" s="15" t="s">
        <v>632</v>
      </c>
      <c r="F187" s="18">
        <f>+_xlfn.XLOOKUP(D187,CVS!E:E,CVS!I:I,0)</f>
        <v>-36817.82</v>
      </c>
      <c r="G187" s="14">
        <f>+SUMIFS('De Giorgi BDV'!C:C,'De Giorgi BDV'!D:D,D187)</f>
        <v>0</v>
      </c>
      <c r="H187" s="18">
        <f t="shared" si="8"/>
        <v>-36817.82</v>
      </c>
      <c r="I187" s="14">
        <f>+_xlfn.XLOOKUP(D187,[1]BDV!$F:$F,[1]BDV!$AI:$AI)</f>
        <v>-36817.82</v>
      </c>
      <c r="J187" s="42">
        <f t="shared" si="6"/>
        <v>0</v>
      </c>
    </row>
    <row r="188" spans="1:10" hidden="1" x14ac:dyDescent="0.25">
      <c r="A188" t="s">
        <v>873</v>
      </c>
      <c r="B188">
        <v>0</v>
      </c>
      <c r="C188" t="s">
        <v>842</v>
      </c>
      <c r="D188">
        <f t="shared" si="7"/>
        <v>220237</v>
      </c>
      <c r="E188" s="15" t="s">
        <v>633</v>
      </c>
      <c r="F188" s="18">
        <f>+_xlfn.XLOOKUP(D188,CVS!E:E,CVS!I:I,0)</f>
        <v>-16075</v>
      </c>
      <c r="G188" s="14">
        <f>+SUMIFS('De Giorgi BDV'!C:C,'De Giorgi BDV'!D:D,D188)</f>
        <v>0</v>
      </c>
      <c r="H188" s="18">
        <f t="shared" si="8"/>
        <v>-16075</v>
      </c>
      <c r="I188" s="14">
        <f>+_xlfn.XLOOKUP(D188,[1]BDV!$F:$F,[1]BDV!$AI:$AI)</f>
        <v>-16075</v>
      </c>
      <c r="J188" s="42">
        <f t="shared" si="6"/>
        <v>0</v>
      </c>
    </row>
    <row r="189" spans="1:10" hidden="1" x14ac:dyDescent="0.25">
      <c r="A189" t="s">
        <v>873</v>
      </c>
      <c r="B189">
        <v>0</v>
      </c>
      <c r="C189" t="s">
        <v>846</v>
      </c>
      <c r="D189">
        <f t="shared" si="7"/>
        <v>240201</v>
      </c>
      <c r="E189" s="15" t="s">
        <v>634</v>
      </c>
      <c r="F189" s="18">
        <f>+_xlfn.XLOOKUP(D189,CVS!E:E,CVS!I:I,0)</f>
        <v>-524</v>
      </c>
      <c r="G189" s="14">
        <f>+SUMIFS('De Giorgi BDV'!C:C,'De Giorgi BDV'!D:D,D189)</f>
        <v>0</v>
      </c>
      <c r="H189" s="18">
        <f t="shared" si="8"/>
        <v>-524</v>
      </c>
      <c r="I189" s="14">
        <f>+_xlfn.XLOOKUP(D189,[1]BDV!$F:$F,[1]BDV!$AI:$AI)</f>
        <v>-524</v>
      </c>
      <c r="J189" s="42">
        <f t="shared" si="6"/>
        <v>0</v>
      </c>
    </row>
    <row r="190" spans="1:10" hidden="1" x14ac:dyDescent="0.25">
      <c r="A190" t="s">
        <v>873</v>
      </c>
      <c r="B190">
        <v>0</v>
      </c>
      <c r="C190" t="s">
        <v>847</v>
      </c>
      <c r="D190">
        <f t="shared" si="7"/>
        <v>240219</v>
      </c>
      <c r="E190" s="15" t="s">
        <v>635</v>
      </c>
      <c r="F190" s="18">
        <f>+_xlfn.XLOOKUP(D190,CVS!E:E,CVS!I:I,0)</f>
        <v>-6867686.9100000001</v>
      </c>
      <c r="G190" s="14">
        <f>+SUMIFS('De Giorgi BDV'!C:C,'De Giorgi BDV'!D:D,D190)</f>
        <v>-12332.93</v>
      </c>
      <c r="H190" s="18">
        <f t="shared" si="8"/>
        <v>-6880019.8399999999</v>
      </c>
      <c r="I190" s="14">
        <f>+_xlfn.XLOOKUP(D190,[1]BDV!$F:$F,[1]BDV!$AI:$AI)</f>
        <v>-6880019.8399999999</v>
      </c>
      <c r="J190" s="42">
        <f t="shared" si="6"/>
        <v>0</v>
      </c>
    </row>
    <row r="191" spans="1:10" hidden="1" x14ac:dyDescent="0.25">
      <c r="A191" t="s">
        <v>873</v>
      </c>
      <c r="B191">
        <v>0</v>
      </c>
      <c r="C191" t="s">
        <v>846</v>
      </c>
      <c r="D191">
        <f t="shared" si="7"/>
        <v>240223</v>
      </c>
      <c r="E191" s="15" t="s">
        <v>636</v>
      </c>
      <c r="F191" s="18">
        <f>+_xlfn.XLOOKUP(D191,CVS!E:E,CVS!I:I,0)</f>
        <v>-689613.15</v>
      </c>
      <c r="G191" s="14">
        <f>+SUMIFS('De Giorgi BDV'!C:C,'De Giorgi BDV'!D:D,D191)</f>
        <v>0</v>
      </c>
      <c r="H191" s="18">
        <f t="shared" si="8"/>
        <v>-689613.15</v>
      </c>
      <c r="I191" s="14">
        <f>+_xlfn.XLOOKUP(D191,[1]BDV!$F:$F,[1]BDV!$AI:$AI)</f>
        <v>-689613.15</v>
      </c>
      <c r="J191" s="42">
        <f t="shared" si="6"/>
        <v>0</v>
      </c>
    </row>
    <row r="192" spans="1:10" hidden="1" x14ac:dyDescent="0.25">
      <c r="A192" t="s">
        <v>873</v>
      </c>
      <c r="B192">
        <v>0</v>
      </c>
      <c r="C192" t="s">
        <v>846</v>
      </c>
      <c r="D192">
        <f t="shared" si="7"/>
        <v>240225</v>
      </c>
      <c r="E192" s="15" t="s">
        <v>637</v>
      </c>
      <c r="F192" s="18">
        <f>+_xlfn.XLOOKUP(D192,CVS!E:E,CVS!I:I,0)</f>
        <v>-8390.2999999999993</v>
      </c>
      <c r="G192" s="14">
        <f>+SUMIFS('De Giorgi BDV'!C:C,'De Giorgi BDV'!D:D,D192)</f>
        <v>0</v>
      </c>
      <c r="H192" s="18">
        <f t="shared" si="8"/>
        <v>-8390.2999999999993</v>
      </c>
      <c r="I192" s="14">
        <f>+_xlfn.XLOOKUP(D192,[1]BDV!$F:$F,[1]BDV!$AI:$AI)</f>
        <v>-8390.2999999999993</v>
      </c>
      <c r="J192" s="42">
        <f t="shared" si="6"/>
        <v>0</v>
      </c>
    </row>
    <row r="193" spans="1:10" hidden="1" x14ac:dyDescent="0.25">
      <c r="A193" t="s">
        <v>873</v>
      </c>
      <c r="B193">
        <v>0</v>
      </c>
      <c r="C193" t="s">
        <v>846</v>
      </c>
      <c r="D193">
        <f t="shared" si="7"/>
        <v>240227</v>
      </c>
      <c r="E193" s="15" t="s">
        <v>638</v>
      </c>
      <c r="F193" s="18">
        <f>+_xlfn.XLOOKUP(D193,CVS!E:E,CVS!I:I,0)</f>
        <v>-721576.75</v>
      </c>
      <c r="G193" s="14">
        <f>+SUMIFS('De Giorgi BDV'!C:C,'De Giorgi BDV'!D:D,D193)</f>
        <v>0</v>
      </c>
      <c r="H193" s="18">
        <f t="shared" si="8"/>
        <v>-721576.75</v>
      </c>
      <c r="I193" s="14">
        <f>+_xlfn.XLOOKUP(D193,[1]BDV!$F:$F,[1]BDV!$AI:$AI)</f>
        <v>-721576.75</v>
      </c>
      <c r="J193" s="42">
        <f t="shared" si="6"/>
        <v>0</v>
      </c>
    </row>
    <row r="194" spans="1:10" hidden="1" x14ac:dyDescent="0.25">
      <c r="A194" t="s">
        <v>873</v>
      </c>
      <c r="B194">
        <v>0</v>
      </c>
      <c r="C194" t="s">
        <v>848</v>
      </c>
      <c r="D194">
        <f t="shared" si="7"/>
        <v>260201</v>
      </c>
      <c r="E194" s="15" t="s">
        <v>639</v>
      </c>
      <c r="F194" s="18">
        <f>+_xlfn.XLOOKUP(D194,CVS!E:E,CVS!I:I,0)</f>
        <v>-952563.54</v>
      </c>
      <c r="G194" s="14">
        <f>+SUMIFS('De Giorgi BDV'!C:C,'De Giorgi BDV'!D:D,D194)</f>
        <v>-56206.46</v>
      </c>
      <c r="H194" s="18">
        <f t="shared" si="8"/>
        <v>-1008770</v>
      </c>
      <c r="I194" s="14">
        <f>+_xlfn.XLOOKUP(D194,[1]BDV!$F:$F,[1]BDV!$AI:$AI)</f>
        <v>-1008770</v>
      </c>
      <c r="J194" s="42">
        <f t="shared" si="6"/>
        <v>0</v>
      </c>
    </row>
    <row r="195" spans="1:10" hidden="1" x14ac:dyDescent="0.25">
      <c r="A195" t="s">
        <v>873</v>
      </c>
      <c r="B195">
        <v>0</v>
      </c>
      <c r="C195" t="s">
        <v>840</v>
      </c>
      <c r="D195">
        <f t="shared" si="7"/>
        <v>280221</v>
      </c>
      <c r="E195" s="15" t="s">
        <v>640</v>
      </c>
      <c r="F195" s="18">
        <f>+_xlfn.XLOOKUP(D195,CVS!E:E,CVS!I:I,0)</f>
        <v>327623.67999999999</v>
      </c>
      <c r="G195" s="14">
        <f>+SUMIFS('De Giorgi BDV'!C:C,'De Giorgi BDV'!D:D,D195)</f>
        <v>0</v>
      </c>
      <c r="H195" s="18">
        <f t="shared" si="8"/>
        <v>327623.67999999999</v>
      </c>
      <c r="I195" s="14">
        <f>+_xlfn.XLOOKUP(D195,[1]BDV!$F:$F,[1]BDV!$AI:$AI)</f>
        <v>327623.67999999999</v>
      </c>
      <c r="J195" s="42">
        <f t="shared" si="6"/>
        <v>0</v>
      </c>
    </row>
    <row r="196" spans="1:10" hidden="1" x14ac:dyDescent="0.25">
      <c r="A196" t="s">
        <v>873</v>
      </c>
      <c r="B196">
        <v>0</v>
      </c>
      <c r="C196" t="s">
        <v>849</v>
      </c>
      <c r="D196">
        <f t="shared" si="7"/>
        <v>280403</v>
      </c>
      <c r="E196" s="15" t="s">
        <v>641</v>
      </c>
      <c r="F196" s="18">
        <f>+_xlfn.XLOOKUP(D196,CVS!E:E,CVS!I:I,0)</f>
        <v>-263994.92</v>
      </c>
      <c r="G196" s="14">
        <f>+SUMIFS('De Giorgi BDV'!C:C,'De Giorgi BDV'!D:D,D196)</f>
        <v>0</v>
      </c>
      <c r="H196" s="18">
        <f t="shared" si="8"/>
        <v>-263994.92</v>
      </c>
      <c r="I196" s="14">
        <f>+_xlfn.XLOOKUP(D196,[1]BDV!$F:$F,[1]BDV!$AI:$AI)</f>
        <v>-263994.92</v>
      </c>
      <c r="J196" s="42">
        <f t="shared" si="6"/>
        <v>0</v>
      </c>
    </row>
    <row r="197" spans="1:10" hidden="1" x14ac:dyDescent="0.25">
      <c r="A197" t="s">
        <v>873</v>
      </c>
      <c r="B197">
        <v>0</v>
      </c>
      <c r="C197" t="s">
        <v>840</v>
      </c>
      <c r="D197">
        <f t="shared" si="7"/>
        <v>280405</v>
      </c>
      <c r="E197" s="15" t="s">
        <v>642</v>
      </c>
      <c r="F197" s="18">
        <f>+_xlfn.XLOOKUP(D197,CVS!E:E,CVS!I:I,0)</f>
        <v>-1445322.96</v>
      </c>
      <c r="G197" s="14">
        <f>+SUMIFS('De Giorgi BDV'!C:C,'De Giorgi BDV'!D:D,D197)</f>
        <v>0</v>
      </c>
      <c r="H197" s="18">
        <f t="shared" si="8"/>
        <v>-1445322.96</v>
      </c>
      <c r="I197" s="14">
        <f>+_xlfn.XLOOKUP(D197,[1]BDV!$F:$F,[1]BDV!$AI:$AI)</f>
        <v>-1445322.96</v>
      </c>
      <c r="J197" s="42">
        <f t="shared" ref="J197:J260" si="9">+H197-I197</f>
        <v>0</v>
      </c>
    </row>
    <row r="198" spans="1:10" hidden="1" x14ac:dyDescent="0.25">
      <c r="A198" t="s">
        <v>873</v>
      </c>
      <c r="B198">
        <v>0</v>
      </c>
      <c r="C198" t="s">
        <v>840</v>
      </c>
      <c r="D198">
        <f t="shared" ref="D198:D261" si="10">+_xlfn.NUMBERVALUE(LEFT(E198,6))</f>
        <v>280407</v>
      </c>
      <c r="E198" s="15" t="s">
        <v>643</v>
      </c>
      <c r="F198" s="18">
        <f>+_xlfn.XLOOKUP(D198,CVS!E:E,CVS!I:I,0)</f>
        <v>-696613.91</v>
      </c>
      <c r="G198" s="14">
        <f>+SUMIFS('De Giorgi BDV'!C:C,'De Giorgi BDV'!D:D,D198)</f>
        <v>0</v>
      </c>
      <c r="H198" s="18">
        <f t="shared" ref="H198:H261" si="11">+F198+G198</f>
        <v>-696613.91</v>
      </c>
      <c r="I198" s="14">
        <f>+_xlfn.XLOOKUP(D198,[1]BDV!$F:$F,[1]BDV!$AI:$AI)</f>
        <v>-696613.91</v>
      </c>
      <c r="J198" s="42">
        <f t="shared" si="9"/>
        <v>0</v>
      </c>
    </row>
    <row r="199" spans="1:10" hidden="1" x14ac:dyDescent="0.25">
      <c r="A199" t="s">
        <v>873</v>
      </c>
      <c r="B199">
        <v>0</v>
      </c>
      <c r="C199" t="s">
        <v>840</v>
      </c>
      <c r="D199">
        <f t="shared" si="10"/>
        <v>280279</v>
      </c>
      <c r="E199" s="16" t="s">
        <v>644</v>
      </c>
      <c r="F199" s="18">
        <f>+_xlfn.XLOOKUP(D199,CVS!E:E,CVS!I:I,0)</f>
        <v>-24795591.890000001</v>
      </c>
      <c r="G199" s="14">
        <f>+SUMIFS('De Giorgi BDV'!C:C,'De Giorgi BDV'!D:D,D199)</f>
        <v>0</v>
      </c>
      <c r="H199" s="18">
        <f t="shared" si="11"/>
        <v>-24795591.890000001</v>
      </c>
      <c r="I199" s="14">
        <f>+_xlfn.XLOOKUP(D199,[1]BDV!$F:$F,[1]BDV!$AI:$AI)</f>
        <v>-24795591.890000001</v>
      </c>
      <c r="J199" s="42">
        <f t="shared" si="9"/>
        <v>0</v>
      </c>
    </row>
    <row r="200" spans="1:10" hidden="1" x14ac:dyDescent="0.25">
      <c r="A200" t="s">
        <v>873</v>
      </c>
      <c r="B200">
        <v>0</v>
      </c>
      <c r="C200" t="s">
        <v>838</v>
      </c>
      <c r="D200">
        <f t="shared" si="10"/>
        <v>300203</v>
      </c>
      <c r="E200" s="15" t="s">
        <v>645</v>
      </c>
      <c r="F200" s="18">
        <f>+_xlfn.XLOOKUP(D200,CVS!E:E,CVS!I:I,0)</f>
        <v>937.47</v>
      </c>
      <c r="G200" s="14">
        <f>+SUMIFS('De Giorgi BDV'!C:C,'De Giorgi BDV'!D:D,D200)</f>
        <v>0</v>
      </c>
      <c r="H200" s="18">
        <f t="shared" si="11"/>
        <v>937.47</v>
      </c>
      <c r="I200" s="14">
        <f>+_xlfn.XLOOKUP(D200,[1]BDV!$F:$F,[1]BDV!$AI:$AI)</f>
        <v>937.47</v>
      </c>
      <c r="J200" s="42">
        <f t="shared" si="9"/>
        <v>0</v>
      </c>
    </row>
    <row r="201" spans="1:10" hidden="1" x14ac:dyDescent="0.25">
      <c r="A201" t="s">
        <v>873</v>
      </c>
      <c r="B201">
        <v>0</v>
      </c>
      <c r="C201" t="s">
        <v>838</v>
      </c>
      <c r="D201">
        <f t="shared" si="10"/>
        <v>300205</v>
      </c>
      <c r="E201" s="15" t="s">
        <v>646</v>
      </c>
      <c r="F201" s="18">
        <f>+_xlfn.XLOOKUP(D201,CVS!E:E,CVS!I:I,0)</f>
        <v>-11376460.640000001</v>
      </c>
      <c r="G201" s="14">
        <f>+SUMIFS('De Giorgi BDV'!C:C,'De Giorgi BDV'!D:D,D201)</f>
        <v>-12098.85</v>
      </c>
      <c r="H201" s="18">
        <f t="shared" si="11"/>
        <v>-11388559.49</v>
      </c>
      <c r="I201" s="14">
        <f>+_xlfn.XLOOKUP(D201,[1]BDV!$F:$F,[1]BDV!$AI:$AI)</f>
        <v>-11388559.49</v>
      </c>
      <c r="J201" s="42">
        <f t="shared" si="9"/>
        <v>0</v>
      </c>
    </row>
    <row r="202" spans="1:10" hidden="1" x14ac:dyDescent="0.25">
      <c r="A202" t="s">
        <v>873</v>
      </c>
      <c r="B202">
        <v>0</v>
      </c>
      <c r="C202" t="s">
        <v>838</v>
      </c>
      <c r="D202">
        <f t="shared" si="10"/>
        <v>300207</v>
      </c>
      <c r="E202" s="15" t="s">
        <v>647</v>
      </c>
      <c r="F202" s="18">
        <f>+_xlfn.XLOOKUP(D202,CVS!E:E,CVS!I:I,0)</f>
        <v>-125938.44</v>
      </c>
      <c r="G202" s="14">
        <f>+SUMIFS('De Giorgi BDV'!C:C,'De Giorgi BDV'!D:D,D202)</f>
        <v>0</v>
      </c>
      <c r="H202" s="18">
        <f t="shared" si="11"/>
        <v>-125938.44</v>
      </c>
      <c r="I202" s="14">
        <f>+_xlfn.XLOOKUP(D202,[1]BDV!$F:$F,[1]BDV!$AI:$AI)</f>
        <v>-125938.44</v>
      </c>
      <c r="J202" s="42">
        <f t="shared" si="9"/>
        <v>0</v>
      </c>
    </row>
    <row r="203" spans="1:10" hidden="1" x14ac:dyDescent="0.25">
      <c r="A203" t="s">
        <v>873</v>
      </c>
      <c r="B203">
        <v>0</v>
      </c>
      <c r="C203" t="s">
        <v>841</v>
      </c>
      <c r="D203">
        <f t="shared" si="10"/>
        <v>300209</v>
      </c>
      <c r="E203" s="15" t="s">
        <v>648</v>
      </c>
      <c r="F203" s="18">
        <f>+_xlfn.XLOOKUP(D203,CVS!E:E,CVS!I:I,0)</f>
        <v>-555236.14</v>
      </c>
      <c r="G203" s="14">
        <f>+SUMIFS('De Giorgi BDV'!C:C,'De Giorgi BDV'!D:D,D203)</f>
        <v>0</v>
      </c>
      <c r="H203" s="18">
        <f t="shared" si="11"/>
        <v>-555236.14</v>
      </c>
      <c r="I203" s="14">
        <f>+_xlfn.XLOOKUP(D203,[1]BDV!$F:$F,[1]BDV!$AI:$AI)</f>
        <v>-555236.14</v>
      </c>
      <c r="J203" s="42">
        <f t="shared" si="9"/>
        <v>0</v>
      </c>
    </row>
    <row r="204" spans="1:10" hidden="1" x14ac:dyDescent="0.25">
      <c r="A204" t="s">
        <v>873</v>
      </c>
      <c r="B204">
        <v>0</v>
      </c>
      <c r="C204" t="s">
        <v>841</v>
      </c>
      <c r="D204">
        <f t="shared" si="10"/>
        <v>320203</v>
      </c>
      <c r="E204" s="15" t="s">
        <v>649</v>
      </c>
      <c r="F204" s="18">
        <f>+_xlfn.XLOOKUP(D204,CVS!E:E,CVS!I:I,0)</f>
        <v>-52.5</v>
      </c>
      <c r="G204" s="14">
        <f>+SUMIFS('De Giorgi BDV'!C:C,'De Giorgi BDV'!D:D,D204)</f>
        <v>0</v>
      </c>
      <c r="H204" s="18">
        <f t="shared" si="11"/>
        <v>-52.5</v>
      </c>
      <c r="I204" s="14">
        <f>+_xlfn.XLOOKUP(D204,[1]BDV!$F:$F,[1]BDV!$AI:$AI)</f>
        <v>-52.5</v>
      </c>
      <c r="J204" s="42">
        <f t="shared" si="9"/>
        <v>0</v>
      </c>
    </row>
    <row r="205" spans="1:10" hidden="1" x14ac:dyDescent="0.25">
      <c r="A205" t="s">
        <v>873</v>
      </c>
      <c r="B205">
        <v>0</v>
      </c>
      <c r="C205" t="s">
        <v>841</v>
      </c>
      <c r="D205">
        <f t="shared" si="10"/>
        <v>320207</v>
      </c>
      <c r="E205" s="15" t="s">
        <v>650</v>
      </c>
      <c r="F205" s="18">
        <f>+_xlfn.XLOOKUP(D205,CVS!E:E,CVS!I:I,0)</f>
        <v>-18872.54</v>
      </c>
      <c r="G205" s="14">
        <f>+SUMIFS('De Giorgi BDV'!C:C,'De Giorgi BDV'!D:D,D205)</f>
        <v>0</v>
      </c>
      <c r="H205" s="18">
        <f t="shared" si="11"/>
        <v>-18872.54</v>
      </c>
      <c r="I205" s="14">
        <f>+_xlfn.XLOOKUP(D205,[1]BDV!$F:$F,[1]BDV!$AI:$AI)</f>
        <v>-18872.54</v>
      </c>
      <c r="J205" s="42">
        <f t="shared" si="9"/>
        <v>0</v>
      </c>
    </row>
    <row r="206" spans="1:10" hidden="1" x14ac:dyDescent="0.25">
      <c r="A206" t="s">
        <v>873</v>
      </c>
      <c r="B206">
        <v>0</v>
      </c>
      <c r="C206" t="s">
        <v>841</v>
      </c>
      <c r="D206">
        <f t="shared" si="10"/>
        <v>320209</v>
      </c>
      <c r="E206" s="15" t="s">
        <v>651</v>
      </c>
      <c r="F206" s="18">
        <f>+_xlfn.XLOOKUP(D206,CVS!E:E,CVS!I:I,0)</f>
        <v>-8403086.1899999995</v>
      </c>
      <c r="G206" s="14">
        <f>+SUMIFS('De Giorgi BDV'!C:C,'De Giorgi BDV'!D:D,D206)</f>
        <v>0</v>
      </c>
      <c r="H206" s="18">
        <f t="shared" si="11"/>
        <v>-8403086.1899999995</v>
      </c>
      <c r="I206" s="14">
        <f>+_xlfn.XLOOKUP(D206,[1]BDV!$F:$F,[1]BDV!$AI:$AI)</f>
        <v>-8403086.1899999995</v>
      </c>
      <c r="J206" s="42">
        <f t="shared" si="9"/>
        <v>0</v>
      </c>
    </row>
    <row r="207" spans="1:10" hidden="1" x14ac:dyDescent="0.25">
      <c r="A207" t="s">
        <v>873</v>
      </c>
      <c r="B207">
        <v>0</v>
      </c>
      <c r="C207" t="s">
        <v>850</v>
      </c>
      <c r="D207">
        <f t="shared" si="10"/>
        <v>320401</v>
      </c>
      <c r="E207" s="15" t="s">
        <v>652</v>
      </c>
      <c r="F207" s="18">
        <f>+_xlfn.XLOOKUP(D207,CVS!E:E,CVS!I:I,0)</f>
        <v>-4441.3599999999997</v>
      </c>
      <c r="G207" s="14">
        <f>+SUMIFS('De Giorgi BDV'!C:C,'De Giorgi BDV'!D:D,D207)</f>
        <v>0</v>
      </c>
      <c r="H207" s="18">
        <f t="shared" si="11"/>
        <v>-4441.3599999999997</v>
      </c>
      <c r="I207" s="14">
        <f>+_xlfn.XLOOKUP(D207,[1]BDV!$F:$F,[1]BDV!$AI:$AI)</f>
        <v>-4441.3599999999997</v>
      </c>
      <c r="J207" s="42">
        <f t="shared" si="9"/>
        <v>0</v>
      </c>
    </row>
    <row r="208" spans="1:10" hidden="1" x14ac:dyDescent="0.25">
      <c r="A208" t="s">
        <v>873</v>
      </c>
      <c r="B208">
        <v>0</v>
      </c>
      <c r="C208" t="s">
        <v>850</v>
      </c>
      <c r="D208">
        <f t="shared" si="10"/>
        <v>320403</v>
      </c>
      <c r="E208" s="15" t="s">
        <v>653</v>
      </c>
      <c r="F208" s="18">
        <f>+_xlfn.XLOOKUP(D208,CVS!E:E,CVS!I:I,0)</f>
        <v>-1240534.82</v>
      </c>
      <c r="G208" s="14">
        <f>+SUMIFS('De Giorgi BDV'!C:C,'De Giorgi BDV'!D:D,D208)</f>
        <v>5761.5</v>
      </c>
      <c r="H208" s="18">
        <f t="shared" si="11"/>
        <v>-1234773.32</v>
      </c>
      <c r="I208" s="14">
        <f>+_xlfn.XLOOKUP(D208,[1]BDV!$F:$F,[1]BDV!$AI:$AI)</f>
        <v>-1234773.32</v>
      </c>
      <c r="J208" s="42">
        <f t="shared" si="9"/>
        <v>0</v>
      </c>
    </row>
    <row r="209" spans="1:10" hidden="1" x14ac:dyDescent="0.25">
      <c r="A209" t="s">
        <v>873</v>
      </c>
      <c r="B209">
        <v>0</v>
      </c>
      <c r="C209" t="s">
        <v>836</v>
      </c>
      <c r="D209">
        <f t="shared" si="10"/>
        <v>320405</v>
      </c>
      <c r="E209" s="15" t="s">
        <v>654</v>
      </c>
      <c r="F209" s="18">
        <f>+_xlfn.XLOOKUP(D209,CVS!E:E,CVS!I:I,0)</f>
        <v>-245102.92</v>
      </c>
      <c r="G209" s="14">
        <f>+SUMIFS('De Giorgi BDV'!C:C,'De Giorgi BDV'!D:D,D209)</f>
        <v>4339</v>
      </c>
      <c r="H209" s="18">
        <f t="shared" si="11"/>
        <v>-240763.92</v>
      </c>
      <c r="I209" s="14">
        <f>+_xlfn.XLOOKUP(D209,[1]BDV!$F:$F,[1]BDV!$AI:$AI)</f>
        <v>-240763.92</v>
      </c>
      <c r="J209" s="42">
        <f t="shared" si="9"/>
        <v>0</v>
      </c>
    </row>
    <row r="210" spans="1:10" hidden="1" x14ac:dyDescent="0.25">
      <c r="A210" t="s">
        <v>873</v>
      </c>
      <c r="B210">
        <v>0</v>
      </c>
      <c r="C210" t="s">
        <v>836</v>
      </c>
      <c r="D210">
        <f t="shared" si="10"/>
        <v>320409</v>
      </c>
      <c r="E210" s="15" t="s">
        <v>655</v>
      </c>
      <c r="F210" s="18">
        <f>+_xlfn.XLOOKUP(D210,CVS!E:E,CVS!I:I,0)</f>
        <v>291886.3</v>
      </c>
      <c r="G210" s="14">
        <f>+SUMIFS('De Giorgi BDV'!C:C,'De Giorgi BDV'!D:D,D210)</f>
        <v>3253.16</v>
      </c>
      <c r="H210" s="18">
        <f t="shared" si="11"/>
        <v>295139.45999999996</v>
      </c>
      <c r="I210" s="14">
        <f>+_xlfn.XLOOKUP(D210,[1]BDV!$F:$F,[1]BDV!$AI:$AI)</f>
        <v>295139.45999999996</v>
      </c>
      <c r="J210" s="42">
        <f t="shared" si="9"/>
        <v>0</v>
      </c>
    </row>
    <row r="211" spans="1:10" hidden="1" x14ac:dyDescent="0.25">
      <c r="A211" t="s">
        <v>873</v>
      </c>
      <c r="B211">
        <v>0</v>
      </c>
      <c r="C211" t="s">
        <v>850</v>
      </c>
      <c r="D211">
        <f t="shared" si="10"/>
        <v>320411</v>
      </c>
      <c r="E211" s="15" t="s">
        <v>656</v>
      </c>
      <c r="F211" s="18">
        <f>+_xlfn.XLOOKUP(D211,CVS!E:E,CVS!I:I,0)</f>
        <v>1777219.46</v>
      </c>
      <c r="G211" s="14">
        <f>+SUMIFS('De Giorgi BDV'!C:C,'De Giorgi BDV'!D:D,D211)</f>
        <v>0</v>
      </c>
      <c r="H211" s="18">
        <f t="shared" si="11"/>
        <v>1777219.46</v>
      </c>
      <c r="I211" s="14">
        <f>+_xlfn.XLOOKUP(D211,[1]BDV!$F:$F,[1]BDV!$AI:$AI)</f>
        <v>1777219.46</v>
      </c>
      <c r="J211" s="42">
        <f t="shared" si="9"/>
        <v>0</v>
      </c>
    </row>
    <row r="212" spans="1:10" hidden="1" x14ac:dyDescent="0.25">
      <c r="A212" t="s">
        <v>873</v>
      </c>
      <c r="B212">
        <v>0</v>
      </c>
      <c r="C212" t="s">
        <v>850</v>
      </c>
      <c r="D212">
        <f t="shared" si="10"/>
        <v>320413</v>
      </c>
      <c r="E212" s="15" t="s">
        <v>657</v>
      </c>
      <c r="F212" s="18">
        <f>+_xlfn.XLOOKUP(D212,CVS!E:E,CVS!I:I,0)</f>
        <v>-543337.47</v>
      </c>
      <c r="G212" s="14">
        <f>+SUMIFS('De Giorgi BDV'!C:C,'De Giorgi BDV'!D:D,D212)</f>
        <v>0</v>
      </c>
      <c r="H212" s="18">
        <f t="shared" si="11"/>
        <v>-543337.47</v>
      </c>
      <c r="I212" s="14">
        <f>+_xlfn.XLOOKUP(D212,[1]BDV!$F:$F,[1]BDV!$AI:$AI)</f>
        <v>-543337.47</v>
      </c>
      <c r="J212" s="42">
        <f t="shared" si="9"/>
        <v>0</v>
      </c>
    </row>
    <row r="213" spans="1:10" hidden="1" x14ac:dyDescent="0.25">
      <c r="A213" t="s">
        <v>873</v>
      </c>
      <c r="B213">
        <v>0</v>
      </c>
      <c r="C213" t="s">
        <v>850</v>
      </c>
      <c r="D213">
        <f t="shared" si="10"/>
        <v>320417</v>
      </c>
      <c r="E213" s="15" t="s">
        <v>658</v>
      </c>
      <c r="F213" s="18">
        <f>+_xlfn.XLOOKUP(D213,CVS!E:E,CVS!I:I,0)</f>
        <v>-428566.25</v>
      </c>
      <c r="G213" s="14">
        <f>+SUMIFS('De Giorgi BDV'!C:C,'De Giorgi BDV'!D:D,D213)</f>
        <v>0</v>
      </c>
      <c r="H213" s="18">
        <f t="shared" si="11"/>
        <v>-428566.25</v>
      </c>
      <c r="I213" s="14">
        <f>+_xlfn.XLOOKUP(D213,[1]BDV!$F:$F,[1]BDV!$AI:$AI)</f>
        <v>-428566.25</v>
      </c>
      <c r="J213" s="42">
        <f t="shared" si="9"/>
        <v>0</v>
      </c>
    </row>
    <row r="214" spans="1:10" hidden="1" x14ac:dyDescent="0.25">
      <c r="A214" t="s">
        <v>873</v>
      </c>
      <c r="B214">
        <v>0</v>
      </c>
      <c r="C214" t="s">
        <v>850</v>
      </c>
      <c r="D214">
        <f t="shared" si="10"/>
        <v>320601</v>
      </c>
      <c r="E214" s="15" t="s">
        <v>659</v>
      </c>
      <c r="F214" s="18">
        <f>+_xlfn.XLOOKUP(D214,CVS!E:E,CVS!I:I,0)</f>
        <v>-29791.33</v>
      </c>
      <c r="G214" s="14">
        <f>+SUMIFS('De Giorgi BDV'!C:C,'De Giorgi BDV'!D:D,D214)</f>
        <v>1725.15</v>
      </c>
      <c r="H214" s="18">
        <f t="shared" si="11"/>
        <v>-28066.18</v>
      </c>
      <c r="I214" s="14">
        <f>+_xlfn.XLOOKUP(D214,[1]BDV!$F:$F,[1]BDV!$AI:$AI)</f>
        <v>-28066.18</v>
      </c>
      <c r="J214" s="42">
        <f t="shared" si="9"/>
        <v>0</v>
      </c>
    </row>
    <row r="215" spans="1:10" hidden="1" x14ac:dyDescent="0.25">
      <c r="A215" t="s">
        <v>873</v>
      </c>
      <c r="B215">
        <v>0</v>
      </c>
      <c r="C215" t="s">
        <v>850</v>
      </c>
      <c r="D215">
        <f t="shared" si="10"/>
        <v>320603</v>
      </c>
      <c r="E215" s="15" t="s">
        <v>660</v>
      </c>
      <c r="F215" s="18">
        <f>+_xlfn.XLOOKUP(D215,CVS!E:E,CVS!I:I,0)</f>
        <v>-62404.02</v>
      </c>
      <c r="G215" s="14">
        <f>+SUMIFS('De Giorgi BDV'!C:C,'De Giorgi BDV'!D:D,D215)</f>
        <v>-1238.0899999999999</v>
      </c>
      <c r="H215" s="18">
        <f t="shared" si="11"/>
        <v>-63642.109999999993</v>
      </c>
      <c r="I215" s="14">
        <f>+_xlfn.XLOOKUP(D215,[1]BDV!$F:$F,[1]BDV!$AI:$AI)</f>
        <v>-63642.109999999993</v>
      </c>
      <c r="J215" s="42">
        <f t="shared" si="9"/>
        <v>0</v>
      </c>
    </row>
    <row r="216" spans="1:10" hidden="1" x14ac:dyDescent="0.25">
      <c r="A216" t="s">
        <v>873</v>
      </c>
      <c r="B216">
        <v>0</v>
      </c>
      <c r="C216" t="s">
        <v>850</v>
      </c>
      <c r="D216">
        <f t="shared" si="10"/>
        <v>320605</v>
      </c>
      <c r="E216" s="15" t="s">
        <v>661</v>
      </c>
      <c r="F216" s="18">
        <f>+_xlfn.XLOOKUP(D216,CVS!E:E,CVS!I:I,0)</f>
        <v>-52035.17</v>
      </c>
      <c r="G216" s="14">
        <f>+SUMIFS('De Giorgi BDV'!C:C,'De Giorgi BDV'!D:D,D216)</f>
        <v>0</v>
      </c>
      <c r="H216" s="18">
        <f t="shared" si="11"/>
        <v>-52035.17</v>
      </c>
      <c r="I216" s="14">
        <f>+_xlfn.XLOOKUP(D216,[1]BDV!$F:$F,[1]BDV!$AI:$AI)</f>
        <v>-52035.17</v>
      </c>
      <c r="J216" s="42">
        <f t="shared" si="9"/>
        <v>0</v>
      </c>
    </row>
    <row r="217" spans="1:10" hidden="1" x14ac:dyDescent="0.25">
      <c r="A217" t="s">
        <v>873</v>
      </c>
      <c r="B217">
        <v>0</v>
      </c>
      <c r="C217" t="s">
        <v>841</v>
      </c>
      <c r="D217">
        <f t="shared" si="10"/>
        <v>320611</v>
      </c>
      <c r="E217" s="15" t="s">
        <v>662</v>
      </c>
      <c r="F217" s="18">
        <f>+_xlfn.XLOOKUP(D217,CVS!E:E,CVS!I:I,0)</f>
        <v>315.39</v>
      </c>
      <c r="G217" s="14">
        <f>+SUMIFS('De Giorgi BDV'!C:C,'De Giorgi BDV'!D:D,D217)</f>
        <v>0</v>
      </c>
      <c r="H217" s="18">
        <f t="shared" si="11"/>
        <v>315.39</v>
      </c>
      <c r="I217" s="14">
        <f>+_xlfn.XLOOKUP(D217,[1]BDV!$F:$F,[1]BDV!$AI:$AI)</f>
        <v>315.39</v>
      </c>
      <c r="J217" s="42">
        <f t="shared" si="9"/>
        <v>0</v>
      </c>
    </row>
    <row r="218" spans="1:10" hidden="1" x14ac:dyDescent="0.25">
      <c r="A218" t="s">
        <v>873</v>
      </c>
      <c r="B218">
        <v>0</v>
      </c>
      <c r="C218" t="s">
        <v>850</v>
      </c>
      <c r="D218">
        <f t="shared" si="10"/>
        <v>320613</v>
      </c>
      <c r="E218" s="15" t="s">
        <v>663</v>
      </c>
      <c r="F218" s="18">
        <f>+_xlfn.XLOOKUP(D218,CVS!E:E,CVS!I:I,0)</f>
        <v>-178842.75</v>
      </c>
      <c r="G218" s="14">
        <f>+SUMIFS('De Giorgi BDV'!C:C,'De Giorgi BDV'!D:D,D218)</f>
        <v>0</v>
      </c>
      <c r="H218" s="18">
        <f t="shared" si="11"/>
        <v>-178842.75</v>
      </c>
      <c r="I218" s="14">
        <f>+_xlfn.XLOOKUP(D218,[1]BDV!$F:$F,[1]BDV!$AI:$AI)</f>
        <v>-178842.75</v>
      </c>
      <c r="J218" s="42">
        <f t="shared" si="9"/>
        <v>0</v>
      </c>
    </row>
    <row r="219" spans="1:10" hidden="1" x14ac:dyDescent="0.25">
      <c r="A219" t="s">
        <v>873</v>
      </c>
      <c r="B219">
        <v>0</v>
      </c>
      <c r="C219" t="s">
        <v>850</v>
      </c>
      <c r="D219">
        <f t="shared" si="10"/>
        <v>320617</v>
      </c>
      <c r="E219" s="15" t="s">
        <v>664</v>
      </c>
      <c r="F219" s="18">
        <f>+_xlfn.XLOOKUP(D219,CVS!E:E,CVS!I:I,0)</f>
        <v>-11542.3</v>
      </c>
      <c r="G219" s="14">
        <f>+SUMIFS('De Giorgi BDV'!C:C,'De Giorgi BDV'!D:D,D219)</f>
        <v>-338.59000000000003</v>
      </c>
      <c r="H219" s="18">
        <f t="shared" si="11"/>
        <v>-11880.89</v>
      </c>
      <c r="I219" s="14">
        <f>+_xlfn.XLOOKUP(D219,[1]BDV!$F:$F,[1]BDV!$AI:$AI)</f>
        <v>-11880.89</v>
      </c>
      <c r="J219" s="42">
        <f t="shared" si="9"/>
        <v>0</v>
      </c>
    </row>
    <row r="220" spans="1:10" hidden="1" x14ac:dyDescent="0.25">
      <c r="A220" t="s">
        <v>873</v>
      </c>
      <c r="B220">
        <v>0</v>
      </c>
      <c r="C220" t="s">
        <v>841</v>
      </c>
      <c r="D220">
        <f t="shared" si="10"/>
        <v>320803</v>
      </c>
      <c r="E220" s="15" t="s">
        <v>665</v>
      </c>
      <c r="F220" s="18">
        <f>+_xlfn.XLOOKUP(D220,CVS!E:E,CVS!I:I,0)</f>
        <v>-882.83</v>
      </c>
      <c r="G220" s="14">
        <f>+SUMIFS('De Giorgi BDV'!C:C,'De Giorgi BDV'!D:D,D220)</f>
        <v>-8573.76</v>
      </c>
      <c r="H220" s="18">
        <f t="shared" si="11"/>
        <v>-9456.59</v>
      </c>
      <c r="I220" s="14">
        <f>+_xlfn.XLOOKUP(D220,[1]BDV!$F:$F,[1]BDV!$AI:$AI)</f>
        <v>-9456.59</v>
      </c>
      <c r="J220" s="42">
        <f t="shared" si="9"/>
        <v>0</v>
      </c>
    </row>
    <row r="221" spans="1:10" hidden="1" x14ac:dyDescent="0.25">
      <c r="A221" t="s">
        <v>873</v>
      </c>
      <c r="B221">
        <v>0</v>
      </c>
      <c r="C221" t="s">
        <v>849</v>
      </c>
      <c r="D221">
        <f t="shared" si="10"/>
        <v>320811</v>
      </c>
      <c r="E221" s="15" t="s">
        <v>666</v>
      </c>
      <c r="F221" s="18">
        <f>+_xlfn.XLOOKUP(D221,CVS!E:E,CVS!I:I,0)</f>
        <v>-10079537.039999999</v>
      </c>
      <c r="G221" s="14">
        <f>+SUMIFS('De Giorgi BDV'!C:C,'De Giorgi BDV'!D:D,D221)</f>
        <v>0</v>
      </c>
      <c r="H221" s="18">
        <f t="shared" si="11"/>
        <v>-10079537.039999999</v>
      </c>
      <c r="I221" s="14">
        <f>+_xlfn.XLOOKUP(D221,[1]BDV!$F:$F,[1]BDV!$AI:$AI)</f>
        <v>-10079537.039999999</v>
      </c>
      <c r="J221" s="42">
        <f t="shared" si="9"/>
        <v>0</v>
      </c>
    </row>
    <row r="222" spans="1:10" hidden="1" x14ac:dyDescent="0.25">
      <c r="A222" t="s">
        <v>873</v>
      </c>
      <c r="B222">
        <v>0</v>
      </c>
      <c r="C222" t="s">
        <v>838</v>
      </c>
      <c r="D222">
        <f t="shared" si="10"/>
        <v>320813</v>
      </c>
      <c r="E222" s="15" t="s">
        <v>667</v>
      </c>
      <c r="F222" s="18">
        <f>+_xlfn.XLOOKUP(D222,CVS!E:E,CVS!I:I,0)</f>
        <v>-3513488.77</v>
      </c>
      <c r="G222" s="14">
        <f>+SUMIFS('De Giorgi BDV'!C:C,'De Giorgi BDV'!D:D,D222)</f>
        <v>-31761.15</v>
      </c>
      <c r="H222" s="18">
        <f t="shared" si="11"/>
        <v>-3545249.92</v>
      </c>
      <c r="I222" s="14">
        <f>+_xlfn.XLOOKUP(D222,[1]BDV!$F:$F,[1]BDV!$AI:$AI)</f>
        <v>-3545249.92</v>
      </c>
      <c r="J222" s="42">
        <f t="shared" si="9"/>
        <v>0</v>
      </c>
    </row>
    <row r="223" spans="1:10" hidden="1" x14ac:dyDescent="0.25">
      <c r="A223" t="s">
        <v>873</v>
      </c>
      <c r="B223">
        <v>0</v>
      </c>
      <c r="C223" t="s">
        <v>835</v>
      </c>
      <c r="D223">
        <f t="shared" si="10"/>
        <v>320815</v>
      </c>
      <c r="E223" s="15" t="s">
        <v>668</v>
      </c>
      <c r="F223" s="18">
        <f>+_xlfn.XLOOKUP(D223,CVS!E:E,CVS!I:I,0)</f>
        <v>646.59</v>
      </c>
      <c r="G223" s="14">
        <f>+SUMIFS('De Giorgi BDV'!C:C,'De Giorgi BDV'!D:D,D223)</f>
        <v>-5000</v>
      </c>
      <c r="H223" s="18">
        <f t="shared" si="11"/>
        <v>-4353.41</v>
      </c>
      <c r="I223" s="14">
        <f>+_xlfn.XLOOKUP(D223,[1]BDV!$F:$F,[1]BDV!$AI:$AI)</f>
        <v>-4353.41</v>
      </c>
      <c r="J223" s="42">
        <f t="shared" si="9"/>
        <v>0</v>
      </c>
    </row>
    <row r="224" spans="1:10" hidden="1" x14ac:dyDescent="0.25">
      <c r="A224" t="s">
        <v>873</v>
      </c>
      <c r="B224">
        <v>0</v>
      </c>
      <c r="C224" t="s">
        <v>841</v>
      </c>
      <c r="D224">
        <f t="shared" si="10"/>
        <v>320817</v>
      </c>
      <c r="E224" s="15" t="s">
        <v>669</v>
      </c>
      <c r="F224" s="18">
        <f>+_xlfn.XLOOKUP(D224,CVS!E:E,CVS!I:I,0)</f>
        <v>345.42</v>
      </c>
      <c r="G224" s="14">
        <f>+SUMIFS('De Giorgi BDV'!C:C,'De Giorgi BDV'!D:D,D224)</f>
        <v>0</v>
      </c>
      <c r="H224" s="18">
        <f t="shared" si="11"/>
        <v>345.42</v>
      </c>
      <c r="I224" s="14">
        <f>+_xlfn.XLOOKUP(D224,[1]BDV!$F:$F,[1]BDV!$AI:$AI)</f>
        <v>345.42</v>
      </c>
      <c r="J224" s="42">
        <f t="shared" si="9"/>
        <v>0</v>
      </c>
    </row>
    <row r="225" spans="1:10" hidden="1" x14ac:dyDescent="0.25">
      <c r="A225" t="s">
        <v>873</v>
      </c>
      <c r="B225">
        <v>0</v>
      </c>
      <c r="C225" t="s">
        <v>838</v>
      </c>
      <c r="D225">
        <f t="shared" si="10"/>
        <v>320819</v>
      </c>
      <c r="E225" s="15" t="s">
        <v>670</v>
      </c>
      <c r="F225" s="18">
        <f>+_xlfn.XLOOKUP(D225,CVS!E:E,CVS!I:I,0)</f>
        <v>-553689.18000000005</v>
      </c>
      <c r="G225" s="14">
        <f>+SUMIFS('De Giorgi BDV'!C:C,'De Giorgi BDV'!D:D,D225)</f>
        <v>0</v>
      </c>
      <c r="H225" s="18">
        <f t="shared" si="11"/>
        <v>-553689.18000000005</v>
      </c>
      <c r="I225" s="14">
        <f>+_xlfn.XLOOKUP(D225,[1]BDV!$F:$F,[1]BDV!$AI:$AI)</f>
        <v>-553689.18000000005</v>
      </c>
      <c r="J225" s="42">
        <f t="shared" si="9"/>
        <v>0</v>
      </c>
    </row>
    <row r="226" spans="1:10" hidden="1" x14ac:dyDescent="0.25">
      <c r="A226" t="s">
        <v>873</v>
      </c>
      <c r="B226">
        <v>0</v>
      </c>
      <c r="C226" t="s">
        <v>841</v>
      </c>
      <c r="D226">
        <f t="shared" si="10"/>
        <v>320821</v>
      </c>
      <c r="E226" s="15" t="s">
        <v>671</v>
      </c>
      <c r="F226" s="18">
        <f>+_xlfn.XLOOKUP(D226,CVS!E:E,CVS!I:I,0)</f>
        <v>-185691.83</v>
      </c>
      <c r="G226" s="14">
        <f>+SUMIFS('De Giorgi BDV'!C:C,'De Giorgi BDV'!D:D,D226)</f>
        <v>-2229.23</v>
      </c>
      <c r="H226" s="18">
        <f t="shared" si="11"/>
        <v>-187921.06</v>
      </c>
      <c r="I226" s="14">
        <f>+_xlfn.XLOOKUP(D226,[1]BDV!$F:$F,[1]BDV!$AI:$AI)</f>
        <v>-187921.06</v>
      </c>
      <c r="J226" s="42">
        <f t="shared" si="9"/>
        <v>0</v>
      </c>
    </row>
    <row r="227" spans="1:10" hidden="1" x14ac:dyDescent="0.25">
      <c r="A227" t="s">
        <v>873</v>
      </c>
      <c r="B227">
        <v>0</v>
      </c>
      <c r="C227" t="s">
        <v>841</v>
      </c>
      <c r="D227">
        <f t="shared" si="10"/>
        <v>320825</v>
      </c>
      <c r="E227" s="15" t="s">
        <v>672</v>
      </c>
      <c r="F227" s="18">
        <f>+_xlfn.XLOOKUP(D227,CVS!E:E,CVS!I:I,0)</f>
        <v>-391531.25</v>
      </c>
      <c r="G227" s="14">
        <f>+SUMIFS('De Giorgi BDV'!C:C,'De Giorgi BDV'!D:D,D227)</f>
        <v>0</v>
      </c>
      <c r="H227" s="18">
        <f t="shared" si="11"/>
        <v>-391531.25</v>
      </c>
      <c r="I227" s="14">
        <f>+_xlfn.XLOOKUP(D227,[1]BDV!$F:$F,[1]BDV!$AI:$AI)</f>
        <v>-391531.25</v>
      </c>
      <c r="J227" s="42">
        <f t="shared" si="9"/>
        <v>0</v>
      </c>
    </row>
    <row r="228" spans="1:10" hidden="1" x14ac:dyDescent="0.25">
      <c r="A228" t="s">
        <v>873</v>
      </c>
      <c r="B228">
        <v>0</v>
      </c>
      <c r="C228" t="s">
        <v>838</v>
      </c>
      <c r="D228">
        <f t="shared" si="10"/>
        <v>320827</v>
      </c>
      <c r="E228" s="15" t="s">
        <v>673</v>
      </c>
      <c r="F228" s="18">
        <f>+_xlfn.XLOOKUP(D228,CVS!E:E,CVS!I:I,0)</f>
        <v>-5871.6</v>
      </c>
      <c r="G228" s="14">
        <f>+SUMIFS('De Giorgi BDV'!C:C,'De Giorgi BDV'!D:D,D228)</f>
        <v>0</v>
      </c>
      <c r="H228" s="18">
        <f t="shared" si="11"/>
        <v>-5871.6</v>
      </c>
      <c r="I228" s="14">
        <f>+_xlfn.XLOOKUP(D228,[1]BDV!$F:$F,[1]BDV!$AI:$AI)</f>
        <v>-5871.6</v>
      </c>
      <c r="J228" s="42">
        <f t="shared" si="9"/>
        <v>0</v>
      </c>
    </row>
    <row r="229" spans="1:10" hidden="1" x14ac:dyDescent="0.25">
      <c r="A229" t="s">
        <v>873</v>
      </c>
      <c r="B229">
        <v>0</v>
      </c>
      <c r="C229" t="s">
        <v>835</v>
      </c>
      <c r="D229">
        <f t="shared" si="10"/>
        <v>320829</v>
      </c>
      <c r="E229" s="15" t="s">
        <v>674</v>
      </c>
      <c r="F229" s="18">
        <f>+_xlfn.XLOOKUP(D229,CVS!E:E,CVS!I:I,0)</f>
        <v>-19406.54</v>
      </c>
      <c r="G229" s="14">
        <f>+SUMIFS('De Giorgi BDV'!C:C,'De Giorgi BDV'!D:D,D229)</f>
        <v>0</v>
      </c>
      <c r="H229" s="18">
        <f t="shared" si="11"/>
        <v>-19406.54</v>
      </c>
      <c r="I229" s="14">
        <f>+_xlfn.XLOOKUP(D229,[1]BDV!$F:$F,[1]BDV!$AI:$AI)</f>
        <v>-19406.54</v>
      </c>
      <c r="J229" s="42">
        <f t="shared" si="9"/>
        <v>0</v>
      </c>
    </row>
    <row r="230" spans="1:10" hidden="1" x14ac:dyDescent="0.25">
      <c r="A230" t="s">
        <v>873</v>
      </c>
      <c r="B230">
        <v>0</v>
      </c>
      <c r="C230" t="s">
        <v>835</v>
      </c>
      <c r="D230">
        <f t="shared" si="10"/>
        <v>320831</v>
      </c>
      <c r="E230" s="15" t="s">
        <v>675</v>
      </c>
      <c r="F230" s="18">
        <f>+_xlfn.XLOOKUP(D230,CVS!E:E,CVS!I:I,0)</f>
        <v>-223335.3</v>
      </c>
      <c r="G230" s="14">
        <f>+SUMIFS('De Giorgi BDV'!C:C,'De Giorgi BDV'!D:D,D230)</f>
        <v>0</v>
      </c>
      <c r="H230" s="18">
        <f t="shared" si="11"/>
        <v>-223335.3</v>
      </c>
      <c r="I230" s="14">
        <f>+_xlfn.XLOOKUP(D230,[1]BDV!$F:$F,[1]BDV!$AI:$AI)</f>
        <v>-223335.3</v>
      </c>
      <c r="J230" s="42">
        <f t="shared" si="9"/>
        <v>0</v>
      </c>
    </row>
    <row r="231" spans="1:10" hidden="1" x14ac:dyDescent="0.25">
      <c r="A231" t="s">
        <v>873</v>
      </c>
      <c r="B231">
        <v>0</v>
      </c>
      <c r="C231" t="s">
        <v>841</v>
      </c>
      <c r="D231">
        <f t="shared" si="10"/>
        <v>340213</v>
      </c>
      <c r="E231" s="15" t="s">
        <v>676</v>
      </c>
      <c r="F231" s="18">
        <f>+_xlfn.XLOOKUP(D231,CVS!E:E,CVS!I:I,0)</f>
        <v>-1001544.81</v>
      </c>
      <c r="G231" s="14">
        <f>+SUMIFS('De Giorgi BDV'!C:C,'De Giorgi BDV'!D:D,D231)</f>
        <v>0</v>
      </c>
      <c r="H231" s="18">
        <f t="shared" si="11"/>
        <v>-1001544.81</v>
      </c>
      <c r="I231" s="14">
        <f>+_xlfn.XLOOKUP(D231,[1]BDV!$F:$F,[1]BDV!$AI:$AI)</f>
        <v>-1001544.81</v>
      </c>
      <c r="J231" s="42">
        <f t="shared" si="9"/>
        <v>0</v>
      </c>
    </row>
    <row r="232" spans="1:10" hidden="1" x14ac:dyDescent="0.25">
      <c r="A232" t="s">
        <v>873</v>
      </c>
      <c r="B232">
        <v>0</v>
      </c>
      <c r="C232" t="s">
        <v>841</v>
      </c>
      <c r="D232">
        <f t="shared" si="10"/>
        <v>340215</v>
      </c>
      <c r="E232" s="15" t="s">
        <v>677</v>
      </c>
      <c r="F232" s="18">
        <f>+_xlfn.XLOOKUP(D232,CVS!E:E,CVS!I:I,0)</f>
        <v>-263435.83</v>
      </c>
      <c r="G232" s="14">
        <f>+SUMIFS('De Giorgi BDV'!C:C,'De Giorgi BDV'!D:D,D232)</f>
        <v>0</v>
      </c>
      <c r="H232" s="18">
        <f t="shared" si="11"/>
        <v>-263435.83</v>
      </c>
      <c r="I232" s="14">
        <f>+_xlfn.XLOOKUP(D232,[1]BDV!$F:$F,[1]BDV!$AI:$AI)</f>
        <v>-263435.83</v>
      </c>
      <c r="J232" s="42">
        <f t="shared" si="9"/>
        <v>0</v>
      </c>
    </row>
    <row r="233" spans="1:10" hidden="1" x14ac:dyDescent="0.25">
      <c r="A233" t="s">
        <v>873</v>
      </c>
      <c r="B233">
        <v>0</v>
      </c>
      <c r="C233" t="s">
        <v>841</v>
      </c>
      <c r="D233">
        <f t="shared" si="10"/>
        <v>340217</v>
      </c>
      <c r="E233" s="15" t="s">
        <v>678</v>
      </c>
      <c r="F233" s="18">
        <f>+_xlfn.XLOOKUP(D233,CVS!E:E,CVS!I:I,0)</f>
        <v>-7498.69</v>
      </c>
      <c r="G233" s="14">
        <f>+SUMIFS('De Giorgi BDV'!C:C,'De Giorgi BDV'!D:D,D233)</f>
        <v>0</v>
      </c>
      <c r="H233" s="18">
        <f t="shared" si="11"/>
        <v>-7498.69</v>
      </c>
      <c r="I233" s="14">
        <f>+_xlfn.XLOOKUP(D233,[1]BDV!$F:$F,[1]BDV!$AI:$AI)</f>
        <v>-7498.69</v>
      </c>
      <c r="J233" s="42">
        <f t="shared" si="9"/>
        <v>0</v>
      </c>
    </row>
    <row r="234" spans="1:10" hidden="1" x14ac:dyDescent="0.25">
      <c r="A234" t="s">
        <v>873</v>
      </c>
      <c r="B234">
        <v>0</v>
      </c>
      <c r="C234" t="s">
        <v>832</v>
      </c>
      <c r="D234">
        <f t="shared" si="10"/>
        <v>360201</v>
      </c>
      <c r="E234" s="15" t="s">
        <v>679</v>
      </c>
      <c r="F234" s="18">
        <f>+_xlfn.XLOOKUP(D234,CVS!E:E,CVS!I:I,0)</f>
        <v>314967.42</v>
      </c>
      <c r="G234" s="14">
        <f>+SUMIFS('De Giorgi BDV'!C:C,'De Giorgi BDV'!D:D,D234)</f>
        <v>5531.99</v>
      </c>
      <c r="H234" s="18">
        <f t="shared" si="11"/>
        <v>320499.40999999997</v>
      </c>
      <c r="I234" s="14">
        <f>+_xlfn.XLOOKUP(D234,[1]BDV!$F:$F,[1]BDV!$AI:$AI)</f>
        <v>320499.40999999997</v>
      </c>
      <c r="J234" s="42">
        <f t="shared" si="9"/>
        <v>0</v>
      </c>
    </row>
    <row r="235" spans="1:10" hidden="1" x14ac:dyDescent="0.25">
      <c r="A235" t="s">
        <v>873</v>
      </c>
      <c r="B235">
        <v>0</v>
      </c>
      <c r="C235" t="s">
        <v>841</v>
      </c>
      <c r="D235">
        <f t="shared" si="10"/>
        <v>360203</v>
      </c>
      <c r="E235" s="15" t="s">
        <v>680</v>
      </c>
      <c r="F235" s="18">
        <f>+_xlfn.XLOOKUP(D235,CVS!E:E,CVS!I:I,0)</f>
        <v>-22386.38</v>
      </c>
      <c r="G235" s="14">
        <f>+SUMIFS('De Giorgi BDV'!C:C,'De Giorgi BDV'!D:D,D235)</f>
        <v>0</v>
      </c>
      <c r="H235" s="18">
        <f t="shared" si="11"/>
        <v>-22386.38</v>
      </c>
      <c r="I235" s="14">
        <f>+_xlfn.XLOOKUP(D235,[1]BDV!$F:$F,[1]BDV!$AI:$AI)</f>
        <v>-22386.38</v>
      </c>
      <c r="J235" s="42">
        <f t="shared" si="9"/>
        <v>0</v>
      </c>
    </row>
    <row r="236" spans="1:10" hidden="1" x14ac:dyDescent="0.25">
      <c r="A236" t="s">
        <v>874</v>
      </c>
      <c r="B236" t="s">
        <v>864</v>
      </c>
      <c r="C236" t="s">
        <v>851</v>
      </c>
      <c r="D236">
        <f t="shared" si="10"/>
        <v>620201</v>
      </c>
      <c r="E236" s="15" t="s">
        <v>681</v>
      </c>
      <c r="F236" s="18">
        <f>+_xlfn.XLOOKUP(D236,CVS!E:E,CVS!I:I,0)</f>
        <v>-36911193.549999997</v>
      </c>
      <c r="G236" s="14">
        <f>+SUMIFS('De Giorgi BDV'!C:C,'De Giorgi BDV'!D:D,D236)</f>
        <v>-703945.96</v>
      </c>
      <c r="H236" s="18">
        <f t="shared" si="11"/>
        <v>-37615139.509999998</v>
      </c>
      <c r="I236" s="14">
        <f>+_xlfn.XLOOKUP(D236,[1]BDV!$F:$F,[1]BDV!$AI:$AI)</f>
        <v>0</v>
      </c>
      <c r="J236" s="42">
        <f t="shared" si="9"/>
        <v>-37615139.509999998</v>
      </c>
    </row>
    <row r="237" spans="1:10" hidden="1" x14ac:dyDescent="0.25">
      <c r="A237" t="s">
        <v>874</v>
      </c>
      <c r="B237" t="s">
        <v>864</v>
      </c>
      <c r="C237" t="s">
        <v>851</v>
      </c>
      <c r="D237">
        <f t="shared" si="10"/>
        <v>620203</v>
      </c>
      <c r="E237" s="15" t="s">
        <v>682</v>
      </c>
      <c r="F237" s="18">
        <f>+_xlfn.XLOOKUP(D237,CVS!E:E,CVS!I:I,0)</f>
        <v>-789276.15</v>
      </c>
      <c r="G237" s="14">
        <f>+SUMIFS('De Giorgi BDV'!C:C,'De Giorgi BDV'!D:D,D237)</f>
        <v>0</v>
      </c>
      <c r="H237" s="18">
        <f t="shared" si="11"/>
        <v>-789276.15</v>
      </c>
      <c r="I237" s="14">
        <f>+_xlfn.XLOOKUP(D237,[1]BDV!$F:$F,[1]BDV!$AI:$AI)</f>
        <v>-789276.15</v>
      </c>
      <c r="J237" s="42">
        <f t="shared" si="9"/>
        <v>0</v>
      </c>
    </row>
    <row r="238" spans="1:10" hidden="1" x14ac:dyDescent="0.25">
      <c r="A238" t="s">
        <v>874</v>
      </c>
      <c r="B238" t="s">
        <v>863</v>
      </c>
      <c r="C238" t="s">
        <v>852</v>
      </c>
      <c r="D238">
        <f t="shared" si="10"/>
        <v>640201</v>
      </c>
      <c r="E238" s="15" t="s">
        <v>683</v>
      </c>
      <c r="F238" s="18">
        <f>+_xlfn.XLOOKUP(D238,CVS!E:E,CVS!I:I,0)</f>
        <v>-2824723.56</v>
      </c>
      <c r="G238" s="14">
        <f>+SUMIFS('De Giorgi BDV'!C:C,'De Giorgi BDV'!D:D,D238)</f>
        <v>0</v>
      </c>
      <c r="H238" s="18">
        <f t="shared" si="11"/>
        <v>-2824723.56</v>
      </c>
      <c r="I238" s="14">
        <f>+_xlfn.XLOOKUP(D238,[1]BDV!$F:$F,[1]BDV!$AI:$AI)</f>
        <v>-2824723.56</v>
      </c>
      <c r="J238" s="42">
        <f t="shared" si="9"/>
        <v>0</v>
      </c>
    </row>
    <row r="239" spans="1:10" hidden="1" x14ac:dyDescent="0.25">
      <c r="A239" t="s">
        <v>874</v>
      </c>
      <c r="B239" t="s">
        <v>863</v>
      </c>
      <c r="C239" t="s">
        <v>837</v>
      </c>
      <c r="D239">
        <f t="shared" si="10"/>
        <v>660201</v>
      </c>
      <c r="E239" s="15" t="s">
        <v>684</v>
      </c>
      <c r="F239" s="18">
        <f>+_xlfn.XLOOKUP(D239,CVS!E:E,CVS!I:I,0)</f>
        <v>-7206.23</v>
      </c>
      <c r="G239" s="14">
        <f>+SUMIFS('De Giorgi BDV'!C:C,'De Giorgi BDV'!D:D,D239)</f>
        <v>-0.97</v>
      </c>
      <c r="H239" s="18">
        <f t="shared" si="11"/>
        <v>-7207.2</v>
      </c>
      <c r="I239" s="14">
        <f>+_xlfn.XLOOKUP(D239,[1]BDV!$F:$F,[1]BDV!$AI:$AI)</f>
        <v>-7207.2</v>
      </c>
      <c r="J239" s="42">
        <f t="shared" si="9"/>
        <v>0</v>
      </c>
    </row>
    <row r="240" spans="1:10" hidden="1" x14ac:dyDescent="0.25">
      <c r="A240" t="s">
        <v>874</v>
      </c>
      <c r="B240" t="s">
        <v>863</v>
      </c>
      <c r="C240" t="s">
        <v>837</v>
      </c>
      <c r="D240">
        <f t="shared" si="10"/>
        <v>660203</v>
      </c>
      <c r="E240" s="15" t="s">
        <v>685</v>
      </c>
      <c r="F240" s="18">
        <f>+_xlfn.XLOOKUP(D240,CVS!E:E,CVS!I:I,0)</f>
        <v>-9498.5</v>
      </c>
      <c r="G240" s="14">
        <f>+SUMIFS('De Giorgi BDV'!C:C,'De Giorgi BDV'!D:D,D240)</f>
        <v>-3770</v>
      </c>
      <c r="H240" s="18">
        <f t="shared" si="11"/>
        <v>-13268.5</v>
      </c>
      <c r="I240" s="14">
        <f>+_xlfn.XLOOKUP(D240,[1]BDV!$F:$F,[1]BDV!$AI:$AI)</f>
        <v>-13268.5</v>
      </c>
      <c r="J240" s="42">
        <f t="shared" si="9"/>
        <v>0</v>
      </c>
    </row>
    <row r="241" spans="1:10" hidden="1" x14ac:dyDescent="0.25">
      <c r="A241" t="s">
        <v>874</v>
      </c>
      <c r="B241" t="s">
        <v>863</v>
      </c>
      <c r="C241" t="s">
        <v>837</v>
      </c>
      <c r="D241">
        <f t="shared" si="10"/>
        <v>660403</v>
      </c>
      <c r="E241" s="15" t="s">
        <v>686</v>
      </c>
      <c r="F241" s="18">
        <f>+_xlfn.XLOOKUP(D241,CVS!E:E,CVS!I:I,0)</f>
        <v>-3152.3</v>
      </c>
      <c r="G241" s="14">
        <f>+SUMIFS('De Giorgi BDV'!C:C,'De Giorgi BDV'!D:D,D241)</f>
        <v>0</v>
      </c>
      <c r="H241" s="18">
        <f t="shared" si="11"/>
        <v>-3152.3</v>
      </c>
      <c r="I241" s="14">
        <f>+_xlfn.XLOOKUP(D241,[1]BDV!$F:$F,[1]BDV!$AI:$AI)</f>
        <v>-3152.3</v>
      </c>
      <c r="J241" s="42">
        <f t="shared" si="9"/>
        <v>0</v>
      </c>
    </row>
    <row r="242" spans="1:10" hidden="1" x14ac:dyDescent="0.25">
      <c r="A242" t="s">
        <v>874</v>
      </c>
      <c r="B242" t="s">
        <v>863</v>
      </c>
      <c r="C242" t="s">
        <v>853</v>
      </c>
      <c r="D242">
        <f t="shared" si="10"/>
        <v>660407</v>
      </c>
      <c r="E242" s="15" t="s">
        <v>687</v>
      </c>
      <c r="F242" s="18">
        <f>+_xlfn.XLOOKUP(D242,CVS!E:E,CVS!I:I,0)</f>
        <v>-23438.42</v>
      </c>
      <c r="G242" s="14">
        <f>+SUMIFS('De Giorgi BDV'!C:C,'De Giorgi BDV'!D:D,D242)</f>
        <v>-70</v>
      </c>
      <c r="H242" s="18">
        <f t="shared" si="11"/>
        <v>-23508.42</v>
      </c>
      <c r="I242" s="14">
        <f>+_xlfn.XLOOKUP(D242,[1]BDV!$F:$F,[1]BDV!$AI:$AI)</f>
        <v>-23508.42</v>
      </c>
      <c r="J242" s="42">
        <f t="shared" si="9"/>
        <v>0</v>
      </c>
    </row>
    <row r="243" spans="1:10" hidden="1" x14ac:dyDescent="0.25">
      <c r="A243" t="s">
        <v>874</v>
      </c>
      <c r="B243" t="s">
        <v>863</v>
      </c>
      <c r="C243" t="s">
        <v>853</v>
      </c>
      <c r="D243">
        <f t="shared" si="10"/>
        <v>660409</v>
      </c>
      <c r="E243" s="15" t="s">
        <v>688</v>
      </c>
      <c r="F243" s="18">
        <f>+_xlfn.XLOOKUP(D243,CVS!E:E,CVS!I:I,0)</f>
        <v>-1691.99</v>
      </c>
      <c r="G243" s="14">
        <f>+SUMIFS('De Giorgi BDV'!C:C,'De Giorgi BDV'!D:D,D243)</f>
        <v>0</v>
      </c>
      <c r="H243" s="18">
        <f t="shared" si="11"/>
        <v>-1691.99</v>
      </c>
      <c r="I243" s="14">
        <f>+_xlfn.XLOOKUP(D243,[1]BDV!$F:$F,[1]BDV!$AI:$AI)</f>
        <v>-1691.99</v>
      </c>
      <c r="J243" s="42">
        <f t="shared" si="9"/>
        <v>0</v>
      </c>
    </row>
    <row r="244" spans="1:10" hidden="1" x14ac:dyDescent="0.25">
      <c r="A244" t="s">
        <v>874</v>
      </c>
      <c r="B244" t="s">
        <v>863</v>
      </c>
      <c r="C244" t="s">
        <v>837</v>
      </c>
      <c r="D244">
        <f t="shared" si="10"/>
        <v>660413</v>
      </c>
      <c r="E244" s="15" t="s">
        <v>689</v>
      </c>
      <c r="F244" s="18">
        <f>+_xlfn.XLOOKUP(D244,CVS!E:E,CVS!I:I,0)</f>
        <v>-18677.46</v>
      </c>
      <c r="G244" s="14">
        <f>+SUMIFS('De Giorgi BDV'!C:C,'De Giorgi BDV'!D:D,D244)</f>
        <v>0</v>
      </c>
      <c r="H244" s="18">
        <f t="shared" si="11"/>
        <v>-18677.46</v>
      </c>
      <c r="I244" s="14">
        <f>+_xlfn.XLOOKUP(D244,[1]BDV!$F:$F,[1]BDV!$AI:$AI)</f>
        <v>-18677.46</v>
      </c>
      <c r="J244" s="42">
        <f t="shared" si="9"/>
        <v>0</v>
      </c>
    </row>
    <row r="245" spans="1:10" hidden="1" x14ac:dyDescent="0.25">
      <c r="A245" t="s">
        <v>874</v>
      </c>
      <c r="B245" t="s">
        <v>865</v>
      </c>
      <c r="C245" t="s">
        <v>854</v>
      </c>
      <c r="D245">
        <f t="shared" si="10"/>
        <v>680201</v>
      </c>
      <c r="E245" s="15" t="s">
        <v>690</v>
      </c>
      <c r="F245" s="18">
        <f>+_xlfn.XLOOKUP(D245,CVS!E:E,CVS!I:I,0)</f>
        <v>7647933.29</v>
      </c>
      <c r="G245" s="14">
        <f>+SUMIFS('De Giorgi BDV'!C:C,'De Giorgi BDV'!D:D,D245)</f>
        <v>75376.37999999999</v>
      </c>
      <c r="H245" s="18">
        <f t="shared" si="11"/>
        <v>7723309.6699999999</v>
      </c>
      <c r="I245" s="14">
        <f>+_xlfn.XLOOKUP(D245,[1]BDV!$F:$F,[1]BDV!$AI:$AI)</f>
        <v>7723309.6699999999</v>
      </c>
      <c r="J245" s="42">
        <f t="shared" si="9"/>
        <v>0</v>
      </c>
    </row>
    <row r="246" spans="1:10" hidden="1" x14ac:dyDescent="0.25">
      <c r="A246" t="s">
        <v>874</v>
      </c>
      <c r="B246" t="s">
        <v>863</v>
      </c>
      <c r="C246" t="s">
        <v>852</v>
      </c>
      <c r="D246">
        <f t="shared" si="10"/>
        <v>680209</v>
      </c>
      <c r="E246" s="15" t="s">
        <v>691</v>
      </c>
      <c r="F246" s="18">
        <f>+_xlfn.XLOOKUP(D246,CVS!E:E,CVS!I:I,0)</f>
        <v>-2001545.22</v>
      </c>
      <c r="G246" s="14">
        <f>+SUMIFS('De Giorgi BDV'!C:C,'De Giorgi BDV'!D:D,D246)</f>
        <v>0</v>
      </c>
      <c r="H246" s="18">
        <f t="shared" si="11"/>
        <v>-2001545.22</v>
      </c>
      <c r="I246" s="14">
        <f>+_xlfn.XLOOKUP(D246,[1]BDV!$F:$F,[1]BDV!$AI:$AI)</f>
        <v>-2001545.22</v>
      </c>
      <c r="J246" s="42">
        <f t="shared" si="9"/>
        <v>0</v>
      </c>
    </row>
    <row r="247" spans="1:10" x14ac:dyDescent="0.25">
      <c r="A247" t="s">
        <v>874</v>
      </c>
      <c r="B247" t="s">
        <v>865</v>
      </c>
      <c r="C247" t="s">
        <v>855</v>
      </c>
      <c r="D247">
        <f t="shared" si="10"/>
        <v>680401</v>
      </c>
      <c r="E247" s="15" t="s">
        <v>692</v>
      </c>
      <c r="F247" s="18">
        <f>+_xlfn.XLOOKUP(D247,CVS!E:E,CVS!I:I,0)</f>
        <v>81.89</v>
      </c>
      <c r="G247" s="14">
        <f>+SUMIFS('De Giorgi BDV'!C:C,'De Giorgi BDV'!D:D,D247)</f>
        <v>0</v>
      </c>
      <c r="H247" s="18">
        <f t="shared" si="11"/>
        <v>81.89</v>
      </c>
      <c r="I247" s="14">
        <f>+_xlfn.XLOOKUP(D247,[1]BDV!$F:$F,[1]BDV!$AI:$AI)</f>
        <v>81.89</v>
      </c>
      <c r="J247" s="42">
        <f t="shared" si="9"/>
        <v>0</v>
      </c>
    </row>
    <row r="248" spans="1:10" x14ac:dyDescent="0.25">
      <c r="A248" t="s">
        <v>874</v>
      </c>
      <c r="B248" t="s">
        <v>865</v>
      </c>
      <c r="C248" t="s">
        <v>855</v>
      </c>
      <c r="D248">
        <f t="shared" si="10"/>
        <v>680601</v>
      </c>
      <c r="E248" s="15" t="s">
        <v>693</v>
      </c>
      <c r="F248" s="18">
        <f>+_xlfn.XLOOKUP(D248,CVS!E:E,CVS!I:I,0)</f>
        <v>79349.64</v>
      </c>
      <c r="G248" s="14">
        <f>+SUMIFS('De Giorgi BDV'!C:C,'De Giorgi BDV'!D:D,D248)</f>
        <v>2683.18</v>
      </c>
      <c r="H248" s="18">
        <f t="shared" si="11"/>
        <v>82032.819999999992</v>
      </c>
      <c r="I248" s="14">
        <f>+_xlfn.XLOOKUP(D248,[1]BDV!$F:$F,[1]BDV!$AI:$AI)</f>
        <v>82032.819999999992</v>
      </c>
      <c r="J248" s="42">
        <f t="shared" si="9"/>
        <v>0</v>
      </c>
    </row>
    <row r="249" spans="1:10" x14ac:dyDescent="0.25">
      <c r="A249" t="s">
        <v>874</v>
      </c>
      <c r="B249" t="s">
        <v>865</v>
      </c>
      <c r="C249" t="s">
        <v>855</v>
      </c>
      <c r="D249">
        <f t="shared" si="10"/>
        <v>680603</v>
      </c>
      <c r="E249" s="15" t="s">
        <v>694</v>
      </c>
      <c r="F249" s="18">
        <f>+_xlfn.XLOOKUP(D249,CVS!E:E,CVS!I:I,0)</f>
        <v>173653.03</v>
      </c>
      <c r="G249" s="14">
        <f>+SUMIFS('De Giorgi BDV'!C:C,'De Giorgi BDV'!D:D,D249)</f>
        <v>1832.81</v>
      </c>
      <c r="H249" s="18">
        <f t="shared" si="11"/>
        <v>175485.84</v>
      </c>
      <c r="I249" s="14">
        <f>+_xlfn.XLOOKUP(D249,[1]BDV!$F:$F,[1]BDV!$AI:$AI)</f>
        <v>175485.84</v>
      </c>
      <c r="J249" s="42">
        <f t="shared" si="9"/>
        <v>0</v>
      </c>
    </row>
    <row r="250" spans="1:10" hidden="1" x14ac:dyDescent="0.25">
      <c r="A250" t="s">
        <v>874</v>
      </c>
      <c r="B250" t="s">
        <v>865</v>
      </c>
      <c r="C250" t="s">
        <v>854</v>
      </c>
      <c r="D250">
        <f t="shared" si="10"/>
        <v>700201</v>
      </c>
      <c r="E250" s="15" t="s">
        <v>695</v>
      </c>
      <c r="F250" s="18">
        <f>+_xlfn.XLOOKUP(D250,CVS!E:E,CVS!I:I,0)</f>
        <v>13306.66</v>
      </c>
      <c r="G250" s="14">
        <f>+SUMIFS('De Giorgi BDV'!C:C,'De Giorgi BDV'!D:D,D250)</f>
        <v>12925</v>
      </c>
      <c r="H250" s="18">
        <f t="shared" si="11"/>
        <v>26231.66</v>
      </c>
      <c r="I250" s="14">
        <f>+_xlfn.XLOOKUP(D250,[1]BDV!$F:$F,[1]BDV!$AI:$AI)</f>
        <v>26231.66</v>
      </c>
      <c r="J250" s="42">
        <f t="shared" si="9"/>
        <v>0</v>
      </c>
    </row>
    <row r="251" spans="1:10" hidden="1" x14ac:dyDescent="0.25">
      <c r="A251" t="s">
        <v>874</v>
      </c>
      <c r="B251" t="s">
        <v>865</v>
      </c>
      <c r="C251" t="s">
        <v>854</v>
      </c>
      <c r="D251">
        <f t="shared" si="10"/>
        <v>700203</v>
      </c>
      <c r="E251" s="15" t="s">
        <v>696</v>
      </c>
      <c r="F251" s="18">
        <f>+_xlfn.XLOOKUP(D251,CVS!E:E,CVS!I:I,0)</f>
        <v>11105304.789999999</v>
      </c>
      <c r="G251" s="14">
        <f>+SUMIFS('De Giorgi BDV'!C:C,'De Giorgi BDV'!D:D,D251)</f>
        <v>151955.07</v>
      </c>
      <c r="H251" s="18">
        <f t="shared" si="11"/>
        <v>11257259.859999999</v>
      </c>
      <c r="I251" s="14">
        <f>+_xlfn.XLOOKUP(D251,[1]BDV!$F:$F,[1]BDV!$AI:$AI)</f>
        <v>11257259.859999999</v>
      </c>
      <c r="J251" s="42">
        <f t="shared" si="9"/>
        <v>0</v>
      </c>
    </row>
    <row r="252" spans="1:10" hidden="1" x14ac:dyDescent="0.25">
      <c r="A252" t="s">
        <v>874</v>
      </c>
      <c r="B252" t="s">
        <v>865</v>
      </c>
      <c r="C252" t="s">
        <v>854</v>
      </c>
      <c r="D252">
        <f t="shared" si="10"/>
        <v>700205</v>
      </c>
      <c r="E252" s="15" t="s">
        <v>697</v>
      </c>
      <c r="F252" s="18">
        <f>+_xlfn.XLOOKUP(D252,CVS!E:E,CVS!I:I,0)</f>
        <v>9061.2000000000007</v>
      </c>
      <c r="G252" s="14">
        <f>+SUMIFS('De Giorgi BDV'!C:C,'De Giorgi BDV'!D:D,D252)</f>
        <v>5500.9</v>
      </c>
      <c r="H252" s="18">
        <f t="shared" si="11"/>
        <v>14562.1</v>
      </c>
      <c r="I252" s="14">
        <f>+_xlfn.XLOOKUP(D252,[1]BDV!$F:$F,[1]BDV!$AI:$AI)</f>
        <v>14562.1</v>
      </c>
      <c r="J252" s="42">
        <f t="shared" si="9"/>
        <v>0</v>
      </c>
    </row>
    <row r="253" spans="1:10" hidden="1" x14ac:dyDescent="0.25">
      <c r="A253" t="s">
        <v>874</v>
      </c>
      <c r="B253" t="s">
        <v>865</v>
      </c>
      <c r="C253" t="s">
        <v>854</v>
      </c>
      <c r="D253">
        <f t="shared" si="10"/>
        <v>700207</v>
      </c>
      <c r="E253" s="15" t="s">
        <v>698</v>
      </c>
      <c r="F253" s="18">
        <f>+_xlfn.XLOOKUP(D253,CVS!E:E,CVS!I:I,0)</f>
        <v>8491.2900000000009</v>
      </c>
      <c r="G253" s="14">
        <f>+SUMIFS('De Giorgi BDV'!C:C,'De Giorgi BDV'!D:D,D253)</f>
        <v>479.67</v>
      </c>
      <c r="H253" s="18">
        <f t="shared" si="11"/>
        <v>8970.9600000000009</v>
      </c>
      <c r="I253" s="14">
        <f>+_xlfn.XLOOKUP(D253,[1]BDV!$F:$F,[1]BDV!$AI:$AI)</f>
        <v>8970.9600000000009</v>
      </c>
      <c r="J253" s="42">
        <f t="shared" si="9"/>
        <v>0</v>
      </c>
    </row>
    <row r="254" spans="1:10" x14ac:dyDescent="0.25">
      <c r="A254" t="s">
        <v>874</v>
      </c>
      <c r="B254" t="s">
        <v>865</v>
      </c>
      <c r="C254" t="s">
        <v>855</v>
      </c>
      <c r="D254">
        <f t="shared" si="10"/>
        <v>700209</v>
      </c>
      <c r="E254" s="15" t="s">
        <v>699</v>
      </c>
      <c r="F254" s="18">
        <f>+_xlfn.XLOOKUP(D254,CVS!E:E,CVS!I:I,0)</f>
        <v>58945.79</v>
      </c>
      <c r="G254" s="14">
        <f>+SUMIFS('De Giorgi BDV'!C:C,'De Giorgi BDV'!D:D,D254)</f>
        <v>2000</v>
      </c>
      <c r="H254" s="18">
        <f t="shared" si="11"/>
        <v>60945.79</v>
      </c>
      <c r="I254" s="14">
        <f>+_xlfn.XLOOKUP(D254,[1]BDV!$F:$F,[1]BDV!$AI:$AI)</f>
        <v>60945.79</v>
      </c>
      <c r="J254" s="42">
        <f t="shared" si="9"/>
        <v>0</v>
      </c>
    </row>
    <row r="255" spans="1:10" x14ac:dyDescent="0.25">
      <c r="A255" t="s">
        <v>874</v>
      </c>
      <c r="B255" t="s">
        <v>865</v>
      </c>
      <c r="C255" t="s">
        <v>855</v>
      </c>
      <c r="D255">
        <f t="shared" si="10"/>
        <v>700211</v>
      </c>
      <c r="E255" s="15" t="s">
        <v>700</v>
      </c>
      <c r="F255" s="18">
        <f>+_xlfn.XLOOKUP(D255,CVS!E:E,CVS!I:I,0)</f>
        <v>5279.23</v>
      </c>
      <c r="G255" s="14">
        <f>+SUMIFS('De Giorgi BDV'!C:C,'De Giorgi BDV'!D:D,D255)</f>
        <v>0</v>
      </c>
      <c r="H255" s="18">
        <f t="shared" si="11"/>
        <v>5279.23</v>
      </c>
      <c r="I255" s="14">
        <f>+_xlfn.XLOOKUP(D255,[1]BDV!$F:$F,[1]BDV!$AI:$AI)</f>
        <v>5279.23</v>
      </c>
      <c r="J255" s="42">
        <f t="shared" si="9"/>
        <v>0</v>
      </c>
    </row>
    <row r="256" spans="1:10" x14ac:dyDescent="0.25">
      <c r="A256" t="s">
        <v>874</v>
      </c>
      <c r="B256" t="s">
        <v>865</v>
      </c>
      <c r="C256" t="s">
        <v>855</v>
      </c>
      <c r="D256">
        <f t="shared" si="10"/>
        <v>700213</v>
      </c>
      <c r="E256" s="15" t="s">
        <v>701</v>
      </c>
      <c r="F256" s="18">
        <f>+_xlfn.XLOOKUP(D256,CVS!E:E,CVS!I:I,0)</f>
        <v>77150.23</v>
      </c>
      <c r="G256" s="14">
        <f>+SUMIFS('De Giorgi BDV'!C:C,'De Giorgi BDV'!D:D,D256)</f>
        <v>0</v>
      </c>
      <c r="H256" s="18">
        <f t="shared" si="11"/>
        <v>77150.23</v>
      </c>
      <c r="I256" s="14">
        <f>+_xlfn.XLOOKUP(D256,[1]BDV!$F:$F,[1]BDV!$AI:$AI)</f>
        <v>77150.23</v>
      </c>
      <c r="J256" s="42">
        <f t="shared" si="9"/>
        <v>0</v>
      </c>
    </row>
    <row r="257" spans="1:10" hidden="1" x14ac:dyDescent="0.25">
      <c r="A257" t="s">
        <v>874</v>
      </c>
      <c r="B257" t="s">
        <v>863</v>
      </c>
      <c r="C257" t="s">
        <v>852</v>
      </c>
      <c r="D257">
        <f t="shared" si="10"/>
        <v>700217</v>
      </c>
      <c r="E257" s="15" t="s">
        <v>702</v>
      </c>
      <c r="F257" s="18">
        <f>+_xlfn.XLOOKUP(D257,CVS!E:E,CVS!I:I,0)</f>
        <v>-5877412.6799999997</v>
      </c>
      <c r="G257" s="14">
        <f>+SUMIFS('De Giorgi BDV'!C:C,'De Giorgi BDV'!D:D,D257)</f>
        <v>0</v>
      </c>
      <c r="H257" s="18">
        <f t="shared" si="11"/>
        <v>-5877412.6799999997</v>
      </c>
      <c r="I257" s="14">
        <f>+_xlfn.XLOOKUP(D257,[1]BDV!$F:$F,[1]BDV!$AI:$AI)</f>
        <v>-5877412.6799999997</v>
      </c>
      <c r="J257" s="42">
        <f t="shared" si="9"/>
        <v>0</v>
      </c>
    </row>
    <row r="258" spans="1:10" x14ac:dyDescent="0.25">
      <c r="A258" t="s">
        <v>874</v>
      </c>
      <c r="B258" t="s">
        <v>865</v>
      </c>
      <c r="C258" t="s">
        <v>855</v>
      </c>
      <c r="D258">
        <f t="shared" si="10"/>
        <v>700401</v>
      </c>
      <c r="E258" s="15" t="s">
        <v>703</v>
      </c>
      <c r="F258" s="18">
        <f>+_xlfn.XLOOKUP(D258,CVS!E:E,CVS!I:I,0)</f>
        <v>25298.76</v>
      </c>
      <c r="G258" s="14">
        <f>+SUMIFS('De Giorgi BDV'!C:C,'De Giorgi BDV'!D:D,D258)</f>
        <v>0</v>
      </c>
      <c r="H258" s="18">
        <f t="shared" si="11"/>
        <v>25298.76</v>
      </c>
      <c r="I258" s="14">
        <f>+_xlfn.XLOOKUP(D258,[1]BDV!$F:$F,[1]BDV!$AI:$AI)</f>
        <v>25298.76</v>
      </c>
      <c r="J258" s="42">
        <f t="shared" si="9"/>
        <v>0</v>
      </c>
    </row>
    <row r="259" spans="1:10" x14ac:dyDescent="0.25">
      <c r="A259" t="s">
        <v>874</v>
      </c>
      <c r="B259" t="s">
        <v>865</v>
      </c>
      <c r="C259" t="s">
        <v>856</v>
      </c>
      <c r="D259">
        <f t="shared" si="10"/>
        <v>700403</v>
      </c>
      <c r="E259" s="15" t="s">
        <v>704</v>
      </c>
      <c r="F259" s="18">
        <f>+_xlfn.XLOOKUP(D259,CVS!E:E,CVS!I:I,0)</f>
        <v>242668.54</v>
      </c>
      <c r="G259" s="14">
        <f>+SUMIFS('De Giorgi BDV'!C:C,'De Giorgi BDV'!D:D,D259)</f>
        <v>15283.31</v>
      </c>
      <c r="H259" s="18">
        <f t="shared" si="11"/>
        <v>257951.85</v>
      </c>
      <c r="I259" s="14">
        <f>+_xlfn.XLOOKUP(D259,[1]BDV!$F:$F,[1]BDV!$AI:$AI)</f>
        <v>257951.85</v>
      </c>
      <c r="J259" s="42">
        <f t="shared" si="9"/>
        <v>0</v>
      </c>
    </row>
    <row r="260" spans="1:10" x14ac:dyDescent="0.25">
      <c r="A260" t="s">
        <v>874</v>
      </c>
      <c r="B260" t="s">
        <v>865</v>
      </c>
      <c r="C260" t="s">
        <v>855</v>
      </c>
      <c r="D260">
        <f t="shared" si="10"/>
        <v>700405</v>
      </c>
      <c r="E260" s="15" t="s">
        <v>705</v>
      </c>
      <c r="F260" s="18">
        <f>+_xlfn.XLOOKUP(D260,CVS!E:E,CVS!I:I,0)</f>
        <v>568887.39</v>
      </c>
      <c r="G260" s="14">
        <f>+SUMIFS('De Giorgi BDV'!C:C,'De Giorgi BDV'!D:D,D260)</f>
        <v>0</v>
      </c>
      <c r="H260" s="18">
        <f t="shared" si="11"/>
        <v>568887.39</v>
      </c>
      <c r="I260" s="14">
        <f>+_xlfn.XLOOKUP(D260,[1]BDV!$F:$F,[1]BDV!$AI:$AI)</f>
        <v>568887.39</v>
      </c>
      <c r="J260" s="42">
        <f t="shared" si="9"/>
        <v>0</v>
      </c>
    </row>
    <row r="261" spans="1:10" x14ac:dyDescent="0.25">
      <c r="A261" t="s">
        <v>874</v>
      </c>
      <c r="B261" t="s">
        <v>865</v>
      </c>
      <c r="C261" t="s">
        <v>855</v>
      </c>
      <c r="D261">
        <f t="shared" si="10"/>
        <v>700407</v>
      </c>
      <c r="E261" s="15" t="s">
        <v>706</v>
      </c>
      <c r="F261" s="18">
        <f>+_xlfn.XLOOKUP(D261,CVS!E:E,CVS!I:I,0)</f>
        <v>1078802.76</v>
      </c>
      <c r="G261" s="14">
        <f>+SUMIFS('De Giorgi BDV'!C:C,'De Giorgi BDV'!D:D,D261)</f>
        <v>0</v>
      </c>
      <c r="H261" s="18">
        <f t="shared" si="11"/>
        <v>1078802.76</v>
      </c>
      <c r="I261" s="14">
        <f>+_xlfn.XLOOKUP(D261,[1]BDV!$F:$F,[1]BDV!$AI:$AI)</f>
        <v>1078802.76</v>
      </c>
      <c r="J261" s="42">
        <f t="shared" ref="J261:J324" si="12">+H261-I261</f>
        <v>0</v>
      </c>
    </row>
    <row r="262" spans="1:10" x14ac:dyDescent="0.25">
      <c r="A262" t="s">
        <v>874</v>
      </c>
      <c r="B262" t="s">
        <v>865</v>
      </c>
      <c r="C262" t="s">
        <v>855</v>
      </c>
      <c r="D262">
        <f t="shared" ref="D262:D325" si="13">+_xlfn.NUMBERVALUE(LEFT(E262,6))</f>
        <v>700409</v>
      </c>
      <c r="E262" s="15" t="s">
        <v>707</v>
      </c>
      <c r="F262" s="18">
        <f>+_xlfn.XLOOKUP(D262,CVS!E:E,CVS!I:I,0)</f>
        <v>403472.76</v>
      </c>
      <c r="G262" s="14">
        <f>+SUMIFS('De Giorgi BDV'!C:C,'De Giorgi BDV'!D:D,D262)</f>
        <v>15306</v>
      </c>
      <c r="H262" s="18">
        <f t="shared" ref="H262:H325" si="14">+F262+G262</f>
        <v>418778.76</v>
      </c>
      <c r="I262" s="14">
        <f>+_xlfn.XLOOKUP(D262,[1]BDV!$F:$F,[1]BDV!$AI:$AI)</f>
        <v>418778.76</v>
      </c>
      <c r="J262" s="42">
        <f t="shared" si="12"/>
        <v>0</v>
      </c>
    </row>
    <row r="263" spans="1:10" x14ac:dyDescent="0.25">
      <c r="A263" t="s">
        <v>874</v>
      </c>
      <c r="B263" t="s">
        <v>865</v>
      </c>
      <c r="C263" t="s">
        <v>856</v>
      </c>
      <c r="D263">
        <f t="shared" si="13"/>
        <v>700411</v>
      </c>
      <c r="E263" s="15" t="s">
        <v>708</v>
      </c>
      <c r="F263" s="18">
        <f>+_xlfn.XLOOKUP(D263,CVS!E:E,CVS!I:I,0)</f>
        <v>39190.76</v>
      </c>
      <c r="G263" s="14">
        <f>+SUMIFS('De Giorgi BDV'!C:C,'De Giorgi BDV'!D:D,D263)</f>
        <v>3568.08</v>
      </c>
      <c r="H263" s="18">
        <f t="shared" si="14"/>
        <v>42758.840000000004</v>
      </c>
      <c r="I263" s="14">
        <f>+_xlfn.XLOOKUP(D263,[1]BDV!$F:$F,[1]BDV!$AI:$AI)</f>
        <v>42758.840000000004</v>
      </c>
      <c r="J263" s="42">
        <f t="shared" si="12"/>
        <v>0</v>
      </c>
    </row>
    <row r="264" spans="1:10" hidden="1" x14ac:dyDescent="0.25">
      <c r="A264" t="s">
        <v>874</v>
      </c>
      <c r="B264" t="s">
        <v>865</v>
      </c>
      <c r="C264" t="s">
        <v>854</v>
      </c>
      <c r="D264">
        <f t="shared" si="13"/>
        <v>700601</v>
      </c>
      <c r="E264" s="15" t="s">
        <v>709</v>
      </c>
      <c r="F264" s="18">
        <f>+_xlfn.XLOOKUP(D264,CVS!E:E,CVS!I:I,0)</f>
        <v>9600242.3800000008</v>
      </c>
      <c r="G264" s="14">
        <f>+SUMIFS('De Giorgi BDV'!C:C,'De Giorgi BDV'!D:D,D264)</f>
        <v>151289.26</v>
      </c>
      <c r="H264" s="18">
        <f t="shared" si="14"/>
        <v>9751531.6400000006</v>
      </c>
      <c r="I264" s="14">
        <f>+_xlfn.XLOOKUP(D264,[1]BDV!$F:$F,[1]BDV!$AI:$AI)</f>
        <v>9751531.6400000006</v>
      </c>
      <c r="J264" s="42">
        <f t="shared" si="12"/>
        <v>0</v>
      </c>
    </row>
    <row r="265" spans="1:10" x14ac:dyDescent="0.25">
      <c r="A265" t="s">
        <v>874</v>
      </c>
      <c r="B265" t="s">
        <v>865</v>
      </c>
      <c r="C265" t="s">
        <v>855</v>
      </c>
      <c r="D265">
        <f t="shared" si="13"/>
        <v>700603</v>
      </c>
      <c r="E265" s="15" t="s">
        <v>710</v>
      </c>
      <c r="F265" s="18">
        <f>+_xlfn.XLOOKUP(D265,CVS!E:E,CVS!I:I,0)</f>
        <v>23936.02</v>
      </c>
      <c r="G265" s="14">
        <f>+SUMIFS('De Giorgi BDV'!C:C,'De Giorgi BDV'!D:D,D265)</f>
        <v>2878.92</v>
      </c>
      <c r="H265" s="18">
        <f t="shared" si="14"/>
        <v>26814.940000000002</v>
      </c>
      <c r="I265" s="14">
        <f>+_xlfn.XLOOKUP(D265,[1]BDV!$F:$F,[1]BDV!$AI:$AI)</f>
        <v>26814.940000000002</v>
      </c>
      <c r="J265" s="42">
        <f t="shared" si="12"/>
        <v>0</v>
      </c>
    </row>
    <row r="266" spans="1:10" x14ac:dyDescent="0.25">
      <c r="A266" t="s">
        <v>874</v>
      </c>
      <c r="B266" t="s">
        <v>865</v>
      </c>
      <c r="C266" t="s">
        <v>855</v>
      </c>
      <c r="D266">
        <f t="shared" si="13"/>
        <v>700801</v>
      </c>
      <c r="E266" s="15" t="s">
        <v>711</v>
      </c>
      <c r="F266" s="18">
        <f>+_xlfn.XLOOKUP(D266,CVS!E:E,CVS!I:I,0)</f>
        <v>80784.009999999995</v>
      </c>
      <c r="G266" s="14">
        <f>+SUMIFS('De Giorgi BDV'!C:C,'De Giorgi BDV'!D:D,D266)</f>
        <v>0</v>
      </c>
      <c r="H266" s="18">
        <f t="shared" si="14"/>
        <v>80784.009999999995</v>
      </c>
      <c r="I266" s="14">
        <f>+_xlfn.XLOOKUP(D266,[1]BDV!$F:$F,[1]BDV!$AI:$AI)</f>
        <v>80784.009999999995</v>
      </c>
      <c r="J266" s="42">
        <f t="shared" si="12"/>
        <v>0</v>
      </c>
    </row>
    <row r="267" spans="1:10" x14ac:dyDescent="0.25">
      <c r="A267" t="s">
        <v>874</v>
      </c>
      <c r="B267" t="s">
        <v>865</v>
      </c>
      <c r="C267" t="s">
        <v>855</v>
      </c>
      <c r="D267">
        <f t="shared" si="13"/>
        <v>700803</v>
      </c>
      <c r="E267" s="15" t="s">
        <v>712</v>
      </c>
      <c r="F267" s="18">
        <f>+_xlfn.XLOOKUP(D267,CVS!E:E,CVS!I:I,0)</f>
        <v>12047.23</v>
      </c>
      <c r="G267" s="14">
        <f>+SUMIFS('De Giorgi BDV'!C:C,'De Giorgi BDV'!D:D,D267)</f>
        <v>335.88</v>
      </c>
      <c r="H267" s="18">
        <f t="shared" si="14"/>
        <v>12383.109999999999</v>
      </c>
      <c r="I267" s="14">
        <f>+_xlfn.XLOOKUP(D267,[1]BDV!$F:$F,[1]BDV!$AI:$AI)</f>
        <v>12383.109999999999</v>
      </c>
      <c r="J267" s="42">
        <f t="shared" si="12"/>
        <v>0</v>
      </c>
    </row>
    <row r="268" spans="1:10" x14ac:dyDescent="0.25">
      <c r="A268" t="s">
        <v>874</v>
      </c>
      <c r="B268" t="s">
        <v>865</v>
      </c>
      <c r="C268" t="s">
        <v>855</v>
      </c>
      <c r="D268">
        <f t="shared" si="13"/>
        <v>700805</v>
      </c>
      <c r="E268" s="15" t="s">
        <v>713</v>
      </c>
      <c r="F268" s="18">
        <f>+_xlfn.XLOOKUP(D268,CVS!E:E,CVS!I:I,0)</f>
        <v>7274.19</v>
      </c>
      <c r="G268" s="14">
        <f>+SUMIFS('De Giorgi BDV'!C:C,'De Giorgi BDV'!D:D,D268)</f>
        <v>29.62</v>
      </c>
      <c r="H268" s="18">
        <f t="shared" si="14"/>
        <v>7303.8099999999995</v>
      </c>
      <c r="I268" s="14">
        <f>+_xlfn.XLOOKUP(D268,[1]BDV!$F:$F,[1]BDV!$AI:$AI)</f>
        <v>7303.8099999999995</v>
      </c>
      <c r="J268" s="42">
        <f t="shared" si="12"/>
        <v>0</v>
      </c>
    </row>
    <row r="269" spans="1:10" x14ac:dyDescent="0.25">
      <c r="A269" t="s">
        <v>874</v>
      </c>
      <c r="B269" t="s">
        <v>865</v>
      </c>
      <c r="C269" t="s">
        <v>855</v>
      </c>
      <c r="D269">
        <f t="shared" si="13"/>
        <v>700807</v>
      </c>
      <c r="E269" s="15" t="s">
        <v>714</v>
      </c>
      <c r="F269" s="18">
        <f>+_xlfn.XLOOKUP(D269,CVS!E:E,CVS!I:I,0)</f>
        <v>31325.5</v>
      </c>
      <c r="G269" s="14">
        <f>+SUMIFS('De Giorgi BDV'!C:C,'De Giorgi BDV'!D:D,D269)</f>
        <v>0</v>
      </c>
      <c r="H269" s="18">
        <f t="shared" si="14"/>
        <v>31325.5</v>
      </c>
      <c r="I269" s="14">
        <f>+_xlfn.XLOOKUP(D269,[1]BDV!$F:$F,[1]BDV!$AI:$AI)</f>
        <v>31325.5</v>
      </c>
      <c r="J269" s="42">
        <f t="shared" si="12"/>
        <v>0</v>
      </c>
    </row>
    <row r="270" spans="1:10" x14ac:dyDescent="0.25">
      <c r="A270" t="s">
        <v>874</v>
      </c>
      <c r="B270" t="s">
        <v>865</v>
      </c>
      <c r="C270" t="s">
        <v>855</v>
      </c>
      <c r="D270">
        <f t="shared" si="13"/>
        <v>700809</v>
      </c>
      <c r="E270" s="15" t="s">
        <v>715</v>
      </c>
      <c r="F270" s="18">
        <f>+_xlfn.XLOOKUP(D270,CVS!E:E,CVS!I:I,0)</f>
        <v>73216.83</v>
      </c>
      <c r="G270" s="14">
        <f>+SUMIFS('De Giorgi BDV'!C:C,'De Giorgi BDV'!D:D,D270)</f>
        <v>0</v>
      </c>
      <c r="H270" s="18">
        <f t="shared" si="14"/>
        <v>73216.83</v>
      </c>
      <c r="I270" s="14">
        <f>+_xlfn.XLOOKUP(D270,[1]BDV!$F:$F,[1]BDV!$AI:$AI)</f>
        <v>73216.83</v>
      </c>
      <c r="J270" s="42">
        <f t="shared" si="12"/>
        <v>0</v>
      </c>
    </row>
    <row r="271" spans="1:10" x14ac:dyDescent="0.25">
      <c r="A271" t="s">
        <v>874</v>
      </c>
      <c r="B271" t="s">
        <v>865</v>
      </c>
      <c r="C271" t="s">
        <v>855</v>
      </c>
      <c r="D271">
        <f t="shared" si="13"/>
        <v>700811</v>
      </c>
      <c r="E271" s="15" t="s">
        <v>716</v>
      </c>
      <c r="F271" s="18">
        <f>+_xlfn.XLOOKUP(D271,CVS!E:E,CVS!I:I,0)</f>
        <v>69.900000000000006</v>
      </c>
      <c r="G271" s="14">
        <f>+SUMIFS('De Giorgi BDV'!C:C,'De Giorgi BDV'!D:D,D271)</f>
        <v>0</v>
      </c>
      <c r="H271" s="18">
        <f t="shared" si="14"/>
        <v>69.900000000000006</v>
      </c>
      <c r="I271" s="14">
        <f>+_xlfn.XLOOKUP(D271,[1]BDV!$F:$F,[1]BDV!$AI:$AI)</f>
        <v>69.900000000000006</v>
      </c>
      <c r="J271" s="42">
        <f t="shared" si="12"/>
        <v>0</v>
      </c>
    </row>
    <row r="272" spans="1:10" x14ac:dyDescent="0.25">
      <c r="A272" t="s">
        <v>874</v>
      </c>
      <c r="B272" t="s">
        <v>865</v>
      </c>
      <c r="C272" t="s">
        <v>855</v>
      </c>
      <c r="D272">
        <f t="shared" si="13"/>
        <v>700813</v>
      </c>
      <c r="E272" s="15" t="s">
        <v>717</v>
      </c>
      <c r="F272" s="18">
        <f>+_xlfn.XLOOKUP(D272,CVS!E:E,CVS!I:I,0)</f>
        <v>35087.269999999997</v>
      </c>
      <c r="G272" s="14">
        <f>+SUMIFS('De Giorgi BDV'!C:C,'De Giorgi BDV'!D:D,D272)</f>
        <v>0</v>
      </c>
      <c r="H272" s="18">
        <f t="shared" si="14"/>
        <v>35087.269999999997</v>
      </c>
      <c r="I272" s="14">
        <f>+_xlfn.XLOOKUP(D272,[1]BDV!$F:$F,[1]BDV!$AI:$AI)</f>
        <v>35087.269999999997</v>
      </c>
      <c r="J272" s="42">
        <f t="shared" si="12"/>
        <v>0</v>
      </c>
    </row>
    <row r="273" spans="1:10" x14ac:dyDescent="0.25">
      <c r="A273" t="s">
        <v>874</v>
      </c>
      <c r="B273" t="s">
        <v>865</v>
      </c>
      <c r="C273" t="s">
        <v>855</v>
      </c>
      <c r="D273">
        <f t="shared" si="13"/>
        <v>700815</v>
      </c>
      <c r="E273" s="15" t="s">
        <v>718</v>
      </c>
      <c r="F273" s="18">
        <f>+_xlfn.XLOOKUP(D273,CVS!E:E,CVS!I:I,0)</f>
        <v>119529.99</v>
      </c>
      <c r="G273" s="14">
        <f>+SUMIFS('De Giorgi BDV'!C:C,'De Giorgi BDV'!D:D,D273)</f>
        <v>0</v>
      </c>
      <c r="H273" s="18">
        <f t="shared" si="14"/>
        <v>119529.99</v>
      </c>
      <c r="I273" s="14">
        <f>+_xlfn.XLOOKUP(D273,[1]BDV!$F:$F,[1]BDV!$AI:$AI)</f>
        <v>119529.99</v>
      </c>
      <c r="J273" s="42">
        <f t="shared" si="12"/>
        <v>0</v>
      </c>
    </row>
    <row r="274" spans="1:10" x14ac:dyDescent="0.25">
      <c r="A274" t="s">
        <v>874</v>
      </c>
      <c r="B274" t="s">
        <v>865</v>
      </c>
      <c r="C274" t="s">
        <v>855</v>
      </c>
      <c r="D274">
        <f t="shared" si="13"/>
        <v>700819</v>
      </c>
      <c r="E274" s="15" t="s">
        <v>719</v>
      </c>
      <c r="F274" s="18">
        <f>+_xlfn.XLOOKUP(D274,CVS!E:E,CVS!I:I,0)</f>
        <v>54388.6</v>
      </c>
      <c r="G274" s="14">
        <f>+SUMIFS('De Giorgi BDV'!C:C,'De Giorgi BDV'!D:D,D274)</f>
        <v>57.9</v>
      </c>
      <c r="H274" s="18">
        <f t="shared" si="14"/>
        <v>54446.5</v>
      </c>
      <c r="I274" s="14">
        <f>+_xlfn.XLOOKUP(D274,[1]BDV!$F:$F,[1]BDV!$AI:$AI)</f>
        <v>54446.5</v>
      </c>
      <c r="J274" s="42">
        <f t="shared" si="12"/>
        <v>0</v>
      </c>
    </row>
    <row r="275" spans="1:10" x14ac:dyDescent="0.25">
      <c r="A275" t="s">
        <v>874</v>
      </c>
      <c r="B275" t="s">
        <v>865</v>
      </c>
      <c r="C275" t="s">
        <v>855</v>
      </c>
      <c r="D275">
        <f t="shared" si="13"/>
        <v>700821</v>
      </c>
      <c r="E275" s="15" t="s">
        <v>720</v>
      </c>
      <c r="F275" s="18">
        <f>+_xlfn.XLOOKUP(D275,CVS!E:E,CVS!I:I,0)</f>
        <v>9.52</v>
      </c>
      <c r="G275" s="14">
        <f>+SUMIFS('De Giorgi BDV'!C:C,'De Giorgi BDV'!D:D,D275)</f>
        <v>305</v>
      </c>
      <c r="H275" s="18">
        <f t="shared" si="14"/>
        <v>314.52</v>
      </c>
      <c r="I275" s="14">
        <f>+_xlfn.XLOOKUP(D275,[1]BDV!$F:$F,[1]BDV!$AI:$AI)</f>
        <v>314.52</v>
      </c>
      <c r="J275" s="42">
        <f t="shared" si="12"/>
        <v>0</v>
      </c>
    </row>
    <row r="276" spans="1:10" x14ac:dyDescent="0.25">
      <c r="A276" t="s">
        <v>874</v>
      </c>
      <c r="B276" t="s">
        <v>865</v>
      </c>
      <c r="C276" t="s">
        <v>856</v>
      </c>
      <c r="D276">
        <f t="shared" si="13"/>
        <v>700823</v>
      </c>
      <c r="E276" s="15" t="s">
        <v>721</v>
      </c>
      <c r="F276" s="18">
        <f>+_xlfn.XLOOKUP(D276,CVS!E:E,CVS!I:I,0)</f>
        <v>7207.96</v>
      </c>
      <c r="G276" s="14">
        <f>+SUMIFS('De Giorgi BDV'!C:C,'De Giorgi BDV'!D:D,D276)</f>
        <v>0</v>
      </c>
      <c r="H276" s="18">
        <f t="shared" si="14"/>
        <v>7207.96</v>
      </c>
      <c r="I276" s="14">
        <f>+_xlfn.XLOOKUP(D276,[1]BDV!$F:$F,[1]BDV!$AI:$AI)</f>
        <v>7207.96</v>
      </c>
      <c r="J276" s="42">
        <f t="shared" si="12"/>
        <v>0</v>
      </c>
    </row>
    <row r="277" spans="1:10" x14ac:dyDescent="0.25">
      <c r="A277" t="s">
        <v>874</v>
      </c>
      <c r="B277" t="s">
        <v>865</v>
      </c>
      <c r="C277" t="s">
        <v>855</v>
      </c>
      <c r="D277">
        <f t="shared" si="13"/>
        <v>701201</v>
      </c>
      <c r="E277" s="15" t="s">
        <v>722</v>
      </c>
      <c r="F277" s="18">
        <f>+_xlfn.XLOOKUP(D277,CVS!E:E,CVS!I:I,0)</f>
        <v>60145.33</v>
      </c>
      <c r="G277" s="14">
        <f>+SUMIFS('De Giorgi BDV'!C:C,'De Giorgi BDV'!D:D,D277)</f>
        <v>461.11</v>
      </c>
      <c r="H277" s="18">
        <f t="shared" si="14"/>
        <v>60606.44</v>
      </c>
      <c r="I277" s="14">
        <f>+_xlfn.XLOOKUP(D277,[1]BDV!$F:$F,[1]BDV!$AI:$AI)</f>
        <v>60606.44</v>
      </c>
      <c r="J277" s="42">
        <f t="shared" si="12"/>
        <v>0</v>
      </c>
    </row>
    <row r="278" spans="1:10" x14ac:dyDescent="0.25">
      <c r="A278" t="s">
        <v>874</v>
      </c>
      <c r="B278" t="s">
        <v>865</v>
      </c>
      <c r="C278" t="s">
        <v>855</v>
      </c>
      <c r="D278">
        <f t="shared" si="13"/>
        <v>701601</v>
      </c>
      <c r="E278" s="15" t="s">
        <v>723</v>
      </c>
      <c r="F278" s="18">
        <f>+_xlfn.XLOOKUP(D278,CVS!E:E,CVS!I:I,0)</f>
        <v>643268</v>
      </c>
      <c r="G278" s="14">
        <f>+SUMIFS('De Giorgi BDV'!C:C,'De Giorgi BDV'!D:D,D278)</f>
        <v>0</v>
      </c>
      <c r="H278" s="18">
        <f t="shared" si="14"/>
        <v>643268</v>
      </c>
      <c r="I278" s="14">
        <f>+_xlfn.XLOOKUP(D278,[1]BDV!$F:$F,[1]BDV!$AI:$AI)</f>
        <v>643268</v>
      </c>
      <c r="J278" s="42">
        <f t="shared" si="12"/>
        <v>0</v>
      </c>
    </row>
    <row r="279" spans="1:10" x14ac:dyDescent="0.25">
      <c r="A279" t="s">
        <v>874</v>
      </c>
      <c r="B279" t="s">
        <v>865</v>
      </c>
      <c r="C279" t="s">
        <v>855</v>
      </c>
      <c r="D279">
        <f t="shared" si="13"/>
        <v>701603</v>
      </c>
      <c r="E279" s="15" t="s">
        <v>724</v>
      </c>
      <c r="F279" s="18">
        <f>+_xlfn.XLOOKUP(D279,CVS!E:E,CVS!I:I,0)</f>
        <v>131797.70000000001</v>
      </c>
      <c r="G279" s="14">
        <f>+SUMIFS('De Giorgi BDV'!C:C,'De Giorgi BDV'!D:D,D279)</f>
        <v>123.94</v>
      </c>
      <c r="H279" s="18">
        <f t="shared" si="14"/>
        <v>131921.64000000001</v>
      </c>
      <c r="I279" s="14">
        <f>+_xlfn.XLOOKUP(D279,[1]BDV!$F:$F,[1]BDV!$AI:$AI)</f>
        <v>131921.64000000001</v>
      </c>
      <c r="J279" s="42">
        <f t="shared" si="12"/>
        <v>0</v>
      </c>
    </row>
    <row r="280" spans="1:10" x14ac:dyDescent="0.25">
      <c r="A280" t="s">
        <v>874</v>
      </c>
      <c r="B280" t="s">
        <v>865</v>
      </c>
      <c r="C280" t="s">
        <v>855</v>
      </c>
      <c r="D280">
        <f t="shared" si="13"/>
        <v>701605</v>
      </c>
      <c r="E280" s="15" t="s">
        <v>725</v>
      </c>
      <c r="F280" s="18">
        <f>+_xlfn.XLOOKUP(D280,CVS!E:E,CVS!I:I,0)</f>
        <v>6617.28</v>
      </c>
      <c r="G280" s="14">
        <f>+SUMIFS('De Giorgi BDV'!C:C,'De Giorgi BDV'!D:D,D280)</f>
        <v>0</v>
      </c>
      <c r="H280" s="18">
        <f t="shared" si="14"/>
        <v>6617.28</v>
      </c>
      <c r="I280" s="14">
        <f>+_xlfn.XLOOKUP(D280,[1]BDV!$F:$F,[1]BDV!$AI:$AI)</f>
        <v>6617.28</v>
      </c>
      <c r="J280" s="42">
        <f t="shared" si="12"/>
        <v>0</v>
      </c>
    </row>
    <row r="281" spans="1:10" x14ac:dyDescent="0.25">
      <c r="A281" t="s">
        <v>874</v>
      </c>
      <c r="B281" t="s">
        <v>865</v>
      </c>
      <c r="C281" t="s">
        <v>855</v>
      </c>
      <c r="D281">
        <f t="shared" si="13"/>
        <v>701607</v>
      </c>
      <c r="E281" s="15" t="s">
        <v>726</v>
      </c>
      <c r="F281" s="18">
        <f>+_xlfn.XLOOKUP(D281,CVS!E:E,CVS!I:I,0)</f>
        <v>161022.29999999999</v>
      </c>
      <c r="G281" s="14">
        <f>+SUMIFS('De Giorgi BDV'!C:C,'De Giorgi BDV'!D:D,D281)</f>
        <v>0</v>
      </c>
      <c r="H281" s="18">
        <f t="shared" si="14"/>
        <v>161022.29999999999</v>
      </c>
      <c r="I281" s="14">
        <f>+_xlfn.XLOOKUP(D281,[1]BDV!$F:$F,[1]BDV!$AI:$AI)</f>
        <v>161022.29999999999</v>
      </c>
      <c r="J281" s="42">
        <f t="shared" si="12"/>
        <v>0</v>
      </c>
    </row>
    <row r="282" spans="1:10" x14ac:dyDescent="0.25">
      <c r="A282" t="s">
        <v>874</v>
      </c>
      <c r="B282" t="s">
        <v>865</v>
      </c>
      <c r="C282" t="s">
        <v>856</v>
      </c>
      <c r="D282">
        <f t="shared" si="13"/>
        <v>701805</v>
      </c>
      <c r="E282" s="15" t="s">
        <v>727</v>
      </c>
      <c r="F282" s="18">
        <f>+_xlfn.XLOOKUP(D282,CVS!E:E,CVS!I:I,0)</f>
        <v>852.61</v>
      </c>
      <c r="G282" s="14">
        <f>+SUMIFS('De Giorgi BDV'!C:C,'De Giorgi BDV'!D:D,D282)</f>
        <v>0</v>
      </c>
      <c r="H282" s="18">
        <f t="shared" si="14"/>
        <v>852.61</v>
      </c>
      <c r="I282" s="14">
        <f>+_xlfn.XLOOKUP(D282,[1]BDV!$F:$F,[1]BDV!$AI:$AI)</f>
        <v>852.61</v>
      </c>
      <c r="J282" s="42">
        <f t="shared" si="12"/>
        <v>0</v>
      </c>
    </row>
    <row r="283" spans="1:10" x14ac:dyDescent="0.25">
      <c r="A283" t="s">
        <v>874</v>
      </c>
      <c r="B283" t="s">
        <v>865</v>
      </c>
      <c r="C283" t="s">
        <v>855</v>
      </c>
      <c r="D283">
        <f t="shared" si="13"/>
        <v>701807</v>
      </c>
      <c r="E283" s="15" t="s">
        <v>728</v>
      </c>
      <c r="F283" s="18">
        <f>+_xlfn.XLOOKUP(D283,CVS!E:E,CVS!I:I,0)</f>
        <v>1300</v>
      </c>
      <c r="G283" s="14">
        <f>+SUMIFS('De Giorgi BDV'!C:C,'De Giorgi BDV'!D:D,D283)</f>
        <v>0</v>
      </c>
      <c r="H283" s="18">
        <f t="shared" si="14"/>
        <v>1300</v>
      </c>
      <c r="I283" s="14">
        <f>+_xlfn.XLOOKUP(D283,[1]BDV!$F:$F,[1]BDV!$AI:$AI)</f>
        <v>1300</v>
      </c>
      <c r="J283" s="42">
        <f t="shared" si="12"/>
        <v>0</v>
      </c>
    </row>
    <row r="284" spans="1:10" x14ac:dyDescent="0.25">
      <c r="A284" t="s">
        <v>874</v>
      </c>
      <c r="B284" t="s">
        <v>865</v>
      </c>
      <c r="C284" t="s">
        <v>855</v>
      </c>
      <c r="D284">
        <f t="shared" si="13"/>
        <v>701811</v>
      </c>
      <c r="E284" s="15" t="s">
        <v>729</v>
      </c>
      <c r="F284" s="18">
        <f>+_xlfn.XLOOKUP(D284,CVS!E:E,CVS!I:I,0)</f>
        <v>6820</v>
      </c>
      <c r="G284" s="14">
        <f>+SUMIFS('De Giorgi BDV'!C:C,'De Giorgi BDV'!D:D,D284)</f>
        <v>0</v>
      </c>
      <c r="H284" s="18">
        <f t="shared" si="14"/>
        <v>6820</v>
      </c>
      <c r="I284" s="14">
        <f>+_xlfn.XLOOKUP(D284,[1]BDV!$F:$F,[1]BDV!$AI:$AI)</f>
        <v>6820</v>
      </c>
      <c r="J284" s="42">
        <f t="shared" si="12"/>
        <v>0</v>
      </c>
    </row>
    <row r="285" spans="1:10" x14ac:dyDescent="0.25">
      <c r="A285" t="s">
        <v>874</v>
      </c>
      <c r="B285" t="s">
        <v>865</v>
      </c>
      <c r="C285" t="s">
        <v>855</v>
      </c>
      <c r="D285">
        <f t="shared" si="13"/>
        <v>702001</v>
      </c>
      <c r="E285" s="15" t="s">
        <v>730</v>
      </c>
      <c r="F285" s="18">
        <f>+_xlfn.XLOOKUP(D285,CVS!E:E,CVS!I:I,0)</f>
        <v>1355538.96</v>
      </c>
      <c r="G285" s="14">
        <f>+SUMIFS('De Giorgi BDV'!C:C,'De Giorgi BDV'!D:D,D285)</f>
        <v>0</v>
      </c>
      <c r="H285" s="18">
        <f t="shared" si="14"/>
        <v>1355538.96</v>
      </c>
      <c r="I285" s="14">
        <f>+_xlfn.XLOOKUP(D285,[1]BDV!$F:$F,[1]BDV!$AI:$AI)</f>
        <v>1355538.96</v>
      </c>
      <c r="J285" s="42">
        <f t="shared" si="12"/>
        <v>0</v>
      </c>
    </row>
    <row r="286" spans="1:10" x14ac:dyDescent="0.25">
      <c r="A286" t="s">
        <v>874</v>
      </c>
      <c r="B286" t="s">
        <v>865</v>
      </c>
      <c r="C286" t="s">
        <v>855</v>
      </c>
      <c r="D286">
        <f t="shared" si="13"/>
        <v>702003</v>
      </c>
      <c r="E286" s="15" t="s">
        <v>731</v>
      </c>
      <c r="F286" s="18">
        <f>+_xlfn.XLOOKUP(D286,CVS!E:E,CVS!I:I,0)</f>
        <v>127915</v>
      </c>
      <c r="G286" s="14">
        <f>+SUMIFS('De Giorgi BDV'!C:C,'De Giorgi BDV'!D:D,D286)</f>
        <v>8054.4</v>
      </c>
      <c r="H286" s="18">
        <f t="shared" si="14"/>
        <v>135969.4</v>
      </c>
      <c r="I286" s="14">
        <f>+_xlfn.XLOOKUP(D286,[1]BDV!$F:$F,[1]BDV!$AI:$AI)</f>
        <v>135969.4</v>
      </c>
      <c r="J286" s="42">
        <f t="shared" si="12"/>
        <v>0</v>
      </c>
    </row>
    <row r="287" spans="1:10" x14ac:dyDescent="0.25">
      <c r="A287" t="s">
        <v>874</v>
      </c>
      <c r="B287" t="s">
        <v>865</v>
      </c>
      <c r="C287" t="s">
        <v>855</v>
      </c>
      <c r="D287">
        <f t="shared" si="13"/>
        <v>702201</v>
      </c>
      <c r="E287" s="15" t="s">
        <v>732</v>
      </c>
      <c r="F287" s="18">
        <f>+_xlfn.XLOOKUP(D287,CVS!E:E,CVS!I:I,0)</f>
        <v>70568.7</v>
      </c>
      <c r="G287" s="14">
        <f>+SUMIFS('De Giorgi BDV'!C:C,'De Giorgi BDV'!D:D,D287)</f>
        <v>1221.3399999999999</v>
      </c>
      <c r="H287" s="18">
        <f t="shared" si="14"/>
        <v>71790.039999999994</v>
      </c>
      <c r="I287" s="14">
        <f>+_xlfn.XLOOKUP(D287,[1]BDV!$F:$F,[1]BDV!$AI:$AI)</f>
        <v>71790.039999999994</v>
      </c>
      <c r="J287" s="42">
        <f t="shared" si="12"/>
        <v>0</v>
      </c>
    </row>
    <row r="288" spans="1:10" x14ac:dyDescent="0.25">
      <c r="A288" t="s">
        <v>874</v>
      </c>
      <c r="B288" t="s">
        <v>865</v>
      </c>
      <c r="C288" t="s">
        <v>855</v>
      </c>
      <c r="D288">
        <f t="shared" si="13"/>
        <v>702203</v>
      </c>
      <c r="E288" s="15" t="s">
        <v>733</v>
      </c>
      <c r="F288" s="18">
        <f>+_xlfn.XLOOKUP(D288,CVS!E:E,CVS!I:I,0)</f>
        <v>19464.099999999999</v>
      </c>
      <c r="G288" s="14">
        <f>+SUMIFS('De Giorgi BDV'!C:C,'De Giorgi BDV'!D:D,D288)</f>
        <v>0</v>
      </c>
      <c r="H288" s="18">
        <f t="shared" si="14"/>
        <v>19464.099999999999</v>
      </c>
      <c r="I288" s="14">
        <f>+_xlfn.XLOOKUP(D288,[1]BDV!$F:$F,[1]BDV!$AI:$AI)</f>
        <v>19464.099999999999</v>
      </c>
      <c r="J288" s="42">
        <f t="shared" si="12"/>
        <v>0</v>
      </c>
    </row>
    <row r="289" spans="1:10" x14ac:dyDescent="0.25">
      <c r="A289" t="s">
        <v>874</v>
      </c>
      <c r="B289" t="s">
        <v>865</v>
      </c>
      <c r="C289" t="s">
        <v>855</v>
      </c>
      <c r="D289">
        <f t="shared" si="13"/>
        <v>702401</v>
      </c>
      <c r="E289" s="15" t="s">
        <v>734</v>
      </c>
      <c r="F289" s="18">
        <f>+_xlfn.XLOOKUP(D289,CVS!E:E,CVS!I:I,0)</f>
        <v>222003.35</v>
      </c>
      <c r="G289" s="14">
        <f>+SUMIFS('De Giorgi BDV'!C:C,'De Giorgi BDV'!D:D,D289)</f>
        <v>1108.8399999999999</v>
      </c>
      <c r="H289" s="18">
        <f t="shared" si="14"/>
        <v>223112.19</v>
      </c>
      <c r="I289" s="14">
        <f>+_xlfn.XLOOKUP(D289,[1]BDV!$F:$F,[1]BDV!$AI:$AI)</f>
        <v>223112.19</v>
      </c>
      <c r="J289" s="42">
        <f t="shared" si="12"/>
        <v>0</v>
      </c>
    </row>
    <row r="290" spans="1:10" x14ac:dyDescent="0.25">
      <c r="A290" t="s">
        <v>874</v>
      </c>
      <c r="B290" t="s">
        <v>865</v>
      </c>
      <c r="C290" t="s">
        <v>855</v>
      </c>
      <c r="D290">
        <f t="shared" si="13"/>
        <v>702403</v>
      </c>
      <c r="E290" s="15" t="s">
        <v>735</v>
      </c>
      <c r="F290" s="18">
        <f>+_xlfn.XLOOKUP(D290,CVS!E:E,CVS!I:I,0)</f>
        <v>18339.95</v>
      </c>
      <c r="G290" s="14">
        <f>+SUMIFS('De Giorgi BDV'!C:C,'De Giorgi BDV'!D:D,D290)</f>
        <v>3212.58</v>
      </c>
      <c r="H290" s="18">
        <f t="shared" si="14"/>
        <v>21552.53</v>
      </c>
      <c r="I290" s="14">
        <f>+_xlfn.XLOOKUP(D290,[1]BDV!$F:$F,[1]BDV!$AI:$AI)</f>
        <v>21552.53</v>
      </c>
      <c r="J290" s="42">
        <f t="shared" si="12"/>
        <v>0</v>
      </c>
    </row>
    <row r="291" spans="1:10" x14ac:dyDescent="0.25">
      <c r="A291" t="s">
        <v>874</v>
      </c>
      <c r="B291" t="s">
        <v>865</v>
      </c>
      <c r="C291" t="s">
        <v>855</v>
      </c>
      <c r="D291">
        <f t="shared" si="13"/>
        <v>702405</v>
      </c>
      <c r="E291" s="15" t="s">
        <v>736</v>
      </c>
      <c r="F291" s="18">
        <f>+_xlfn.XLOOKUP(D291,CVS!E:E,CVS!I:I,0)</f>
        <v>30902.54</v>
      </c>
      <c r="G291" s="14">
        <f>+SUMIFS('De Giorgi BDV'!C:C,'De Giorgi BDV'!D:D,D291)</f>
        <v>2731.85</v>
      </c>
      <c r="H291" s="18">
        <f t="shared" si="14"/>
        <v>33634.39</v>
      </c>
      <c r="I291" s="14">
        <f>+_xlfn.XLOOKUP(D291,[1]BDV!$F:$F,[1]BDV!$AI:$AI)</f>
        <v>33634.39</v>
      </c>
      <c r="J291" s="42">
        <f t="shared" si="12"/>
        <v>0</v>
      </c>
    </row>
    <row r="292" spans="1:10" x14ac:dyDescent="0.25">
      <c r="A292" t="s">
        <v>874</v>
      </c>
      <c r="B292" t="s">
        <v>865</v>
      </c>
      <c r="C292" t="s">
        <v>855</v>
      </c>
      <c r="D292">
        <f t="shared" si="13"/>
        <v>702407</v>
      </c>
      <c r="E292" s="15" t="s">
        <v>737</v>
      </c>
      <c r="F292" s="18">
        <f>+_xlfn.XLOOKUP(D292,CVS!E:E,CVS!I:I,0)</f>
        <v>15259.39</v>
      </c>
      <c r="G292" s="14">
        <f>+SUMIFS('De Giorgi BDV'!C:C,'De Giorgi BDV'!D:D,D292)</f>
        <v>734.92</v>
      </c>
      <c r="H292" s="18">
        <f t="shared" si="14"/>
        <v>15994.31</v>
      </c>
      <c r="I292" s="14">
        <f>+_xlfn.XLOOKUP(D292,[1]BDV!$F:$F,[1]BDV!$AI:$AI)</f>
        <v>15994.31</v>
      </c>
      <c r="J292" s="42">
        <f t="shared" si="12"/>
        <v>0</v>
      </c>
    </row>
    <row r="293" spans="1:10" x14ac:dyDescent="0.25">
      <c r="A293" t="s">
        <v>874</v>
      </c>
      <c r="B293" t="s">
        <v>865</v>
      </c>
      <c r="C293" t="s">
        <v>855</v>
      </c>
      <c r="D293">
        <f t="shared" si="13"/>
        <v>702411</v>
      </c>
      <c r="E293" s="15" t="s">
        <v>738</v>
      </c>
      <c r="F293" s="18">
        <f>+_xlfn.XLOOKUP(D293,CVS!E:E,CVS!I:I,0)</f>
        <v>191525.62</v>
      </c>
      <c r="G293" s="14">
        <f>+SUMIFS('De Giorgi BDV'!C:C,'De Giorgi BDV'!D:D,D293)</f>
        <v>441.51</v>
      </c>
      <c r="H293" s="18">
        <f t="shared" si="14"/>
        <v>191967.13</v>
      </c>
      <c r="I293" s="14">
        <f>+_xlfn.XLOOKUP(D293,[1]BDV!$F:$F,[1]BDV!$AI:$AI)</f>
        <v>191967.13</v>
      </c>
      <c r="J293" s="42">
        <f t="shared" si="12"/>
        <v>0</v>
      </c>
    </row>
    <row r="294" spans="1:10" x14ac:dyDescent="0.25">
      <c r="A294" t="s">
        <v>874</v>
      </c>
      <c r="B294" t="s">
        <v>865</v>
      </c>
      <c r="C294" t="s">
        <v>855</v>
      </c>
      <c r="D294">
        <f t="shared" si="13"/>
        <v>720201</v>
      </c>
      <c r="E294" s="15" t="s">
        <v>739</v>
      </c>
      <c r="F294" s="18">
        <f>+_xlfn.XLOOKUP(D294,CVS!E:E,CVS!I:I,0)</f>
        <v>264386.57</v>
      </c>
      <c r="G294" s="14">
        <f>+SUMIFS('De Giorgi BDV'!C:C,'De Giorgi BDV'!D:D,D294)</f>
        <v>0</v>
      </c>
      <c r="H294" s="18">
        <f t="shared" si="14"/>
        <v>264386.57</v>
      </c>
      <c r="I294" s="14">
        <f>+_xlfn.XLOOKUP(D294,[1]BDV!$F:$F,[1]BDV!$AI:$AI)</f>
        <v>264386.57</v>
      </c>
      <c r="J294" s="42">
        <f t="shared" si="12"/>
        <v>0</v>
      </c>
    </row>
    <row r="295" spans="1:10" x14ac:dyDescent="0.25">
      <c r="A295" t="s">
        <v>874</v>
      </c>
      <c r="B295" t="s">
        <v>865</v>
      </c>
      <c r="C295" t="s">
        <v>855</v>
      </c>
      <c r="D295">
        <f t="shared" si="13"/>
        <v>720401</v>
      </c>
      <c r="E295" s="15" t="s">
        <v>740</v>
      </c>
      <c r="F295" s="18">
        <f>+_xlfn.XLOOKUP(D295,CVS!E:E,CVS!I:I,0)</f>
        <v>51694.26</v>
      </c>
      <c r="G295" s="14">
        <f>+SUMIFS('De Giorgi BDV'!C:C,'De Giorgi BDV'!D:D,D295)</f>
        <v>0</v>
      </c>
      <c r="H295" s="18">
        <f t="shared" si="14"/>
        <v>51694.26</v>
      </c>
      <c r="I295" s="14">
        <f>+_xlfn.XLOOKUP(D295,[1]BDV!$F:$F,[1]BDV!$AI:$AI)</f>
        <v>51694.26</v>
      </c>
      <c r="J295" s="42">
        <f t="shared" si="12"/>
        <v>0</v>
      </c>
    </row>
    <row r="296" spans="1:10" x14ac:dyDescent="0.25">
      <c r="A296" t="s">
        <v>874</v>
      </c>
      <c r="B296" t="s">
        <v>865</v>
      </c>
      <c r="C296" t="s">
        <v>855</v>
      </c>
      <c r="D296">
        <f t="shared" si="13"/>
        <v>720403</v>
      </c>
      <c r="E296" s="15" t="s">
        <v>741</v>
      </c>
      <c r="F296" s="18">
        <f>+_xlfn.XLOOKUP(D296,CVS!E:E,CVS!I:I,0)</f>
        <v>47795.17</v>
      </c>
      <c r="G296" s="14">
        <f>+SUMIFS('De Giorgi BDV'!C:C,'De Giorgi BDV'!D:D,D296)</f>
        <v>957.67</v>
      </c>
      <c r="H296" s="18">
        <f t="shared" si="14"/>
        <v>48752.84</v>
      </c>
      <c r="I296" s="14">
        <f>+_xlfn.XLOOKUP(D296,[1]BDV!$F:$F,[1]BDV!$AI:$AI)</f>
        <v>48752.84</v>
      </c>
      <c r="J296" s="42">
        <f t="shared" si="12"/>
        <v>0</v>
      </c>
    </row>
    <row r="297" spans="1:10" x14ac:dyDescent="0.25">
      <c r="A297" t="s">
        <v>874</v>
      </c>
      <c r="B297" t="s">
        <v>865</v>
      </c>
      <c r="C297" t="s">
        <v>855</v>
      </c>
      <c r="D297">
        <f t="shared" si="13"/>
        <v>720405</v>
      </c>
      <c r="E297" s="15" t="s">
        <v>742</v>
      </c>
      <c r="F297" s="18">
        <f>+_xlfn.XLOOKUP(D297,CVS!E:E,CVS!I:I,0)</f>
        <v>422809.09</v>
      </c>
      <c r="G297" s="14">
        <f>+SUMIFS('De Giorgi BDV'!C:C,'De Giorgi BDV'!D:D,D297)</f>
        <v>0</v>
      </c>
      <c r="H297" s="18">
        <f t="shared" si="14"/>
        <v>422809.09</v>
      </c>
      <c r="I297" s="14">
        <f>+_xlfn.XLOOKUP(D297,[1]BDV!$F:$F,[1]BDV!$AI:$AI)</f>
        <v>422809.09</v>
      </c>
      <c r="J297" s="42">
        <f t="shared" si="12"/>
        <v>0</v>
      </c>
    </row>
    <row r="298" spans="1:10" x14ac:dyDescent="0.25">
      <c r="A298" t="s">
        <v>874</v>
      </c>
      <c r="B298" t="s">
        <v>865</v>
      </c>
      <c r="C298" t="s">
        <v>855</v>
      </c>
      <c r="D298">
        <f t="shared" si="13"/>
        <v>720601</v>
      </c>
      <c r="E298" s="15" t="s">
        <v>743</v>
      </c>
      <c r="F298" s="18">
        <f>+_xlfn.XLOOKUP(D298,CVS!E:E,CVS!I:I,0)</f>
        <v>17675.22</v>
      </c>
      <c r="G298" s="14">
        <f>+SUMIFS('De Giorgi BDV'!C:C,'De Giorgi BDV'!D:D,D298)</f>
        <v>0</v>
      </c>
      <c r="H298" s="18">
        <f t="shared" si="14"/>
        <v>17675.22</v>
      </c>
      <c r="I298" s="14">
        <f>+_xlfn.XLOOKUP(D298,[1]BDV!$F:$F,[1]BDV!$AI:$AI)</f>
        <v>17675.22</v>
      </c>
      <c r="J298" s="42">
        <f t="shared" si="12"/>
        <v>0</v>
      </c>
    </row>
    <row r="299" spans="1:10" x14ac:dyDescent="0.25">
      <c r="A299" t="s">
        <v>874</v>
      </c>
      <c r="B299" t="s">
        <v>865</v>
      </c>
      <c r="C299" t="s">
        <v>855</v>
      </c>
      <c r="D299">
        <f t="shared" si="13"/>
        <v>720605</v>
      </c>
      <c r="E299" s="15" t="s">
        <v>744</v>
      </c>
      <c r="F299" s="18">
        <f>+_xlfn.XLOOKUP(D299,CVS!E:E,CVS!I:I,0)</f>
        <v>6500</v>
      </c>
      <c r="G299" s="14">
        <f>+SUMIFS('De Giorgi BDV'!C:C,'De Giorgi BDV'!D:D,D299)</f>
        <v>0</v>
      </c>
      <c r="H299" s="18">
        <f t="shared" si="14"/>
        <v>6500</v>
      </c>
      <c r="I299" s="14">
        <f>+_xlfn.XLOOKUP(D299,[1]BDV!$F:$F,[1]BDV!$AI:$AI)</f>
        <v>6500</v>
      </c>
      <c r="J299" s="42">
        <f t="shared" si="12"/>
        <v>0</v>
      </c>
    </row>
    <row r="300" spans="1:10" x14ac:dyDescent="0.25">
      <c r="A300" t="s">
        <v>874</v>
      </c>
      <c r="B300" t="s">
        <v>865</v>
      </c>
      <c r="C300" t="s">
        <v>856</v>
      </c>
      <c r="D300">
        <f t="shared" si="13"/>
        <v>740201</v>
      </c>
      <c r="E300" s="15" t="s">
        <v>745</v>
      </c>
      <c r="F300" s="18">
        <f>+_xlfn.XLOOKUP(D300,CVS!E:E,CVS!I:I,0)</f>
        <v>822904.77</v>
      </c>
      <c r="G300" s="14">
        <f>+SUMIFS('De Giorgi BDV'!C:C,'De Giorgi BDV'!D:D,D300)</f>
        <v>69448.05</v>
      </c>
      <c r="H300" s="18">
        <f t="shared" si="14"/>
        <v>892352.82000000007</v>
      </c>
      <c r="I300" s="14">
        <f>+_xlfn.XLOOKUP(D300,[1]BDV!$F:$F,[1]BDV!$AI:$AI)</f>
        <v>892352.82000000007</v>
      </c>
      <c r="J300" s="42">
        <f t="shared" si="12"/>
        <v>0</v>
      </c>
    </row>
    <row r="301" spans="1:10" x14ac:dyDescent="0.25">
      <c r="A301" t="s">
        <v>874</v>
      </c>
      <c r="B301" t="s">
        <v>865</v>
      </c>
      <c r="C301" t="s">
        <v>856</v>
      </c>
      <c r="D301">
        <f t="shared" si="13"/>
        <v>740203</v>
      </c>
      <c r="E301" s="15" t="s">
        <v>746</v>
      </c>
      <c r="F301" s="18">
        <f>+_xlfn.XLOOKUP(D301,CVS!E:E,CVS!I:I,0)</f>
        <v>2095339.18</v>
      </c>
      <c r="G301" s="14">
        <f>+SUMIFS('De Giorgi BDV'!C:C,'De Giorgi BDV'!D:D,D301)</f>
        <v>17212.78</v>
      </c>
      <c r="H301" s="18">
        <f t="shared" si="14"/>
        <v>2112551.96</v>
      </c>
      <c r="I301" s="14">
        <f>+_xlfn.XLOOKUP(D301,[1]BDV!$F:$F,[1]BDV!$AI:$AI)</f>
        <v>2112551.96</v>
      </c>
      <c r="J301" s="42">
        <f t="shared" si="12"/>
        <v>0</v>
      </c>
    </row>
    <row r="302" spans="1:10" x14ac:dyDescent="0.25">
      <c r="A302" t="s">
        <v>874</v>
      </c>
      <c r="B302" t="s">
        <v>865</v>
      </c>
      <c r="C302" t="s">
        <v>856</v>
      </c>
      <c r="D302">
        <f t="shared" si="13"/>
        <v>740205</v>
      </c>
      <c r="E302" s="15" t="s">
        <v>747</v>
      </c>
      <c r="F302" s="18">
        <f>+_xlfn.XLOOKUP(D302,CVS!E:E,CVS!I:I,0)</f>
        <v>842556.66</v>
      </c>
      <c r="G302" s="14">
        <f>+SUMIFS('De Giorgi BDV'!C:C,'De Giorgi BDV'!D:D,D302)</f>
        <v>0</v>
      </c>
      <c r="H302" s="18">
        <f t="shared" si="14"/>
        <v>842556.66</v>
      </c>
      <c r="I302" s="14">
        <f>+_xlfn.XLOOKUP(D302,[1]BDV!$F:$F,[1]BDV!$AI:$AI)</f>
        <v>842556.66</v>
      </c>
      <c r="J302" s="42">
        <f t="shared" si="12"/>
        <v>0</v>
      </c>
    </row>
    <row r="303" spans="1:10" x14ac:dyDescent="0.25">
      <c r="A303" t="s">
        <v>874</v>
      </c>
      <c r="B303" t="s">
        <v>865</v>
      </c>
      <c r="C303" t="s">
        <v>856</v>
      </c>
      <c r="D303">
        <f t="shared" si="13"/>
        <v>740207</v>
      </c>
      <c r="E303" s="15" t="s">
        <v>748</v>
      </c>
      <c r="F303" s="18">
        <f>+_xlfn.XLOOKUP(D303,CVS!E:E,CVS!I:I,0)</f>
        <v>101489.14</v>
      </c>
      <c r="G303" s="14">
        <f>+SUMIFS('De Giorgi BDV'!C:C,'De Giorgi BDV'!D:D,D303)</f>
        <v>0</v>
      </c>
      <c r="H303" s="18">
        <f t="shared" si="14"/>
        <v>101489.14</v>
      </c>
      <c r="I303" s="14">
        <f>+_xlfn.XLOOKUP(D303,[1]BDV!$F:$F,[1]BDV!$AI:$AI)</f>
        <v>101489.14</v>
      </c>
      <c r="J303" s="42">
        <f t="shared" si="12"/>
        <v>0</v>
      </c>
    </row>
    <row r="304" spans="1:10" x14ac:dyDescent="0.25">
      <c r="A304" t="s">
        <v>874</v>
      </c>
      <c r="B304" t="s">
        <v>865</v>
      </c>
      <c r="C304" t="s">
        <v>856</v>
      </c>
      <c r="D304">
        <f t="shared" si="13"/>
        <v>740209</v>
      </c>
      <c r="E304" s="15" t="s">
        <v>749</v>
      </c>
      <c r="F304" s="18">
        <f>+_xlfn.XLOOKUP(D304,CVS!E:E,CVS!I:I,0)</f>
        <v>79732.86</v>
      </c>
      <c r="G304" s="14">
        <f>+SUMIFS('De Giorgi BDV'!C:C,'De Giorgi BDV'!D:D,D304)</f>
        <v>0</v>
      </c>
      <c r="H304" s="18">
        <f t="shared" si="14"/>
        <v>79732.86</v>
      </c>
      <c r="I304" s="14">
        <f>+_xlfn.XLOOKUP(D304,[1]BDV!$F:$F,[1]BDV!$AI:$AI)</f>
        <v>79732.86</v>
      </c>
      <c r="J304" s="42">
        <f t="shared" si="12"/>
        <v>0</v>
      </c>
    </row>
    <row r="305" spans="1:10" x14ac:dyDescent="0.25">
      <c r="A305" t="s">
        <v>874</v>
      </c>
      <c r="B305" t="s">
        <v>865</v>
      </c>
      <c r="C305" t="s">
        <v>856</v>
      </c>
      <c r="D305">
        <f t="shared" si="13"/>
        <v>740211</v>
      </c>
      <c r="E305" s="15" t="s">
        <v>750</v>
      </c>
      <c r="F305" s="18">
        <f>+_xlfn.XLOOKUP(D305,CVS!E:E,CVS!I:I,0)</f>
        <v>225607.77</v>
      </c>
      <c r="G305" s="14">
        <f>+SUMIFS('De Giorgi BDV'!C:C,'De Giorgi BDV'!D:D,D305)</f>
        <v>0</v>
      </c>
      <c r="H305" s="18">
        <f t="shared" si="14"/>
        <v>225607.77</v>
      </c>
      <c r="I305" s="14">
        <f>+_xlfn.XLOOKUP(D305,[1]BDV!$F:$F,[1]BDV!$AI:$AI)</f>
        <v>225607.77</v>
      </c>
      <c r="J305" s="42">
        <f t="shared" si="12"/>
        <v>0</v>
      </c>
    </row>
    <row r="306" spans="1:10" x14ac:dyDescent="0.25">
      <c r="A306" t="s">
        <v>874</v>
      </c>
      <c r="B306" t="s">
        <v>865</v>
      </c>
      <c r="C306" t="s">
        <v>856</v>
      </c>
      <c r="D306">
        <f t="shared" si="13"/>
        <v>740213</v>
      </c>
      <c r="E306" s="15" t="s">
        <v>751</v>
      </c>
      <c r="F306" s="18">
        <f>+_xlfn.XLOOKUP(D306,CVS!E:E,CVS!I:I,0)</f>
        <v>89304.81</v>
      </c>
      <c r="G306" s="14">
        <f>+SUMIFS('De Giorgi BDV'!C:C,'De Giorgi BDV'!D:D,D306)</f>
        <v>0</v>
      </c>
      <c r="H306" s="18">
        <f t="shared" si="14"/>
        <v>89304.81</v>
      </c>
      <c r="I306" s="14">
        <f>+_xlfn.XLOOKUP(D306,[1]BDV!$F:$F,[1]BDV!$AI:$AI)</f>
        <v>89304.81</v>
      </c>
      <c r="J306" s="42">
        <f t="shared" si="12"/>
        <v>0</v>
      </c>
    </row>
    <row r="307" spans="1:10" hidden="1" x14ac:dyDescent="0.25">
      <c r="A307" t="s">
        <v>874</v>
      </c>
      <c r="B307" t="s">
        <v>863</v>
      </c>
      <c r="C307" t="s">
        <v>852</v>
      </c>
      <c r="D307">
        <f t="shared" si="13"/>
        <v>740215</v>
      </c>
      <c r="E307" s="15" t="s">
        <v>752</v>
      </c>
      <c r="F307" s="18">
        <f>+_xlfn.XLOOKUP(D307,CVS!E:E,CVS!I:I,0)</f>
        <v>-2475534.92</v>
      </c>
      <c r="G307" s="14">
        <f>+SUMIFS('De Giorgi BDV'!C:C,'De Giorgi BDV'!D:D,D307)</f>
        <v>0</v>
      </c>
      <c r="H307" s="18">
        <f t="shared" si="14"/>
        <v>-2475534.92</v>
      </c>
      <c r="I307" s="14">
        <f>+_xlfn.XLOOKUP(D307,[1]BDV!$F:$F,[1]BDV!$AI:$AI)</f>
        <v>-2475534.92</v>
      </c>
      <c r="J307" s="42">
        <f t="shared" si="12"/>
        <v>0</v>
      </c>
    </row>
    <row r="308" spans="1:10" x14ac:dyDescent="0.25">
      <c r="A308" t="s">
        <v>874</v>
      </c>
      <c r="B308" t="s">
        <v>865</v>
      </c>
      <c r="C308" t="s">
        <v>856</v>
      </c>
      <c r="D308">
        <f t="shared" si="13"/>
        <v>740401</v>
      </c>
      <c r="E308" s="15" t="s">
        <v>753</v>
      </c>
      <c r="F308" s="18">
        <f>+_xlfn.XLOOKUP(D308,CVS!E:E,CVS!I:I,0)</f>
        <v>477601.93</v>
      </c>
      <c r="G308" s="14">
        <f>+SUMIFS('De Giorgi BDV'!C:C,'De Giorgi BDV'!D:D,D308)</f>
        <v>0</v>
      </c>
      <c r="H308" s="18">
        <f t="shared" si="14"/>
        <v>477601.93</v>
      </c>
      <c r="I308" s="14">
        <f>+_xlfn.XLOOKUP(D308,[1]BDV!$F:$F,[1]BDV!$AI:$AI)</f>
        <v>477601.93</v>
      </c>
      <c r="J308" s="42">
        <f t="shared" si="12"/>
        <v>0</v>
      </c>
    </row>
    <row r="309" spans="1:10" x14ac:dyDescent="0.25">
      <c r="A309" t="s">
        <v>874</v>
      </c>
      <c r="B309" t="s">
        <v>865</v>
      </c>
      <c r="C309" t="s">
        <v>856</v>
      </c>
      <c r="D309">
        <f t="shared" si="13"/>
        <v>740601</v>
      </c>
      <c r="E309" s="15" t="s">
        <v>754</v>
      </c>
      <c r="F309" s="18">
        <f>+_xlfn.XLOOKUP(D309,CVS!E:E,CVS!I:I,0)</f>
        <v>235109.89</v>
      </c>
      <c r="G309" s="14">
        <f>+SUMIFS('De Giorgi BDV'!C:C,'De Giorgi BDV'!D:D,D309)</f>
        <v>19015.7</v>
      </c>
      <c r="H309" s="18">
        <f t="shared" si="14"/>
        <v>254125.59000000003</v>
      </c>
      <c r="I309" s="14">
        <f>+_xlfn.XLOOKUP(D309,[1]BDV!$F:$F,[1]BDV!$AI:$AI)</f>
        <v>254125.59000000003</v>
      </c>
      <c r="J309" s="42">
        <f t="shared" si="12"/>
        <v>0</v>
      </c>
    </row>
    <row r="310" spans="1:10" x14ac:dyDescent="0.25">
      <c r="A310" t="s">
        <v>874</v>
      </c>
      <c r="B310" t="s">
        <v>865</v>
      </c>
      <c r="C310" t="s">
        <v>856</v>
      </c>
      <c r="D310">
        <f t="shared" si="13"/>
        <v>740605</v>
      </c>
      <c r="E310" s="15" t="s">
        <v>755</v>
      </c>
      <c r="F310" s="18">
        <f>+_xlfn.XLOOKUP(D310,CVS!E:E,CVS!I:I,0)</f>
        <v>20720</v>
      </c>
      <c r="G310" s="14">
        <f>+SUMIFS('De Giorgi BDV'!C:C,'De Giorgi BDV'!D:D,D310)</f>
        <v>0</v>
      </c>
      <c r="H310" s="18">
        <f t="shared" si="14"/>
        <v>20720</v>
      </c>
      <c r="I310" s="14">
        <f>+_xlfn.XLOOKUP(D310,[1]BDV!$F:$F,[1]BDV!$AI:$AI)</f>
        <v>20720</v>
      </c>
      <c r="J310" s="42">
        <f t="shared" si="12"/>
        <v>0</v>
      </c>
    </row>
    <row r="311" spans="1:10" x14ac:dyDescent="0.25">
      <c r="A311" t="s">
        <v>874</v>
      </c>
      <c r="B311" t="s">
        <v>865</v>
      </c>
      <c r="C311" t="s">
        <v>856</v>
      </c>
      <c r="D311">
        <f t="shared" si="13"/>
        <v>740607</v>
      </c>
      <c r="E311" s="15" t="s">
        <v>756</v>
      </c>
      <c r="F311" s="18">
        <f>+_xlfn.XLOOKUP(D311,CVS!E:E,CVS!I:I,0)</f>
        <v>25573.24</v>
      </c>
      <c r="G311" s="14">
        <f>+SUMIFS('De Giorgi BDV'!C:C,'De Giorgi BDV'!D:D,D311)</f>
        <v>0</v>
      </c>
      <c r="H311" s="18">
        <f t="shared" si="14"/>
        <v>25573.24</v>
      </c>
      <c r="I311" s="14">
        <f>+_xlfn.XLOOKUP(D311,[1]BDV!$F:$F,[1]BDV!$AI:$AI)</f>
        <v>25573.24</v>
      </c>
      <c r="J311" s="42">
        <f t="shared" si="12"/>
        <v>0</v>
      </c>
    </row>
    <row r="312" spans="1:10" x14ac:dyDescent="0.25">
      <c r="A312" t="s">
        <v>874</v>
      </c>
      <c r="B312" t="s">
        <v>865</v>
      </c>
      <c r="C312" t="s">
        <v>856</v>
      </c>
      <c r="D312">
        <f t="shared" si="13"/>
        <v>740609</v>
      </c>
      <c r="E312" s="15" t="s">
        <v>757</v>
      </c>
      <c r="F312" s="18">
        <f>+_xlfn.XLOOKUP(D312,CVS!E:E,CVS!I:I,0)</f>
        <v>336838.91</v>
      </c>
      <c r="G312" s="14">
        <f>+SUMIFS('De Giorgi BDV'!C:C,'De Giorgi BDV'!D:D,D312)</f>
        <v>0</v>
      </c>
      <c r="H312" s="18">
        <f t="shared" si="14"/>
        <v>336838.91</v>
      </c>
      <c r="I312" s="14">
        <f>+_xlfn.XLOOKUP(D312,[1]BDV!$F:$F,[1]BDV!$AI:$AI)</f>
        <v>336838.91</v>
      </c>
      <c r="J312" s="42">
        <f t="shared" si="12"/>
        <v>0</v>
      </c>
    </row>
    <row r="313" spans="1:10" x14ac:dyDescent="0.25">
      <c r="A313" t="s">
        <v>874</v>
      </c>
      <c r="B313" t="s">
        <v>865</v>
      </c>
      <c r="C313" t="s">
        <v>856</v>
      </c>
      <c r="D313">
        <f t="shared" si="13"/>
        <v>740611</v>
      </c>
      <c r="E313" s="15" t="s">
        <v>758</v>
      </c>
      <c r="F313" s="18">
        <f>+_xlfn.XLOOKUP(D313,CVS!E:E,CVS!I:I,0)</f>
        <v>664931.25</v>
      </c>
      <c r="G313" s="14">
        <f>+SUMIFS('De Giorgi BDV'!C:C,'De Giorgi BDV'!D:D,D313)</f>
        <v>3489.92</v>
      </c>
      <c r="H313" s="18">
        <f t="shared" si="14"/>
        <v>668421.17000000004</v>
      </c>
      <c r="I313" s="14">
        <f>+_xlfn.XLOOKUP(D313,[1]BDV!$F:$F,[1]BDV!$AI:$AI)</f>
        <v>668421.17000000004</v>
      </c>
      <c r="J313" s="42">
        <f t="shared" si="12"/>
        <v>0</v>
      </c>
    </row>
    <row r="314" spans="1:10" x14ac:dyDescent="0.25">
      <c r="A314" t="s">
        <v>874</v>
      </c>
      <c r="B314" t="s">
        <v>865</v>
      </c>
      <c r="C314" t="s">
        <v>856</v>
      </c>
      <c r="D314">
        <f t="shared" si="13"/>
        <v>740801</v>
      </c>
      <c r="E314" s="15" t="s">
        <v>759</v>
      </c>
      <c r="F314" s="18">
        <f>+_xlfn.XLOOKUP(D314,CVS!E:E,CVS!I:I,0)</f>
        <v>34694.67</v>
      </c>
      <c r="G314" s="14">
        <f>+SUMIFS('De Giorgi BDV'!C:C,'De Giorgi BDV'!D:D,D314)</f>
        <v>0</v>
      </c>
      <c r="H314" s="18">
        <f t="shared" si="14"/>
        <v>34694.67</v>
      </c>
      <c r="I314" s="14">
        <f>+_xlfn.XLOOKUP(D314,[1]BDV!$F:$F,[1]BDV!$AI:$AI)</f>
        <v>34694.67</v>
      </c>
      <c r="J314" s="42">
        <f t="shared" si="12"/>
        <v>0</v>
      </c>
    </row>
    <row r="315" spans="1:10" x14ac:dyDescent="0.25">
      <c r="A315" t="s">
        <v>874</v>
      </c>
      <c r="B315" t="s">
        <v>865</v>
      </c>
      <c r="C315" t="s">
        <v>856</v>
      </c>
      <c r="D315">
        <f t="shared" si="13"/>
        <v>741001</v>
      </c>
      <c r="E315" s="15" t="s">
        <v>760</v>
      </c>
      <c r="F315" s="18">
        <f>+_xlfn.XLOOKUP(D315,CVS!E:E,CVS!I:I,0)</f>
        <v>130549.24</v>
      </c>
      <c r="G315" s="14">
        <f>+SUMIFS('De Giorgi BDV'!C:C,'De Giorgi BDV'!D:D,D315)</f>
        <v>0</v>
      </c>
      <c r="H315" s="18">
        <f t="shared" si="14"/>
        <v>130549.24</v>
      </c>
      <c r="I315" s="14">
        <f>+_xlfn.XLOOKUP(D315,[1]BDV!$F:$F,[1]BDV!$AI:$AI)</f>
        <v>130549.24</v>
      </c>
      <c r="J315" s="42">
        <f t="shared" si="12"/>
        <v>0</v>
      </c>
    </row>
    <row r="316" spans="1:10" x14ac:dyDescent="0.25">
      <c r="A316" t="s">
        <v>874</v>
      </c>
      <c r="B316" t="s">
        <v>865</v>
      </c>
      <c r="C316" t="s">
        <v>856</v>
      </c>
      <c r="D316">
        <f t="shared" si="13"/>
        <v>741201</v>
      </c>
      <c r="E316" s="15" t="s">
        <v>761</v>
      </c>
      <c r="F316" s="18">
        <f>+_xlfn.XLOOKUP(D316,CVS!E:E,CVS!I:I,0)</f>
        <v>140397.95000000001</v>
      </c>
      <c r="G316" s="14">
        <f>+SUMIFS('De Giorgi BDV'!C:C,'De Giorgi BDV'!D:D,D316)</f>
        <v>7392.4</v>
      </c>
      <c r="H316" s="18">
        <f t="shared" si="14"/>
        <v>147790.35</v>
      </c>
      <c r="I316" s="14">
        <f>+_xlfn.XLOOKUP(D316,[1]BDV!$F:$F,[1]BDV!$AI:$AI)</f>
        <v>147790.35</v>
      </c>
      <c r="J316" s="42">
        <f t="shared" si="12"/>
        <v>0</v>
      </c>
    </row>
    <row r="317" spans="1:10" x14ac:dyDescent="0.25">
      <c r="A317" t="s">
        <v>874</v>
      </c>
      <c r="B317" t="s">
        <v>865</v>
      </c>
      <c r="C317" t="s">
        <v>856</v>
      </c>
      <c r="D317">
        <f t="shared" si="13"/>
        <v>741401</v>
      </c>
      <c r="E317" s="15" t="s">
        <v>762</v>
      </c>
      <c r="F317" s="18">
        <f>+_xlfn.XLOOKUP(D317,CVS!E:E,CVS!I:I,0)</f>
        <v>544000</v>
      </c>
      <c r="G317" s="14">
        <f>+SUMIFS('De Giorgi BDV'!C:C,'De Giorgi BDV'!D:D,D317)</f>
        <v>0</v>
      </c>
      <c r="H317" s="18">
        <f t="shared" si="14"/>
        <v>544000</v>
      </c>
      <c r="I317" s="14">
        <f>+_xlfn.XLOOKUP(D317,[1]BDV!$F:$F,[1]BDV!$AI:$AI)</f>
        <v>544000</v>
      </c>
      <c r="J317" s="42">
        <f t="shared" si="12"/>
        <v>0</v>
      </c>
    </row>
    <row r="318" spans="1:10" x14ac:dyDescent="0.25">
      <c r="A318" t="s">
        <v>874</v>
      </c>
      <c r="B318" t="s">
        <v>865</v>
      </c>
      <c r="C318" t="s">
        <v>856</v>
      </c>
      <c r="D318">
        <f t="shared" si="13"/>
        <v>741601</v>
      </c>
      <c r="E318" s="15" t="s">
        <v>763</v>
      </c>
      <c r="F318" s="18">
        <f>+_xlfn.XLOOKUP(D318,CVS!E:E,CVS!I:I,0)</f>
        <v>205217.04</v>
      </c>
      <c r="G318" s="14">
        <f>+SUMIFS('De Giorgi BDV'!C:C,'De Giorgi BDV'!D:D,D318)</f>
        <v>0</v>
      </c>
      <c r="H318" s="18">
        <f t="shared" si="14"/>
        <v>205217.04</v>
      </c>
      <c r="I318" s="14">
        <f>+_xlfn.XLOOKUP(D318,[1]BDV!$F:$F,[1]BDV!$AI:$AI)</f>
        <v>205217.04</v>
      </c>
      <c r="J318" s="42">
        <f t="shared" si="12"/>
        <v>0</v>
      </c>
    </row>
    <row r="319" spans="1:10" x14ac:dyDescent="0.25">
      <c r="A319" t="s">
        <v>874</v>
      </c>
      <c r="B319" t="s">
        <v>865</v>
      </c>
      <c r="C319" t="s">
        <v>855</v>
      </c>
      <c r="D319">
        <f t="shared" si="13"/>
        <v>741605</v>
      </c>
      <c r="E319" s="15" t="s">
        <v>764</v>
      </c>
      <c r="F319" s="18">
        <f>+_xlfn.XLOOKUP(D319,CVS!E:E,CVS!I:I,0)</f>
        <v>38032.050000000003</v>
      </c>
      <c r="G319" s="14">
        <f>+SUMIFS('De Giorgi BDV'!C:C,'De Giorgi BDV'!D:D,D319)</f>
        <v>1525.56</v>
      </c>
      <c r="H319" s="18">
        <f t="shared" si="14"/>
        <v>39557.61</v>
      </c>
      <c r="I319" s="14">
        <f>+_xlfn.XLOOKUP(D319,[1]BDV!$F:$F,[1]BDV!$AI:$AI)</f>
        <v>39557.61</v>
      </c>
      <c r="J319" s="42">
        <f t="shared" si="12"/>
        <v>0</v>
      </c>
    </row>
    <row r="320" spans="1:10" x14ac:dyDescent="0.25">
      <c r="A320" t="s">
        <v>874</v>
      </c>
      <c r="B320" t="s">
        <v>865</v>
      </c>
      <c r="C320" t="s">
        <v>856</v>
      </c>
      <c r="D320">
        <f t="shared" si="13"/>
        <v>741607</v>
      </c>
      <c r="E320" s="15" t="s">
        <v>765</v>
      </c>
      <c r="F320" s="18">
        <f>+_xlfn.XLOOKUP(D320,CVS!E:E,CVS!I:I,0)</f>
        <v>97340.13</v>
      </c>
      <c r="G320" s="14">
        <f>+SUMIFS('De Giorgi BDV'!C:C,'De Giorgi BDV'!D:D,D320)</f>
        <v>0</v>
      </c>
      <c r="H320" s="18">
        <f t="shared" si="14"/>
        <v>97340.13</v>
      </c>
      <c r="I320" s="14">
        <f>+_xlfn.XLOOKUP(D320,[1]BDV!$F:$F,[1]BDV!$AI:$AI)</f>
        <v>97340.13</v>
      </c>
      <c r="J320" s="42">
        <f t="shared" si="12"/>
        <v>0</v>
      </c>
    </row>
    <row r="321" spans="1:10" x14ac:dyDescent="0.25">
      <c r="A321" t="s">
        <v>874</v>
      </c>
      <c r="B321" t="s">
        <v>865</v>
      </c>
      <c r="C321" t="s">
        <v>856</v>
      </c>
      <c r="D321">
        <f t="shared" si="13"/>
        <v>741801</v>
      </c>
      <c r="E321" s="15" t="s">
        <v>766</v>
      </c>
      <c r="F321" s="18">
        <f>+_xlfn.XLOOKUP(D321,CVS!E:E,CVS!I:I,0)</f>
        <v>57424.5</v>
      </c>
      <c r="G321" s="14">
        <f>+SUMIFS('De Giorgi BDV'!C:C,'De Giorgi BDV'!D:D,D321)</f>
        <v>240</v>
      </c>
      <c r="H321" s="18">
        <f t="shared" si="14"/>
        <v>57664.5</v>
      </c>
      <c r="I321" s="14">
        <f>+_xlfn.XLOOKUP(D321,[1]BDV!$F:$F,[1]BDV!$AI:$AI)</f>
        <v>57664.5</v>
      </c>
      <c r="J321" s="42">
        <f t="shared" si="12"/>
        <v>0</v>
      </c>
    </row>
    <row r="322" spans="1:10" x14ac:dyDescent="0.25">
      <c r="A322" t="s">
        <v>874</v>
      </c>
      <c r="B322" t="s">
        <v>865</v>
      </c>
      <c r="C322" t="s">
        <v>855</v>
      </c>
      <c r="D322">
        <f t="shared" si="13"/>
        <v>741803</v>
      </c>
      <c r="E322" s="15" t="s">
        <v>767</v>
      </c>
      <c r="F322" s="18">
        <f>+_xlfn.XLOOKUP(D322,CVS!E:E,CVS!I:I,0)</f>
        <v>56090</v>
      </c>
      <c r="G322" s="14">
        <f>+SUMIFS('De Giorgi BDV'!C:C,'De Giorgi BDV'!D:D,D322)</f>
        <v>0</v>
      </c>
      <c r="H322" s="18">
        <f t="shared" si="14"/>
        <v>56090</v>
      </c>
      <c r="I322" s="14">
        <f>+_xlfn.XLOOKUP(D322,[1]BDV!$F:$F,[1]BDV!$AI:$AI)</f>
        <v>56090</v>
      </c>
      <c r="J322" s="42">
        <f t="shared" si="12"/>
        <v>0</v>
      </c>
    </row>
    <row r="323" spans="1:10" x14ac:dyDescent="0.25">
      <c r="A323" t="s">
        <v>874</v>
      </c>
      <c r="B323" t="s">
        <v>865</v>
      </c>
      <c r="C323" t="s">
        <v>856</v>
      </c>
      <c r="D323">
        <f t="shared" si="13"/>
        <v>742001</v>
      </c>
      <c r="E323" s="15" t="s">
        <v>768</v>
      </c>
      <c r="F323" s="18">
        <f>+_xlfn.XLOOKUP(D323,CVS!E:E,CVS!I:I,0)</f>
        <v>5151.1899999999996</v>
      </c>
      <c r="G323" s="14">
        <f>+SUMIFS('De Giorgi BDV'!C:C,'De Giorgi BDV'!D:D,D323)</f>
        <v>0</v>
      </c>
      <c r="H323" s="18">
        <f t="shared" si="14"/>
        <v>5151.1899999999996</v>
      </c>
      <c r="I323" s="14">
        <f>+_xlfn.XLOOKUP(D323,[1]BDV!$F:$F,[1]BDV!$AI:$AI)</f>
        <v>5151.1899999999996</v>
      </c>
      <c r="J323" s="42">
        <f t="shared" si="12"/>
        <v>0</v>
      </c>
    </row>
    <row r="324" spans="1:10" x14ac:dyDescent="0.25">
      <c r="A324" t="s">
        <v>874</v>
      </c>
      <c r="B324" t="s">
        <v>865</v>
      </c>
      <c r="C324" t="s">
        <v>856</v>
      </c>
      <c r="D324">
        <f t="shared" si="13"/>
        <v>742003</v>
      </c>
      <c r="E324" s="15" t="s">
        <v>769</v>
      </c>
      <c r="F324" s="18">
        <f>+_xlfn.XLOOKUP(D324,CVS!E:E,CVS!I:I,0)</f>
        <v>23760.71</v>
      </c>
      <c r="G324" s="14">
        <f>+SUMIFS('De Giorgi BDV'!C:C,'De Giorgi BDV'!D:D,D324)</f>
        <v>0</v>
      </c>
      <c r="H324" s="18">
        <f t="shared" si="14"/>
        <v>23760.71</v>
      </c>
      <c r="I324" s="14">
        <f>+_xlfn.XLOOKUP(D324,[1]BDV!$F:$F,[1]BDV!$AI:$AI)</f>
        <v>23760.71</v>
      </c>
      <c r="J324" s="42">
        <f t="shared" si="12"/>
        <v>0</v>
      </c>
    </row>
    <row r="325" spans="1:10" x14ac:dyDescent="0.25">
      <c r="A325" t="s">
        <v>874</v>
      </c>
      <c r="B325" t="s">
        <v>865</v>
      </c>
      <c r="C325" t="s">
        <v>856</v>
      </c>
      <c r="D325">
        <f t="shared" si="13"/>
        <v>742005</v>
      </c>
      <c r="E325" s="15" t="s">
        <v>770</v>
      </c>
      <c r="F325" s="18">
        <f>+_xlfn.XLOOKUP(D325,CVS!E:E,CVS!I:I,0)</f>
        <v>77938.91</v>
      </c>
      <c r="G325" s="14">
        <f>+SUMIFS('De Giorgi BDV'!C:C,'De Giorgi BDV'!D:D,D325)</f>
        <v>0</v>
      </c>
      <c r="H325" s="18">
        <f t="shared" si="14"/>
        <v>77938.91</v>
      </c>
      <c r="I325" s="14">
        <f>+_xlfn.XLOOKUP(D325,[1]BDV!$F:$F,[1]BDV!$AI:$AI)</f>
        <v>77938.91</v>
      </c>
      <c r="J325" s="42">
        <f t="shared" ref="J325:J386" si="15">+H325-I325</f>
        <v>0</v>
      </c>
    </row>
    <row r="326" spans="1:10" x14ac:dyDescent="0.25">
      <c r="A326" t="s">
        <v>874</v>
      </c>
      <c r="B326" t="s">
        <v>865</v>
      </c>
      <c r="C326" t="s">
        <v>856</v>
      </c>
      <c r="D326">
        <f t="shared" ref="D326:D370" si="16">+_xlfn.NUMBERVALUE(LEFT(E326,6))</f>
        <v>742009</v>
      </c>
      <c r="E326" s="15" t="s">
        <v>771</v>
      </c>
      <c r="F326" s="18">
        <f>+_xlfn.XLOOKUP(D326,CVS!E:E,CVS!I:I,0)</f>
        <v>71459.19</v>
      </c>
      <c r="G326" s="14">
        <f>+SUMIFS('De Giorgi BDV'!C:C,'De Giorgi BDV'!D:D,D326)</f>
        <v>0</v>
      </c>
      <c r="H326" s="18">
        <f t="shared" ref="H326:H384" si="17">+F326+G326</f>
        <v>71459.19</v>
      </c>
      <c r="I326" s="14">
        <f>+_xlfn.XLOOKUP(D326,[1]BDV!$F:$F,[1]BDV!$AI:$AI)</f>
        <v>71459.19</v>
      </c>
      <c r="J326" s="42">
        <f t="shared" si="15"/>
        <v>0</v>
      </c>
    </row>
    <row r="327" spans="1:10" hidden="1" x14ac:dyDescent="0.25">
      <c r="A327" t="s">
        <v>874</v>
      </c>
      <c r="B327" t="s">
        <v>865</v>
      </c>
      <c r="C327" t="s">
        <v>857</v>
      </c>
      <c r="D327">
        <f t="shared" si="16"/>
        <v>760201</v>
      </c>
      <c r="E327" s="15" t="s">
        <v>772</v>
      </c>
      <c r="F327" s="18">
        <f>+_xlfn.XLOOKUP(D327,CVS!E:E,CVS!I:I,0)</f>
        <v>627224.13</v>
      </c>
      <c r="G327" s="14">
        <f>+SUMIFS('De Giorgi BDV'!C:C,'De Giorgi BDV'!D:D,D327)</f>
        <v>0</v>
      </c>
      <c r="H327" s="18">
        <f t="shared" si="17"/>
        <v>627224.13</v>
      </c>
      <c r="I327" s="14">
        <f>+_xlfn.XLOOKUP(D327,[1]BDV!$F:$F,[1]BDV!$AI:$AI)</f>
        <v>627224.13</v>
      </c>
      <c r="J327" s="42">
        <f t="shared" si="15"/>
        <v>0</v>
      </c>
    </row>
    <row r="328" spans="1:10" hidden="1" x14ac:dyDescent="0.25">
      <c r="A328" t="s">
        <v>874</v>
      </c>
      <c r="B328" t="s">
        <v>865</v>
      </c>
      <c r="C328" t="s">
        <v>857</v>
      </c>
      <c r="D328">
        <f t="shared" si="16"/>
        <v>760401</v>
      </c>
      <c r="E328" s="15" t="s">
        <v>773</v>
      </c>
      <c r="F328" s="18">
        <f>+_xlfn.XLOOKUP(D328,CVS!E:E,CVS!I:I,0)</f>
        <v>1102</v>
      </c>
      <c r="G328" s="14">
        <f>+SUMIFS('De Giorgi BDV'!C:C,'De Giorgi BDV'!D:D,D328)</f>
        <v>0</v>
      </c>
      <c r="H328" s="18">
        <f t="shared" si="17"/>
        <v>1102</v>
      </c>
      <c r="I328" s="14">
        <f>+_xlfn.XLOOKUP(D328,[1]BDV!$F:$F,[1]BDV!$AI:$AI)</f>
        <v>1102</v>
      </c>
      <c r="J328" s="42">
        <f t="shared" si="15"/>
        <v>0</v>
      </c>
    </row>
    <row r="329" spans="1:10" hidden="1" x14ac:dyDescent="0.25">
      <c r="A329" t="s">
        <v>874</v>
      </c>
      <c r="B329" t="s">
        <v>865</v>
      </c>
      <c r="C329" t="s">
        <v>857</v>
      </c>
      <c r="D329">
        <f t="shared" si="16"/>
        <v>760601</v>
      </c>
      <c r="E329" s="15" t="s">
        <v>774</v>
      </c>
      <c r="F329" s="18">
        <f>+_xlfn.XLOOKUP(D329,CVS!E:E,CVS!I:I,0)</f>
        <v>4362356.04</v>
      </c>
      <c r="G329" s="14">
        <f>+SUMIFS('De Giorgi BDV'!C:C,'De Giorgi BDV'!D:D,D329)</f>
        <v>29063.68</v>
      </c>
      <c r="H329" s="18">
        <f t="shared" si="17"/>
        <v>4391419.72</v>
      </c>
      <c r="I329" s="14">
        <f>+_xlfn.XLOOKUP(D329,[1]BDV!$F:$F,[1]BDV!$AI:$AI)</f>
        <v>4391419.72</v>
      </c>
      <c r="J329" s="42">
        <f t="shared" si="15"/>
        <v>0</v>
      </c>
    </row>
    <row r="330" spans="1:10" hidden="1" x14ac:dyDescent="0.25">
      <c r="A330" t="s">
        <v>874</v>
      </c>
      <c r="B330" t="s">
        <v>865</v>
      </c>
      <c r="C330" t="s">
        <v>857</v>
      </c>
      <c r="D330">
        <f t="shared" si="16"/>
        <v>760801</v>
      </c>
      <c r="E330" s="15" t="s">
        <v>775</v>
      </c>
      <c r="F330" s="18">
        <f>+_xlfn.XLOOKUP(D330,CVS!E:E,CVS!I:I,0)</f>
        <v>1239</v>
      </c>
      <c r="G330" s="14">
        <f>+SUMIFS('De Giorgi BDV'!C:C,'De Giorgi BDV'!D:D,D330)</f>
        <v>0</v>
      </c>
      <c r="H330" s="18">
        <f t="shared" si="17"/>
        <v>1239</v>
      </c>
      <c r="I330" s="14">
        <f>+_xlfn.XLOOKUP(D330,[1]BDV!$F:$F,[1]BDV!$AI:$AI)</f>
        <v>1239</v>
      </c>
      <c r="J330" s="42">
        <f t="shared" si="15"/>
        <v>0</v>
      </c>
    </row>
    <row r="331" spans="1:10" hidden="1" x14ac:dyDescent="0.25">
      <c r="A331" t="s">
        <v>874</v>
      </c>
      <c r="B331" t="s">
        <v>865</v>
      </c>
      <c r="C331" t="s">
        <v>857</v>
      </c>
      <c r="D331">
        <f t="shared" si="16"/>
        <v>761001</v>
      </c>
      <c r="E331" s="15" t="s">
        <v>776</v>
      </c>
      <c r="F331" s="18">
        <f>+_xlfn.XLOOKUP(D331,CVS!E:E,CVS!I:I,0)</f>
        <v>29686.15</v>
      </c>
      <c r="G331" s="14">
        <f>+SUMIFS('De Giorgi BDV'!C:C,'De Giorgi BDV'!D:D,D331)</f>
        <v>0</v>
      </c>
      <c r="H331" s="18">
        <f t="shared" si="17"/>
        <v>29686.15</v>
      </c>
      <c r="I331" s="14">
        <f>+_xlfn.XLOOKUP(D331,[1]BDV!$F:$F,[1]BDV!$AI:$AI)</f>
        <v>29686.15</v>
      </c>
      <c r="J331" s="42">
        <f t="shared" si="15"/>
        <v>0</v>
      </c>
    </row>
    <row r="332" spans="1:10" hidden="1" x14ac:dyDescent="0.25">
      <c r="A332" t="s">
        <v>874</v>
      </c>
      <c r="B332" t="s">
        <v>865</v>
      </c>
      <c r="C332" t="s">
        <v>857</v>
      </c>
      <c r="D332">
        <f t="shared" si="16"/>
        <v>761601</v>
      </c>
      <c r="E332" s="15" t="s">
        <v>777</v>
      </c>
      <c r="F332" s="18">
        <f>+_xlfn.XLOOKUP(D332,CVS!E:E,CVS!I:I,0)</f>
        <v>1797</v>
      </c>
      <c r="G332" s="14">
        <f>+SUMIFS('De Giorgi BDV'!C:C,'De Giorgi BDV'!D:D,D332)</f>
        <v>0</v>
      </c>
      <c r="H332" s="18">
        <f t="shared" si="17"/>
        <v>1797</v>
      </c>
      <c r="I332" s="14">
        <f>+_xlfn.XLOOKUP(D332,[1]BDV!$F:$F,[1]BDV!$AI:$AI)</f>
        <v>1797</v>
      </c>
      <c r="J332" s="42">
        <f t="shared" si="15"/>
        <v>0</v>
      </c>
    </row>
    <row r="333" spans="1:10" hidden="1" x14ac:dyDescent="0.25">
      <c r="A333" t="s">
        <v>874</v>
      </c>
      <c r="B333" t="s">
        <v>865</v>
      </c>
      <c r="C333" t="s">
        <v>857</v>
      </c>
      <c r="D333">
        <f t="shared" si="16"/>
        <v>761607</v>
      </c>
      <c r="E333" s="15" t="s">
        <v>778</v>
      </c>
      <c r="F333" s="18">
        <f>+_xlfn.XLOOKUP(D333,CVS!E:E,CVS!I:I,0)</f>
        <v>1149429.6000000001</v>
      </c>
      <c r="G333" s="14">
        <f>+SUMIFS('De Giorgi BDV'!C:C,'De Giorgi BDV'!D:D,D333)</f>
        <v>0</v>
      </c>
      <c r="H333" s="18">
        <f t="shared" si="17"/>
        <v>1149429.6000000001</v>
      </c>
      <c r="I333" s="14">
        <f>+_xlfn.XLOOKUP(D333,[1]BDV!$F:$F,[1]BDV!$AI:$AI)</f>
        <v>1149429.6000000001</v>
      </c>
      <c r="J333" s="42">
        <f t="shared" si="15"/>
        <v>0</v>
      </c>
    </row>
    <row r="334" spans="1:10" hidden="1" x14ac:dyDescent="0.25">
      <c r="A334" t="s">
        <v>874</v>
      </c>
      <c r="B334" t="s">
        <v>865</v>
      </c>
      <c r="C334" t="s">
        <v>857</v>
      </c>
      <c r="D334">
        <f t="shared" si="16"/>
        <v>780201</v>
      </c>
      <c r="E334" s="15" t="s">
        <v>779</v>
      </c>
      <c r="F334" s="18">
        <f>+_xlfn.XLOOKUP(D334,CVS!E:E,CVS!I:I,0)</f>
        <v>20291.61</v>
      </c>
      <c r="G334" s="14">
        <f>+SUMIFS('De Giorgi BDV'!C:C,'De Giorgi BDV'!D:D,D334)</f>
        <v>7702.66</v>
      </c>
      <c r="H334" s="18">
        <f t="shared" si="17"/>
        <v>27994.27</v>
      </c>
      <c r="I334" s="14">
        <f>+_xlfn.XLOOKUP(D334,[1]BDV!$F:$F,[1]BDV!$AI:$AI)</f>
        <v>27994.27</v>
      </c>
      <c r="J334" s="42">
        <f t="shared" si="15"/>
        <v>0</v>
      </c>
    </row>
    <row r="335" spans="1:10" hidden="1" x14ac:dyDescent="0.25">
      <c r="A335" t="s">
        <v>874</v>
      </c>
      <c r="B335" t="s">
        <v>865</v>
      </c>
      <c r="C335" t="s">
        <v>857</v>
      </c>
      <c r="D335">
        <f t="shared" si="16"/>
        <v>780203</v>
      </c>
      <c r="E335" s="15" t="s">
        <v>780</v>
      </c>
      <c r="F335" s="18">
        <f>+_xlfn.XLOOKUP(D335,CVS!E:E,CVS!I:I,0)</f>
        <v>10848.45</v>
      </c>
      <c r="G335" s="14">
        <f>+SUMIFS('De Giorgi BDV'!C:C,'De Giorgi BDV'!D:D,D335)</f>
        <v>0</v>
      </c>
      <c r="H335" s="18">
        <f t="shared" si="17"/>
        <v>10848.45</v>
      </c>
      <c r="I335" s="14">
        <f>+_xlfn.XLOOKUP(D335,[1]BDV!$F:$F,[1]BDV!$AI:$AI)</f>
        <v>10848.45</v>
      </c>
      <c r="J335" s="42">
        <f t="shared" si="15"/>
        <v>0</v>
      </c>
    </row>
    <row r="336" spans="1:10" hidden="1" x14ac:dyDescent="0.25">
      <c r="A336" t="s">
        <v>874</v>
      </c>
      <c r="B336" t="s">
        <v>865</v>
      </c>
      <c r="C336" t="s">
        <v>857</v>
      </c>
      <c r="D336">
        <f t="shared" si="16"/>
        <v>780401</v>
      </c>
      <c r="E336" s="15" t="s">
        <v>781</v>
      </c>
      <c r="F336" s="18">
        <f>+_xlfn.XLOOKUP(D336,CVS!E:E,CVS!I:I,0)</f>
        <v>2477.7800000000002</v>
      </c>
      <c r="G336" s="14">
        <f>+SUMIFS('De Giorgi BDV'!C:C,'De Giorgi BDV'!D:D,D336)</f>
        <v>0</v>
      </c>
      <c r="H336" s="18">
        <f t="shared" si="17"/>
        <v>2477.7800000000002</v>
      </c>
      <c r="I336" s="14">
        <f>+_xlfn.XLOOKUP(D336,[1]BDV!$F:$F,[1]BDV!$AI:$AI)</f>
        <v>2477.7800000000002</v>
      </c>
      <c r="J336" s="42">
        <f t="shared" si="15"/>
        <v>0</v>
      </c>
    </row>
    <row r="337" spans="1:10" hidden="1" x14ac:dyDescent="0.25">
      <c r="A337" t="s">
        <v>874</v>
      </c>
      <c r="B337" t="s">
        <v>865</v>
      </c>
      <c r="C337" t="s">
        <v>857</v>
      </c>
      <c r="D337">
        <f t="shared" si="16"/>
        <v>780601</v>
      </c>
      <c r="E337" s="15" t="s">
        <v>782</v>
      </c>
      <c r="F337" s="18">
        <f>+_xlfn.XLOOKUP(D337,CVS!E:E,CVS!I:I,0)</f>
        <v>10599.88</v>
      </c>
      <c r="G337" s="14">
        <f>+SUMIFS('De Giorgi BDV'!C:C,'De Giorgi BDV'!D:D,D337)</f>
        <v>272.85000000000002</v>
      </c>
      <c r="H337" s="18">
        <f t="shared" si="17"/>
        <v>10872.73</v>
      </c>
      <c r="I337" s="14">
        <f>+_xlfn.XLOOKUP(D337,[1]BDV!$F:$F,[1]BDV!$AI:$AI)</f>
        <v>10872.73</v>
      </c>
      <c r="J337" s="42">
        <f t="shared" si="15"/>
        <v>0</v>
      </c>
    </row>
    <row r="338" spans="1:10" hidden="1" x14ac:dyDescent="0.25">
      <c r="A338" t="s">
        <v>874</v>
      </c>
      <c r="B338" t="s">
        <v>865</v>
      </c>
      <c r="C338" t="s">
        <v>857</v>
      </c>
      <c r="D338">
        <f t="shared" si="16"/>
        <v>780603</v>
      </c>
      <c r="E338" s="15" t="s">
        <v>783</v>
      </c>
      <c r="F338" s="18">
        <f>+_xlfn.XLOOKUP(D338,CVS!E:E,CVS!I:I,0)</f>
        <v>22793.41</v>
      </c>
      <c r="G338" s="14">
        <f>+SUMIFS('De Giorgi BDV'!C:C,'De Giorgi BDV'!D:D,D338)</f>
        <v>0</v>
      </c>
      <c r="H338" s="18">
        <f t="shared" si="17"/>
        <v>22793.41</v>
      </c>
      <c r="I338" s="14">
        <f>+_xlfn.XLOOKUP(D338,[1]BDV!$F:$F,[1]BDV!$AI:$AI)</f>
        <v>22793.41</v>
      </c>
      <c r="J338" s="42">
        <f t="shared" si="15"/>
        <v>0</v>
      </c>
    </row>
    <row r="339" spans="1:10" hidden="1" x14ac:dyDescent="0.25">
      <c r="A339" t="s">
        <v>874</v>
      </c>
      <c r="B339" t="s">
        <v>865</v>
      </c>
      <c r="C339" t="s">
        <v>857</v>
      </c>
      <c r="D339">
        <f t="shared" si="16"/>
        <v>781001</v>
      </c>
      <c r="E339" s="15" t="s">
        <v>784</v>
      </c>
      <c r="F339" s="18">
        <f>+_xlfn.XLOOKUP(D339,CVS!E:E,CVS!I:I,0)</f>
        <v>55735.82</v>
      </c>
      <c r="G339" s="14">
        <f>+SUMIFS('De Giorgi BDV'!C:C,'De Giorgi BDV'!D:D,D339)</f>
        <v>315.42</v>
      </c>
      <c r="H339" s="18">
        <f t="shared" si="17"/>
        <v>56051.24</v>
      </c>
      <c r="I339" s="14">
        <f>+_xlfn.XLOOKUP(D339,[1]BDV!$F:$F,[1]BDV!$AI:$AI)</f>
        <v>56051.24</v>
      </c>
      <c r="J339" s="42">
        <f t="shared" si="15"/>
        <v>0</v>
      </c>
    </row>
    <row r="340" spans="1:10" hidden="1" x14ac:dyDescent="0.25">
      <c r="A340" t="s">
        <v>874</v>
      </c>
      <c r="B340" t="s">
        <v>865</v>
      </c>
      <c r="C340" t="s">
        <v>857</v>
      </c>
      <c r="D340">
        <f t="shared" si="16"/>
        <v>781201</v>
      </c>
      <c r="E340" s="15" t="s">
        <v>785</v>
      </c>
      <c r="F340" s="18">
        <f>+_xlfn.XLOOKUP(D340,CVS!E:E,CVS!I:I,0)</f>
        <v>20604.490000000002</v>
      </c>
      <c r="G340" s="14">
        <f>+SUMIFS('De Giorgi BDV'!C:C,'De Giorgi BDV'!D:D,D340)</f>
        <v>0</v>
      </c>
      <c r="H340" s="18">
        <f t="shared" si="17"/>
        <v>20604.490000000002</v>
      </c>
      <c r="I340" s="14">
        <f>+_xlfn.XLOOKUP(D340,[1]BDV!$F:$F,[1]BDV!$AI:$AI)</f>
        <v>20604.490000000002</v>
      </c>
      <c r="J340" s="42">
        <f t="shared" si="15"/>
        <v>0</v>
      </c>
    </row>
    <row r="341" spans="1:10" hidden="1" x14ac:dyDescent="0.25">
      <c r="A341" t="s">
        <v>874</v>
      </c>
      <c r="B341" t="s">
        <v>865</v>
      </c>
      <c r="C341" t="s">
        <v>857</v>
      </c>
      <c r="D341">
        <f t="shared" si="16"/>
        <v>781401</v>
      </c>
      <c r="E341" s="15" t="s">
        <v>786</v>
      </c>
      <c r="F341" s="18">
        <f>+_xlfn.XLOOKUP(D341,CVS!E:E,CVS!I:I,0)</f>
        <v>22651.93</v>
      </c>
      <c r="G341" s="14">
        <f>+SUMIFS('De Giorgi BDV'!C:C,'De Giorgi BDV'!D:D,D341)</f>
        <v>595.30999999999995</v>
      </c>
      <c r="H341" s="18">
        <f t="shared" si="17"/>
        <v>23247.24</v>
      </c>
      <c r="I341" s="14">
        <f>+_xlfn.XLOOKUP(D341,[1]BDV!$F:$F,[1]BDV!$AI:$AI)</f>
        <v>23247.24</v>
      </c>
      <c r="J341" s="42">
        <f t="shared" si="15"/>
        <v>0</v>
      </c>
    </row>
    <row r="342" spans="1:10" hidden="1" x14ac:dyDescent="0.25">
      <c r="A342" t="s">
        <v>874</v>
      </c>
      <c r="B342" t="s">
        <v>865</v>
      </c>
      <c r="C342" t="s">
        <v>857</v>
      </c>
      <c r="D342">
        <f t="shared" si="16"/>
        <v>781801</v>
      </c>
      <c r="E342" s="15" t="s">
        <v>787</v>
      </c>
      <c r="F342" s="18">
        <f>+_xlfn.XLOOKUP(D342,CVS!E:E,CVS!I:I,0)</f>
        <v>13040.61</v>
      </c>
      <c r="G342" s="14">
        <f>+SUMIFS('De Giorgi BDV'!C:C,'De Giorgi BDV'!D:D,D342)</f>
        <v>10119.450000000001</v>
      </c>
      <c r="H342" s="18">
        <f t="shared" si="17"/>
        <v>23160.06</v>
      </c>
      <c r="I342" s="14">
        <f>+_xlfn.XLOOKUP(D342,[1]BDV!$F:$F,[1]BDV!$AI:$AI)</f>
        <v>23160.06</v>
      </c>
      <c r="J342" s="42">
        <f t="shared" si="15"/>
        <v>0</v>
      </c>
    </row>
    <row r="343" spans="1:10" hidden="1" x14ac:dyDescent="0.25">
      <c r="A343" t="s">
        <v>874</v>
      </c>
      <c r="B343" t="s">
        <v>865</v>
      </c>
      <c r="C343" t="s">
        <v>857</v>
      </c>
      <c r="D343">
        <f t="shared" si="16"/>
        <v>782001</v>
      </c>
      <c r="E343" s="15" t="s">
        <v>788</v>
      </c>
      <c r="F343" s="18">
        <f>+_xlfn.XLOOKUP(D343,CVS!E:E,CVS!I:I,0)</f>
        <v>2941.77</v>
      </c>
      <c r="G343" s="14">
        <f>+SUMIFS('De Giorgi BDV'!C:C,'De Giorgi BDV'!D:D,D343)</f>
        <v>0</v>
      </c>
      <c r="H343" s="18">
        <f t="shared" si="17"/>
        <v>2941.77</v>
      </c>
      <c r="I343" s="14">
        <f>+_xlfn.XLOOKUP(D343,[1]BDV!$F:$F,[1]BDV!$AI:$AI)</f>
        <v>2941.77</v>
      </c>
      <c r="J343" s="42">
        <f t="shared" si="15"/>
        <v>0</v>
      </c>
    </row>
    <row r="344" spans="1:10" hidden="1" x14ac:dyDescent="0.25">
      <c r="A344" t="s">
        <v>874</v>
      </c>
      <c r="B344" t="s">
        <v>865</v>
      </c>
      <c r="C344" t="s">
        <v>857</v>
      </c>
      <c r="D344">
        <f t="shared" si="16"/>
        <v>782401</v>
      </c>
      <c r="E344" s="15" t="s">
        <v>789</v>
      </c>
      <c r="F344" s="18">
        <f>+_xlfn.XLOOKUP(D344,CVS!E:E,CVS!I:I,0)</f>
        <v>897.83</v>
      </c>
      <c r="G344" s="14">
        <f>+SUMIFS('De Giorgi BDV'!C:C,'De Giorgi BDV'!D:D,D344)</f>
        <v>0</v>
      </c>
      <c r="H344" s="18">
        <f t="shared" si="17"/>
        <v>897.83</v>
      </c>
      <c r="I344" s="14">
        <f>+_xlfn.XLOOKUP(D344,[1]BDV!$F:$F,[1]BDV!$AI:$AI)</f>
        <v>897.83</v>
      </c>
      <c r="J344" s="42">
        <f t="shared" si="15"/>
        <v>0</v>
      </c>
    </row>
    <row r="345" spans="1:10" hidden="1" x14ac:dyDescent="0.25">
      <c r="A345" t="s">
        <v>874</v>
      </c>
      <c r="B345" t="s">
        <v>865</v>
      </c>
      <c r="C345" t="s">
        <v>857</v>
      </c>
      <c r="D345">
        <f t="shared" si="16"/>
        <v>782801</v>
      </c>
      <c r="E345" s="15" t="s">
        <v>790</v>
      </c>
      <c r="F345" s="18">
        <f>+_xlfn.XLOOKUP(D345,CVS!E:E,CVS!I:I,0)</f>
        <v>34.200000000000003</v>
      </c>
      <c r="G345" s="14">
        <f>+SUMIFS('De Giorgi BDV'!C:C,'De Giorgi BDV'!D:D,D345)</f>
        <v>878.79</v>
      </c>
      <c r="H345" s="18">
        <f t="shared" si="17"/>
        <v>912.99</v>
      </c>
      <c r="I345" s="14">
        <f>+_xlfn.XLOOKUP(D345,[1]BDV!$F:$F,[1]BDV!$AI:$AI)</f>
        <v>912.99</v>
      </c>
      <c r="J345" s="42">
        <f t="shared" si="15"/>
        <v>0</v>
      </c>
    </row>
    <row r="346" spans="1:10" hidden="1" x14ac:dyDescent="0.25">
      <c r="A346" t="s">
        <v>874</v>
      </c>
      <c r="B346" t="s">
        <v>865</v>
      </c>
      <c r="C346" t="s">
        <v>854</v>
      </c>
      <c r="D346">
        <f t="shared" si="16"/>
        <v>800205</v>
      </c>
      <c r="E346" s="15" t="s">
        <v>791</v>
      </c>
      <c r="F346" s="18">
        <f>+_xlfn.XLOOKUP(D346,CVS!E:E,CVS!I:I,0)</f>
        <v>-5244545.07</v>
      </c>
      <c r="G346" s="14">
        <f>+SUMIFS('De Giorgi BDV'!C:C,'De Giorgi BDV'!D:D,D346)</f>
        <v>-111115.03</v>
      </c>
      <c r="H346" s="18">
        <f t="shared" si="17"/>
        <v>-5355660.1000000006</v>
      </c>
      <c r="I346" s="14">
        <f>+_xlfn.XLOOKUP(D346,[1]BDV!$F:$F,[1]BDV!$AI:$AI)</f>
        <v>-5355660.1000000006</v>
      </c>
      <c r="J346" s="42">
        <f t="shared" si="15"/>
        <v>0</v>
      </c>
    </row>
    <row r="347" spans="1:10" hidden="1" x14ac:dyDescent="0.25">
      <c r="A347" t="s">
        <v>874</v>
      </c>
      <c r="B347" t="s">
        <v>865</v>
      </c>
      <c r="C347" t="s">
        <v>854</v>
      </c>
      <c r="D347">
        <f t="shared" si="16"/>
        <v>800405</v>
      </c>
      <c r="E347" s="15" t="s">
        <v>792</v>
      </c>
      <c r="F347" s="18">
        <f>+_xlfn.XLOOKUP(D347,CVS!E:E,CVS!I:I,0)</f>
        <v>2131263.21</v>
      </c>
      <c r="G347" s="14">
        <f>+SUMIFS('De Giorgi BDV'!C:C,'De Giorgi BDV'!D:D,D347)</f>
        <v>123249.95</v>
      </c>
      <c r="H347" s="18">
        <f t="shared" si="17"/>
        <v>2254513.16</v>
      </c>
      <c r="I347" s="14">
        <f>+_xlfn.XLOOKUP(D347,[1]BDV!$F:$F,[1]BDV!$AI:$AI)</f>
        <v>2254513.16</v>
      </c>
      <c r="J347" s="42">
        <f t="shared" si="15"/>
        <v>0</v>
      </c>
    </row>
    <row r="348" spans="1:10" x14ac:dyDescent="0.25">
      <c r="A348" t="s">
        <v>874</v>
      </c>
      <c r="B348" t="s">
        <v>865</v>
      </c>
      <c r="C348" t="s">
        <v>855</v>
      </c>
      <c r="D348">
        <f t="shared" si="16"/>
        <v>840201</v>
      </c>
      <c r="E348" s="15" t="s">
        <v>793</v>
      </c>
      <c r="F348" s="18">
        <f>+_xlfn.XLOOKUP(D348,CVS!E:E,CVS!I:I,0)</f>
        <v>27236.49</v>
      </c>
      <c r="G348" s="14">
        <f>+SUMIFS('De Giorgi BDV'!C:C,'De Giorgi BDV'!D:D,D348)</f>
        <v>0</v>
      </c>
      <c r="H348" s="18">
        <f t="shared" si="17"/>
        <v>27236.49</v>
      </c>
      <c r="I348" s="14">
        <f>+_xlfn.XLOOKUP(D348,[1]BDV!$F:$F,[1]BDV!$AI:$AI)</f>
        <v>27236.49</v>
      </c>
      <c r="J348" s="42">
        <f t="shared" si="15"/>
        <v>0</v>
      </c>
    </row>
    <row r="349" spans="1:10" x14ac:dyDescent="0.25">
      <c r="A349" t="s">
        <v>874</v>
      </c>
      <c r="B349" t="s">
        <v>865</v>
      </c>
      <c r="C349" t="s">
        <v>855</v>
      </c>
      <c r="D349">
        <f t="shared" si="16"/>
        <v>840401</v>
      </c>
      <c r="E349" s="15" t="s">
        <v>794</v>
      </c>
      <c r="F349" s="18">
        <f>+_xlfn.XLOOKUP(D349,CVS!E:E,CVS!I:I,0)</f>
        <v>1104.5999999999999</v>
      </c>
      <c r="G349" s="14">
        <f>+SUMIFS('De Giorgi BDV'!C:C,'De Giorgi BDV'!D:D,D349)</f>
        <v>140.83000000000001</v>
      </c>
      <c r="H349" s="18">
        <f t="shared" si="17"/>
        <v>1245.4299999999998</v>
      </c>
      <c r="I349" s="14">
        <f>+_xlfn.XLOOKUP(D349,[1]BDV!$F:$F,[1]BDV!$AI:$AI)</f>
        <v>1245.4299999999998</v>
      </c>
      <c r="J349" s="42">
        <f t="shared" si="15"/>
        <v>0</v>
      </c>
    </row>
    <row r="350" spans="1:10" x14ac:dyDescent="0.25">
      <c r="A350" t="s">
        <v>874</v>
      </c>
      <c r="B350" t="s">
        <v>865</v>
      </c>
      <c r="C350" t="s">
        <v>855</v>
      </c>
      <c r="D350">
        <f t="shared" si="16"/>
        <v>840403</v>
      </c>
      <c r="E350" s="15" t="s">
        <v>795</v>
      </c>
      <c r="F350" s="18">
        <f>+_xlfn.XLOOKUP(D350,CVS!E:E,CVS!I:I,0)</f>
        <v>11383.67</v>
      </c>
      <c r="G350" s="14">
        <f>+SUMIFS('De Giorgi BDV'!C:C,'De Giorgi BDV'!D:D,D350)</f>
        <v>22.01</v>
      </c>
      <c r="H350" s="18">
        <f t="shared" si="17"/>
        <v>11405.68</v>
      </c>
      <c r="I350" s="14">
        <f>+_xlfn.XLOOKUP(D350,[1]BDV!$F:$F,[1]BDV!$AI:$AI)</f>
        <v>11405.68</v>
      </c>
      <c r="J350" s="42">
        <f t="shared" si="15"/>
        <v>0</v>
      </c>
    </row>
    <row r="351" spans="1:10" x14ac:dyDescent="0.25">
      <c r="A351" t="s">
        <v>874</v>
      </c>
      <c r="B351" t="s">
        <v>865</v>
      </c>
      <c r="C351" t="s">
        <v>855</v>
      </c>
      <c r="D351">
        <f t="shared" si="16"/>
        <v>840601</v>
      </c>
      <c r="E351" s="15" t="s">
        <v>796</v>
      </c>
      <c r="F351" s="18">
        <f>+_xlfn.XLOOKUP(D351,CVS!E:E,CVS!I:I,0)</f>
        <v>1910.05</v>
      </c>
      <c r="G351" s="14">
        <f>+SUMIFS('De Giorgi BDV'!C:C,'De Giorgi BDV'!D:D,D351)</f>
        <v>222.76</v>
      </c>
      <c r="H351" s="18">
        <f t="shared" si="17"/>
        <v>2132.81</v>
      </c>
      <c r="I351" s="14">
        <f>+_xlfn.XLOOKUP(D351,[1]BDV!$F:$F,[1]BDV!$AI:$AI)</f>
        <v>2132.81</v>
      </c>
      <c r="J351" s="42">
        <f t="shared" si="15"/>
        <v>0</v>
      </c>
    </row>
    <row r="352" spans="1:10" hidden="1" x14ac:dyDescent="0.25">
      <c r="A352" t="s">
        <v>874</v>
      </c>
      <c r="B352" t="s">
        <v>865</v>
      </c>
      <c r="C352" t="s">
        <v>853</v>
      </c>
      <c r="D352">
        <f t="shared" si="16"/>
        <v>860207</v>
      </c>
      <c r="E352" s="15" t="s">
        <v>797</v>
      </c>
      <c r="F352" s="18">
        <f>+_xlfn.XLOOKUP(D352,CVS!E:E,CVS!I:I,0)</f>
        <v>22519.83</v>
      </c>
      <c r="G352" s="14">
        <f>+SUMIFS('De Giorgi BDV'!C:C,'De Giorgi BDV'!D:D,D352)</f>
        <v>0</v>
      </c>
      <c r="H352" s="18">
        <f t="shared" si="17"/>
        <v>22519.83</v>
      </c>
      <c r="I352" s="14">
        <f>+_xlfn.XLOOKUP(D352,[1]BDV!$F:$F,[1]BDV!$AI:$AI)</f>
        <v>22519.83</v>
      </c>
      <c r="J352" s="42">
        <f t="shared" si="15"/>
        <v>0</v>
      </c>
    </row>
    <row r="353" spans="1:10" x14ac:dyDescent="0.25">
      <c r="A353" t="s">
        <v>874</v>
      </c>
      <c r="B353" t="s">
        <v>865</v>
      </c>
      <c r="C353" t="s">
        <v>855</v>
      </c>
      <c r="D353">
        <f t="shared" si="16"/>
        <v>860209</v>
      </c>
      <c r="E353" s="15" t="s">
        <v>798</v>
      </c>
      <c r="F353" s="18">
        <f>+_xlfn.XLOOKUP(D353,CVS!E:E,CVS!I:I,0)</f>
        <v>172.36</v>
      </c>
      <c r="G353" s="14">
        <f>+SUMIFS('De Giorgi BDV'!C:C,'De Giorgi BDV'!D:D,D353)</f>
        <v>0</v>
      </c>
      <c r="H353" s="18">
        <f t="shared" si="17"/>
        <v>172.36</v>
      </c>
      <c r="I353" s="14">
        <f>+_xlfn.XLOOKUP(D353,[1]BDV!$F:$F,[1]BDV!$AI:$AI)</f>
        <v>172.36</v>
      </c>
      <c r="J353" s="42">
        <f t="shared" si="15"/>
        <v>0</v>
      </c>
    </row>
    <row r="354" spans="1:10" x14ac:dyDescent="0.25">
      <c r="A354" t="s">
        <v>874</v>
      </c>
      <c r="B354" t="s">
        <v>865</v>
      </c>
      <c r="C354" t="s">
        <v>855</v>
      </c>
      <c r="D354">
        <f t="shared" si="16"/>
        <v>880201</v>
      </c>
      <c r="E354" s="15" t="s">
        <v>799</v>
      </c>
      <c r="F354" s="18">
        <f>+_xlfn.XLOOKUP(D354,CVS!E:E,CVS!I:I,0)</f>
        <v>3109</v>
      </c>
      <c r="G354" s="14">
        <f>+SUMIFS('De Giorgi BDV'!C:C,'De Giorgi BDV'!D:D,D354)</f>
        <v>1548</v>
      </c>
      <c r="H354" s="18">
        <f t="shared" si="17"/>
        <v>4657</v>
      </c>
      <c r="I354" s="14">
        <f>+_xlfn.XLOOKUP(D354,[1]BDV!$F:$F,[1]BDV!$AI:$AI)</f>
        <v>4657</v>
      </c>
      <c r="J354" s="42">
        <f t="shared" si="15"/>
        <v>0</v>
      </c>
    </row>
    <row r="355" spans="1:10" x14ac:dyDescent="0.25">
      <c r="A355" t="s">
        <v>874</v>
      </c>
      <c r="B355" t="s">
        <v>865</v>
      </c>
      <c r="C355" t="s">
        <v>855</v>
      </c>
      <c r="D355">
        <f t="shared" si="16"/>
        <v>880203</v>
      </c>
      <c r="E355" s="15" t="s">
        <v>800</v>
      </c>
      <c r="F355" s="18">
        <f>+_xlfn.XLOOKUP(D355,CVS!E:E,CVS!I:I,0)</f>
        <v>3015.38</v>
      </c>
      <c r="G355" s="14">
        <f>+SUMIFS('De Giorgi BDV'!C:C,'De Giorgi BDV'!D:D,D355)</f>
        <v>1166</v>
      </c>
      <c r="H355" s="18">
        <f t="shared" si="17"/>
        <v>4181.38</v>
      </c>
      <c r="I355" s="14">
        <f>+_xlfn.XLOOKUP(D355,[1]BDV!$F:$F,[1]BDV!$AI:$AI)</f>
        <v>4181.38</v>
      </c>
      <c r="J355" s="42">
        <f t="shared" si="15"/>
        <v>0</v>
      </c>
    </row>
    <row r="356" spans="1:10" x14ac:dyDescent="0.25">
      <c r="A356" t="s">
        <v>874</v>
      </c>
      <c r="B356" t="s">
        <v>865</v>
      </c>
      <c r="C356" t="s">
        <v>858</v>
      </c>
      <c r="D356">
        <f t="shared" si="16"/>
        <v>880205</v>
      </c>
      <c r="E356" s="15" t="s">
        <v>801</v>
      </c>
      <c r="F356" s="18">
        <f>+_xlfn.XLOOKUP(D356,CVS!E:E,CVS!I:I,0)</f>
        <v>140731.57</v>
      </c>
      <c r="G356" s="14">
        <f>+SUMIFS('De Giorgi BDV'!C:C,'De Giorgi BDV'!D:D,D356)</f>
        <v>1552.95</v>
      </c>
      <c r="H356" s="18">
        <f t="shared" si="17"/>
        <v>142284.52000000002</v>
      </c>
      <c r="I356" s="14">
        <f>+_xlfn.XLOOKUP(D356,[1]BDV!$F:$F,[1]BDV!$AI:$AI)</f>
        <v>142284.52000000002</v>
      </c>
      <c r="J356" s="42">
        <f t="shared" si="15"/>
        <v>0</v>
      </c>
    </row>
    <row r="357" spans="1:10" x14ac:dyDescent="0.25">
      <c r="A357" t="s">
        <v>874</v>
      </c>
      <c r="B357" t="s">
        <v>865</v>
      </c>
      <c r="C357" t="s">
        <v>858</v>
      </c>
      <c r="D357">
        <f t="shared" si="16"/>
        <v>880207</v>
      </c>
      <c r="E357" s="15" t="s">
        <v>802</v>
      </c>
      <c r="F357" s="18">
        <f>+_xlfn.XLOOKUP(D357,CVS!E:E,CVS!I:I,0)</f>
        <v>166401.98000000001</v>
      </c>
      <c r="G357" s="14">
        <f>+SUMIFS('De Giorgi BDV'!C:C,'De Giorgi BDV'!D:D,D357)</f>
        <v>0</v>
      </c>
      <c r="H357" s="18">
        <f t="shared" si="17"/>
        <v>166401.98000000001</v>
      </c>
      <c r="I357" s="14">
        <f>+_xlfn.XLOOKUP(D357,[1]BDV!$F:$F,[1]BDV!$AI:$AI)</f>
        <v>166401.98000000001</v>
      </c>
      <c r="J357" s="42">
        <f t="shared" si="15"/>
        <v>0</v>
      </c>
    </row>
    <row r="358" spans="1:10" x14ac:dyDescent="0.25">
      <c r="A358" t="s">
        <v>874</v>
      </c>
      <c r="B358" t="s">
        <v>865</v>
      </c>
      <c r="C358" t="s">
        <v>855</v>
      </c>
      <c r="D358">
        <f t="shared" si="16"/>
        <v>880209</v>
      </c>
      <c r="E358" s="15" t="s">
        <v>803</v>
      </c>
      <c r="F358" s="18">
        <f>+_xlfn.XLOOKUP(D358,CVS!E:E,CVS!I:I,0)</f>
        <v>2375.6799999999998</v>
      </c>
      <c r="G358" s="14">
        <f>+SUMIFS('De Giorgi BDV'!C:C,'De Giorgi BDV'!D:D,D358)</f>
        <v>309.87</v>
      </c>
      <c r="H358" s="18">
        <f t="shared" si="17"/>
        <v>2685.5499999999997</v>
      </c>
      <c r="I358" s="14">
        <f>+_xlfn.XLOOKUP(D358,[1]BDV!$F:$F,[1]BDV!$AI:$AI)</f>
        <v>2685.5499999999997</v>
      </c>
      <c r="J358" s="42">
        <f t="shared" si="15"/>
        <v>0</v>
      </c>
    </row>
    <row r="359" spans="1:10" x14ac:dyDescent="0.25">
      <c r="A359" t="s">
        <v>874</v>
      </c>
      <c r="B359" t="s">
        <v>865</v>
      </c>
      <c r="C359" t="s">
        <v>855</v>
      </c>
      <c r="D359">
        <f t="shared" si="16"/>
        <v>880211</v>
      </c>
      <c r="E359" s="15" t="s">
        <v>804</v>
      </c>
      <c r="F359" s="18">
        <f>+_xlfn.XLOOKUP(D359,CVS!E:E,CVS!I:I,0)</f>
        <v>3568.16</v>
      </c>
      <c r="G359" s="14">
        <f>+SUMIFS('De Giorgi BDV'!C:C,'De Giorgi BDV'!D:D,D359)</f>
        <v>230</v>
      </c>
      <c r="H359" s="18">
        <f t="shared" si="17"/>
        <v>3798.16</v>
      </c>
      <c r="I359" s="14">
        <f>+_xlfn.XLOOKUP(D359,[1]BDV!$F:$F,[1]BDV!$AI:$AI)</f>
        <v>3798.16</v>
      </c>
      <c r="J359" s="42">
        <f t="shared" si="15"/>
        <v>0</v>
      </c>
    </row>
    <row r="360" spans="1:10" x14ac:dyDescent="0.25">
      <c r="A360" t="s">
        <v>874</v>
      </c>
      <c r="B360" t="s">
        <v>865</v>
      </c>
      <c r="C360" t="s">
        <v>855</v>
      </c>
      <c r="D360">
        <f t="shared" si="16"/>
        <v>880601</v>
      </c>
      <c r="E360" s="15" t="s">
        <v>805</v>
      </c>
      <c r="F360" s="18">
        <f>+_xlfn.XLOOKUP(D360,CVS!E:E,CVS!I:I,0)</f>
        <v>-112.46</v>
      </c>
      <c r="G360" s="14">
        <f>+SUMIFS('De Giorgi BDV'!C:C,'De Giorgi BDV'!D:D,D360)</f>
        <v>4.97</v>
      </c>
      <c r="H360" s="18">
        <f t="shared" si="17"/>
        <v>-107.49</v>
      </c>
      <c r="I360" s="14">
        <f>+_xlfn.XLOOKUP(D360,[1]BDV!$F:$F,[1]BDV!$AI:$AI)</f>
        <v>-107.49</v>
      </c>
      <c r="J360" s="42">
        <f t="shared" si="15"/>
        <v>0</v>
      </c>
    </row>
    <row r="361" spans="1:10" x14ac:dyDescent="0.25">
      <c r="A361" t="s">
        <v>874</v>
      </c>
      <c r="B361" t="s">
        <v>865</v>
      </c>
      <c r="C361" t="s">
        <v>855</v>
      </c>
      <c r="D361">
        <f t="shared" si="16"/>
        <v>880803</v>
      </c>
      <c r="E361" s="15" t="s">
        <v>806</v>
      </c>
      <c r="F361" s="18">
        <f>+_xlfn.XLOOKUP(D361,CVS!E:E,CVS!I:I,0)</f>
        <v>5236.0200000000004</v>
      </c>
      <c r="G361" s="14">
        <f>+SUMIFS('De Giorgi BDV'!C:C,'De Giorgi BDV'!D:D,D361)</f>
        <v>774.99</v>
      </c>
      <c r="H361" s="18">
        <f t="shared" si="17"/>
        <v>6011.01</v>
      </c>
      <c r="I361" s="14">
        <f>+_xlfn.XLOOKUP(D361,[1]BDV!$F:$F,[1]BDV!$AI:$AI)</f>
        <v>6011.01</v>
      </c>
      <c r="J361" s="42">
        <f t="shared" si="15"/>
        <v>0</v>
      </c>
    </row>
    <row r="362" spans="1:10" x14ac:dyDescent="0.25">
      <c r="A362" t="s">
        <v>874</v>
      </c>
      <c r="B362" t="s">
        <v>865</v>
      </c>
      <c r="C362" t="s">
        <v>855</v>
      </c>
      <c r="D362">
        <f t="shared" si="16"/>
        <v>881001</v>
      </c>
      <c r="E362" s="15" t="s">
        <v>807</v>
      </c>
      <c r="F362" s="18">
        <f>+_xlfn.XLOOKUP(D362,CVS!E:E,CVS!I:I,0)</f>
        <v>24265</v>
      </c>
      <c r="G362" s="14">
        <f>+SUMIFS('De Giorgi BDV'!C:C,'De Giorgi BDV'!D:D,D362)</f>
        <v>200</v>
      </c>
      <c r="H362" s="18">
        <f t="shared" si="17"/>
        <v>24465</v>
      </c>
      <c r="I362" s="14">
        <f>+_xlfn.XLOOKUP(D362,[1]BDV!$F:$F,[1]BDV!$AI:$AI)</f>
        <v>24465</v>
      </c>
      <c r="J362" s="42">
        <f t="shared" si="15"/>
        <v>0</v>
      </c>
    </row>
    <row r="363" spans="1:10" hidden="1" x14ac:dyDescent="0.25">
      <c r="A363" t="s">
        <v>874</v>
      </c>
      <c r="B363" t="s">
        <v>865</v>
      </c>
      <c r="C363" t="s">
        <v>859</v>
      </c>
      <c r="D363">
        <f t="shared" si="16"/>
        <v>900201</v>
      </c>
      <c r="E363" s="15" t="s">
        <v>808</v>
      </c>
      <c r="F363" s="18">
        <f>+_xlfn.XLOOKUP(D363,CVS!E:E,CVS!I:I,0)</f>
        <v>-214475.36</v>
      </c>
      <c r="G363" s="14">
        <f>+SUMIFS('De Giorgi BDV'!C:C,'De Giorgi BDV'!D:D,D363)</f>
        <v>0</v>
      </c>
      <c r="H363" s="18">
        <f t="shared" si="17"/>
        <v>-214475.36</v>
      </c>
      <c r="I363" s="14">
        <f>+_xlfn.XLOOKUP(D363,[1]BDV!$F:$F,[1]BDV!$AI:$AI)</f>
        <v>-214475.36</v>
      </c>
      <c r="J363" s="42">
        <f t="shared" si="15"/>
        <v>0</v>
      </c>
    </row>
    <row r="364" spans="1:10" hidden="1" x14ac:dyDescent="0.25">
      <c r="A364" t="s">
        <v>874</v>
      </c>
      <c r="B364" t="s">
        <v>863</v>
      </c>
      <c r="C364" t="s">
        <v>859</v>
      </c>
      <c r="D364">
        <f t="shared" si="16"/>
        <v>900209</v>
      </c>
      <c r="E364" s="15" t="s">
        <v>809</v>
      </c>
      <c r="F364" s="18">
        <f>+_xlfn.XLOOKUP(D364,CVS!E:E,CVS!I:I,0)</f>
        <v>-19111.54</v>
      </c>
      <c r="G364" s="14">
        <v>6</v>
      </c>
      <c r="H364" s="18">
        <f t="shared" si="17"/>
        <v>-19105.54</v>
      </c>
      <c r="I364" s="14">
        <f>+_xlfn.XLOOKUP(D364,[1]BDV!$F:$F,[1]BDV!$AI:$AI)</f>
        <v>-19111.54</v>
      </c>
      <c r="J364" s="42">
        <f t="shared" si="15"/>
        <v>6</v>
      </c>
    </row>
    <row r="365" spans="1:10" hidden="1" x14ac:dyDescent="0.25">
      <c r="A365" t="s">
        <v>874</v>
      </c>
      <c r="B365" t="s">
        <v>865</v>
      </c>
      <c r="C365" t="s">
        <v>860</v>
      </c>
      <c r="D365">
        <f t="shared" si="16"/>
        <v>920207</v>
      </c>
      <c r="E365" s="15" t="s">
        <v>810</v>
      </c>
      <c r="F365" s="18">
        <f>+_xlfn.XLOOKUP(D365,CVS!E:E,CVS!I:I,0)</f>
        <v>83426.69</v>
      </c>
      <c r="G365" s="14">
        <f>+SUMIFS('De Giorgi BDV'!C:C,'De Giorgi BDV'!D:D,D365)</f>
        <v>3049.58</v>
      </c>
      <c r="H365" s="18">
        <f t="shared" si="17"/>
        <v>86476.27</v>
      </c>
      <c r="I365" s="14">
        <f>+_xlfn.XLOOKUP(D365,[1]BDV!$F:$F,[1]BDV!$AI:$AI)</f>
        <v>86476.27</v>
      </c>
      <c r="J365" s="42">
        <f t="shared" si="15"/>
        <v>0</v>
      </c>
    </row>
    <row r="366" spans="1:10" hidden="1" x14ac:dyDescent="0.25">
      <c r="A366" t="s">
        <v>874</v>
      </c>
      <c r="B366" t="s">
        <v>865</v>
      </c>
      <c r="C366" t="s">
        <v>860</v>
      </c>
      <c r="D366">
        <f t="shared" si="16"/>
        <v>920211</v>
      </c>
      <c r="E366" s="15" t="s">
        <v>811</v>
      </c>
      <c r="F366" s="18">
        <f>+_xlfn.XLOOKUP(D366,CVS!E:E,CVS!I:I,0)</f>
        <v>14.09</v>
      </c>
      <c r="G366" s="14">
        <f>+SUMIFS('De Giorgi BDV'!C:C,'De Giorgi BDV'!D:D,D366)</f>
        <v>364.27</v>
      </c>
      <c r="H366" s="18">
        <f t="shared" si="17"/>
        <v>378.35999999999996</v>
      </c>
      <c r="I366" s="14">
        <f>+_xlfn.XLOOKUP(D366,[1]BDV!$F:$F,[1]BDV!$AI:$AI)</f>
        <v>378.35999999999996</v>
      </c>
      <c r="J366" s="42">
        <f t="shared" si="15"/>
        <v>0</v>
      </c>
    </row>
    <row r="367" spans="1:10" hidden="1" x14ac:dyDescent="0.25">
      <c r="A367" t="s">
        <v>874</v>
      </c>
      <c r="B367" t="s">
        <v>865</v>
      </c>
      <c r="C367" t="s">
        <v>860</v>
      </c>
      <c r="D367">
        <f t="shared" si="16"/>
        <v>920213</v>
      </c>
      <c r="E367" s="15" t="s">
        <v>812</v>
      </c>
      <c r="F367" s="18">
        <f>+_xlfn.XLOOKUP(D367,CVS!E:E,CVS!I:I,0)</f>
        <v>661.76</v>
      </c>
      <c r="G367" s="14">
        <f>+SUMIFS('De Giorgi BDV'!C:C,'De Giorgi BDV'!D:D,D367)</f>
        <v>0</v>
      </c>
      <c r="H367" s="18">
        <f t="shared" si="17"/>
        <v>661.76</v>
      </c>
      <c r="I367" s="14">
        <f>+_xlfn.XLOOKUP(D367,[1]BDV!$F:$F,[1]BDV!$AI:$AI)</f>
        <v>661.76</v>
      </c>
      <c r="J367" s="42">
        <f t="shared" si="15"/>
        <v>0</v>
      </c>
    </row>
    <row r="368" spans="1:10" hidden="1" x14ac:dyDescent="0.25">
      <c r="A368" t="s">
        <v>874</v>
      </c>
      <c r="B368" t="s">
        <v>865</v>
      </c>
      <c r="C368" t="s">
        <v>860</v>
      </c>
      <c r="D368">
        <f t="shared" si="16"/>
        <v>920215</v>
      </c>
      <c r="E368" s="15" t="s">
        <v>813</v>
      </c>
      <c r="F368" s="18">
        <f>+_xlfn.XLOOKUP(D368,CVS!E:E,CVS!I:I,0)</f>
        <v>487688.42</v>
      </c>
      <c r="G368" s="14">
        <f>+SUMIFS('De Giorgi BDV'!C:C,'De Giorgi BDV'!D:D,D368)</f>
        <v>0</v>
      </c>
      <c r="H368" s="18">
        <f t="shared" si="17"/>
        <v>487688.42</v>
      </c>
      <c r="I368" s="14">
        <f>+_xlfn.XLOOKUP(D368,[1]BDV!$F:$F,[1]BDV!$AI:$AI)</f>
        <v>487688.42</v>
      </c>
      <c r="J368" s="42">
        <f t="shared" si="15"/>
        <v>0</v>
      </c>
    </row>
    <row r="369" spans="1:10" hidden="1" x14ac:dyDescent="0.25">
      <c r="A369" t="s">
        <v>874</v>
      </c>
      <c r="B369" t="s">
        <v>865</v>
      </c>
      <c r="C369" t="s">
        <v>861</v>
      </c>
      <c r="D369">
        <f t="shared" si="16"/>
        <v>940201</v>
      </c>
      <c r="E369" s="15" t="s">
        <v>814</v>
      </c>
      <c r="F369" s="18">
        <f>+_xlfn.XLOOKUP(D369,CVS!E:E,CVS!I:I,0)</f>
        <v>4801</v>
      </c>
      <c r="G369" s="14">
        <f>+SUMIFS('De Giorgi BDV'!C:C,'De Giorgi BDV'!D:D,D369)</f>
        <v>3668</v>
      </c>
      <c r="H369" s="18">
        <f t="shared" si="17"/>
        <v>8469</v>
      </c>
      <c r="I369" s="14">
        <f>+_xlfn.XLOOKUP(D369,[1]BDV!$F:$F,[1]BDV!$AI:$AI)</f>
        <v>8469</v>
      </c>
      <c r="J369" s="42">
        <f t="shared" si="15"/>
        <v>0</v>
      </c>
    </row>
    <row r="370" spans="1:10" hidden="1" x14ac:dyDescent="0.25">
      <c r="A370" t="s">
        <v>874</v>
      </c>
      <c r="B370" t="s">
        <v>865</v>
      </c>
      <c r="C370" t="s">
        <v>861</v>
      </c>
      <c r="D370">
        <f t="shared" si="16"/>
        <v>940209</v>
      </c>
      <c r="E370" s="15" t="s">
        <v>815</v>
      </c>
      <c r="F370" s="18">
        <f>+_xlfn.XLOOKUP(D370,CVS!E:E,CVS!I:I,0)</f>
        <v>29605</v>
      </c>
      <c r="G370" s="14">
        <f>+SUMIFS('De Giorgi BDV'!C:C,'De Giorgi BDV'!D:D,D370)</f>
        <v>16354</v>
      </c>
      <c r="H370" s="18">
        <f t="shared" si="17"/>
        <v>45959</v>
      </c>
      <c r="I370" s="14">
        <f>+_xlfn.XLOOKUP(D370,[1]BDV!$F:$F,[1]BDV!$AI:$AI)</f>
        <v>45959</v>
      </c>
      <c r="J370" s="42">
        <f t="shared" si="15"/>
        <v>0</v>
      </c>
    </row>
    <row r="371" spans="1:10" hidden="1" x14ac:dyDescent="0.25">
      <c r="A371" t="s">
        <v>873</v>
      </c>
      <c r="B371">
        <v>0</v>
      </c>
      <c r="C371" t="s">
        <v>832</v>
      </c>
      <c r="D371" t="s">
        <v>816</v>
      </c>
      <c r="E371" s="17" t="s">
        <v>817</v>
      </c>
      <c r="F371" s="18">
        <f>+_xlfn.XLOOKUP(D371,CVS!E:E,CVS!I:I,0)</f>
        <v>661599.88</v>
      </c>
      <c r="G371" s="14">
        <f>+SUMIFS('De Giorgi BDV'!C:C,'De Giorgi BDV'!D:D,D371)</f>
        <v>0</v>
      </c>
      <c r="H371" s="18">
        <f t="shared" si="17"/>
        <v>661599.88</v>
      </c>
      <c r="I371" s="14">
        <f>+_xlfn.XLOOKUP(D371,[1]BDV!$F:$F,[1]BDV!$AI:$AI)</f>
        <v>661599.88</v>
      </c>
      <c r="J371" s="42">
        <f t="shared" si="15"/>
        <v>0</v>
      </c>
    </row>
    <row r="372" spans="1:10" hidden="1" x14ac:dyDescent="0.25">
      <c r="A372" t="s">
        <v>873</v>
      </c>
      <c r="B372">
        <v>0</v>
      </c>
      <c r="C372" t="s">
        <v>841</v>
      </c>
      <c r="D372" t="s">
        <v>818</v>
      </c>
      <c r="E372" s="17" t="s">
        <v>819</v>
      </c>
      <c r="F372" s="18">
        <f>+_xlfn.XLOOKUP(D372,CVS!E:E,CVS!I:I,0)</f>
        <v>-787113.65</v>
      </c>
      <c r="G372" s="14">
        <f>+SUMIFS('De Giorgi BDV'!C:C,'De Giorgi BDV'!D:D,D372)</f>
        <v>0</v>
      </c>
      <c r="H372" s="18">
        <f t="shared" si="17"/>
        <v>-787113.65</v>
      </c>
      <c r="I372" s="14">
        <f>+_xlfn.XLOOKUP(D372,[1]BDV!$F:$F,[1]BDV!$AI:$AI)</f>
        <v>-787113.65</v>
      </c>
      <c r="J372" s="42">
        <f t="shared" si="15"/>
        <v>0</v>
      </c>
    </row>
    <row r="373" spans="1:10" hidden="1" x14ac:dyDescent="0.25">
      <c r="A373" t="s">
        <v>874</v>
      </c>
      <c r="B373" t="s">
        <v>865</v>
      </c>
      <c r="C373" t="s">
        <v>854</v>
      </c>
      <c r="D373" t="s">
        <v>820</v>
      </c>
      <c r="E373" s="17" t="s">
        <v>821</v>
      </c>
      <c r="F373" s="18">
        <f>+_xlfn.XLOOKUP(D373,CVS!E:E,CVS!I:I,0)</f>
        <v>123959.8</v>
      </c>
      <c r="G373" s="14">
        <f>+SUMIFS('De Giorgi BDV'!C:C,'De Giorgi BDV'!D:D,D373)</f>
        <v>0</v>
      </c>
      <c r="H373" s="18">
        <f t="shared" si="17"/>
        <v>123959.8</v>
      </c>
      <c r="I373" s="14">
        <f>+_xlfn.XLOOKUP(D373,[1]BDV!$F:$F,[1]BDV!$AI:$AI)</f>
        <v>123959.8</v>
      </c>
      <c r="J373" s="42">
        <f t="shared" si="15"/>
        <v>0</v>
      </c>
    </row>
    <row r="374" spans="1:10" hidden="1" x14ac:dyDescent="0.25">
      <c r="A374" t="s">
        <v>873</v>
      </c>
      <c r="B374">
        <v>0</v>
      </c>
      <c r="C374" t="s">
        <v>832</v>
      </c>
      <c r="D374" t="s">
        <v>822</v>
      </c>
      <c r="E374" s="17" t="s">
        <v>823</v>
      </c>
      <c r="F374" s="18">
        <f>+_xlfn.XLOOKUP(D374,CVS!E:E,CVS!I:I,0)</f>
        <v>0</v>
      </c>
      <c r="G374" s="14">
        <f>+SUMIFS('De Giorgi BDV'!C:C,'De Giorgi BDV'!D:D,D374)</f>
        <v>0</v>
      </c>
      <c r="H374" s="18">
        <f t="shared" si="17"/>
        <v>0</v>
      </c>
      <c r="I374" s="14">
        <f>+_xlfn.XLOOKUP(D374,[1]BDV!$F:$F,[1]BDV!$AI:$AI)</f>
        <v>0</v>
      </c>
      <c r="J374" s="42">
        <f t="shared" si="15"/>
        <v>0</v>
      </c>
    </row>
    <row r="375" spans="1:10" hidden="1" x14ac:dyDescent="0.25">
      <c r="A375" t="s">
        <v>873</v>
      </c>
      <c r="B375">
        <v>0</v>
      </c>
      <c r="C375" t="s">
        <v>832</v>
      </c>
      <c r="D375" t="s">
        <v>824</v>
      </c>
      <c r="E375" s="17" t="s">
        <v>825</v>
      </c>
      <c r="F375" s="18">
        <f>+_xlfn.XLOOKUP(D375,CVS!E:E,CVS!I:I,0)</f>
        <v>1553.97</v>
      </c>
      <c r="G375" s="14">
        <f>+SUMIFS('De Giorgi BDV'!C:C,'De Giorgi BDV'!D:D,D375)</f>
        <v>0</v>
      </c>
      <c r="H375" s="18">
        <f t="shared" si="17"/>
        <v>1553.97</v>
      </c>
      <c r="I375" s="14">
        <f>+_xlfn.XLOOKUP(D375,[1]BDV!$F:$F,[1]BDV!$AI:$AI)</f>
        <v>1553.97</v>
      </c>
      <c r="J375" s="42">
        <f t="shared" si="15"/>
        <v>0</v>
      </c>
    </row>
    <row r="376" spans="1:10" x14ac:dyDescent="0.25">
      <c r="A376" t="s">
        <v>874</v>
      </c>
      <c r="B376" t="s">
        <v>865</v>
      </c>
      <c r="C376" t="s">
        <v>855</v>
      </c>
      <c r="D376" s="8" t="s">
        <v>304</v>
      </c>
      <c r="E376" s="8" t="s">
        <v>305</v>
      </c>
      <c r="F376" s="18">
        <f>+_xlfn.XLOOKUP(D376,CVS!E:E,CVS!I:I,0)</f>
        <v>0</v>
      </c>
      <c r="G376" s="14">
        <f>+SUMIFS('De Giorgi BDV'!C:C,'De Giorgi BDV'!D:D,D376)</f>
        <v>3355.78</v>
      </c>
      <c r="H376" s="18">
        <f t="shared" si="17"/>
        <v>3355.78</v>
      </c>
      <c r="I376" s="14">
        <f>+_xlfn.XLOOKUP(D376,[1]BDV!$F:$F,[1]BDV!$AI:$AI)</f>
        <v>3355.78</v>
      </c>
      <c r="J376" s="42">
        <f t="shared" si="15"/>
        <v>0</v>
      </c>
    </row>
    <row r="377" spans="1:10" hidden="1" x14ac:dyDescent="0.25">
      <c r="A377" t="s">
        <v>873</v>
      </c>
      <c r="B377">
        <v>0</v>
      </c>
      <c r="C377" t="s">
        <v>839</v>
      </c>
      <c r="D377" s="8" t="s">
        <v>85</v>
      </c>
      <c r="E377" s="8" t="s">
        <v>86</v>
      </c>
      <c r="F377" s="18">
        <f>+_xlfn.XLOOKUP(D377,CVS!E:E,CVS!I:I,0)</f>
        <v>0</v>
      </c>
      <c r="G377" s="14">
        <f>+SUMIFS('De Giorgi BDV'!C:C,'De Giorgi BDV'!D:D,D377)</f>
        <v>172828.39</v>
      </c>
      <c r="H377" s="18">
        <f t="shared" si="17"/>
        <v>172828.39</v>
      </c>
      <c r="I377" s="14">
        <f>+_xlfn.XLOOKUP(D377,[1]BDV!$F:$F,[1]BDV!$AI:$AI)</f>
        <v>172828.39</v>
      </c>
      <c r="J377" s="42">
        <f t="shared" si="15"/>
        <v>0</v>
      </c>
    </row>
    <row r="378" spans="1:10" hidden="1" x14ac:dyDescent="0.25">
      <c r="A378" t="s">
        <v>873</v>
      </c>
      <c r="B378">
        <v>0</v>
      </c>
      <c r="C378" t="s">
        <v>839</v>
      </c>
      <c r="D378" s="8" t="s">
        <v>88</v>
      </c>
      <c r="E378" s="8" t="s">
        <v>89</v>
      </c>
      <c r="F378" s="18">
        <f>+_xlfn.XLOOKUP(D378,CVS!E:E,CVS!I:I,0)</f>
        <v>0</v>
      </c>
      <c r="G378" s="14">
        <f>+SUMIFS('De Giorgi BDV'!C:C,'De Giorgi BDV'!D:D,D378)</f>
        <v>121605.94</v>
      </c>
      <c r="H378" s="18">
        <f t="shared" si="17"/>
        <v>121605.94</v>
      </c>
      <c r="I378" s="14">
        <f>+_xlfn.XLOOKUP(D378,[1]BDV!$F:$F,[1]BDV!$AI:$AI)</f>
        <v>121605.94</v>
      </c>
      <c r="J378" s="42">
        <f t="shared" si="15"/>
        <v>0</v>
      </c>
    </row>
    <row r="379" spans="1:10" hidden="1" x14ac:dyDescent="0.25">
      <c r="A379" t="s">
        <v>873</v>
      </c>
      <c r="B379">
        <v>0</v>
      </c>
      <c r="C379" t="s">
        <v>839</v>
      </c>
      <c r="D379" s="8" t="s">
        <v>90</v>
      </c>
      <c r="E379" s="8" t="s">
        <v>91</v>
      </c>
      <c r="F379" s="18">
        <f>+_xlfn.XLOOKUP(D379,CVS!E:E,CVS!I:I,0)</f>
        <v>0</v>
      </c>
      <c r="G379" s="14">
        <f>+SUMIFS('De Giorgi BDV'!C:C,'De Giorgi BDV'!D:D,D379)</f>
        <v>56.06</v>
      </c>
      <c r="H379" s="18">
        <f t="shared" si="17"/>
        <v>56.06</v>
      </c>
      <c r="I379" s="14">
        <f>+_xlfn.XLOOKUP(D379,[1]BDV!$F:$F,[1]BDV!$AI:$AI)</f>
        <v>56.06</v>
      </c>
      <c r="J379" s="42">
        <f t="shared" si="15"/>
        <v>0</v>
      </c>
    </row>
    <row r="380" spans="1:10" hidden="1" x14ac:dyDescent="0.25">
      <c r="A380" t="s">
        <v>873</v>
      </c>
      <c r="B380">
        <f>+_xlfn.XLOOKUP(D380,[1]BDV!$F:$F,[1]BDV!$D:$D)</f>
        <v>0</v>
      </c>
      <c r="D380" s="30">
        <v>120201</v>
      </c>
      <c r="E380" t="s">
        <v>61</v>
      </c>
      <c r="F380" s="18">
        <f>+_xlfn.XLOOKUP(D380,CVS!E:E,CVS!I:I,0)</f>
        <v>0</v>
      </c>
      <c r="G380" s="14">
        <f>+SUMIFS('De Giorgi BDV'!C:C,'De Giorgi BDV'!D:D,D380)</f>
        <v>111115.03</v>
      </c>
      <c r="H380" s="18">
        <f t="shared" si="17"/>
        <v>111115.03</v>
      </c>
      <c r="I380" s="14">
        <f>+_xlfn.XLOOKUP(D380,[1]BDV!$F:$F,[1]BDV!$AI:$AI)</f>
        <v>111115.03</v>
      </c>
      <c r="J380" s="42">
        <f t="shared" si="15"/>
        <v>0</v>
      </c>
    </row>
    <row r="381" spans="1:10" hidden="1" x14ac:dyDescent="0.25">
      <c r="A381" t="s">
        <v>873</v>
      </c>
      <c r="B381">
        <f>+_xlfn.XLOOKUP(D381,[1]BDV!$F:$F,[1]BDV!$D:$D)</f>
        <v>0</v>
      </c>
      <c r="D381" s="8">
        <v>120205</v>
      </c>
      <c r="E381" s="8" t="s">
        <v>180</v>
      </c>
      <c r="F381" s="18">
        <f>+_xlfn.XLOOKUP(D381,CVS!E:E,CVS!I:I,0)</f>
        <v>0</v>
      </c>
      <c r="G381" s="14">
        <f>+SUMIFS('De Giorgi BDV'!C:C,'De Giorgi BDV'!D:D,D381)</f>
        <v>23970.69</v>
      </c>
      <c r="H381" s="18">
        <f t="shared" si="17"/>
        <v>23970.69</v>
      </c>
      <c r="I381" s="14">
        <f>+_xlfn.XLOOKUP(D381,[1]BDV!$F:$F,[1]BDV!$AI:$AI)</f>
        <v>23970.69</v>
      </c>
      <c r="J381" s="42">
        <f t="shared" si="15"/>
        <v>0</v>
      </c>
    </row>
    <row r="382" spans="1:10" hidden="1" x14ac:dyDescent="0.25">
      <c r="A382" t="s">
        <v>873</v>
      </c>
      <c r="B382">
        <f>+_xlfn.XLOOKUP(D382,[1]BDV!$F:$F,[1]BDV!$D:$D)</f>
        <v>0</v>
      </c>
      <c r="D382" s="8">
        <v>320407</v>
      </c>
      <c r="E382" s="8" t="s">
        <v>64</v>
      </c>
      <c r="F382" s="18">
        <f>+_xlfn.XLOOKUP(D382,CVS!E:E,CVS!I:I,0)</f>
        <v>0</v>
      </c>
      <c r="G382" s="14">
        <f>+SUMIFS('De Giorgi BDV'!C:C,'De Giorgi BDV'!D:D,D382)</f>
        <v>-3868.18</v>
      </c>
      <c r="H382" s="18">
        <f t="shared" si="17"/>
        <v>-3868.18</v>
      </c>
      <c r="I382" s="14">
        <f>+_xlfn.XLOOKUP(D382,[1]BDV!$F:$F,[1]BDV!$AI:$AI)</f>
        <v>-3868.18</v>
      </c>
      <c r="J382" s="42">
        <f t="shared" si="15"/>
        <v>0</v>
      </c>
    </row>
    <row r="383" spans="1:10" hidden="1" x14ac:dyDescent="0.25">
      <c r="A383" t="s">
        <v>874</v>
      </c>
      <c r="B383" t="str">
        <f>+_xlfn.XLOOKUP(D383,[1]BDV!$F:$F,[1]BDV!$D:$D)</f>
        <v>C</v>
      </c>
      <c r="D383" s="8">
        <v>680403</v>
      </c>
      <c r="E383" s="8" t="s">
        <v>226</v>
      </c>
      <c r="F383" s="18">
        <f>+_xlfn.XLOOKUP(D383,CVS!E:E,CVS!I:I,0)</f>
        <v>0</v>
      </c>
      <c r="G383" s="14">
        <f>+SUMIFS('De Giorgi BDV'!C:C,'De Giorgi BDV'!D:D,D383)</f>
        <v>220</v>
      </c>
      <c r="H383" s="18">
        <f t="shared" si="17"/>
        <v>220</v>
      </c>
      <c r="I383" s="14">
        <f>+_xlfn.XLOOKUP(D383,[1]BDV!$F:$F,[1]BDV!$AI:$AI)</f>
        <v>220</v>
      </c>
      <c r="J383" s="42">
        <f t="shared" si="15"/>
        <v>0</v>
      </c>
    </row>
    <row r="384" spans="1:10" hidden="1" x14ac:dyDescent="0.25">
      <c r="A384" t="s">
        <v>874</v>
      </c>
      <c r="B384" t="str">
        <f>+_xlfn.XLOOKUP(D384,[1]BDV!$F:$F,[1]BDV!$D:$D)</f>
        <v>C</v>
      </c>
      <c r="D384" s="8">
        <v>740603</v>
      </c>
      <c r="E384" s="8" t="s">
        <v>324</v>
      </c>
      <c r="F384" s="18">
        <f>+_xlfn.XLOOKUP(D384,CVS!E:E,CVS!I:I,0)</f>
        <v>0</v>
      </c>
      <c r="G384" s="14">
        <f>+SUMIFS('De Giorgi BDV'!C:C,'De Giorgi BDV'!D:D,D384)</f>
        <v>520</v>
      </c>
      <c r="H384" s="18">
        <f t="shared" si="17"/>
        <v>520</v>
      </c>
      <c r="I384" s="14">
        <f>+_xlfn.XLOOKUP(D384,[1]BDV!$F:$F,[1]BDV!$AI:$AI)</f>
        <v>520</v>
      </c>
      <c r="J384" s="42">
        <f t="shared" si="15"/>
        <v>0</v>
      </c>
    </row>
    <row r="385" spans="1:10" hidden="1" x14ac:dyDescent="0.25">
      <c r="A385" t="s">
        <v>874</v>
      </c>
      <c r="B385" t="str">
        <f>+_xlfn.XLOOKUP(D385,[1]BDV!$F:$F,[1]BDV!$D:$D)</f>
        <v>C</v>
      </c>
      <c r="D385" s="8">
        <v>780801</v>
      </c>
      <c r="E385" s="8" t="s">
        <v>344</v>
      </c>
      <c r="F385" s="18">
        <f>+_xlfn.XLOOKUP(D385,CVS!E:E,CVS!I:I,0)</f>
        <v>0</v>
      </c>
      <c r="G385" s="14">
        <f>+SUMIFS('De Giorgi BDV'!C:C,'De Giorgi BDV'!D:D,D385)</f>
        <v>2330.14</v>
      </c>
      <c r="H385" s="18">
        <f t="shared" ref="H385:H387" si="18">+F385+G385</f>
        <v>2330.14</v>
      </c>
      <c r="I385" s="14">
        <f>+_xlfn.XLOOKUP(D385,[1]BDV!$F:$F,[1]BDV!$AI:$AI)</f>
        <v>2330.14</v>
      </c>
      <c r="J385" s="42">
        <f t="shared" si="15"/>
        <v>0</v>
      </c>
    </row>
    <row r="386" spans="1:10" hidden="1" x14ac:dyDescent="0.25">
      <c r="A386" t="s">
        <v>874</v>
      </c>
      <c r="B386" t="str">
        <f>+_xlfn.XLOOKUP(D386,[1]BDV!$F:$F,[1]BDV!$D:$D)</f>
        <v>C</v>
      </c>
      <c r="D386" s="8">
        <v>881201</v>
      </c>
      <c r="E386" s="8" t="s">
        <v>387</v>
      </c>
      <c r="F386" s="18">
        <f>+_xlfn.XLOOKUP(D386,CVS!E:E,CVS!I:I,0)</f>
        <v>0</v>
      </c>
      <c r="G386" s="14">
        <f>+SUMIFS('De Giorgi BDV'!C:C,'De Giorgi BDV'!D:D,D386)</f>
        <v>530</v>
      </c>
      <c r="H386" s="18">
        <f t="shared" si="18"/>
        <v>530</v>
      </c>
      <c r="I386" s="14">
        <f>+_xlfn.XLOOKUP(D386,[1]BDV!$F:$F,[1]BDV!$AI:$AI)</f>
        <v>530</v>
      </c>
      <c r="J386" s="42">
        <f t="shared" si="15"/>
        <v>0</v>
      </c>
    </row>
    <row r="387" spans="1:10" hidden="1" x14ac:dyDescent="0.25">
      <c r="A387" t="s">
        <v>874</v>
      </c>
      <c r="B387" t="str">
        <f>+_xlfn.XLOOKUP(D387,[1]BDV!$F:$F,[1]BDV!$D:$D)</f>
        <v>C</v>
      </c>
      <c r="D387" s="8">
        <v>660411</v>
      </c>
      <c r="E387" s="8" t="s">
        <v>442</v>
      </c>
      <c r="F387" s="18">
        <f>+_xlfn.XLOOKUP(D387,CVS!E:E,CVS!I:I,0)</f>
        <v>0</v>
      </c>
      <c r="G387" s="14">
        <f>+SUMIFS('De Giorgi BDV'!C:C,'De Giorgi BDV'!D:D,D387)</f>
        <v>-1980.62</v>
      </c>
      <c r="H387" s="18">
        <f t="shared" si="18"/>
        <v>-1980.62</v>
      </c>
      <c r="I387" s="14">
        <f>+_xlfn.XLOOKUP(D387,[1]BDV!$F:$F,[1]BDV!$AI:$AI)</f>
        <v>-1980.62</v>
      </c>
      <c r="J387" s="42">
        <f>+H387-I387</f>
        <v>0</v>
      </c>
    </row>
  </sheetData>
  <autoFilter ref="A4:M387" xr:uid="{967BE933-3850-4EFB-BB06-7EFE33D2B091}">
    <filterColumn colId="1">
      <filters>
        <filter val="C"/>
      </filters>
    </filterColumn>
    <filterColumn colId="2">
      <filters>
        <filter val="Overheads"/>
        <filter val="Personnel Costs"/>
        <filter val="Taxes overheads"/>
      </filters>
    </filterColumn>
  </autoFilter>
  <conditionalFormatting sqref="D380">
    <cfRule type="duplicateValues" dxfId="6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3"/>
  <sheetViews>
    <sheetView showGridLines="0" topLeftCell="A129" workbookViewId="0">
      <selection activeCell="C152" sqref="C152:C158"/>
    </sheetView>
  </sheetViews>
  <sheetFormatPr defaultRowHeight="15" x14ac:dyDescent="0.25"/>
  <cols>
    <col min="1" max="1" width="9.42578125" customWidth="1"/>
    <col min="2" max="2" width="39.5703125" bestFit="1" customWidth="1"/>
    <col min="3" max="3" width="19.5703125" bestFit="1" customWidth="1"/>
    <col min="4" max="4" width="15.42578125" customWidth="1"/>
    <col min="5" max="5" width="23.85546875" bestFit="1" customWidth="1"/>
    <col min="6" max="6" width="41.7109375" bestFit="1" customWidth="1"/>
    <col min="7" max="7" width="24.28515625" style="3" bestFit="1" customWidth="1"/>
  </cols>
  <sheetData>
    <row r="1" spans="1:8" x14ac:dyDescent="0.25">
      <c r="B1" s="1" t="s">
        <v>0</v>
      </c>
      <c r="C1" s="31">
        <f>SUBTOTAL(9,C9:C38)</f>
        <v>2709096.4600000009</v>
      </c>
    </row>
    <row r="2" spans="1:8" x14ac:dyDescent="0.25">
      <c r="B2" s="1" t="s">
        <v>1</v>
      </c>
      <c r="C2" s="31">
        <f>SUBTOTAL(9,C41:C71)</f>
        <v>-2676155.69</v>
      </c>
      <c r="E2" s="4" t="s">
        <v>2</v>
      </c>
      <c r="F2" s="5">
        <f>+C1+C2</f>
        <v>32940.77000000095</v>
      </c>
    </row>
    <row r="3" spans="1:8" x14ac:dyDescent="0.25">
      <c r="B3" s="1" t="s">
        <v>3</v>
      </c>
      <c r="C3" s="2">
        <f>SUBTOTAL(9,C74:C149)</f>
        <v>787941.81000000017</v>
      </c>
    </row>
    <row r="4" spans="1:8" ht="15.75" thickBot="1" x14ac:dyDescent="0.3">
      <c r="B4" s="1" t="s">
        <v>4</v>
      </c>
      <c r="C4" s="31">
        <f>SUBTOTAL(9,C152:C163)</f>
        <v>-820882.58</v>
      </c>
    </row>
    <row r="5" spans="1:8" s="26" customFormat="1" ht="15.75" thickBot="1" x14ac:dyDescent="0.3">
      <c r="A5" s="20" t="s">
        <v>5</v>
      </c>
      <c r="B5" s="20"/>
      <c r="C5" s="21"/>
      <c r="D5" s="22" t="s">
        <v>6</v>
      </c>
      <c r="E5" s="23"/>
      <c r="F5" s="24"/>
      <c r="G5" s="25"/>
    </row>
    <row r="6" spans="1:8" x14ac:dyDescent="0.25">
      <c r="A6" s="6" t="s">
        <v>7</v>
      </c>
      <c r="B6" s="6" t="s">
        <v>8</v>
      </c>
      <c r="C6" s="6" t="s">
        <v>9</v>
      </c>
      <c r="D6" s="6" t="s">
        <v>7</v>
      </c>
      <c r="E6" s="6" t="s">
        <v>10</v>
      </c>
      <c r="F6" s="6" t="s">
        <v>8</v>
      </c>
      <c r="G6" s="7" t="s">
        <v>11</v>
      </c>
    </row>
    <row r="7" spans="1:8" x14ac:dyDescent="0.25">
      <c r="A7" s="1"/>
      <c r="B7" s="1"/>
      <c r="C7" s="1"/>
      <c r="D7" s="1"/>
      <c r="E7" s="1"/>
      <c r="F7" s="1"/>
      <c r="G7" s="7"/>
    </row>
    <row r="8" spans="1:8" x14ac:dyDescent="0.25">
      <c r="A8" s="1" t="s">
        <v>12</v>
      </c>
      <c r="B8" s="1" t="s">
        <v>0</v>
      </c>
      <c r="C8" s="1"/>
      <c r="D8" s="1"/>
      <c r="E8" s="1"/>
      <c r="F8" s="1"/>
      <c r="G8" s="7"/>
    </row>
    <row r="9" spans="1:8" x14ac:dyDescent="0.25">
      <c r="A9" s="8" t="s">
        <v>13</v>
      </c>
      <c r="B9" s="8" t="s">
        <v>14</v>
      </c>
      <c r="C9" s="33">
        <v>33076</v>
      </c>
      <c r="D9" s="8">
        <v>100203</v>
      </c>
      <c r="E9" s="8" t="s">
        <v>15</v>
      </c>
      <c r="F9" s="8" t="s">
        <v>16</v>
      </c>
      <c r="G9" s="10"/>
      <c r="H9">
        <f>+_xlfn.XLOOKUP(D9,'Output BDV'!D:D,'Output BDV'!D:D)</f>
        <v>100203</v>
      </c>
    </row>
    <row r="10" spans="1:8" x14ac:dyDescent="0.25">
      <c r="A10" s="8" t="s">
        <v>17</v>
      </c>
      <c r="B10" s="8" t="s">
        <v>18</v>
      </c>
      <c r="C10" s="33">
        <v>159664.19</v>
      </c>
      <c r="D10" s="8">
        <v>100207</v>
      </c>
      <c r="E10" s="8" t="s">
        <v>15</v>
      </c>
      <c r="F10" s="8" t="s">
        <v>19</v>
      </c>
      <c r="G10" s="10"/>
      <c r="H10">
        <f>+_xlfn.XLOOKUP(D10,'Output BDV'!D:D,'Output BDV'!D:D)</f>
        <v>100207</v>
      </c>
    </row>
    <row r="11" spans="1:8" x14ac:dyDescent="0.25">
      <c r="A11" s="8" t="s">
        <v>20</v>
      </c>
      <c r="B11" s="8" t="s">
        <v>21</v>
      </c>
      <c r="C11" s="33">
        <v>8966.25</v>
      </c>
      <c r="D11" s="8">
        <v>100217</v>
      </c>
      <c r="E11" s="8" t="s">
        <v>15</v>
      </c>
      <c r="F11" s="8" t="s">
        <v>22</v>
      </c>
      <c r="G11" s="10"/>
      <c r="H11">
        <f>+_xlfn.XLOOKUP(D11,'Output BDV'!D:D,'Output BDV'!D:D)</f>
        <v>100217</v>
      </c>
    </row>
    <row r="12" spans="1:8" x14ac:dyDescent="0.25">
      <c r="A12" s="8" t="s">
        <v>23</v>
      </c>
      <c r="B12" s="8" t="s">
        <v>24</v>
      </c>
      <c r="C12" s="33">
        <v>885136.76</v>
      </c>
      <c r="D12" s="8">
        <v>100207</v>
      </c>
      <c r="E12" s="8" t="s">
        <v>15</v>
      </c>
      <c r="F12" s="8" t="s">
        <v>19</v>
      </c>
      <c r="G12" s="11"/>
      <c r="H12">
        <f>+_xlfn.XLOOKUP(D12,'Output BDV'!D:D,'Output BDV'!D:D)</f>
        <v>100207</v>
      </c>
    </row>
    <row r="13" spans="1:8" x14ac:dyDescent="0.25">
      <c r="A13" s="8" t="s">
        <v>25</v>
      </c>
      <c r="B13" s="8" t="s">
        <v>26</v>
      </c>
      <c r="C13" s="33">
        <v>11857.65</v>
      </c>
      <c r="D13" s="8">
        <v>100401</v>
      </c>
      <c r="E13" s="8" t="s">
        <v>15</v>
      </c>
      <c r="F13" s="8" t="s">
        <v>27</v>
      </c>
      <c r="G13" s="10"/>
      <c r="H13">
        <f>+_xlfn.XLOOKUP(D13,'Output BDV'!D:D,'Output BDV'!D:D)</f>
        <v>100401</v>
      </c>
    </row>
    <row r="14" spans="1:8" x14ac:dyDescent="0.25">
      <c r="A14" s="8" t="s">
        <v>28</v>
      </c>
      <c r="B14" s="8" t="s">
        <v>29</v>
      </c>
      <c r="C14" s="33">
        <v>385661.11</v>
      </c>
      <c r="D14" s="8">
        <v>100405</v>
      </c>
      <c r="E14" s="8" t="s">
        <v>15</v>
      </c>
      <c r="F14" s="8" t="s">
        <v>30</v>
      </c>
      <c r="G14" s="10"/>
      <c r="H14">
        <f>+_xlfn.XLOOKUP(D14,'Output BDV'!D:D,'Output BDV'!D:D)</f>
        <v>100405</v>
      </c>
    </row>
    <row r="15" spans="1:8" x14ac:dyDescent="0.25">
      <c r="A15" s="8" t="s">
        <v>31</v>
      </c>
      <c r="B15" s="8" t="s">
        <v>32</v>
      </c>
      <c r="C15" s="33">
        <v>4098.25</v>
      </c>
      <c r="D15" s="8">
        <v>100415</v>
      </c>
      <c r="E15" s="8" t="s">
        <v>15</v>
      </c>
      <c r="F15" s="8" t="s">
        <v>33</v>
      </c>
      <c r="G15" s="10"/>
      <c r="H15">
        <f>+_xlfn.XLOOKUP(D15,'Output BDV'!D:D,'Output BDV'!D:D)</f>
        <v>100415</v>
      </c>
    </row>
    <row r="16" spans="1:8" x14ac:dyDescent="0.25">
      <c r="A16" s="8" t="s">
        <v>34</v>
      </c>
      <c r="B16" s="8" t="s">
        <v>35</v>
      </c>
      <c r="C16" s="33">
        <v>32895.58</v>
      </c>
      <c r="D16" s="8">
        <v>100409</v>
      </c>
      <c r="E16" s="8" t="s">
        <v>15</v>
      </c>
      <c r="F16" s="8" t="s">
        <v>36</v>
      </c>
      <c r="G16" s="10"/>
      <c r="H16">
        <f>+_xlfn.XLOOKUP(D16,'Output BDV'!D:D,'Output BDV'!D:D)</f>
        <v>100409</v>
      </c>
    </row>
    <row r="17" spans="1:8" x14ac:dyDescent="0.25">
      <c r="A17" s="8" t="s">
        <v>37</v>
      </c>
      <c r="B17" s="8" t="s">
        <v>38</v>
      </c>
      <c r="C17" s="33">
        <v>41352.67</v>
      </c>
      <c r="D17" s="8">
        <v>100411</v>
      </c>
      <c r="E17" s="8" t="s">
        <v>15</v>
      </c>
      <c r="F17" s="8" t="s">
        <v>39</v>
      </c>
      <c r="G17" s="10"/>
      <c r="H17">
        <f>+_xlfn.XLOOKUP(D17,'Output BDV'!D:D,'Output BDV'!D:D)</f>
        <v>100411</v>
      </c>
    </row>
    <row r="18" spans="1:8" x14ac:dyDescent="0.25">
      <c r="A18" s="8" t="s">
        <v>40</v>
      </c>
      <c r="B18" s="8" t="s">
        <v>41</v>
      </c>
      <c r="C18" s="33">
        <v>40456.089999999997</v>
      </c>
      <c r="D18" s="8">
        <v>100413</v>
      </c>
      <c r="E18" s="8" t="s">
        <v>15</v>
      </c>
      <c r="F18" s="8" t="s">
        <v>42</v>
      </c>
      <c r="G18" s="10"/>
      <c r="H18">
        <f>+_xlfn.XLOOKUP(D18,'Output BDV'!D:D,'Output BDV'!D:D)</f>
        <v>100413</v>
      </c>
    </row>
    <row r="19" spans="1:8" x14ac:dyDescent="0.25">
      <c r="A19" s="8" t="s">
        <v>43</v>
      </c>
      <c r="B19" s="8" t="s">
        <v>44</v>
      </c>
      <c r="C19" s="33">
        <v>18720.07</v>
      </c>
      <c r="D19" s="8">
        <v>100421</v>
      </c>
      <c r="E19" s="8" t="s">
        <v>15</v>
      </c>
      <c r="F19" s="8" t="s">
        <v>45</v>
      </c>
      <c r="G19" s="10"/>
      <c r="H19">
        <f>+_xlfn.XLOOKUP(D19,'Output BDV'!D:D,'Output BDV'!D:D)</f>
        <v>100421</v>
      </c>
    </row>
    <row r="20" spans="1:8" x14ac:dyDescent="0.25">
      <c r="A20" s="8" t="s">
        <v>46</v>
      </c>
      <c r="B20" s="8" t="s">
        <v>47</v>
      </c>
      <c r="C20" s="33">
        <v>214006.57</v>
      </c>
      <c r="D20" s="8">
        <v>100423</v>
      </c>
      <c r="E20" s="8" t="s">
        <v>15</v>
      </c>
      <c r="F20" s="8" t="s">
        <v>48</v>
      </c>
      <c r="G20" s="10"/>
      <c r="H20">
        <f>+_xlfn.XLOOKUP(D20,'Output BDV'!D:D,'Output BDV'!D:D)</f>
        <v>100423</v>
      </c>
    </row>
    <row r="21" spans="1:8" x14ac:dyDescent="0.25">
      <c r="A21" s="8" t="s">
        <v>49</v>
      </c>
      <c r="B21" s="8" t="s">
        <v>50</v>
      </c>
      <c r="C21" s="33">
        <v>33282.870000000003</v>
      </c>
      <c r="D21" s="8">
        <v>100425</v>
      </c>
      <c r="E21" s="8" t="s">
        <v>15</v>
      </c>
      <c r="F21" s="8" t="s">
        <v>51</v>
      </c>
      <c r="G21" s="10"/>
      <c r="H21">
        <f>+_xlfn.XLOOKUP(D21,'Output BDV'!D:D,'Output BDV'!D:D)</f>
        <v>100425</v>
      </c>
    </row>
    <row r="22" spans="1:8" x14ac:dyDescent="0.25">
      <c r="A22" s="8" t="s">
        <v>52</v>
      </c>
      <c r="B22" s="8" t="s">
        <v>53</v>
      </c>
      <c r="C22" s="33">
        <v>32643.96</v>
      </c>
      <c r="D22" s="8">
        <v>100453</v>
      </c>
      <c r="E22" s="8" t="s">
        <v>15</v>
      </c>
      <c r="F22" s="8" t="s">
        <v>54</v>
      </c>
      <c r="G22" s="10"/>
      <c r="H22">
        <f>+_xlfn.XLOOKUP(D22,'Output BDV'!D:D,'Output BDV'!D:D)</f>
        <v>100453</v>
      </c>
    </row>
    <row r="23" spans="1:8" x14ac:dyDescent="0.25">
      <c r="A23" s="8" t="s">
        <v>55</v>
      </c>
      <c r="B23" s="8" t="s">
        <v>56</v>
      </c>
      <c r="C23" s="33">
        <v>2066</v>
      </c>
      <c r="D23" s="8">
        <v>100605</v>
      </c>
      <c r="E23" s="8" t="s">
        <v>15</v>
      </c>
      <c r="F23" s="8" t="s">
        <v>57</v>
      </c>
      <c r="G23" s="11"/>
      <c r="H23">
        <f>+_xlfn.XLOOKUP(D23,'Output BDV'!D:D,'Output BDV'!D:D)</f>
        <v>100605</v>
      </c>
    </row>
    <row r="24" spans="1:8" x14ac:dyDescent="0.25">
      <c r="A24" s="8" t="s">
        <v>58</v>
      </c>
      <c r="B24" s="8" t="s">
        <v>59</v>
      </c>
      <c r="C24" s="33">
        <v>111115.03</v>
      </c>
      <c r="D24" s="8">
        <v>120201</v>
      </c>
      <c r="E24" s="8" t="s">
        <v>60</v>
      </c>
      <c r="F24" s="8" t="s">
        <v>61</v>
      </c>
      <c r="G24" s="10"/>
      <c r="H24">
        <f>+_xlfn.XLOOKUP(D24,'Output BDV'!D:D,'Output BDV'!D:D)</f>
        <v>120201</v>
      </c>
    </row>
    <row r="25" spans="1:8" x14ac:dyDescent="0.25">
      <c r="A25" s="8" t="s">
        <v>62</v>
      </c>
      <c r="B25" s="8" t="s">
        <v>63</v>
      </c>
      <c r="C25" s="33">
        <v>23970.69</v>
      </c>
      <c r="D25" s="8">
        <v>120205</v>
      </c>
      <c r="E25" s="8" t="s">
        <v>60</v>
      </c>
      <c r="F25" s="8" t="s">
        <v>64</v>
      </c>
      <c r="G25" s="10"/>
      <c r="H25">
        <f>+_xlfn.XLOOKUP(D25,'Output BDV'!D:D,'Output BDV'!D:D)</f>
        <v>120205</v>
      </c>
    </row>
    <row r="26" spans="1:8" x14ac:dyDescent="0.25">
      <c r="A26" s="8" t="s">
        <v>65</v>
      </c>
      <c r="B26" s="8" t="s">
        <v>66</v>
      </c>
      <c r="C26" s="33">
        <v>167319.49</v>
      </c>
      <c r="D26" s="8">
        <v>140201</v>
      </c>
      <c r="E26" s="8" t="s">
        <v>67</v>
      </c>
      <c r="F26" s="8" t="s">
        <v>68</v>
      </c>
      <c r="G26" s="11"/>
      <c r="H26">
        <f>+_xlfn.XLOOKUP(D26,'Output BDV'!D:D,'Output BDV'!D:D)</f>
        <v>140201</v>
      </c>
    </row>
    <row r="27" spans="1:8" x14ac:dyDescent="0.25">
      <c r="A27" s="8" t="s">
        <v>69</v>
      </c>
      <c r="B27" s="8" t="s">
        <v>70</v>
      </c>
      <c r="C27" s="33">
        <v>33623.11</v>
      </c>
      <c r="D27" s="8">
        <v>160207</v>
      </c>
      <c r="E27" s="8" t="s">
        <v>60</v>
      </c>
      <c r="F27" s="8" t="s">
        <v>71</v>
      </c>
      <c r="G27" s="10"/>
      <c r="H27">
        <f>+_xlfn.XLOOKUP(D27,'Output BDV'!D:D,'Output BDV'!D:D)</f>
        <v>160207</v>
      </c>
    </row>
    <row r="28" spans="1:8" x14ac:dyDescent="0.25">
      <c r="A28" s="8" t="s">
        <v>72</v>
      </c>
      <c r="B28" s="8" t="s">
        <v>73</v>
      </c>
      <c r="C28" s="33">
        <v>22115.5</v>
      </c>
      <c r="D28" s="8">
        <v>320403</v>
      </c>
      <c r="E28" s="8" t="s">
        <v>60</v>
      </c>
      <c r="F28" s="8" t="s">
        <v>74</v>
      </c>
      <c r="G28" s="10"/>
      <c r="H28">
        <f>+_xlfn.XLOOKUP(D28,'Output BDV'!D:D,'Output BDV'!D:D)</f>
        <v>320403</v>
      </c>
    </row>
    <row r="29" spans="1:8" x14ac:dyDescent="0.25">
      <c r="A29" s="8" t="s">
        <v>75</v>
      </c>
      <c r="B29" s="8" t="s">
        <v>76</v>
      </c>
      <c r="C29" s="33">
        <v>1725.15</v>
      </c>
      <c r="D29" s="8">
        <v>320601</v>
      </c>
      <c r="E29" s="8" t="s">
        <v>77</v>
      </c>
      <c r="F29" s="8" t="s">
        <v>78</v>
      </c>
      <c r="G29" s="11"/>
      <c r="H29">
        <f>+_xlfn.XLOOKUP(D29,'Output BDV'!D:D,'Output BDV'!D:D)</f>
        <v>320601</v>
      </c>
    </row>
    <row r="30" spans="1:8" x14ac:dyDescent="0.25">
      <c r="A30" s="8" t="s">
        <v>79</v>
      </c>
      <c r="B30" s="8" t="s">
        <v>80</v>
      </c>
      <c r="C30" s="33">
        <v>131602.09</v>
      </c>
      <c r="D30" s="8">
        <v>160401</v>
      </c>
      <c r="E30" s="8" t="s">
        <v>60</v>
      </c>
      <c r="F30" s="8" t="s">
        <v>81</v>
      </c>
      <c r="G30" s="11"/>
      <c r="H30">
        <f>+_xlfn.XLOOKUP(D30,'Output BDV'!D:D,'Output BDV'!D:D)</f>
        <v>160401</v>
      </c>
    </row>
    <row r="31" spans="1:8" x14ac:dyDescent="0.25">
      <c r="A31" s="8" t="s">
        <v>82</v>
      </c>
      <c r="B31" s="8" t="s">
        <v>83</v>
      </c>
      <c r="C31" s="33">
        <v>6119.97</v>
      </c>
      <c r="D31" s="8">
        <v>160413</v>
      </c>
      <c r="E31" s="8" t="s">
        <v>60</v>
      </c>
      <c r="F31" s="8" t="s">
        <v>84</v>
      </c>
      <c r="G31" s="10"/>
      <c r="H31">
        <f>+_xlfn.XLOOKUP(D31,'Output BDV'!D:D,'Output BDV'!D:D)</f>
        <v>160413</v>
      </c>
    </row>
    <row r="32" spans="1:8" x14ac:dyDescent="0.25">
      <c r="A32" s="8" t="s">
        <v>85</v>
      </c>
      <c r="B32" s="8" t="s">
        <v>86</v>
      </c>
      <c r="C32" s="33">
        <v>172828.39</v>
      </c>
      <c r="D32" s="8" t="s">
        <v>85</v>
      </c>
      <c r="E32" s="8"/>
      <c r="F32" s="9"/>
      <c r="G32" s="10" t="s">
        <v>87</v>
      </c>
      <c r="H32" t="str">
        <f>+_xlfn.XLOOKUP(D32,'Output BDV'!D:D,'Output BDV'!D:D)</f>
        <v>24/05/002</v>
      </c>
    </row>
    <row r="33" spans="1:8" x14ac:dyDescent="0.25">
      <c r="A33" s="8" t="s">
        <v>88</v>
      </c>
      <c r="B33" s="8" t="s">
        <v>89</v>
      </c>
      <c r="C33" s="33">
        <v>121605.94</v>
      </c>
      <c r="D33" s="8" t="s">
        <v>88</v>
      </c>
      <c r="E33" s="8"/>
      <c r="F33" s="9"/>
      <c r="G33" s="10" t="s">
        <v>87</v>
      </c>
      <c r="H33" t="str">
        <f>+_xlfn.XLOOKUP(D33,'Output BDV'!D:D,'Output BDV'!D:D)</f>
        <v>24/05/003</v>
      </c>
    </row>
    <row r="34" spans="1:8" x14ac:dyDescent="0.25">
      <c r="A34" s="8" t="s">
        <v>90</v>
      </c>
      <c r="B34" s="8" t="s">
        <v>91</v>
      </c>
      <c r="C34" s="33">
        <v>56.06</v>
      </c>
      <c r="D34" s="8" t="s">
        <v>90</v>
      </c>
      <c r="E34" s="8"/>
      <c r="F34" s="9"/>
      <c r="G34" s="10" t="s">
        <v>87</v>
      </c>
      <c r="H34" t="str">
        <f>+_xlfn.XLOOKUP(D34,'Output BDV'!D:D,'Output BDV'!D:D)</f>
        <v>24/05/006</v>
      </c>
    </row>
    <row r="35" spans="1:8" x14ac:dyDescent="0.25">
      <c r="A35" s="8" t="s">
        <v>92</v>
      </c>
      <c r="B35" s="8" t="s">
        <v>93</v>
      </c>
      <c r="C35" s="33">
        <v>6.87</v>
      </c>
      <c r="D35" s="8">
        <v>180201</v>
      </c>
      <c r="E35" s="8" t="s">
        <v>94</v>
      </c>
      <c r="F35" s="8" t="s">
        <v>95</v>
      </c>
      <c r="G35" s="10"/>
      <c r="H35">
        <f>+_xlfn.XLOOKUP(D35,'Output BDV'!D:D,'Output BDV'!D:D)</f>
        <v>180201</v>
      </c>
    </row>
    <row r="36" spans="1:8" x14ac:dyDescent="0.25">
      <c r="A36" s="8" t="s">
        <v>96</v>
      </c>
      <c r="B36" s="8" t="s">
        <v>97</v>
      </c>
      <c r="C36" s="33">
        <v>5531.99</v>
      </c>
      <c r="D36" s="8">
        <v>360201</v>
      </c>
      <c r="E36" s="8" t="s">
        <v>98</v>
      </c>
      <c r="F36" s="8" t="s">
        <v>99</v>
      </c>
      <c r="G36" s="10"/>
      <c r="H36">
        <f>+_xlfn.XLOOKUP(D36,'Output BDV'!D:D,'Output BDV'!D:D)</f>
        <v>360201</v>
      </c>
    </row>
    <row r="37" spans="1:8" x14ac:dyDescent="0.25">
      <c r="A37" s="8" t="s">
        <v>100</v>
      </c>
      <c r="B37" s="8" t="s">
        <v>101</v>
      </c>
      <c r="C37" s="33">
        <v>3253.16</v>
      </c>
      <c r="D37" s="8">
        <v>320409</v>
      </c>
      <c r="E37" s="8" t="s">
        <v>77</v>
      </c>
      <c r="F37" s="8" t="s">
        <v>102</v>
      </c>
      <c r="G37" s="10"/>
      <c r="H37">
        <f>+_xlfn.XLOOKUP(D37,'Output BDV'!D:D,'Output BDV'!D:D)</f>
        <v>320409</v>
      </c>
    </row>
    <row r="38" spans="1:8" x14ac:dyDescent="0.25">
      <c r="A38" s="8" t="s">
        <v>103</v>
      </c>
      <c r="B38" s="8" t="s">
        <v>104</v>
      </c>
      <c r="C38" s="33">
        <v>4339</v>
      </c>
      <c r="D38" s="8">
        <v>320405</v>
      </c>
      <c r="E38" s="8" t="s">
        <v>77</v>
      </c>
      <c r="F38" s="8" t="s">
        <v>105</v>
      </c>
      <c r="G38" s="10"/>
      <c r="H38">
        <f>+_xlfn.XLOOKUP(D38,'Output BDV'!D:D,'Output BDV'!D:D)</f>
        <v>320405</v>
      </c>
    </row>
    <row r="39" spans="1:8" x14ac:dyDescent="0.25">
      <c r="A39" s="8"/>
      <c r="B39" s="8"/>
      <c r="C39" s="9"/>
      <c r="D39" s="8"/>
      <c r="E39" s="8"/>
      <c r="F39" s="8"/>
      <c r="G39" s="10"/>
      <c r="H39">
        <f>+_xlfn.XLOOKUP(D39,'Output BDV'!D:D,'Output BDV'!D:D)</f>
        <v>0</v>
      </c>
    </row>
    <row r="40" spans="1:8" x14ac:dyDescent="0.25">
      <c r="A40" s="1" t="s">
        <v>12</v>
      </c>
      <c r="B40" s="1" t="s">
        <v>1</v>
      </c>
      <c r="C40" s="9"/>
      <c r="D40" s="8"/>
      <c r="E40" s="8"/>
      <c r="F40" s="8"/>
      <c r="G40" s="10"/>
      <c r="H40">
        <f>+_xlfn.XLOOKUP(D40,'Output BDV'!D:D,'Output BDV'!D:D)</f>
        <v>0</v>
      </c>
    </row>
    <row r="41" spans="1:8" x14ac:dyDescent="0.25">
      <c r="A41" s="8" t="s">
        <v>106</v>
      </c>
      <c r="B41" s="8" t="s">
        <v>107</v>
      </c>
      <c r="C41" s="34">
        <v>-33076</v>
      </c>
      <c r="D41" s="8">
        <v>100225</v>
      </c>
      <c r="E41" s="8" t="s">
        <v>15</v>
      </c>
      <c r="F41" s="8" t="s">
        <v>108</v>
      </c>
      <c r="G41" s="10"/>
      <c r="H41">
        <f>+_xlfn.XLOOKUP(D41,'Output BDV'!D:D,'Output BDV'!D:D)</f>
        <v>100225</v>
      </c>
    </row>
    <row r="42" spans="1:8" x14ac:dyDescent="0.25">
      <c r="A42" s="8" t="s">
        <v>109</v>
      </c>
      <c r="B42" s="8" t="s">
        <v>110</v>
      </c>
      <c r="C42" s="34">
        <v>-149012.63</v>
      </c>
      <c r="D42" s="8">
        <v>100235</v>
      </c>
      <c r="E42" s="8" t="s">
        <v>15</v>
      </c>
      <c r="F42" s="8" t="s">
        <v>111</v>
      </c>
      <c r="G42" s="10"/>
      <c r="H42">
        <f>+_xlfn.XLOOKUP(D42,'Output BDV'!D:D,'Output BDV'!D:D)</f>
        <v>100235</v>
      </c>
    </row>
    <row r="43" spans="1:8" x14ac:dyDescent="0.25">
      <c r="A43" s="8" t="s">
        <v>112</v>
      </c>
      <c r="B43" s="8" t="s">
        <v>113</v>
      </c>
      <c r="C43" s="34">
        <v>-8966.25</v>
      </c>
      <c r="D43" s="8">
        <v>100237</v>
      </c>
      <c r="E43" s="8" t="s">
        <v>15</v>
      </c>
      <c r="F43" s="8" t="s">
        <v>114</v>
      </c>
      <c r="G43" s="10"/>
      <c r="H43">
        <f>+_xlfn.XLOOKUP(D43,'Output BDV'!D:D,'Output BDV'!D:D)</f>
        <v>100237</v>
      </c>
    </row>
    <row r="44" spans="1:8" x14ac:dyDescent="0.25">
      <c r="A44" s="8" t="s">
        <v>115</v>
      </c>
      <c r="B44" s="8" t="s">
        <v>116</v>
      </c>
      <c r="C44" s="34">
        <v>-317021.90999999997</v>
      </c>
      <c r="D44" s="8">
        <v>100235</v>
      </c>
      <c r="E44" s="8" t="s">
        <v>15</v>
      </c>
      <c r="F44" s="8" t="s">
        <v>111</v>
      </c>
      <c r="G44" s="11"/>
      <c r="H44">
        <f>+_xlfn.XLOOKUP(D44,'Output BDV'!D:D,'Output BDV'!D:D)</f>
        <v>100235</v>
      </c>
    </row>
    <row r="45" spans="1:8" x14ac:dyDescent="0.25">
      <c r="A45" s="8" t="s">
        <v>117</v>
      </c>
      <c r="B45" s="8" t="s">
        <v>118</v>
      </c>
      <c r="C45" s="34">
        <v>-11857.65</v>
      </c>
      <c r="D45" s="8">
        <v>100429</v>
      </c>
      <c r="E45" s="8" t="s">
        <v>15</v>
      </c>
      <c r="F45" s="8" t="s">
        <v>119</v>
      </c>
      <c r="G45" s="11"/>
      <c r="H45">
        <f>+_xlfn.XLOOKUP(D45,'Output BDV'!D:D,'Output BDV'!D:D)</f>
        <v>100429</v>
      </c>
    </row>
    <row r="46" spans="1:8" x14ac:dyDescent="0.25">
      <c r="A46" s="8" t="s">
        <v>120</v>
      </c>
      <c r="B46" s="8" t="s">
        <v>121</v>
      </c>
      <c r="C46" s="34">
        <v>-221946.25</v>
      </c>
      <c r="D46" s="8">
        <v>100429</v>
      </c>
      <c r="E46" s="8" t="s">
        <v>15</v>
      </c>
      <c r="F46" s="8" t="s">
        <v>119</v>
      </c>
      <c r="G46" s="10"/>
      <c r="H46">
        <f>+_xlfn.XLOOKUP(D46,'Output BDV'!D:D,'Output BDV'!D:D)</f>
        <v>100429</v>
      </c>
    </row>
    <row r="47" spans="1:8" x14ac:dyDescent="0.25">
      <c r="A47" s="8" t="s">
        <v>122</v>
      </c>
      <c r="B47" s="8" t="s">
        <v>123</v>
      </c>
      <c r="C47" s="34">
        <v>-3971.97</v>
      </c>
      <c r="D47" s="8">
        <v>100439</v>
      </c>
      <c r="E47" s="8" t="s">
        <v>15</v>
      </c>
      <c r="F47" s="8" t="s">
        <v>124</v>
      </c>
      <c r="G47" s="10"/>
      <c r="H47">
        <f>+_xlfn.XLOOKUP(D47,'Output BDV'!D:D,'Output BDV'!D:D)</f>
        <v>100439</v>
      </c>
    </row>
    <row r="48" spans="1:8" x14ac:dyDescent="0.25">
      <c r="A48" s="8" t="s">
        <v>125</v>
      </c>
      <c r="B48" s="8" t="s">
        <v>126</v>
      </c>
      <c r="C48" s="34">
        <v>-31725.72</v>
      </c>
      <c r="D48" s="8">
        <v>100433</v>
      </c>
      <c r="E48" s="8" t="s">
        <v>15</v>
      </c>
      <c r="F48" s="8" t="s">
        <v>127</v>
      </c>
      <c r="G48" s="10"/>
      <c r="H48">
        <f>+_xlfn.XLOOKUP(D48,'Output BDV'!D:D,'Output BDV'!D:D)</f>
        <v>100433</v>
      </c>
    </row>
    <row r="49" spans="1:8" x14ac:dyDescent="0.25">
      <c r="A49" s="8" t="s">
        <v>128</v>
      </c>
      <c r="B49" s="8" t="s">
        <v>129</v>
      </c>
      <c r="C49" s="34">
        <v>-41194.32</v>
      </c>
      <c r="D49" s="8">
        <v>100435</v>
      </c>
      <c r="E49" s="8" t="s">
        <v>15</v>
      </c>
      <c r="F49" s="8" t="s">
        <v>130</v>
      </c>
      <c r="G49" s="10"/>
      <c r="H49">
        <f>+_xlfn.XLOOKUP(D49,'Output BDV'!D:D,'Output BDV'!D:D)</f>
        <v>100435</v>
      </c>
    </row>
    <row r="50" spans="1:8" x14ac:dyDescent="0.25">
      <c r="A50" s="8" t="s">
        <v>131</v>
      </c>
      <c r="B50" s="8" t="s">
        <v>132</v>
      </c>
      <c r="C50" s="34">
        <v>-40456.089999999997</v>
      </c>
      <c r="D50" s="8">
        <v>100437</v>
      </c>
      <c r="E50" s="8" t="s">
        <v>15</v>
      </c>
      <c r="F50" s="8" t="s">
        <v>133</v>
      </c>
      <c r="G50" s="10"/>
      <c r="H50">
        <f>+_xlfn.XLOOKUP(D50,'Output BDV'!D:D,'Output BDV'!D:D)</f>
        <v>100437</v>
      </c>
    </row>
    <row r="51" spans="1:8" x14ac:dyDescent="0.25">
      <c r="A51" s="8" t="s">
        <v>134</v>
      </c>
      <c r="B51" s="8" t="s">
        <v>135</v>
      </c>
      <c r="C51" s="34">
        <v>-16375.74</v>
      </c>
      <c r="D51" s="8">
        <v>100445</v>
      </c>
      <c r="E51" s="8" t="s">
        <v>15</v>
      </c>
      <c r="F51" s="8" t="s">
        <v>136</v>
      </c>
      <c r="G51" s="10"/>
      <c r="H51">
        <f>+_xlfn.XLOOKUP(D51,'Output BDV'!D:D,'Output BDV'!D:D)</f>
        <v>100445</v>
      </c>
    </row>
    <row r="52" spans="1:8" x14ac:dyDescent="0.25">
      <c r="A52" s="8" t="s">
        <v>137</v>
      </c>
      <c r="B52" s="8" t="s">
        <v>138</v>
      </c>
      <c r="C52" s="34">
        <v>-155726.01999999999</v>
      </c>
      <c r="D52" s="8">
        <v>100447</v>
      </c>
      <c r="E52" s="8" t="s">
        <v>15</v>
      </c>
      <c r="F52" s="8" t="s">
        <v>139</v>
      </c>
      <c r="G52" s="10"/>
      <c r="H52">
        <f>+_xlfn.XLOOKUP(D52,'Output BDV'!D:D,'Output BDV'!D:D)</f>
        <v>100447</v>
      </c>
    </row>
    <row r="53" spans="1:8" x14ac:dyDescent="0.25">
      <c r="A53" s="8" t="s">
        <v>140</v>
      </c>
      <c r="B53" s="8" t="s">
        <v>141</v>
      </c>
      <c r="C53" s="34">
        <v>-33282.870000000003</v>
      </c>
      <c r="D53" s="8">
        <v>100449</v>
      </c>
      <c r="E53" s="8" t="s">
        <v>15</v>
      </c>
      <c r="F53" s="8" t="s">
        <v>142</v>
      </c>
      <c r="G53" s="10"/>
      <c r="H53">
        <f>+_xlfn.XLOOKUP(D53,'Output BDV'!D:D,'Output BDV'!D:D)</f>
        <v>100449</v>
      </c>
    </row>
    <row r="54" spans="1:8" x14ac:dyDescent="0.25">
      <c r="A54" s="8" t="s">
        <v>143</v>
      </c>
      <c r="B54" s="8" t="s">
        <v>144</v>
      </c>
      <c r="C54" s="34">
        <v>-24502.75</v>
      </c>
      <c r="D54" s="8">
        <v>100455</v>
      </c>
      <c r="E54" s="8" t="s">
        <v>15</v>
      </c>
      <c r="F54" s="8" t="s">
        <v>145</v>
      </c>
      <c r="G54" s="10"/>
      <c r="H54">
        <f>+_xlfn.XLOOKUP(D54,'Output BDV'!D:D,'Output BDV'!D:D)</f>
        <v>100455</v>
      </c>
    </row>
    <row r="55" spans="1:8" x14ac:dyDescent="0.25">
      <c r="A55" s="8" t="s">
        <v>146</v>
      </c>
      <c r="B55" s="8" t="s">
        <v>147</v>
      </c>
      <c r="C55" s="34">
        <v>-100000</v>
      </c>
      <c r="D55" s="8">
        <v>220201</v>
      </c>
      <c r="E55" s="8" t="s">
        <v>148</v>
      </c>
      <c r="F55" s="8" t="s">
        <v>149</v>
      </c>
      <c r="G55" s="10"/>
      <c r="H55">
        <f>+_xlfn.XLOOKUP(D55,'Output BDV'!D:D,'Output BDV'!D:D)</f>
        <v>220201</v>
      </c>
    </row>
    <row r="56" spans="1:8" x14ac:dyDescent="0.25">
      <c r="A56" s="8" t="s">
        <v>150</v>
      </c>
      <c r="B56" s="8" t="s">
        <v>151</v>
      </c>
      <c r="C56" s="34">
        <v>-20000</v>
      </c>
      <c r="D56" s="8">
        <v>220207</v>
      </c>
      <c r="E56" s="8" t="s">
        <v>148</v>
      </c>
      <c r="F56" s="8" t="s">
        <v>152</v>
      </c>
      <c r="G56" s="10"/>
      <c r="H56">
        <f>+_xlfn.XLOOKUP(D56,'Output BDV'!D:D,'Output BDV'!D:D)</f>
        <v>220207</v>
      </c>
    </row>
    <row r="57" spans="1:8" x14ac:dyDescent="0.25">
      <c r="A57" s="8" t="s">
        <v>153</v>
      </c>
      <c r="B57" s="8" t="s">
        <v>154</v>
      </c>
      <c r="C57" s="34">
        <v>-1316043.9099999999</v>
      </c>
      <c r="D57" s="8">
        <v>220209</v>
      </c>
      <c r="E57" s="8" t="s">
        <v>148</v>
      </c>
      <c r="F57" s="8" t="s">
        <v>155</v>
      </c>
      <c r="G57" s="10"/>
      <c r="H57">
        <f>+_xlfn.XLOOKUP(D57,'Output BDV'!D:D,'Output BDV'!D:D)</f>
        <v>220209</v>
      </c>
    </row>
    <row r="58" spans="1:8" x14ac:dyDescent="0.25">
      <c r="A58" s="8" t="s">
        <v>156</v>
      </c>
      <c r="B58" s="8" t="s">
        <v>157</v>
      </c>
      <c r="C58" s="34">
        <v>-12332.93</v>
      </c>
      <c r="D58" s="8">
        <v>240219</v>
      </c>
      <c r="E58" s="8" t="s">
        <v>158</v>
      </c>
      <c r="F58" s="8" t="s">
        <v>159</v>
      </c>
      <c r="G58" s="10"/>
      <c r="H58">
        <f>+_xlfn.XLOOKUP(D58,'Output BDV'!D:D,'Output BDV'!D:D)</f>
        <v>240219</v>
      </c>
    </row>
    <row r="59" spans="1:8" x14ac:dyDescent="0.25">
      <c r="A59" s="8" t="s">
        <v>160</v>
      </c>
      <c r="B59" s="8" t="s">
        <v>161</v>
      </c>
      <c r="C59" s="34">
        <v>-56206.46</v>
      </c>
      <c r="D59" s="8">
        <v>260201</v>
      </c>
      <c r="E59" s="8" t="s">
        <v>158</v>
      </c>
      <c r="F59" s="8" t="s">
        <v>162</v>
      </c>
      <c r="G59" s="10"/>
      <c r="H59">
        <f>+_xlfn.XLOOKUP(D59,'Output BDV'!D:D,'Output BDV'!D:D)</f>
        <v>260201</v>
      </c>
    </row>
    <row r="60" spans="1:8" x14ac:dyDescent="0.25">
      <c r="A60" s="8" t="s">
        <v>163</v>
      </c>
      <c r="B60" s="8" t="s">
        <v>164</v>
      </c>
      <c r="C60" s="34">
        <v>-5000</v>
      </c>
      <c r="D60" s="8">
        <v>320815</v>
      </c>
      <c r="E60" s="8" t="s">
        <v>77</v>
      </c>
      <c r="F60" s="8" t="s">
        <v>165</v>
      </c>
      <c r="G60" s="10"/>
      <c r="H60">
        <f>+_xlfn.XLOOKUP(D60,'Output BDV'!D:D,'Output BDV'!D:D)</f>
        <v>320815</v>
      </c>
    </row>
    <row r="61" spans="1:8" x14ac:dyDescent="0.25">
      <c r="A61" s="8" t="s">
        <v>166</v>
      </c>
      <c r="B61" s="8" t="s">
        <v>167</v>
      </c>
      <c r="C61" s="34">
        <v>-12098.85</v>
      </c>
      <c r="D61" s="8">
        <v>300205</v>
      </c>
      <c r="E61" s="8" t="s">
        <v>168</v>
      </c>
      <c r="F61" s="8" t="s">
        <v>169</v>
      </c>
      <c r="G61" s="11"/>
      <c r="H61">
        <f>+_xlfn.XLOOKUP(D61,'Output BDV'!D:D,'Output BDV'!D:D)</f>
        <v>300205</v>
      </c>
    </row>
    <row r="62" spans="1:8" x14ac:dyDescent="0.25">
      <c r="A62" s="8" t="s">
        <v>170</v>
      </c>
      <c r="B62" s="8" t="s">
        <v>171</v>
      </c>
      <c r="C62" s="34">
        <v>-31761.15</v>
      </c>
      <c r="D62" s="8">
        <v>320813</v>
      </c>
      <c r="E62" s="8" t="s">
        <v>77</v>
      </c>
      <c r="F62" s="8" t="s">
        <v>172</v>
      </c>
      <c r="G62" s="10"/>
      <c r="H62">
        <f>+_xlfn.XLOOKUP(D62,'Output BDV'!D:D,'Output BDV'!D:D)</f>
        <v>320813</v>
      </c>
    </row>
    <row r="63" spans="1:8" x14ac:dyDescent="0.25">
      <c r="A63" s="8" t="s">
        <v>173</v>
      </c>
      <c r="B63" s="8" t="s">
        <v>174</v>
      </c>
      <c r="C63" s="34">
        <v>-16354</v>
      </c>
      <c r="D63" s="8">
        <v>320403</v>
      </c>
      <c r="E63" s="8" t="s">
        <v>77</v>
      </c>
      <c r="F63" s="8" t="s">
        <v>74</v>
      </c>
      <c r="G63" s="10"/>
      <c r="H63">
        <f>+_xlfn.XLOOKUP(D63,'Output BDV'!D:D,'Output BDV'!D:D)</f>
        <v>320403</v>
      </c>
    </row>
    <row r="64" spans="1:8" x14ac:dyDescent="0.25">
      <c r="A64" s="8" t="s">
        <v>175</v>
      </c>
      <c r="B64" s="8" t="s">
        <v>176</v>
      </c>
      <c r="C64" s="34">
        <v>-1238.0899999999999</v>
      </c>
      <c r="D64" s="8">
        <v>320603</v>
      </c>
      <c r="E64" s="8" t="s">
        <v>77</v>
      </c>
      <c r="F64" s="8" t="s">
        <v>177</v>
      </c>
      <c r="G64" s="10"/>
      <c r="H64">
        <f>+_xlfn.XLOOKUP(D64,'Output BDV'!D:D,'Output BDV'!D:D)</f>
        <v>320603</v>
      </c>
    </row>
    <row r="65" spans="1:8" x14ac:dyDescent="0.25">
      <c r="A65" s="8" t="s">
        <v>178</v>
      </c>
      <c r="B65" s="8" t="s">
        <v>179</v>
      </c>
      <c r="C65" s="34">
        <v>-3868.18</v>
      </c>
      <c r="D65" s="8">
        <v>320407</v>
      </c>
      <c r="E65" s="8" t="s">
        <v>77</v>
      </c>
      <c r="F65" s="8" t="s">
        <v>180</v>
      </c>
      <c r="G65" s="10"/>
      <c r="H65">
        <f>+_xlfn.XLOOKUP(D65,'Output BDV'!D:D,'Output BDV'!D:D)</f>
        <v>320407</v>
      </c>
    </row>
    <row r="66" spans="1:8" x14ac:dyDescent="0.25">
      <c r="A66" s="8" t="s">
        <v>181</v>
      </c>
      <c r="B66" s="8" t="s">
        <v>182</v>
      </c>
      <c r="C66" s="34">
        <v>0</v>
      </c>
      <c r="D66" s="8">
        <v>320613</v>
      </c>
      <c r="E66" s="8" t="s">
        <v>77</v>
      </c>
      <c r="F66" s="8" t="s">
        <v>183</v>
      </c>
      <c r="G66" s="10"/>
      <c r="H66">
        <f>+_xlfn.XLOOKUP(D66,'Output BDV'!D:D,'Output BDV'!D:D)</f>
        <v>320613</v>
      </c>
    </row>
    <row r="67" spans="1:8" x14ac:dyDescent="0.25">
      <c r="A67" s="8" t="s">
        <v>184</v>
      </c>
      <c r="B67" s="8" t="s">
        <v>185</v>
      </c>
      <c r="C67" s="34">
        <v>-297.36</v>
      </c>
      <c r="D67" s="8">
        <v>320617</v>
      </c>
      <c r="E67" s="8" t="s">
        <v>77</v>
      </c>
      <c r="F67" s="8" t="s">
        <v>186</v>
      </c>
      <c r="G67" s="10"/>
      <c r="H67">
        <f>+_xlfn.XLOOKUP(D67,'Output BDV'!D:D,'Output BDV'!D:D)</f>
        <v>320617</v>
      </c>
    </row>
    <row r="68" spans="1:8" x14ac:dyDescent="0.25">
      <c r="A68" s="8" t="s">
        <v>187</v>
      </c>
      <c r="B68" s="8" t="s">
        <v>188</v>
      </c>
      <c r="C68" s="34">
        <v>-41.23</v>
      </c>
      <c r="D68" s="8">
        <v>320617</v>
      </c>
      <c r="E68" s="8" t="s">
        <v>77</v>
      </c>
      <c r="F68" s="8" t="s">
        <v>186</v>
      </c>
      <c r="G68" s="10"/>
      <c r="H68">
        <f>+_xlfn.XLOOKUP(D68,'Output BDV'!D:D,'Output BDV'!D:D)</f>
        <v>320617</v>
      </c>
    </row>
    <row r="69" spans="1:8" x14ac:dyDescent="0.25">
      <c r="A69" s="8" t="s">
        <v>189</v>
      </c>
      <c r="B69" s="8" t="s">
        <v>190</v>
      </c>
      <c r="C69" s="34">
        <v>-8573.76</v>
      </c>
      <c r="D69" s="8">
        <v>320803</v>
      </c>
      <c r="E69" s="8" t="s">
        <v>77</v>
      </c>
      <c r="F69" s="8" t="s">
        <v>191</v>
      </c>
      <c r="G69" s="10"/>
      <c r="H69">
        <f>+_xlfn.XLOOKUP(D69,'Output BDV'!D:D,'Output BDV'!D:D)</f>
        <v>320803</v>
      </c>
    </row>
    <row r="70" spans="1:8" x14ac:dyDescent="0.25">
      <c r="A70" s="8" t="s">
        <v>192</v>
      </c>
      <c r="B70" s="8" t="s">
        <v>193</v>
      </c>
      <c r="C70" s="34">
        <v>-2229.23</v>
      </c>
      <c r="D70" s="8">
        <v>320821</v>
      </c>
      <c r="E70" s="8" t="s">
        <v>77</v>
      </c>
      <c r="F70" s="8" t="s">
        <v>194</v>
      </c>
      <c r="G70" s="10"/>
      <c r="H70">
        <f>+_xlfn.XLOOKUP(D70,'Output BDV'!D:D,'Output BDV'!D:D)</f>
        <v>320821</v>
      </c>
    </row>
    <row r="71" spans="1:8" x14ac:dyDescent="0.25">
      <c r="A71" s="8" t="s">
        <v>195</v>
      </c>
      <c r="B71" s="8" t="s">
        <v>196</v>
      </c>
      <c r="C71" s="34">
        <v>-994.37</v>
      </c>
      <c r="D71" s="8">
        <v>200203</v>
      </c>
      <c r="E71" s="8" t="s">
        <v>197</v>
      </c>
      <c r="F71" s="8" t="s">
        <v>198</v>
      </c>
      <c r="G71" s="10"/>
      <c r="H71">
        <f>+_xlfn.XLOOKUP(D71,'Output BDV'!D:D,'Output BDV'!D:D)</f>
        <v>200203</v>
      </c>
    </row>
    <row r="72" spans="1:8" x14ac:dyDescent="0.25">
      <c r="A72" s="8"/>
      <c r="B72" s="8"/>
      <c r="C72" s="9"/>
      <c r="D72" s="8"/>
      <c r="E72" s="8"/>
      <c r="F72" s="8"/>
      <c r="G72" s="10"/>
      <c r="H72">
        <f>+_xlfn.XLOOKUP(D72,'Output BDV'!D:D,'Output BDV'!D:D)</f>
        <v>0</v>
      </c>
    </row>
    <row r="73" spans="1:8" x14ac:dyDescent="0.25">
      <c r="A73" s="8" t="s">
        <v>12</v>
      </c>
      <c r="B73" s="1" t="s">
        <v>3</v>
      </c>
      <c r="C73" s="9"/>
      <c r="D73" s="8"/>
      <c r="E73" s="8"/>
      <c r="F73" s="8"/>
      <c r="G73" s="10"/>
      <c r="H73">
        <f>+_xlfn.XLOOKUP(D73,'Output BDV'!D:D,'Output BDV'!D:D)</f>
        <v>0</v>
      </c>
    </row>
    <row r="74" spans="1:8" x14ac:dyDescent="0.25">
      <c r="A74" s="8" t="s">
        <v>199</v>
      </c>
      <c r="B74" s="8" t="s">
        <v>200</v>
      </c>
      <c r="C74" s="29">
        <v>93704.4</v>
      </c>
      <c r="D74" s="8">
        <v>700203</v>
      </c>
      <c r="E74" s="8" t="s">
        <v>201</v>
      </c>
      <c r="F74" s="8" t="s">
        <v>202</v>
      </c>
      <c r="G74" s="10"/>
      <c r="H74">
        <f>+_xlfn.XLOOKUP(D74,'Output BDV'!D:D,'Output BDV'!D:D)</f>
        <v>700203</v>
      </c>
    </row>
    <row r="75" spans="1:8" x14ac:dyDescent="0.25">
      <c r="A75" s="8" t="s">
        <v>203</v>
      </c>
      <c r="B75" s="8" t="s">
        <v>204</v>
      </c>
      <c r="C75" s="29">
        <v>71673.7</v>
      </c>
      <c r="D75" s="8">
        <v>680201</v>
      </c>
      <c r="E75" s="8" t="s">
        <v>201</v>
      </c>
      <c r="F75" s="8" t="s">
        <v>205</v>
      </c>
      <c r="G75" s="11"/>
      <c r="H75">
        <f>+_xlfn.XLOOKUP(D75,'Output BDV'!D:D,'Output BDV'!D:D)</f>
        <v>680201</v>
      </c>
    </row>
    <row r="76" spans="1:8" x14ac:dyDescent="0.25">
      <c r="A76" s="8" t="s">
        <v>206</v>
      </c>
      <c r="B76" s="8" t="s">
        <v>207</v>
      </c>
      <c r="C76" s="29">
        <v>95314.7</v>
      </c>
      <c r="D76" s="8">
        <v>700601</v>
      </c>
      <c r="E76" s="8" t="s">
        <v>201</v>
      </c>
      <c r="F76" s="8" t="s">
        <v>208</v>
      </c>
      <c r="G76" s="10"/>
      <c r="H76">
        <f>+_xlfn.XLOOKUP(D76,'Output BDV'!D:D,'Output BDV'!D:D)</f>
        <v>700601</v>
      </c>
    </row>
    <row r="77" spans="1:8" x14ac:dyDescent="0.25">
      <c r="A77" s="8" t="s">
        <v>209</v>
      </c>
      <c r="B77" s="8" t="s">
        <v>210</v>
      </c>
      <c r="C77" s="29">
        <v>55974.559999999998</v>
      </c>
      <c r="D77" s="8">
        <v>700601</v>
      </c>
      <c r="E77" s="8" t="s">
        <v>201</v>
      </c>
      <c r="F77" s="8" t="s">
        <v>208</v>
      </c>
      <c r="G77" s="10"/>
      <c r="H77">
        <f>+_xlfn.XLOOKUP(D77,'Output BDV'!D:D,'Output BDV'!D:D)</f>
        <v>700601</v>
      </c>
    </row>
    <row r="78" spans="1:8" x14ac:dyDescent="0.25">
      <c r="A78" s="8" t="s">
        <v>211</v>
      </c>
      <c r="B78" s="8" t="s">
        <v>212</v>
      </c>
      <c r="C78" s="29">
        <v>2343.3000000000002</v>
      </c>
      <c r="D78" s="8">
        <v>680201</v>
      </c>
      <c r="E78" s="8" t="s">
        <v>201</v>
      </c>
      <c r="F78" s="8" t="s">
        <v>205</v>
      </c>
      <c r="G78" s="10"/>
      <c r="H78">
        <f>+_xlfn.XLOOKUP(D78,'Output BDV'!D:D,'Output BDV'!D:D)</f>
        <v>680201</v>
      </c>
    </row>
    <row r="79" spans="1:8" x14ac:dyDescent="0.25">
      <c r="A79" s="8" t="s">
        <v>213</v>
      </c>
      <c r="B79" s="8" t="s">
        <v>214</v>
      </c>
      <c r="C79" s="29">
        <v>335.88</v>
      </c>
      <c r="D79" s="8">
        <v>700803</v>
      </c>
      <c r="E79" s="8" t="s">
        <v>201</v>
      </c>
      <c r="F79" s="8" t="s">
        <v>215</v>
      </c>
      <c r="G79" s="10"/>
      <c r="H79">
        <f>+_xlfn.XLOOKUP(D79,'Output BDV'!D:D,'Output BDV'!D:D)</f>
        <v>700803</v>
      </c>
    </row>
    <row r="80" spans="1:8" x14ac:dyDescent="0.25">
      <c r="A80" s="8" t="s">
        <v>216</v>
      </c>
      <c r="B80" s="8" t="s">
        <v>217</v>
      </c>
      <c r="C80" s="29">
        <v>2683.18</v>
      </c>
      <c r="D80" s="8">
        <v>680601</v>
      </c>
      <c r="E80" s="8" t="s">
        <v>201</v>
      </c>
      <c r="F80" s="8" t="s">
        <v>218</v>
      </c>
      <c r="G80" s="10"/>
      <c r="H80">
        <f>+_xlfn.XLOOKUP(D80,'Output BDV'!D:D,'Output BDV'!D:D)</f>
        <v>680601</v>
      </c>
    </row>
    <row r="81" spans="1:8" x14ac:dyDescent="0.25">
      <c r="A81" s="8" t="s">
        <v>219</v>
      </c>
      <c r="B81" s="8" t="s">
        <v>220</v>
      </c>
      <c r="C81" s="29">
        <v>1832.81</v>
      </c>
      <c r="D81" s="8">
        <v>680603</v>
      </c>
      <c r="E81" s="8" t="s">
        <v>201</v>
      </c>
      <c r="F81" s="8" t="s">
        <v>221</v>
      </c>
      <c r="G81" s="10"/>
      <c r="H81">
        <f>+_xlfn.XLOOKUP(D81,'Output BDV'!D:D,'Output BDV'!D:D)</f>
        <v>680603</v>
      </c>
    </row>
    <row r="82" spans="1:8" x14ac:dyDescent="0.25">
      <c r="A82" s="8" t="s">
        <v>222</v>
      </c>
      <c r="B82" s="8" t="s">
        <v>223</v>
      </c>
      <c r="C82" s="29">
        <v>139.26</v>
      </c>
      <c r="D82" s="8">
        <v>680201</v>
      </c>
      <c r="E82" s="8" t="s">
        <v>201</v>
      </c>
      <c r="F82" s="8" t="s">
        <v>205</v>
      </c>
      <c r="G82" s="10"/>
      <c r="H82">
        <f>+_xlfn.XLOOKUP(D82,'Output BDV'!D:D,'Output BDV'!D:D)</f>
        <v>680201</v>
      </c>
    </row>
    <row r="83" spans="1:8" x14ac:dyDescent="0.25">
      <c r="A83" s="8" t="s">
        <v>224</v>
      </c>
      <c r="B83" s="8" t="s">
        <v>225</v>
      </c>
      <c r="C83" s="29">
        <v>220</v>
      </c>
      <c r="D83" s="8">
        <v>680403</v>
      </c>
      <c r="E83" s="8" t="s">
        <v>201</v>
      </c>
      <c r="F83" s="8" t="s">
        <v>226</v>
      </c>
      <c r="G83" s="10"/>
      <c r="H83">
        <f>+_xlfn.XLOOKUP(D83,'Output BDV'!D:D,'Output BDV'!D:D)</f>
        <v>680403</v>
      </c>
    </row>
    <row r="84" spans="1:8" x14ac:dyDescent="0.25">
      <c r="A84" s="8" t="s">
        <v>227</v>
      </c>
      <c r="B84" s="8" t="s">
        <v>228</v>
      </c>
      <c r="C84" s="29">
        <v>1220.1199999999999</v>
      </c>
      <c r="D84" s="8">
        <v>680201</v>
      </c>
      <c r="E84" s="8" t="s">
        <v>201</v>
      </c>
      <c r="F84" s="8" t="s">
        <v>205</v>
      </c>
      <c r="G84" s="10"/>
      <c r="H84">
        <f>+_xlfn.XLOOKUP(D84,'Output BDV'!D:D,'Output BDV'!D:D)</f>
        <v>680201</v>
      </c>
    </row>
    <row r="85" spans="1:8" x14ac:dyDescent="0.25">
      <c r="A85" s="8" t="s">
        <v>229</v>
      </c>
      <c r="B85" s="8" t="s">
        <v>230</v>
      </c>
      <c r="C85" s="29">
        <v>118.44</v>
      </c>
      <c r="D85" s="8">
        <v>701603</v>
      </c>
      <c r="E85" s="8" t="s">
        <v>201</v>
      </c>
      <c r="F85" s="8" t="s">
        <v>231</v>
      </c>
      <c r="G85" s="10"/>
      <c r="H85">
        <f>+_xlfn.XLOOKUP(D85,'Output BDV'!D:D,'Output BDV'!D:D)</f>
        <v>701603</v>
      </c>
    </row>
    <row r="86" spans="1:8" x14ac:dyDescent="0.25">
      <c r="A86" s="8" t="s">
        <v>232</v>
      </c>
      <c r="B86" s="8" t="s">
        <v>233</v>
      </c>
      <c r="C86" s="29">
        <v>5.5</v>
      </c>
      <c r="D86" s="8">
        <v>701603</v>
      </c>
      <c r="E86" s="8" t="s">
        <v>201</v>
      </c>
      <c r="F86" s="8" t="s">
        <v>231</v>
      </c>
      <c r="G86" s="10"/>
      <c r="H86">
        <f>+_xlfn.XLOOKUP(D86,'Output BDV'!D:D,'Output BDV'!D:D)</f>
        <v>701603</v>
      </c>
    </row>
    <row r="87" spans="1:8" x14ac:dyDescent="0.25">
      <c r="A87" s="8" t="s">
        <v>234</v>
      </c>
      <c r="B87" s="8" t="s">
        <v>235</v>
      </c>
      <c r="C87" s="29">
        <v>461.11</v>
      </c>
      <c r="D87" s="8">
        <v>701201</v>
      </c>
      <c r="E87" s="8" t="s">
        <v>201</v>
      </c>
      <c r="F87" s="8" t="s">
        <v>236</v>
      </c>
      <c r="G87" s="10"/>
      <c r="H87">
        <f>+_xlfn.XLOOKUP(D87,'Output BDV'!D:D,'Output BDV'!D:D)</f>
        <v>701201</v>
      </c>
    </row>
    <row r="88" spans="1:8" x14ac:dyDescent="0.25">
      <c r="A88" s="8" t="s">
        <v>237</v>
      </c>
      <c r="B88" s="8" t="s">
        <v>238</v>
      </c>
      <c r="C88" s="29">
        <v>12925</v>
      </c>
      <c r="D88" s="8">
        <v>700201</v>
      </c>
      <c r="E88" s="8" t="s">
        <v>201</v>
      </c>
      <c r="F88" s="8" t="s">
        <v>239</v>
      </c>
      <c r="G88" s="10"/>
      <c r="H88">
        <f>+_xlfn.XLOOKUP(D88,'Output BDV'!D:D,'Output BDV'!D:D)</f>
        <v>700201</v>
      </c>
    </row>
    <row r="89" spans="1:8" x14ac:dyDescent="0.25">
      <c r="A89" s="8" t="s">
        <v>240</v>
      </c>
      <c r="B89" s="8" t="s">
        <v>241</v>
      </c>
      <c r="C89" s="29">
        <v>52272</v>
      </c>
      <c r="D89" s="8">
        <v>700203</v>
      </c>
      <c r="E89" s="8" t="s">
        <v>201</v>
      </c>
      <c r="F89" s="8" t="s">
        <v>202</v>
      </c>
      <c r="G89" s="10"/>
      <c r="H89">
        <f>+_xlfn.XLOOKUP(D89,'Output BDV'!D:D,'Output BDV'!D:D)</f>
        <v>700203</v>
      </c>
    </row>
    <row r="90" spans="1:8" x14ac:dyDescent="0.25">
      <c r="A90" s="8" t="s">
        <v>242</v>
      </c>
      <c r="B90" s="8" t="s">
        <v>243</v>
      </c>
      <c r="C90" s="29">
        <v>2878.92</v>
      </c>
      <c r="D90" s="8">
        <v>700603</v>
      </c>
      <c r="E90" s="8" t="s">
        <v>201</v>
      </c>
      <c r="F90" s="8" t="s">
        <v>244</v>
      </c>
      <c r="G90" s="10"/>
      <c r="H90">
        <f>+_xlfn.XLOOKUP(D90,'Output BDV'!D:D,'Output BDV'!D:D)</f>
        <v>700603</v>
      </c>
    </row>
    <row r="91" spans="1:8" x14ac:dyDescent="0.25">
      <c r="A91" s="8" t="s">
        <v>245</v>
      </c>
      <c r="B91" s="8" t="s">
        <v>246</v>
      </c>
      <c r="C91" s="29">
        <v>29.62</v>
      </c>
      <c r="D91" s="8">
        <v>700805</v>
      </c>
      <c r="E91" s="8" t="s">
        <v>201</v>
      </c>
      <c r="F91" s="8" t="s">
        <v>247</v>
      </c>
      <c r="G91" s="10"/>
      <c r="H91">
        <f>+_xlfn.XLOOKUP(D91,'Output BDV'!D:D,'Output BDV'!D:D)</f>
        <v>700805</v>
      </c>
    </row>
    <row r="92" spans="1:8" x14ac:dyDescent="0.25">
      <c r="A92" s="8" t="s">
        <v>248</v>
      </c>
      <c r="B92" s="8" t="s">
        <v>249</v>
      </c>
      <c r="C92" s="29">
        <v>2000</v>
      </c>
      <c r="D92" s="8">
        <v>700209</v>
      </c>
      <c r="E92" s="8" t="s">
        <v>201</v>
      </c>
      <c r="F92" s="8" t="s">
        <v>250</v>
      </c>
      <c r="G92" s="10"/>
      <c r="H92">
        <f>+_xlfn.XLOOKUP(D92,'Output BDV'!D:D,'Output BDV'!D:D)</f>
        <v>700209</v>
      </c>
    </row>
    <row r="93" spans="1:8" x14ac:dyDescent="0.25">
      <c r="A93" s="8" t="s">
        <v>251</v>
      </c>
      <c r="B93" s="8" t="s">
        <v>252</v>
      </c>
      <c r="C93" s="29">
        <v>5500.9</v>
      </c>
      <c r="D93" s="8">
        <v>700205</v>
      </c>
      <c r="E93" s="8" t="s">
        <v>201</v>
      </c>
      <c r="F93" s="8" t="s">
        <v>253</v>
      </c>
      <c r="G93" s="10"/>
      <c r="H93">
        <f>+_xlfn.XLOOKUP(D93,'Output BDV'!D:D,'Output BDV'!D:D)</f>
        <v>700205</v>
      </c>
    </row>
    <row r="94" spans="1:8" x14ac:dyDescent="0.25">
      <c r="A94" s="8" t="s">
        <v>254</v>
      </c>
      <c r="B94" s="8" t="s">
        <v>255</v>
      </c>
      <c r="C94" s="29">
        <v>479.67</v>
      </c>
      <c r="D94" s="8">
        <v>700207</v>
      </c>
      <c r="E94" s="8" t="s">
        <v>201</v>
      </c>
      <c r="F94" s="8" t="s">
        <v>256</v>
      </c>
      <c r="G94" s="10"/>
      <c r="H94">
        <f>+_xlfn.XLOOKUP(D94,'Output BDV'!D:D,'Output BDV'!D:D)</f>
        <v>700207</v>
      </c>
    </row>
    <row r="95" spans="1:8" x14ac:dyDescent="0.25">
      <c r="A95" s="8" t="s">
        <v>257</v>
      </c>
      <c r="B95" s="8" t="s">
        <v>258</v>
      </c>
      <c r="C95" s="29">
        <v>2731.85</v>
      </c>
      <c r="D95" s="8">
        <v>702405</v>
      </c>
      <c r="E95" s="8" t="s">
        <v>201</v>
      </c>
      <c r="F95" s="8" t="s">
        <v>259</v>
      </c>
      <c r="G95" s="10"/>
      <c r="H95">
        <f>+_xlfn.XLOOKUP(D95,'Output BDV'!D:D,'Output BDV'!D:D)</f>
        <v>702405</v>
      </c>
    </row>
    <row r="96" spans="1:8" x14ac:dyDescent="0.25">
      <c r="A96" s="8" t="s">
        <v>260</v>
      </c>
      <c r="B96" s="8" t="s">
        <v>261</v>
      </c>
      <c r="C96" s="29">
        <v>734.92</v>
      </c>
      <c r="D96" s="8">
        <v>702407</v>
      </c>
      <c r="E96" s="8" t="s">
        <v>201</v>
      </c>
      <c r="F96" s="8" t="s">
        <v>262</v>
      </c>
      <c r="G96" s="10"/>
      <c r="H96">
        <f>+_xlfn.XLOOKUP(D96,'Output BDV'!D:D,'Output BDV'!D:D)</f>
        <v>702407</v>
      </c>
    </row>
    <row r="97" spans="1:8" x14ac:dyDescent="0.25">
      <c r="A97" s="8" t="s">
        <v>263</v>
      </c>
      <c r="B97" s="8" t="s">
        <v>264</v>
      </c>
      <c r="C97" s="29">
        <v>3212.58</v>
      </c>
      <c r="D97" s="8">
        <v>702403</v>
      </c>
      <c r="E97" s="8" t="s">
        <v>201</v>
      </c>
      <c r="F97" s="8" t="s">
        <v>265</v>
      </c>
      <c r="G97" s="10"/>
      <c r="H97">
        <f>+_xlfn.XLOOKUP(D97,'Output BDV'!D:D,'Output BDV'!D:D)</f>
        <v>702403</v>
      </c>
    </row>
    <row r="98" spans="1:8" x14ac:dyDescent="0.25">
      <c r="A98" s="8" t="s">
        <v>266</v>
      </c>
      <c r="B98" s="8" t="s">
        <v>267</v>
      </c>
      <c r="C98" s="29">
        <v>15283.31</v>
      </c>
      <c r="D98" s="8">
        <v>700403</v>
      </c>
      <c r="E98" s="8" t="s">
        <v>201</v>
      </c>
      <c r="F98" s="8" t="s">
        <v>268</v>
      </c>
      <c r="G98" s="10"/>
      <c r="H98">
        <f>+_xlfn.XLOOKUP(D98,'Output BDV'!D:D,'Output BDV'!D:D)</f>
        <v>700403</v>
      </c>
    </row>
    <row r="99" spans="1:8" x14ac:dyDescent="0.25">
      <c r="A99" s="8" t="s">
        <v>269</v>
      </c>
      <c r="B99" s="8" t="s">
        <v>270</v>
      </c>
      <c r="C99" s="29">
        <v>3568.08</v>
      </c>
      <c r="D99" s="8">
        <v>700411</v>
      </c>
      <c r="E99" s="8" t="s">
        <v>201</v>
      </c>
      <c r="F99" s="8" t="s">
        <v>271</v>
      </c>
      <c r="G99" s="10"/>
      <c r="H99">
        <f>+_xlfn.XLOOKUP(D99,'Output BDV'!D:D,'Output BDV'!D:D)</f>
        <v>700411</v>
      </c>
    </row>
    <row r="100" spans="1:8" x14ac:dyDescent="0.25">
      <c r="A100" s="8" t="s">
        <v>272</v>
      </c>
      <c r="B100" s="8" t="s">
        <v>273</v>
      </c>
      <c r="C100" s="29">
        <v>15306</v>
      </c>
      <c r="D100" s="8">
        <v>700409</v>
      </c>
      <c r="E100" s="8" t="s">
        <v>201</v>
      </c>
      <c r="F100" s="8" t="s">
        <v>274</v>
      </c>
      <c r="G100" s="11"/>
      <c r="H100">
        <f>+_xlfn.XLOOKUP(D100,'Output BDV'!D:D,'Output BDV'!D:D)</f>
        <v>700409</v>
      </c>
    </row>
    <row r="101" spans="1:8" x14ac:dyDescent="0.25">
      <c r="A101" s="8" t="s">
        <v>275</v>
      </c>
      <c r="B101" s="8" t="s">
        <v>276</v>
      </c>
      <c r="C101" s="29">
        <v>1221.3399999999999</v>
      </c>
      <c r="D101" s="8">
        <v>702201</v>
      </c>
      <c r="E101" s="8" t="s">
        <v>201</v>
      </c>
      <c r="F101" s="8" t="s">
        <v>277</v>
      </c>
      <c r="G101" s="10"/>
      <c r="H101">
        <f>+_xlfn.XLOOKUP(D101,'Output BDV'!D:D,'Output BDV'!D:D)</f>
        <v>702201</v>
      </c>
    </row>
    <row r="102" spans="1:8" x14ac:dyDescent="0.25">
      <c r="A102" s="8" t="s">
        <v>278</v>
      </c>
      <c r="B102" s="8" t="s">
        <v>279</v>
      </c>
      <c r="C102" s="29">
        <v>1525.56</v>
      </c>
      <c r="D102" s="8">
        <v>741605</v>
      </c>
      <c r="E102" s="8" t="s">
        <v>201</v>
      </c>
      <c r="F102" s="8" t="s">
        <v>280</v>
      </c>
      <c r="G102" s="10"/>
      <c r="H102">
        <f>+_xlfn.XLOOKUP(D102,'Output BDV'!D:D,'Output BDV'!D:D)</f>
        <v>741605</v>
      </c>
    </row>
    <row r="103" spans="1:8" x14ac:dyDescent="0.25">
      <c r="A103" s="8" t="s">
        <v>281</v>
      </c>
      <c r="B103" s="8" t="s">
        <v>282</v>
      </c>
      <c r="C103" s="29">
        <v>57.9</v>
      </c>
      <c r="D103" s="8">
        <v>700819</v>
      </c>
      <c r="E103" s="8" t="s">
        <v>201</v>
      </c>
      <c r="F103" s="8" t="s">
        <v>283</v>
      </c>
      <c r="G103" s="10"/>
      <c r="H103">
        <f>+_xlfn.XLOOKUP(D103,'Output BDV'!D:D,'Output BDV'!D:D)</f>
        <v>700819</v>
      </c>
    </row>
    <row r="104" spans="1:8" x14ac:dyDescent="0.25">
      <c r="A104" s="8" t="s">
        <v>284</v>
      </c>
      <c r="B104" s="8" t="s">
        <v>285</v>
      </c>
      <c r="C104" s="29">
        <v>240</v>
      </c>
      <c r="D104" s="8">
        <v>741801</v>
      </c>
      <c r="E104" s="8" t="s">
        <v>201</v>
      </c>
      <c r="F104" s="8" t="s">
        <v>286</v>
      </c>
      <c r="G104" s="11"/>
      <c r="H104">
        <f>+_xlfn.XLOOKUP(D104,'Output BDV'!D:D,'Output BDV'!D:D)</f>
        <v>741801</v>
      </c>
    </row>
    <row r="105" spans="1:8" x14ac:dyDescent="0.25">
      <c r="A105" s="8" t="s">
        <v>287</v>
      </c>
      <c r="B105" s="8" t="s">
        <v>288</v>
      </c>
      <c r="C105" s="29">
        <v>2327.06</v>
      </c>
      <c r="D105" s="8">
        <v>700203</v>
      </c>
      <c r="E105" s="8" t="s">
        <v>201</v>
      </c>
      <c r="F105" s="8" t="s">
        <v>202</v>
      </c>
      <c r="G105" s="10"/>
      <c r="H105">
        <f>+_xlfn.XLOOKUP(D105,'Output BDV'!D:D,'Output BDV'!D:D)</f>
        <v>700203</v>
      </c>
    </row>
    <row r="106" spans="1:8" x14ac:dyDescent="0.25">
      <c r="A106" s="8" t="s">
        <v>289</v>
      </c>
      <c r="B106" s="8" t="s">
        <v>290</v>
      </c>
      <c r="C106" s="29">
        <v>1978.58</v>
      </c>
      <c r="D106" s="8">
        <v>920207</v>
      </c>
      <c r="E106" s="8" t="s">
        <v>201</v>
      </c>
      <c r="F106" s="8" t="s">
        <v>291</v>
      </c>
      <c r="G106" s="10"/>
      <c r="H106">
        <f>+_xlfn.XLOOKUP(D106,'Output BDV'!D:D,'Output BDV'!D:D)</f>
        <v>920207</v>
      </c>
    </row>
    <row r="107" spans="1:8" x14ac:dyDescent="0.25">
      <c r="A107" s="8" t="s">
        <v>292</v>
      </c>
      <c r="B107" s="8" t="s">
        <v>293</v>
      </c>
      <c r="C107" s="29">
        <v>441.51</v>
      </c>
      <c r="D107" s="8">
        <v>702411</v>
      </c>
      <c r="E107" s="8" t="s">
        <v>201</v>
      </c>
      <c r="F107" s="8" t="s">
        <v>294</v>
      </c>
      <c r="G107" s="11"/>
      <c r="H107">
        <f>+_xlfn.XLOOKUP(D107,'Output BDV'!D:D,'Output BDV'!D:D)</f>
        <v>702411</v>
      </c>
    </row>
    <row r="108" spans="1:8" x14ac:dyDescent="0.25">
      <c r="A108" s="8" t="s">
        <v>295</v>
      </c>
      <c r="B108" s="8" t="s">
        <v>296</v>
      </c>
      <c r="C108" s="29">
        <v>1568</v>
      </c>
      <c r="D108" s="8">
        <v>702003</v>
      </c>
      <c r="E108" s="8" t="s">
        <v>201</v>
      </c>
      <c r="F108" s="8" t="s">
        <v>297</v>
      </c>
      <c r="G108" s="10"/>
      <c r="H108">
        <f>+_xlfn.XLOOKUP(D108,'Output BDV'!D:D,'Output BDV'!D:D)</f>
        <v>702003</v>
      </c>
    </row>
    <row r="109" spans="1:8" x14ac:dyDescent="0.25">
      <c r="A109" s="8" t="s">
        <v>298</v>
      </c>
      <c r="B109" s="8" t="s">
        <v>299</v>
      </c>
      <c r="C109" s="29">
        <v>6486.4</v>
      </c>
      <c r="D109" s="8">
        <v>702003</v>
      </c>
      <c r="E109" s="8" t="s">
        <v>201</v>
      </c>
      <c r="F109" s="8" t="s">
        <v>297</v>
      </c>
      <c r="G109" s="10"/>
      <c r="H109">
        <f>+_xlfn.XLOOKUP(D109,'Output BDV'!D:D,'Output BDV'!D:D)</f>
        <v>702003</v>
      </c>
    </row>
    <row r="110" spans="1:8" x14ac:dyDescent="0.25">
      <c r="A110" s="8" t="s">
        <v>300</v>
      </c>
      <c r="B110" s="8" t="s">
        <v>301</v>
      </c>
      <c r="C110" s="29">
        <v>721.97</v>
      </c>
      <c r="D110" s="8">
        <v>700203</v>
      </c>
      <c r="E110" s="8" t="s">
        <v>201</v>
      </c>
      <c r="F110" s="8" t="s">
        <v>202</v>
      </c>
      <c r="G110" s="11"/>
      <c r="H110">
        <f>+_xlfn.XLOOKUP(D110,'Output BDV'!D:D,'Output BDV'!D:D)</f>
        <v>700203</v>
      </c>
    </row>
    <row r="111" spans="1:8" x14ac:dyDescent="0.25">
      <c r="A111" s="8" t="s">
        <v>302</v>
      </c>
      <c r="B111" s="8" t="s">
        <v>303</v>
      </c>
      <c r="C111" s="29">
        <v>2929.64</v>
      </c>
      <c r="D111" s="8">
        <v>700203</v>
      </c>
      <c r="E111" s="8" t="s">
        <v>201</v>
      </c>
      <c r="F111" s="8" t="s">
        <v>202</v>
      </c>
      <c r="G111" s="11"/>
      <c r="H111">
        <f>+_xlfn.XLOOKUP(D111,'Output BDV'!D:D,'Output BDV'!D:D)</f>
        <v>700203</v>
      </c>
    </row>
    <row r="112" spans="1:8" x14ac:dyDescent="0.25">
      <c r="A112" s="8" t="s">
        <v>304</v>
      </c>
      <c r="B112" s="8" t="s">
        <v>305</v>
      </c>
      <c r="C112" s="29">
        <v>3355.78</v>
      </c>
      <c r="D112" s="8" t="s">
        <v>304</v>
      </c>
      <c r="F112" s="8"/>
      <c r="G112" s="10" t="s">
        <v>87</v>
      </c>
      <c r="H112" t="str">
        <f>+_xlfn.XLOOKUP(D112,'Output BDV'!D:D,'Output BDV'!D:D)</f>
        <v>68/05/501</v>
      </c>
    </row>
    <row r="113" spans="1:8" x14ac:dyDescent="0.25">
      <c r="A113" s="8" t="s">
        <v>306</v>
      </c>
      <c r="B113" s="8" t="s">
        <v>307</v>
      </c>
      <c r="C113" s="29">
        <v>957.67</v>
      </c>
      <c r="D113" s="8">
        <v>720403</v>
      </c>
      <c r="E113" s="8" t="s">
        <v>201</v>
      </c>
      <c r="F113" s="8" t="s">
        <v>308</v>
      </c>
      <c r="G113" s="10"/>
      <c r="H113">
        <f>+_xlfn.XLOOKUP(D113,'Output BDV'!D:D,'Output BDV'!D:D)</f>
        <v>720403</v>
      </c>
    </row>
    <row r="114" spans="1:8" x14ac:dyDescent="0.25">
      <c r="A114" s="8" t="s">
        <v>309</v>
      </c>
      <c r="B114" s="8" t="s">
        <v>310</v>
      </c>
      <c r="C114" s="29">
        <v>1108.8399999999999</v>
      </c>
      <c r="D114" s="8">
        <v>702401</v>
      </c>
      <c r="E114" s="8" t="s">
        <v>201</v>
      </c>
      <c r="F114" s="8" t="s">
        <v>311</v>
      </c>
      <c r="G114" s="10"/>
      <c r="H114">
        <f>+_xlfn.XLOOKUP(D114,'Output BDV'!D:D,'Output BDV'!D:D)</f>
        <v>702401</v>
      </c>
    </row>
    <row r="115" spans="1:8" x14ac:dyDescent="0.25">
      <c r="A115" s="8" t="s">
        <v>312</v>
      </c>
      <c r="B115" s="8" t="s">
        <v>313</v>
      </c>
      <c r="C115" s="29">
        <v>69448.05</v>
      </c>
      <c r="D115" s="8">
        <v>740201</v>
      </c>
      <c r="E115" s="8" t="s">
        <v>314</v>
      </c>
      <c r="F115" s="8" t="s">
        <v>315</v>
      </c>
      <c r="G115" s="11"/>
      <c r="H115">
        <f>+_xlfn.XLOOKUP(D115,'Output BDV'!D:D,'Output BDV'!D:D)</f>
        <v>740201</v>
      </c>
    </row>
    <row r="116" spans="1:8" x14ac:dyDescent="0.25">
      <c r="A116" s="8" t="s">
        <v>316</v>
      </c>
      <c r="B116" s="8" t="s">
        <v>317</v>
      </c>
      <c r="C116" s="29">
        <v>17212.78</v>
      </c>
      <c r="D116" s="8">
        <v>740203</v>
      </c>
      <c r="E116" s="8" t="s">
        <v>314</v>
      </c>
      <c r="F116" s="8" t="s">
        <v>318</v>
      </c>
      <c r="G116" s="11"/>
      <c r="H116">
        <f>+_xlfn.XLOOKUP(D116,'Output BDV'!D:D,'Output BDV'!D:D)</f>
        <v>740203</v>
      </c>
    </row>
    <row r="117" spans="1:8" x14ac:dyDescent="0.25">
      <c r="A117" s="8" t="s">
        <v>319</v>
      </c>
      <c r="B117" s="8" t="s">
        <v>320</v>
      </c>
      <c r="C117" s="29">
        <v>19015.7</v>
      </c>
      <c r="D117" s="8">
        <v>740601</v>
      </c>
      <c r="E117" s="8" t="s">
        <v>314</v>
      </c>
      <c r="F117" s="8" t="s">
        <v>321</v>
      </c>
      <c r="G117" s="11"/>
      <c r="H117">
        <f>+_xlfn.XLOOKUP(D117,'Output BDV'!D:D,'Output BDV'!D:D)</f>
        <v>740601</v>
      </c>
    </row>
    <row r="118" spans="1:8" x14ac:dyDescent="0.25">
      <c r="A118" s="8" t="s">
        <v>322</v>
      </c>
      <c r="B118" s="8" t="s">
        <v>323</v>
      </c>
      <c r="C118" s="29">
        <v>520</v>
      </c>
      <c r="D118" s="8">
        <v>740603</v>
      </c>
      <c r="E118" s="8" t="s">
        <v>314</v>
      </c>
      <c r="F118" s="8" t="s">
        <v>324</v>
      </c>
      <c r="G118" s="10"/>
      <c r="H118">
        <f>+_xlfn.XLOOKUP(D118,'Output BDV'!D:D,'Output BDV'!D:D)</f>
        <v>740603</v>
      </c>
    </row>
    <row r="119" spans="1:8" x14ac:dyDescent="0.25">
      <c r="A119" s="8" t="s">
        <v>325</v>
      </c>
      <c r="B119" s="8" t="s">
        <v>326</v>
      </c>
      <c r="C119" s="29">
        <v>3489.92</v>
      </c>
      <c r="D119" s="8">
        <v>740611</v>
      </c>
      <c r="E119" s="8" t="s">
        <v>314</v>
      </c>
      <c r="F119" s="8" t="s">
        <v>327</v>
      </c>
      <c r="G119" s="11"/>
      <c r="H119">
        <f>+_xlfn.XLOOKUP(D119,'Output BDV'!D:D,'Output BDV'!D:D)</f>
        <v>740611</v>
      </c>
    </row>
    <row r="120" spans="1:8" x14ac:dyDescent="0.25">
      <c r="A120" s="8" t="s">
        <v>328</v>
      </c>
      <c r="B120" s="8" t="s">
        <v>329</v>
      </c>
      <c r="C120" s="29">
        <v>7392.4</v>
      </c>
      <c r="D120" s="8">
        <v>741201</v>
      </c>
      <c r="E120" s="8" t="s">
        <v>314</v>
      </c>
      <c r="F120" s="8" t="s">
        <v>330</v>
      </c>
      <c r="G120" s="10"/>
      <c r="H120">
        <f>+_xlfn.XLOOKUP(D120,'Output BDV'!D:D,'Output BDV'!D:D)</f>
        <v>741201</v>
      </c>
    </row>
    <row r="121" spans="1:8" x14ac:dyDescent="0.25">
      <c r="A121" s="8" t="s">
        <v>331</v>
      </c>
      <c r="B121" s="8" t="s">
        <v>332</v>
      </c>
      <c r="C121" s="29">
        <v>5314.85</v>
      </c>
      <c r="D121" s="8">
        <v>760601</v>
      </c>
      <c r="E121" s="8" t="s">
        <v>201</v>
      </c>
      <c r="F121" s="8" t="s">
        <v>333</v>
      </c>
      <c r="G121" s="10"/>
      <c r="H121">
        <f>+_xlfn.XLOOKUP(D121,'Output BDV'!D:D,'Output BDV'!D:D)</f>
        <v>760601</v>
      </c>
    </row>
    <row r="122" spans="1:8" x14ac:dyDescent="0.25">
      <c r="A122" s="8" t="s">
        <v>334</v>
      </c>
      <c r="B122" s="8" t="s">
        <v>335</v>
      </c>
      <c r="C122" s="29">
        <v>23748.83</v>
      </c>
      <c r="D122" s="8">
        <v>760601</v>
      </c>
      <c r="E122" s="8" t="s">
        <v>201</v>
      </c>
      <c r="F122" s="8" t="s">
        <v>333</v>
      </c>
      <c r="G122" s="11"/>
      <c r="H122">
        <f>+_xlfn.XLOOKUP(D122,'Output BDV'!D:D,'Output BDV'!D:D)</f>
        <v>760601</v>
      </c>
    </row>
    <row r="123" spans="1:8" x14ac:dyDescent="0.25">
      <c r="A123" s="8" t="s">
        <v>336</v>
      </c>
      <c r="B123" s="8" t="s">
        <v>337</v>
      </c>
      <c r="C123" s="29">
        <v>7702.66</v>
      </c>
      <c r="D123" s="8">
        <v>780201</v>
      </c>
      <c r="E123" s="8" t="s">
        <v>201</v>
      </c>
      <c r="F123" s="8" t="s">
        <v>338</v>
      </c>
      <c r="G123" s="10"/>
      <c r="H123">
        <f>+_xlfn.XLOOKUP(D123,'Output BDV'!D:D,'Output BDV'!D:D)</f>
        <v>780201</v>
      </c>
    </row>
    <row r="124" spans="1:8" x14ac:dyDescent="0.25">
      <c r="A124" s="8" t="s">
        <v>339</v>
      </c>
      <c r="B124" s="8" t="s">
        <v>340</v>
      </c>
      <c r="C124" s="29">
        <v>272.85000000000002</v>
      </c>
      <c r="D124" s="8">
        <v>780601</v>
      </c>
      <c r="E124" s="8" t="s">
        <v>201</v>
      </c>
      <c r="F124" s="8" t="s">
        <v>341</v>
      </c>
      <c r="G124" s="10"/>
      <c r="H124">
        <f>+_xlfn.XLOOKUP(D124,'Output BDV'!D:D,'Output BDV'!D:D)</f>
        <v>780601</v>
      </c>
    </row>
    <row r="125" spans="1:8" x14ac:dyDescent="0.25">
      <c r="A125" s="8" t="s">
        <v>342</v>
      </c>
      <c r="B125" s="8" t="s">
        <v>343</v>
      </c>
      <c r="C125" s="29">
        <v>2330.14</v>
      </c>
      <c r="D125" s="8">
        <v>780801</v>
      </c>
      <c r="E125" s="8" t="s">
        <v>201</v>
      </c>
      <c r="F125" s="8" t="s">
        <v>344</v>
      </c>
      <c r="G125" s="10"/>
      <c r="H125">
        <f>+_xlfn.XLOOKUP(D125,'Output BDV'!D:D,'Output BDV'!D:D)</f>
        <v>780801</v>
      </c>
    </row>
    <row r="126" spans="1:8" x14ac:dyDescent="0.25">
      <c r="A126" s="8" t="s">
        <v>345</v>
      </c>
      <c r="B126" s="8" t="s">
        <v>346</v>
      </c>
      <c r="C126" s="29">
        <v>315.42</v>
      </c>
      <c r="D126" s="8">
        <v>781001</v>
      </c>
      <c r="E126" s="8" t="s">
        <v>201</v>
      </c>
      <c r="F126" s="8" t="s">
        <v>347</v>
      </c>
      <c r="G126" s="10"/>
      <c r="H126">
        <f>+_xlfn.XLOOKUP(D126,'Output BDV'!D:D,'Output BDV'!D:D)</f>
        <v>781001</v>
      </c>
    </row>
    <row r="127" spans="1:8" x14ac:dyDescent="0.25">
      <c r="A127" s="8" t="s">
        <v>348</v>
      </c>
      <c r="B127" s="8" t="s">
        <v>349</v>
      </c>
      <c r="C127" s="29">
        <v>595.30999999999995</v>
      </c>
      <c r="D127" s="8">
        <v>781401</v>
      </c>
      <c r="E127" s="8" t="s">
        <v>201</v>
      </c>
      <c r="F127" s="8" t="s">
        <v>350</v>
      </c>
      <c r="G127" s="10"/>
      <c r="H127">
        <f>+_xlfn.XLOOKUP(D127,'Output BDV'!D:D,'Output BDV'!D:D)</f>
        <v>781401</v>
      </c>
    </row>
    <row r="128" spans="1:8" x14ac:dyDescent="0.25">
      <c r="A128" s="8" t="s">
        <v>351</v>
      </c>
      <c r="B128" s="8" t="s">
        <v>352</v>
      </c>
      <c r="C128" s="29">
        <v>10119.450000000001</v>
      </c>
      <c r="D128" s="8">
        <v>781801</v>
      </c>
      <c r="E128" s="8" t="s">
        <v>201</v>
      </c>
      <c r="F128" s="8" t="s">
        <v>353</v>
      </c>
      <c r="G128" s="10"/>
      <c r="H128">
        <f>+_xlfn.XLOOKUP(D128,'Output BDV'!D:D,'Output BDV'!D:D)</f>
        <v>781801</v>
      </c>
    </row>
    <row r="129" spans="1:8" x14ac:dyDescent="0.25">
      <c r="A129" s="8" t="s">
        <v>354</v>
      </c>
      <c r="B129" s="8" t="s">
        <v>355</v>
      </c>
      <c r="C129" s="29">
        <v>878.79</v>
      </c>
      <c r="D129" s="8">
        <v>782801</v>
      </c>
      <c r="E129" s="8" t="s">
        <v>201</v>
      </c>
      <c r="F129" s="8" t="s">
        <v>356</v>
      </c>
      <c r="G129" s="10"/>
      <c r="H129">
        <f>+_xlfn.XLOOKUP(D129,'Output BDV'!D:D,'Output BDV'!D:D)</f>
        <v>782801</v>
      </c>
    </row>
    <row r="130" spans="1:8" x14ac:dyDescent="0.25">
      <c r="A130" s="8" t="s">
        <v>357</v>
      </c>
      <c r="B130" s="8" t="s">
        <v>358</v>
      </c>
      <c r="C130" s="29">
        <v>123249.95</v>
      </c>
      <c r="D130" s="8">
        <v>800405</v>
      </c>
      <c r="E130" s="8" t="s">
        <v>359</v>
      </c>
      <c r="F130" s="8" t="s">
        <v>360</v>
      </c>
      <c r="G130" s="10"/>
      <c r="H130">
        <f>+_xlfn.XLOOKUP(D130,'Output BDV'!D:D,'Output BDV'!D:D)</f>
        <v>800405</v>
      </c>
    </row>
    <row r="131" spans="1:8" x14ac:dyDescent="0.25">
      <c r="A131" s="8" t="s">
        <v>361</v>
      </c>
      <c r="B131" s="8" t="s">
        <v>362</v>
      </c>
      <c r="C131" s="29">
        <v>222.76</v>
      </c>
      <c r="D131" s="8">
        <v>840601</v>
      </c>
      <c r="E131" s="8" t="s">
        <v>314</v>
      </c>
      <c r="F131" s="8" t="s">
        <v>363</v>
      </c>
      <c r="G131" s="10"/>
      <c r="H131">
        <f>+_xlfn.XLOOKUP(D131,'Output BDV'!D:D,'Output BDV'!D:D)</f>
        <v>840601</v>
      </c>
    </row>
    <row r="132" spans="1:8" x14ac:dyDescent="0.25">
      <c r="A132" s="8" t="s">
        <v>364</v>
      </c>
      <c r="B132" s="8" t="s">
        <v>365</v>
      </c>
      <c r="C132" s="29">
        <v>1548</v>
      </c>
      <c r="D132" s="8">
        <v>880201</v>
      </c>
      <c r="E132" s="8" t="s">
        <v>314</v>
      </c>
      <c r="F132" s="8" t="s">
        <v>366</v>
      </c>
      <c r="G132" s="10"/>
      <c r="H132">
        <f>+_xlfn.XLOOKUP(D132,'Output BDV'!D:D,'Output BDV'!D:D)</f>
        <v>880201</v>
      </c>
    </row>
    <row r="133" spans="1:8" x14ac:dyDescent="0.25">
      <c r="A133" s="8" t="s">
        <v>367</v>
      </c>
      <c r="B133" s="8" t="s">
        <v>368</v>
      </c>
      <c r="C133" s="29">
        <v>309.87</v>
      </c>
      <c r="D133" s="8">
        <v>880209</v>
      </c>
      <c r="E133" s="8" t="s">
        <v>314</v>
      </c>
      <c r="F133" s="8" t="s">
        <v>369</v>
      </c>
      <c r="G133" s="10"/>
      <c r="H133">
        <f>+_xlfn.XLOOKUP(D133,'Output BDV'!D:D,'Output BDV'!D:D)</f>
        <v>880209</v>
      </c>
    </row>
    <row r="134" spans="1:8" x14ac:dyDescent="0.25">
      <c r="A134" s="8" t="s">
        <v>370</v>
      </c>
      <c r="B134" s="8" t="s">
        <v>371</v>
      </c>
      <c r="C134" s="29">
        <v>140.83000000000001</v>
      </c>
      <c r="D134" s="8">
        <v>840401</v>
      </c>
      <c r="E134" s="8" t="s">
        <v>314</v>
      </c>
      <c r="F134" s="8" t="s">
        <v>372</v>
      </c>
      <c r="G134" s="10"/>
      <c r="H134">
        <f>+_xlfn.XLOOKUP(D134,'Output BDV'!D:D,'Output BDV'!D:D)</f>
        <v>840401</v>
      </c>
    </row>
    <row r="135" spans="1:8" x14ac:dyDescent="0.25">
      <c r="A135" s="8" t="s">
        <v>373</v>
      </c>
      <c r="B135" s="8" t="s">
        <v>374</v>
      </c>
      <c r="C135" s="29">
        <v>22.01</v>
      </c>
      <c r="D135" s="8">
        <v>840403</v>
      </c>
      <c r="E135" s="8" t="s">
        <v>314</v>
      </c>
      <c r="F135" s="8" t="s">
        <v>375</v>
      </c>
      <c r="G135" s="10"/>
      <c r="H135">
        <f>+_xlfn.XLOOKUP(D135,'Output BDV'!D:D,'Output BDV'!D:D)</f>
        <v>840403</v>
      </c>
    </row>
    <row r="136" spans="1:8" x14ac:dyDescent="0.25">
      <c r="A136" s="8" t="s">
        <v>376</v>
      </c>
      <c r="B136" s="8" t="s">
        <v>377</v>
      </c>
      <c r="C136" s="29">
        <v>1166</v>
      </c>
      <c r="D136" s="8">
        <v>880203</v>
      </c>
      <c r="E136" s="8" t="s">
        <v>314</v>
      </c>
      <c r="F136" s="8" t="s">
        <v>378</v>
      </c>
      <c r="G136" s="10"/>
      <c r="H136">
        <f>+_xlfn.XLOOKUP(D136,'Output BDV'!D:D,'Output BDV'!D:D)</f>
        <v>880203</v>
      </c>
    </row>
    <row r="137" spans="1:8" x14ac:dyDescent="0.25">
      <c r="A137" s="8" t="s">
        <v>379</v>
      </c>
      <c r="B137" s="8" t="s">
        <v>380</v>
      </c>
      <c r="C137" s="29">
        <v>230</v>
      </c>
      <c r="D137" s="8">
        <v>880211</v>
      </c>
      <c r="E137" s="8" t="s">
        <v>314</v>
      </c>
      <c r="F137" s="8" t="s">
        <v>381</v>
      </c>
      <c r="G137" s="10"/>
      <c r="H137">
        <f>+_xlfn.XLOOKUP(D137,'Output BDV'!D:D,'Output BDV'!D:D)</f>
        <v>880211</v>
      </c>
    </row>
    <row r="138" spans="1:8" x14ac:dyDescent="0.25">
      <c r="A138" s="8" t="s">
        <v>382</v>
      </c>
      <c r="B138" s="8" t="s">
        <v>383</v>
      </c>
      <c r="C138" s="29">
        <v>124.78</v>
      </c>
      <c r="D138" s="8">
        <v>880205</v>
      </c>
      <c r="E138" s="8" t="s">
        <v>314</v>
      </c>
      <c r="F138" s="8" t="s">
        <v>384</v>
      </c>
      <c r="G138" s="10"/>
      <c r="H138">
        <f>+_xlfn.XLOOKUP(D138,'Output BDV'!D:D,'Output BDV'!D:D)</f>
        <v>880205</v>
      </c>
    </row>
    <row r="139" spans="1:8" x14ac:dyDescent="0.25">
      <c r="A139" s="8" t="s">
        <v>385</v>
      </c>
      <c r="B139" s="8" t="s">
        <v>386</v>
      </c>
      <c r="C139" s="29">
        <v>530</v>
      </c>
      <c r="D139" s="8">
        <v>881201</v>
      </c>
      <c r="E139" s="8" t="s">
        <v>314</v>
      </c>
      <c r="F139" s="8" t="s">
        <v>387</v>
      </c>
      <c r="G139" s="10"/>
      <c r="H139">
        <f>+_xlfn.XLOOKUP(D139,'Output BDV'!D:D,'Output BDV'!D:D)</f>
        <v>881201</v>
      </c>
    </row>
    <row r="140" spans="1:8" x14ac:dyDescent="0.25">
      <c r="A140" s="8" t="s">
        <v>388</v>
      </c>
      <c r="B140" s="8" t="s">
        <v>389</v>
      </c>
      <c r="C140" s="29">
        <v>305</v>
      </c>
      <c r="D140" s="8">
        <v>700821</v>
      </c>
      <c r="E140" s="8" t="s">
        <v>314</v>
      </c>
      <c r="F140" s="8" t="s">
        <v>390</v>
      </c>
      <c r="G140" s="10"/>
      <c r="H140">
        <f>+_xlfn.XLOOKUP(D140,'Output BDV'!D:D,'Output BDV'!D:D)</f>
        <v>700821</v>
      </c>
    </row>
    <row r="141" spans="1:8" x14ac:dyDescent="0.25">
      <c r="A141" s="8" t="s">
        <v>391</v>
      </c>
      <c r="B141" s="8" t="s">
        <v>392</v>
      </c>
      <c r="C141" s="29">
        <v>774.99</v>
      </c>
      <c r="D141" s="8">
        <v>880803</v>
      </c>
      <c r="E141" s="8" t="s">
        <v>314</v>
      </c>
      <c r="F141" s="8" t="s">
        <v>393</v>
      </c>
      <c r="G141" s="10"/>
      <c r="H141">
        <f>+_xlfn.XLOOKUP(D141,'Output BDV'!D:D,'Output BDV'!D:D)</f>
        <v>880803</v>
      </c>
    </row>
    <row r="142" spans="1:8" x14ac:dyDescent="0.25">
      <c r="A142" s="8" t="s">
        <v>394</v>
      </c>
      <c r="B142" s="8" t="s">
        <v>395</v>
      </c>
      <c r="C142" s="29">
        <v>4.97</v>
      </c>
      <c r="D142" s="8">
        <v>880601</v>
      </c>
      <c r="E142" s="8" t="s">
        <v>314</v>
      </c>
      <c r="F142" s="8" t="s">
        <v>396</v>
      </c>
      <c r="G142" s="10"/>
      <c r="H142">
        <f>+_xlfn.XLOOKUP(D142,'Output BDV'!D:D,'Output BDV'!D:D)</f>
        <v>880601</v>
      </c>
    </row>
    <row r="143" spans="1:8" x14ac:dyDescent="0.25">
      <c r="A143" s="8" t="s">
        <v>397</v>
      </c>
      <c r="B143" s="8" t="s">
        <v>398</v>
      </c>
      <c r="C143" s="29">
        <v>200</v>
      </c>
      <c r="D143" s="8">
        <v>881001</v>
      </c>
      <c r="E143" s="8" t="s">
        <v>314</v>
      </c>
      <c r="F143" s="8" t="s">
        <v>399</v>
      </c>
      <c r="G143" s="10"/>
      <c r="H143">
        <f>+_xlfn.XLOOKUP(D143,'Output BDV'!D:D,'Output BDV'!D:D)</f>
        <v>881001</v>
      </c>
    </row>
    <row r="144" spans="1:8" x14ac:dyDescent="0.25">
      <c r="A144" s="8" t="s">
        <v>400</v>
      </c>
      <c r="B144" s="8" t="s">
        <v>401</v>
      </c>
      <c r="C144" s="29">
        <v>50</v>
      </c>
      <c r="D144" s="8">
        <v>880205</v>
      </c>
      <c r="E144" s="8" t="s">
        <v>314</v>
      </c>
      <c r="F144" s="8" t="s">
        <v>384</v>
      </c>
      <c r="G144" s="11"/>
      <c r="H144">
        <f>+_xlfn.XLOOKUP(D144,'Output BDV'!D:D,'Output BDV'!D:D)</f>
        <v>880205</v>
      </c>
    </row>
    <row r="145" spans="1:8" x14ac:dyDescent="0.25">
      <c r="A145" s="8" t="s">
        <v>402</v>
      </c>
      <c r="B145" s="8" t="s">
        <v>403</v>
      </c>
      <c r="C145" s="29">
        <v>1378.17</v>
      </c>
      <c r="D145" s="8">
        <v>880205</v>
      </c>
      <c r="E145" s="8" t="s">
        <v>314</v>
      </c>
      <c r="F145" s="8" t="s">
        <v>384</v>
      </c>
      <c r="G145" s="11"/>
      <c r="H145">
        <f>+_xlfn.XLOOKUP(D145,'Output BDV'!D:D,'Output BDV'!D:D)</f>
        <v>880205</v>
      </c>
    </row>
    <row r="146" spans="1:8" x14ac:dyDescent="0.25">
      <c r="A146" s="8" t="s">
        <v>404</v>
      </c>
      <c r="B146" s="8" t="s">
        <v>405</v>
      </c>
      <c r="C146" s="29">
        <v>1071</v>
      </c>
      <c r="D146" s="8">
        <v>920207</v>
      </c>
      <c r="E146" s="8" t="s">
        <v>201</v>
      </c>
      <c r="F146" s="8" t="s">
        <v>291</v>
      </c>
      <c r="G146" s="10"/>
      <c r="H146">
        <f>+_xlfn.XLOOKUP(D146,'Output BDV'!D:D,'Output BDV'!D:D)</f>
        <v>920207</v>
      </c>
    </row>
    <row r="147" spans="1:8" x14ac:dyDescent="0.25">
      <c r="A147" s="8" t="s">
        <v>406</v>
      </c>
      <c r="B147" s="8" t="s">
        <v>407</v>
      </c>
      <c r="C147" s="29">
        <v>364.27</v>
      </c>
      <c r="D147" s="8">
        <v>920211</v>
      </c>
      <c r="E147" s="8" t="s">
        <v>314</v>
      </c>
      <c r="F147" s="8" t="s">
        <v>408</v>
      </c>
      <c r="G147" s="10"/>
      <c r="H147">
        <f>+_xlfn.XLOOKUP(D147,'Output BDV'!D:D,'Output BDV'!D:D)</f>
        <v>920211</v>
      </c>
    </row>
    <row r="148" spans="1:8" x14ac:dyDescent="0.25">
      <c r="A148" s="8" t="s">
        <v>409</v>
      </c>
      <c r="B148" s="8" t="s">
        <v>410</v>
      </c>
      <c r="C148" s="29">
        <v>3668</v>
      </c>
      <c r="D148" s="8">
        <v>940201</v>
      </c>
      <c r="E148" s="8" t="s">
        <v>314</v>
      </c>
      <c r="F148" s="8" t="s">
        <v>411</v>
      </c>
      <c r="G148" s="10"/>
      <c r="H148">
        <f>+_xlfn.XLOOKUP(D148,'Output BDV'!D:D,'Output BDV'!D:D)</f>
        <v>940201</v>
      </c>
    </row>
    <row r="149" spans="1:8" x14ac:dyDescent="0.25">
      <c r="A149" s="8" t="s">
        <v>412</v>
      </c>
      <c r="B149" s="8" t="s">
        <v>413</v>
      </c>
      <c r="C149" s="29">
        <v>16354</v>
      </c>
      <c r="D149" s="8">
        <v>940209</v>
      </c>
      <c r="E149" s="8" t="s">
        <v>314</v>
      </c>
      <c r="F149" s="8" t="s">
        <v>414</v>
      </c>
      <c r="G149" s="10"/>
      <c r="H149">
        <f>+_xlfn.XLOOKUP(D149,'Output BDV'!D:D,'Output BDV'!D:D)</f>
        <v>940209</v>
      </c>
    </row>
    <row r="150" spans="1:8" x14ac:dyDescent="0.25">
      <c r="A150" s="8"/>
      <c r="B150" s="8"/>
      <c r="C150" s="29"/>
      <c r="D150" s="8"/>
      <c r="E150" s="8"/>
      <c r="F150" s="8"/>
      <c r="G150" s="10"/>
      <c r="H150">
        <f>+_xlfn.XLOOKUP(D150,'Output BDV'!D:D,'Output BDV'!D:D)</f>
        <v>0</v>
      </c>
    </row>
    <row r="151" spans="1:8" x14ac:dyDescent="0.25">
      <c r="A151" s="8" t="s">
        <v>12</v>
      </c>
      <c r="B151" s="12" t="s">
        <v>4</v>
      </c>
      <c r="C151" s="29"/>
      <c r="D151" s="8"/>
      <c r="E151" s="8"/>
      <c r="F151" s="8"/>
      <c r="G151" s="10"/>
      <c r="H151">
        <f>+_xlfn.XLOOKUP(D151,'Output BDV'!D:D,'Output BDV'!D:D)</f>
        <v>0</v>
      </c>
    </row>
    <row r="152" spans="1:8" x14ac:dyDescent="0.25">
      <c r="A152" s="8" t="s">
        <v>415</v>
      </c>
      <c r="B152" s="8" t="s">
        <v>416</v>
      </c>
      <c r="C152" s="32">
        <v>-290116.90999999997</v>
      </c>
      <c r="D152" s="8">
        <v>620201</v>
      </c>
      <c r="E152" s="8" t="s">
        <v>359</v>
      </c>
      <c r="F152" s="8" t="s">
        <v>417</v>
      </c>
      <c r="G152" s="10"/>
      <c r="H152">
        <f>+_xlfn.XLOOKUP(D152,'Output BDV'!D:D,'Output BDV'!D:D)</f>
        <v>620201</v>
      </c>
    </row>
    <row r="153" spans="1:8" x14ac:dyDescent="0.25">
      <c r="A153" s="8" t="s">
        <v>418</v>
      </c>
      <c r="B153" s="8" t="s">
        <v>419</v>
      </c>
      <c r="C153" s="32">
        <v>-338.42</v>
      </c>
      <c r="D153" s="8">
        <v>620201</v>
      </c>
      <c r="E153" s="8" t="s">
        <v>359</v>
      </c>
      <c r="F153" s="8" t="s">
        <v>417</v>
      </c>
      <c r="G153" s="10"/>
      <c r="H153">
        <f>+_xlfn.XLOOKUP(D153,'Output BDV'!D:D,'Output BDV'!D:D)</f>
        <v>620201</v>
      </c>
    </row>
    <row r="154" spans="1:8" x14ac:dyDescent="0.25">
      <c r="A154" s="8" t="s">
        <v>420</v>
      </c>
      <c r="B154" s="8" t="s">
        <v>421</v>
      </c>
      <c r="C154" s="32">
        <v>-131459.6</v>
      </c>
      <c r="D154" s="8">
        <v>620201</v>
      </c>
      <c r="E154" s="8" t="s">
        <v>359</v>
      </c>
      <c r="F154" s="8" t="s">
        <v>417</v>
      </c>
      <c r="G154" s="10"/>
      <c r="H154">
        <f>+_xlfn.XLOOKUP(D154,'Output BDV'!D:D,'Output BDV'!D:D)</f>
        <v>620201</v>
      </c>
    </row>
    <row r="155" spans="1:8" x14ac:dyDescent="0.25">
      <c r="A155" s="8" t="s">
        <v>422</v>
      </c>
      <c r="B155" s="8" t="s">
        <v>423</v>
      </c>
      <c r="C155" s="32">
        <v>-283.13</v>
      </c>
      <c r="D155" s="8">
        <v>620201</v>
      </c>
      <c r="E155" s="8" t="s">
        <v>359</v>
      </c>
      <c r="F155" s="8" t="s">
        <v>417</v>
      </c>
      <c r="G155" s="10"/>
      <c r="H155">
        <f>+_xlfn.XLOOKUP(D155,'Output BDV'!D:D,'Output BDV'!D:D)</f>
        <v>620201</v>
      </c>
    </row>
    <row r="156" spans="1:8" x14ac:dyDescent="0.25">
      <c r="A156" s="8" t="s">
        <v>424</v>
      </c>
      <c r="B156" s="8" t="s">
        <v>425</v>
      </c>
      <c r="C156" s="32">
        <v>-254572.41</v>
      </c>
      <c r="D156" s="8">
        <v>620201</v>
      </c>
      <c r="E156" s="8" t="s">
        <v>359</v>
      </c>
      <c r="F156" s="8" t="s">
        <v>417</v>
      </c>
      <c r="G156" s="10"/>
      <c r="H156">
        <f>+_xlfn.XLOOKUP(D156,'Output BDV'!D:D,'Output BDV'!D:D)</f>
        <v>620201</v>
      </c>
    </row>
    <row r="157" spans="1:8" x14ac:dyDescent="0.25">
      <c r="A157" s="8" t="s">
        <v>426</v>
      </c>
      <c r="B157" s="8" t="s">
        <v>427</v>
      </c>
      <c r="C157" s="32">
        <v>-23970.69</v>
      </c>
      <c r="D157" s="8">
        <v>620201</v>
      </c>
      <c r="E157" s="8" t="s">
        <v>359</v>
      </c>
      <c r="F157" s="8" t="s">
        <v>417</v>
      </c>
      <c r="G157" s="10"/>
      <c r="H157">
        <f>+_xlfn.XLOOKUP(D157,'Output BDV'!D:D,'Output BDV'!D:D)</f>
        <v>620201</v>
      </c>
    </row>
    <row r="158" spans="1:8" x14ac:dyDescent="0.25">
      <c r="A158" s="8" t="s">
        <v>428</v>
      </c>
      <c r="B158" s="8" t="s">
        <v>429</v>
      </c>
      <c r="C158" s="32">
        <v>-3204.8</v>
      </c>
      <c r="D158" s="8">
        <v>620201</v>
      </c>
      <c r="E158" s="8" t="s">
        <v>359</v>
      </c>
      <c r="F158" s="8" t="s">
        <v>417</v>
      </c>
      <c r="G158" s="10"/>
      <c r="H158">
        <f>+_xlfn.XLOOKUP(D158,'Output BDV'!D:D,'Output BDV'!D:D)</f>
        <v>620201</v>
      </c>
    </row>
    <row r="159" spans="1:8" x14ac:dyDescent="0.25">
      <c r="A159" s="8" t="s">
        <v>430</v>
      </c>
      <c r="B159" s="8" t="s">
        <v>431</v>
      </c>
      <c r="C159" s="32">
        <v>-0.97</v>
      </c>
      <c r="D159" s="8">
        <v>660201</v>
      </c>
      <c r="E159" s="8" t="s">
        <v>432</v>
      </c>
      <c r="F159" s="8" t="s">
        <v>433</v>
      </c>
      <c r="G159" s="10"/>
      <c r="H159">
        <f>+_xlfn.XLOOKUP(D159,'Output BDV'!D:D,'Output BDV'!D:D)</f>
        <v>660201</v>
      </c>
    </row>
    <row r="160" spans="1:8" x14ac:dyDescent="0.25">
      <c r="A160" s="8" t="s">
        <v>434</v>
      </c>
      <c r="B160" s="8" t="s">
        <v>435</v>
      </c>
      <c r="C160" s="32">
        <v>-70</v>
      </c>
      <c r="D160" s="8">
        <v>660407</v>
      </c>
      <c r="E160" s="8" t="s">
        <v>432</v>
      </c>
      <c r="F160" s="8" t="s">
        <v>436</v>
      </c>
      <c r="G160" s="10"/>
      <c r="H160">
        <f>+_xlfn.XLOOKUP(D160,'Output BDV'!D:D,'Output BDV'!D:D)</f>
        <v>660407</v>
      </c>
    </row>
    <row r="161" spans="1:8" x14ac:dyDescent="0.25">
      <c r="A161" s="8" t="s">
        <v>437</v>
      </c>
      <c r="B161" s="8" t="s">
        <v>438</v>
      </c>
      <c r="C161" s="32">
        <v>-3770</v>
      </c>
      <c r="D161" s="8">
        <v>660203</v>
      </c>
      <c r="E161" s="8" t="s">
        <v>432</v>
      </c>
      <c r="F161" s="8" t="s">
        <v>439</v>
      </c>
      <c r="G161" s="10"/>
      <c r="H161">
        <f>+_xlfn.XLOOKUP(D161,'Output BDV'!D:D,'Output BDV'!D:D)</f>
        <v>660203</v>
      </c>
    </row>
    <row r="162" spans="1:8" x14ac:dyDescent="0.25">
      <c r="A162" s="8" t="s">
        <v>440</v>
      </c>
      <c r="B162" s="8" t="s">
        <v>441</v>
      </c>
      <c r="C162" s="32">
        <v>-1980.62</v>
      </c>
      <c r="D162" s="8">
        <v>660411</v>
      </c>
      <c r="E162" s="8" t="s">
        <v>432</v>
      </c>
      <c r="F162" s="8" t="s">
        <v>442</v>
      </c>
      <c r="G162" s="10"/>
      <c r="H162">
        <f>+_xlfn.XLOOKUP(D162,'Output BDV'!D:D,'Output BDV'!D:D)</f>
        <v>660411</v>
      </c>
    </row>
    <row r="163" spans="1:8" x14ac:dyDescent="0.25">
      <c r="A163" s="8" t="s">
        <v>443</v>
      </c>
      <c r="B163" s="8" t="s">
        <v>444</v>
      </c>
      <c r="C163" s="32">
        <v>-111115.03</v>
      </c>
      <c r="D163" s="8">
        <v>800205</v>
      </c>
      <c r="E163" s="8" t="s">
        <v>432</v>
      </c>
      <c r="F163" s="8" t="s">
        <v>445</v>
      </c>
      <c r="G163" s="10"/>
      <c r="H163">
        <f>+_xlfn.XLOOKUP(D163,'Output BDV'!D:D,'Output BDV'!D:D)</f>
        <v>800205</v>
      </c>
    </row>
  </sheetData>
  <autoFilter ref="A6:H163" xr:uid="{00000000-0001-0000-0000-000000000000}"/>
  <hyperlinks>
    <hyperlink ref="F11" r:id="rId1" display="https://9628427.app.netsuite.com/app/reporting/reportrunner.nl?acctid=443&amp;reload=T&amp;reporttype=REGISTER" xr:uid="{CB6993C2-8BB4-4CA9-BA65-697C6668AA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0EC2-75FE-4BBD-B5A1-E7407B4F62A0}">
  <sheetPr filterMode="1"/>
  <dimension ref="B4:L374"/>
  <sheetViews>
    <sheetView showGridLines="0" topLeftCell="A4" workbookViewId="0">
      <selection activeCell="K101" sqref="K101:L101"/>
    </sheetView>
  </sheetViews>
  <sheetFormatPr defaultRowHeight="15" x14ac:dyDescent="0.25"/>
  <cols>
    <col min="2" max="2" width="10.42578125" customWidth="1"/>
    <col min="3" max="3" width="12.7109375" customWidth="1"/>
    <col min="4" max="4" width="22.28515625" customWidth="1"/>
    <col min="6" max="6" width="58.5703125" bestFit="1" customWidth="1"/>
    <col min="7" max="8" width="12.7109375" bestFit="1" customWidth="1"/>
    <col min="9" max="9" width="16" bestFit="1" customWidth="1"/>
    <col min="11" max="11" width="15.28515625" style="14" bestFit="1" customWidth="1"/>
    <col min="12" max="12" width="14.28515625" style="18" bestFit="1" customWidth="1"/>
  </cols>
  <sheetData>
    <row r="4" spans="2:12" x14ac:dyDescent="0.25">
      <c r="B4" s="28" t="s">
        <v>870</v>
      </c>
      <c r="C4" s="28" t="s">
        <v>871</v>
      </c>
      <c r="D4" s="28" t="s">
        <v>828</v>
      </c>
      <c r="E4" s="28" t="s">
        <v>872</v>
      </c>
      <c r="F4" s="35" t="s">
        <v>447</v>
      </c>
      <c r="G4" s="36" t="s">
        <v>448</v>
      </c>
      <c r="H4" s="36" t="s">
        <v>449</v>
      </c>
      <c r="I4" s="43" t="s">
        <v>866</v>
      </c>
      <c r="J4" s="44" t="s">
        <v>867</v>
      </c>
      <c r="K4" s="27" t="s">
        <v>868</v>
      </c>
      <c r="L4" s="19" t="s">
        <v>869</v>
      </c>
    </row>
    <row r="5" spans="2:12" hidden="1" x14ac:dyDescent="0.25">
      <c r="B5" t="s">
        <v>873</v>
      </c>
      <c r="C5">
        <v>0</v>
      </c>
      <c r="D5" t="s">
        <v>829</v>
      </c>
      <c r="E5">
        <f t="shared" ref="E5:E65" si="0">+_xlfn.NUMBERVALUE(LEFT(F5,6))</f>
        <v>100201</v>
      </c>
      <c r="F5" s="38" t="s">
        <v>450</v>
      </c>
      <c r="G5" s="37">
        <v>4214.29</v>
      </c>
      <c r="H5" s="37"/>
      <c r="I5" s="41">
        <f>+G5-H5</f>
        <v>4214.29</v>
      </c>
      <c r="J5">
        <f>+_xlfn.XLOOKUP(E5,[1]BDV!$F:$F,[1]BDV!$AC:$AC)</f>
        <v>4214.29</v>
      </c>
      <c r="K5" s="14">
        <f>+J5/6*8</f>
        <v>5619.0533333333333</v>
      </c>
      <c r="L5" s="18">
        <f>+K5-I5</f>
        <v>1404.7633333333333</v>
      </c>
    </row>
    <row r="6" spans="2:12" hidden="1" x14ac:dyDescent="0.25">
      <c r="B6" t="s">
        <v>873</v>
      </c>
      <c r="C6">
        <v>0</v>
      </c>
      <c r="D6" t="s">
        <v>829</v>
      </c>
      <c r="E6">
        <f t="shared" si="0"/>
        <v>100203</v>
      </c>
      <c r="F6" s="38" t="s">
        <v>451</v>
      </c>
      <c r="G6" s="37">
        <v>4758632.5999999996</v>
      </c>
      <c r="H6" s="37"/>
      <c r="I6" s="41">
        <f t="shared" ref="I6:I69" si="1">+G6-H6</f>
        <v>4758632.5999999996</v>
      </c>
      <c r="J6">
        <f>+_xlfn.XLOOKUP(E6,[1]BDV!$F:$F,[1]BDV!$AC:$AC)</f>
        <v>4717032.5999999996</v>
      </c>
      <c r="K6" s="14">
        <f t="shared" ref="K6:K69" si="2">+J6/6*8</f>
        <v>6289376.7999999998</v>
      </c>
      <c r="L6" s="18">
        <f t="shared" ref="L6:L69" si="3">+K6-I6</f>
        <v>1530744.2000000002</v>
      </c>
    </row>
    <row r="7" spans="2:12" hidden="1" x14ac:dyDescent="0.25">
      <c r="B7" t="s">
        <v>873</v>
      </c>
      <c r="C7">
        <v>0</v>
      </c>
      <c r="D7" t="s">
        <v>829</v>
      </c>
      <c r="E7">
        <f t="shared" si="0"/>
        <v>100205</v>
      </c>
      <c r="F7" s="38" t="s">
        <v>452</v>
      </c>
      <c r="G7" s="37">
        <v>50053944.920000002</v>
      </c>
      <c r="H7" s="37"/>
      <c r="I7" s="41">
        <f t="shared" si="1"/>
        <v>50053944.920000002</v>
      </c>
      <c r="J7">
        <f>+_xlfn.XLOOKUP(E7,[1]BDV!$F:$F,[1]BDV!$AC:$AC)</f>
        <v>50053944.920000002</v>
      </c>
      <c r="K7" s="14">
        <f t="shared" si="2"/>
        <v>66738593.226666667</v>
      </c>
      <c r="L7" s="18">
        <f t="shared" si="3"/>
        <v>16684648.306666665</v>
      </c>
    </row>
    <row r="8" spans="2:12" hidden="1" x14ac:dyDescent="0.25">
      <c r="B8" t="s">
        <v>873</v>
      </c>
      <c r="C8">
        <v>0</v>
      </c>
      <c r="D8" t="s">
        <v>829</v>
      </c>
      <c r="E8">
        <f t="shared" si="0"/>
        <v>100207</v>
      </c>
      <c r="F8" s="38" t="s">
        <v>453</v>
      </c>
      <c r="G8" s="37">
        <v>120976572.62</v>
      </c>
      <c r="H8" s="37"/>
      <c r="I8" s="41">
        <f t="shared" si="1"/>
        <v>120976572.62</v>
      </c>
      <c r="J8">
        <f>+_xlfn.XLOOKUP(E8,[1]BDV!$F:$F,[1]BDV!$AC:$AC)</f>
        <v>116700030.42</v>
      </c>
      <c r="K8" s="14">
        <f t="shared" si="2"/>
        <v>155600040.56</v>
      </c>
      <c r="L8" s="18">
        <f t="shared" si="3"/>
        <v>34623467.939999998</v>
      </c>
    </row>
    <row r="9" spans="2:12" hidden="1" x14ac:dyDescent="0.25">
      <c r="B9" t="s">
        <v>873</v>
      </c>
      <c r="C9">
        <v>0</v>
      </c>
      <c r="D9" t="s">
        <v>829</v>
      </c>
      <c r="E9">
        <f t="shared" si="0"/>
        <v>100209</v>
      </c>
      <c r="F9" s="38" t="s">
        <v>454</v>
      </c>
      <c r="G9" s="37">
        <v>21620273.210000001</v>
      </c>
      <c r="H9" s="37"/>
      <c r="I9" s="41">
        <f t="shared" si="1"/>
        <v>21620273.210000001</v>
      </c>
      <c r="J9">
        <f>+_xlfn.XLOOKUP(E9,[1]BDV!$F:$F,[1]BDV!$AC:$AC)</f>
        <v>20295751.800000001</v>
      </c>
      <c r="K9" s="14">
        <f t="shared" si="2"/>
        <v>27061002.400000002</v>
      </c>
      <c r="L9" s="18">
        <f t="shared" si="3"/>
        <v>5440729.1900000013</v>
      </c>
    </row>
    <row r="10" spans="2:12" hidden="1" x14ac:dyDescent="0.25">
      <c r="B10" t="s">
        <v>873</v>
      </c>
      <c r="C10">
        <v>0</v>
      </c>
      <c r="D10" t="s">
        <v>829</v>
      </c>
      <c r="E10">
        <f t="shared" si="0"/>
        <v>100215</v>
      </c>
      <c r="F10" s="38" t="s">
        <v>455</v>
      </c>
      <c r="G10" s="37">
        <v>354977.91</v>
      </c>
      <c r="H10" s="37"/>
      <c r="I10" s="41">
        <f t="shared" si="1"/>
        <v>354977.91</v>
      </c>
      <c r="J10">
        <f>+_xlfn.XLOOKUP(E10,[1]BDV!$F:$F,[1]BDV!$AC:$AC)</f>
        <v>354977.91</v>
      </c>
      <c r="K10" s="14">
        <f t="shared" si="2"/>
        <v>473303.87999999995</v>
      </c>
      <c r="L10" s="18">
        <f t="shared" si="3"/>
        <v>118325.96999999997</v>
      </c>
    </row>
    <row r="11" spans="2:12" hidden="1" x14ac:dyDescent="0.25">
      <c r="B11" t="s">
        <v>873</v>
      </c>
      <c r="C11">
        <v>0</v>
      </c>
      <c r="D11" t="s">
        <v>829</v>
      </c>
      <c r="E11">
        <f t="shared" si="0"/>
        <v>100217</v>
      </c>
      <c r="F11" s="38" t="s">
        <v>456</v>
      </c>
      <c r="G11" s="37">
        <v>201871.57</v>
      </c>
      <c r="H11" s="37"/>
      <c r="I11" s="41">
        <f t="shared" si="1"/>
        <v>201871.57</v>
      </c>
      <c r="J11">
        <f>+_xlfn.XLOOKUP(E11,[1]BDV!$F:$F,[1]BDV!$AC:$AC)</f>
        <v>201871.57</v>
      </c>
      <c r="K11" s="14">
        <f t="shared" si="2"/>
        <v>269162.09333333332</v>
      </c>
      <c r="L11" s="18">
        <f t="shared" si="3"/>
        <v>67290.523333333316</v>
      </c>
    </row>
    <row r="12" spans="2:12" hidden="1" x14ac:dyDescent="0.25">
      <c r="B12" t="s">
        <v>873</v>
      </c>
      <c r="C12">
        <v>0</v>
      </c>
      <c r="D12" t="s">
        <v>829</v>
      </c>
      <c r="E12">
        <f t="shared" si="0"/>
        <v>100223</v>
      </c>
      <c r="F12" s="38" t="s">
        <v>457</v>
      </c>
      <c r="G12" s="37"/>
      <c r="H12" s="37">
        <v>1496.05</v>
      </c>
      <c r="I12" s="41">
        <f t="shared" si="1"/>
        <v>-1496.05</v>
      </c>
      <c r="J12">
        <f>+_xlfn.XLOOKUP(E12,[1]BDV!$F:$F,[1]BDV!$AC:$AC)</f>
        <v>-1403.05</v>
      </c>
      <c r="K12" s="14">
        <f t="shared" si="2"/>
        <v>-1870.7333333333333</v>
      </c>
      <c r="L12" s="18">
        <f t="shared" si="3"/>
        <v>-374.68333333333339</v>
      </c>
    </row>
    <row r="13" spans="2:12" hidden="1" x14ac:dyDescent="0.25">
      <c r="B13" t="s">
        <v>873</v>
      </c>
      <c r="C13">
        <v>0</v>
      </c>
      <c r="D13" t="s">
        <v>829</v>
      </c>
      <c r="E13">
        <f t="shared" si="0"/>
        <v>100225</v>
      </c>
      <c r="F13" s="38" t="s">
        <v>458</v>
      </c>
      <c r="G13" s="37"/>
      <c r="H13" s="37">
        <v>2334868.14</v>
      </c>
      <c r="I13" s="41">
        <f t="shared" si="1"/>
        <v>-2334868.14</v>
      </c>
      <c r="J13">
        <f>+_xlfn.XLOOKUP(E13,[1]BDV!$F:$F,[1]BDV!$AC:$AC)</f>
        <v>-2176218.13</v>
      </c>
      <c r="K13" s="14">
        <f t="shared" si="2"/>
        <v>-2901624.1733333333</v>
      </c>
      <c r="L13" s="18">
        <f t="shared" si="3"/>
        <v>-566756.03333333321</v>
      </c>
    </row>
    <row r="14" spans="2:12" hidden="1" x14ac:dyDescent="0.25">
      <c r="B14" t="s">
        <v>873</v>
      </c>
      <c r="C14">
        <v>0</v>
      </c>
      <c r="D14" t="s">
        <v>829</v>
      </c>
      <c r="E14">
        <f t="shared" si="0"/>
        <v>100227</v>
      </c>
      <c r="F14" s="38" t="s">
        <v>459</v>
      </c>
      <c r="G14" s="37"/>
      <c r="H14" s="37">
        <v>8392.14</v>
      </c>
      <c r="I14" s="41">
        <f t="shared" si="1"/>
        <v>-8392.14</v>
      </c>
      <c r="J14">
        <f>+_xlfn.XLOOKUP(E14,[1]BDV!$F:$F,[1]BDV!$AC:$AC)</f>
        <v>-8082.14</v>
      </c>
      <c r="K14" s="14">
        <f t="shared" si="2"/>
        <v>-10776.186666666666</v>
      </c>
      <c r="L14" s="18">
        <f t="shared" si="3"/>
        <v>-2384.0466666666671</v>
      </c>
    </row>
    <row r="15" spans="2:12" hidden="1" x14ac:dyDescent="0.25">
      <c r="B15" t="s">
        <v>873</v>
      </c>
      <c r="C15">
        <v>0</v>
      </c>
      <c r="D15" t="s">
        <v>829</v>
      </c>
      <c r="E15">
        <f t="shared" si="0"/>
        <v>100231</v>
      </c>
      <c r="F15" s="38" t="s">
        <v>460</v>
      </c>
      <c r="G15" s="37"/>
      <c r="H15" s="37">
        <v>260807.85</v>
      </c>
      <c r="I15" s="41">
        <f t="shared" si="1"/>
        <v>-260807.85</v>
      </c>
      <c r="J15">
        <f>+_xlfn.XLOOKUP(E15,[1]BDV!$F:$F,[1]BDV!$AC:$AC)</f>
        <v>-253386.81</v>
      </c>
      <c r="K15" s="14">
        <f t="shared" si="2"/>
        <v>-337849.08</v>
      </c>
      <c r="L15" s="18">
        <f t="shared" si="3"/>
        <v>-77041.23000000001</v>
      </c>
    </row>
    <row r="16" spans="2:12" hidden="1" x14ac:dyDescent="0.25">
      <c r="B16" t="s">
        <v>873</v>
      </c>
      <c r="C16">
        <v>0</v>
      </c>
      <c r="D16" t="s">
        <v>829</v>
      </c>
      <c r="E16">
        <f t="shared" si="0"/>
        <v>100235</v>
      </c>
      <c r="F16" s="38" t="s">
        <v>461</v>
      </c>
      <c r="G16" s="37"/>
      <c r="H16" s="37">
        <v>43002348.350000001</v>
      </c>
      <c r="I16" s="41">
        <f t="shared" si="1"/>
        <v>-43002348.350000001</v>
      </c>
      <c r="J16">
        <f>+_xlfn.XLOOKUP(E16,[1]BDV!$F:$F,[1]BDV!$AC:$AC)</f>
        <v>-41630306.289999999</v>
      </c>
      <c r="K16" s="14">
        <f t="shared" si="2"/>
        <v>-55507075.053333335</v>
      </c>
      <c r="L16" s="18">
        <f t="shared" si="3"/>
        <v>-12504726.703333333</v>
      </c>
    </row>
    <row r="17" spans="2:12" hidden="1" x14ac:dyDescent="0.25">
      <c r="B17" t="s">
        <v>873</v>
      </c>
      <c r="C17">
        <v>0</v>
      </c>
      <c r="D17" t="s">
        <v>829</v>
      </c>
      <c r="E17">
        <f t="shared" si="0"/>
        <v>100237</v>
      </c>
      <c r="F17" s="38" t="s">
        <v>462</v>
      </c>
      <c r="G17" s="37"/>
      <c r="H17" s="37">
        <v>196064.56</v>
      </c>
      <c r="I17" s="41">
        <f t="shared" si="1"/>
        <v>-196064.56</v>
      </c>
      <c r="J17">
        <f>+_xlfn.XLOOKUP(E17,[1]BDV!$F:$F,[1]BDV!$AC:$AC)</f>
        <v>-195615.56</v>
      </c>
      <c r="K17" s="14">
        <f t="shared" si="2"/>
        <v>-260820.74666666667</v>
      </c>
      <c r="L17" s="18">
        <f t="shared" si="3"/>
        <v>-64756.186666666676</v>
      </c>
    </row>
    <row r="18" spans="2:12" hidden="1" x14ac:dyDescent="0.25">
      <c r="B18" t="s">
        <v>873</v>
      </c>
      <c r="C18">
        <v>0</v>
      </c>
      <c r="D18" t="s">
        <v>829</v>
      </c>
      <c r="E18">
        <f t="shared" si="0"/>
        <v>100239</v>
      </c>
      <c r="F18" s="38" t="s">
        <v>463</v>
      </c>
      <c r="G18" s="37">
        <v>55778.54</v>
      </c>
      <c r="H18" s="37"/>
      <c r="I18" s="41">
        <f t="shared" si="1"/>
        <v>55778.54</v>
      </c>
      <c r="J18">
        <f>+_xlfn.XLOOKUP(E18,[1]BDV!$F:$F,[1]BDV!$AC:$AC)</f>
        <v>55778.54</v>
      </c>
      <c r="K18" s="14">
        <f t="shared" si="2"/>
        <v>74371.386666666673</v>
      </c>
      <c r="L18" s="18">
        <f t="shared" si="3"/>
        <v>18592.846666666672</v>
      </c>
    </row>
    <row r="19" spans="2:12" hidden="1" x14ac:dyDescent="0.25">
      <c r="B19" t="s">
        <v>873</v>
      </c>
      <c r="C19">
        <v>0</v>
      </c>
      <c r="D19" t="s">
        <v>829</v>
      </c>
      <c r="E19">
        <f t="shared" si="0"/>
        <v>100241</v>
      </c>
      <c r="F19" s="38" t="s">
        <v>464</v>
      </c>
      <c r="G19" s="37"/>
      <c r="H19" s="37">
        <v>55414.19</v>
      </c>
      <c r="I19" s="41">
        <f t="shared" si="1"/>
        <v>-55414.19</v>
      </c>
      <c r="J19">
        <f>+_xlfn.XLOOKUP(E19,[1]BDV!$F:$F,[1]BDV!$AC:$AC)</f>
        <v>-55232.19</v>
      </c>
      <c r="K19" s="14">
        <f t="shared" si="2"/>
        <v>-73642.92</v>
      </c>
      <c r="L19" s="18">
        <f t="shared" si="3"/>
        <v>-18228.729999999996</v>
      </c>
    </row>
    <row r="20" spans="2:12" hidden="1" x14ac:dyDescent="0.25">
      <c r="B20" t="s">
        <v>873</v>
      </c>
      <c r="C20">
        <v>0</v>
      </c>
      <c r="D20" t="s">
        <v>829</v>
      </c>
      <c r="E20">
        <f t="shared" si="0"/>
        <v>100249</v>
      </c>
      <c r="F20" s="38" t="s">
        <v>465</v>
      </c>
      <c r="G20" s="37">
        <v>29035480.52</v>
      </c>
      <c r="H20" s="37"/>
      <c r="I20" s="41">
        <f t="shared" si="1"/>
        <v>29035480.52</v>
      </c>
      <c r="J20">
        <f>+_xlfn.XLOOKUP(E20,[1]BDV!$F:$F,[1]BDV!$AC:$AC)</f>
        <v>29035480.52</v>
      </c>
      <c r="K20" s="14">
        <f t="shared" si="2"/>
        <v>38713974.026666664</v>
      </c>
      <c r="L20" s="18">
        <f t="shared" si="3"/>
        <v>9678493.506666664</v>
      </c>
    </row>
    <row r="21" spans="2:12" hidden="1" x14ac:dyDescent="0.25">
      <c r="B21" t="s">
        <v>873</v>
      </c>
      <c r="C21">
        <v>0</v>
      </c>
      <c r="D21" t="s">
        <v>829</v>
      </c>
      <c r="E21">
        <f t="shared" si="0"/>
        <v>100251</v>
      </c>
      <c r="F21" s="38" t="s">
        <v>466</v>
      </c>
      <c r="G21" s="37"/>
      <c r="H21" s="37">
        <v>4531375.83</v>
      </c>
      <c r="I21" s="41">
        <f t="shared" si="1"/>
        <v>-4531375.83</v>
      </c>
      <c r="J21">
        <f>+_xlfn.XLOOKUP(E21,[1]BDV!$F:$F,[1]BDV!$AC:$AC)</f>
        <v>-4244018.43</v>
      </c>
      <c r="K21" s="14">
        <f t="shared" si="2"/>
        <v>-5658691.2399999993</v>
      </c>
      <c r="L21" s="18">
        <f t="shared" si="3"/>
        <v>-1127315.4099999992</v>
      </c>
    </row>
    <row r="22" spans="2:12" hidden="1" x14ac:dyDescent="0.25">
      <c r="B22" t="s">
        <v>873</v>
      </c>
      <c r="C22">
        <v>0</v>
      </c>
      <c r="D22" t="s">
        <v>830</v>
      </c>
      <c r="E22">
        <f t="shared" si="0"/>
        <v>100401</v>
      </c>
      <c r="F22" s="38" t="s">
        <v>467</v>
      </c>
      <c r="G22" s="37">
        <v>14238.97</v>
      </c>
      <c r="H22" s="37"/>
      <c r="I22" s="41">
        <f t="shared" si="1"/>
        <v>14238.97</v>
      </c>
      <c r="J22">
        <f>+_xlfn.XLOOKUP(E22,[1]BDV!$F:$F,[1]BDV!$AC:$AC)</f>
        <v>106086.67</v>
      </c>
      <c r="K22" s="14">
        <f t="shared" si="2"/>
        <v>141448.89333333334</v>
      </c>
      <c r="L22" s="18">
        <f t="shared" si="3"/>
        <v>127209.92333333334</v>
      </c>
    </row>
    <row r="23" spans="2:12" hidden="1" x14ac:dyDescent="0.25">
      <c r="B23" t="s">
        <v>873</v>
      </c>
      <c r="C23">
        <v>0</v>
      </c>
      <c r="D23" t="s">
        <v>830</v>
      </c>
      <c r="E23">
        <f t="shared" si="0"/>
        <v>100403</v>
      </c>
      <c r="F23" s="38" t="s">
        <v>468</v>
      </c>
      <c r="G23" s="37">
        <v>18097</v>
      </c>
      <c r="H23" s="37"/>
      <c r="I23" s="41">
        <f t="shared" si="1"/>
        <v>18097</v>
      </c>
      <c r="J23">
        <f>+_xlfn.XLOOKUP(E23,[1]BDV!$F:$F,[1]BDV!$AC:$AC)</f>
        <v>18097</v>
      </c>
      <c r="K23" s="14">
        <f t="shared" si="2"/>
        <v>24129.333333333332</v>
      </c>
      <c r="L23" s="18">
        <f t="shared" si="3"/>
        <v>6032.3333333333321</v>
      </c>
    </row>
    <row r="24" spans="2:12" hidden="1" x14ac:dyDescent="0.25">
      <c r="B24" t="s">
        <v>873</v>
      </c>
      <c r="C24">
        <v>0</v>
      </c>
      <c r="D24" t="s">
        <v>830</v>
      </c>
      <c r="E24">
        <f t="shared" si="0"/>
        <v>100405</v>
      </c>
      <c r="F24" s="38" t="s">
        <v>469</v>
      </c>
      <c r="G24" s="37">
        <v>1050820.3999999999</v>
      </c>
      <c r="H24" s="37"/>
      <c r="I24" s="41">
        <f t="shared" si="1"/>
        <v>1050820.3999999999</v>
      </c>
      <c r="J24">
        <f>+_xlfn.XLOOKUP(E24,[1]BDV!$F:$F,[1]BDV!$AC:$AC)</f>
        <v>1050820.3999999999</v>
      </c>
      <c r="K24" s="14">
        <f t="shared" si="2"/>
        <v>1401093.8666666665</v>
      </c>
      <c r="L24" s="18">
        <f t="shared" si="3"/>
        <v>350273.46666666656</v>
      </c>
    </row>
    <row r="25" spans="2:12" hidden="1" x14ac:dyDescent="0.25">
      <c r="B25" t="s">
        <v>873</v>
      </c>
      <c r="C25">
        <v>0</v>
      </c>
      <c r="D25" t="s">
        <v>830</v>
      </c>
      <c r="E25">
        <f t="shared" si="0"/>
        <v>100407</v>
      </c>
      <c r="F25" s="38" t="s">
        <v>470</v>
      </c>
      <c r="G25" s="37">
        <v>104546</v>
      </c>
      <c r="H25" s="37"/>
      <c r="I25" s="41">
        <f t="shared" si="1"/>
        <v>104546</v>
      </c>
      <c r="J25">
        <f>+_xlfn.XLOOKUP(E25,[1]BDV!$F:$F,[1]BDV!$AC:$AC)</f>
        <v>104546</v>
      </c>
      <c r="K25" s="14">
        <f t="shared" si="2"/>
        <v>139394.66666666666</v>
      </c>
      <c r="L25" s="18">
        <f t="shared" si="3"/>
        <v>34848.666666666657</v>
      </c>
    </row>
    <row r="26" spans="2:12" hidden="1" x14ac:dyDescent="0.25">
      <c r="B26" t="s">
        <v>873</v>
      </c>
      <c r="C26">
        <v>0</v>
      </c>
      <c r="D26" t="s">
        <v>830</v>
      </c>
      <c r="E26">
        <f t="shared" si="0"/>
        <v>100409</v>
      </c>
      <c r="F26" s="38" t="s">
        <v>471</v>
      </c>
      <c r="G26" s="37">
        <v>36920</v>
      </c>
      <c r="H26" s="37"/>
      <c r="I26" s="41">
        <f t="shared" si="1"/>
        <v>36920</v>
      </c>
      <c r="J26">
        <f>+_xlfn.XLOOKUP(E26,[1]BDV!$F:$F,[1]BDV!$AC:$AC)</f>
        <v>36920</v>
      </c>
      <c r="K26" s="14">
        <f t="shared" si="2"/>
        <v>49226.666666666664</v>
      </c>
      <c r="L26" s="18">
        <f t="shared" si="3"/>
        <v>12306.666666666664</v>
      </c>
    </row>
    <row r="27" spans="2:12" hidden="1" x14ac:dyDescent="0.25">
      <c r="B27" t="s">
        <v>873</v>
      </c>
      <c r="C27">
        <v>0</v>
      </c>
      <c r="D27" t="s">
        <v>830</v>
      </c>
      <c r="E27">
        <f t="shared" si="0"/>
        <v>100411</v>
      </c>
      <c r="F27" s="38" t="s">
        <v>472</v>
      </c>
      <c r="G27" s="37">
        <v>717177.2</v>
      </c>
      <c r="H27" s="37"/>
      <c r="I27" s="41">
        <f t="shared" si="1"/>
        <v>717177.2</v>
      </c>
      <c r="J27">
        <f>+_xlfn.XLOOKUP(E27,[1]BDV!$F:$F,[1]BDV!$AC:$AC)</f>
        <v>703528.86</v>
      </c>
      <c r="K27" s="14">
        <f t="shared" si="2"/>
        <v>938038.48</v>
      </c>
      <c r="L27" s="18">
        <f t="shared" si="3"/>
        <v>220861.28000000003</v>
      </c>
    </row>
    <row r="28" spans="2:12" hidden="1" x14ac:dyDescent="0.25">
      <c r="B28" t="s">
        <v>873</v>
      </c>
      <c r="C28">
        <v>0</v>
      </c>
      <c r="D28" t="s">
        <v>830</v>
      </c>
      <c r="E28">
        <f t="shared" si="0"/>
        <v>100413</v>
      </c>
      <c r="F28" s="38" t="s">
        <v>473</v>
      </c>
      <c r="G28" s="37">
        <v>77813.34</v>
      </c>
      <c r="H28" s="37"/>
      <c r="I28" s="41">
        <f t="shared" si="1"/>
        <v>77813.34</v>
      </c>
      <c r="J28">
        <f>+_xlfn.XLOOKUP(E28,[1]BDV!$F:$F,[1]BDV!$AC:$AC)</f>
        <v>77813.34</v>
      </c>
      <c r="K28" s="14">
        <f t="shared" si="2"/>
        <v>103751.12</v>
      </c>
      <c r="L28" s="18">
        <f t="shared" si="3"/>
        <v>25937.78</v>
      </c>
    </row>
    <row r="29" spans="2:12" hidden="1" x14ac:dyDescent="0.25">
      <c r="B29" t="s">
        <v>873</v>
      </c>
      <c r="C29">
        <v>0</v>
      </c>
      <c r="D29" t="s">
        <v>830</v>
      </c>
      <c r="E29">
        <f t="shared" si="0"/>
        <v>100415</v>
      </c>
      <c r="F29" s="38" t="s">
        <v>474</v>
      </c>
      <c r="G29" s="37">
        <v>372327.78</v>
      </c>
      <c r="H29" s="37"/>
      <c r="I29" s="41">
        <f t="shared" si="1"/>
        <v>372327.78</v>
      </c>
      <c r="J29">
        <f>+_xlfn.XLOOKUP(E29,[1]BDV!$F:$F,[1]BDV!$AC:$AC)</f>
        <v>372327.78</v>
      </c>
      <c r="K29" s="14">
        <f t="shared" si="2"/>
        <v>496437.04000000004</v>
      </c>
      <c r="L29" s="18">
        <f t="shared" si="3"/>
        <v>124109.26000000001</v>
      </c>
    </row>
    <row r="30" spans="2:12" hidden="1" x14ac:dyDescent="0.25">
      <c r="B30" t="s">
        <v>873</v>
      </c>
      <c r="C30">
        <v>0</v>
      </c>
      <c r="D30" t="s">
        <v>830</v>
      </c>
      <c r="E30">
        <f t="shared" si="0"/>
        <v>100417</v>
      </c>
      <c r="F30" s="38" t="s">
        <v>475</v>
      </c>
      <c r="G30" s="37">
        <v>571065.69999999995</v>
      </c>
      <c r="H30" s="37"/>
      <c r="I30" s="41">
        <f t="shared" si="1"/>
        <v>571065.69999999995</v>
      </c>
      <c r="J30">
        <f>+_xlfn.XLOOKUP(E30,[1]BDV!$F:$F,[1]BDV!$AC:$AC)</f>
        <v>571065.69999999995</v>
      </c>
      <c r="K30" s="14">
        <f t="shared" si="2"/>
        <v>761420.93333333323</v>
      </c>
      <c r="L30" s="18">
        <f t="shared" si="3"/>
        <v>190355.23333333328</v>
      </c>
    </row>
    <row r="31" spans="2:12" hidden="1" x14ac:dyDescent="0.25">
      <c r="B31" t="s">
        <v>873</v>
      </c>
      <c r="C31">
        <v>0</v>
      </c>
      <c r="D31" t="s">
        <v>830</v>
      </c>
      <c r="E31">
        <f t="shared" si="0"/>
        <v>100419</v>
      </c>
      <c r="F31" s="38" t="s">
        <v>476</v>
      </c>
      <c r="G31" s="37">
        <v>516770.12</v>
      </c>
      <c r="H31" s="37"/>
      <c r="I31" s="41">
        <f t="shared" si="1"/>
        <v>516770.12</v>
      </c>
      <c r="J31">
        <f>+_xlfn.XLOOKUP(E31,[1]BDV!$F:$F,[1]BDV!$AC:$AC)</f>
        <v>513770.12</v>
      </c>
      <c r="K31" s="14">
        <f t="shared" si="2"/>
        <v>685026.82666666666</v>
      </c>
      <c r="L31" s="18">
        <f t="shared" si="3"/>
        <v>168256.70666666667</v>
      </c>
    </row>
    <row r="32" spans="2:12" hidden="1" x14ac:dyDescent="0.25">
      <c r="B32" t="s">
        <v>873</v>
      </c>
      <c r="C32">
        <v>0</v>
      </c>
      <c r="D32" t="s">
        <v>830</v>
      </c>
      <c r="E32">
        <f t="shared" si="0"/>
        <v>100421</v>
      </c>
      <c r="F32" s="38" t="s">
        <v>477</v>
      </c>
      <c r="G32" s="37">
        <v>364211.72</v>
      </c>
      <c r="H32" s="37"/>
      <c r="I32" s="41">
        <f t="shared" si="1"/>
        <v>364211.72</v>
      </c>
      <c r="J32">
        <f>+_xlfn.XLOOKUP(E32,[1]BDV!$F:$F,[1]BDV!$AC:$AC)</f>
        <v>348980.49</v>
      </c>
      <c r="K32" s="14">
        <f t="shared" si="2"/>
        <v>465307.32</v>
      </c>
      <c r="L32" s="18">
        <f t="shared" si="3"/>
        <v>101095.60000000003</v>
      </c>
    </row>
    <row r="33" spans="2:12" hidden="1" x14ac:dyDescent="0.25">
      <c r="B33" t="s">
        <v>873</v>
      </c>
      <c r="C33">
        <v>0</v>
      </c>
      <c r="D33" t="s">
        <v>830</v>
      </c>
      <c r="E33">
        <f t="shared" si="0"/>
        <v>100423</v>
      </c>
      <c r="F33" s="38" t="s">
        <v>478</v>
      </c>
      <c r="G33" s="37">
        <v>710845.27</v>
      </c>
      <c r="H33" s="37"/>
      <c r="I33" s="41">
        <f t="shared" si="1"/>
        <v>710845.27</v>
      </c>
      <c r="J33">
        <f>+_xlfn.XLOOKUP(E33,[1]BDV!$F:$F,[1]BDV!$AC:$AC)</f>
        <v>710845.27</v>
      </c>
      <c r="K33" s="14">
        <f t="shared" si="2"/>
        <v>947793.69333333336</v>
      </c>
      <c r="L33" s="18">
        <f t="shared" si="3"/>
        <v>236948.42333333334</v>
      </c>
    </row>
    <row r="34" spans="2:12" hidden="1" x14ac:dyDescent="0.25">
      <c r="B34" t="s">
        <v>873</v>
      </c>
      <c r="C34">
        <v>0</v>
      </c>
      <c r="D34" t="s">
        <v>830</v>
      </c>
      <c r="E34">
        <f t="shared" si="0"/>
        <v>100425</v>
      </c>
      <c r="F34" s="38" t="s">
        <v>479</v>
      </c>
      <c r="G34" s="37">
        <v>90383.75</v>
      </c>
      <c r="H34" s="37"/>
      <c r="I34" s="41">
        <f t="shared" si="1"/>
        <v>90383.75</v>
      </c>
      <c r="J34">
        <f>+_xlfn.XLOOKUP(E34,[1]BDV!$F:$F,[1]BDV!$AC:$AC)</f>
        <v>90383.75</v>
      </c>
      <c r="K34" s="14">
        <f t="shared" si="2"/>
        <v>120511.66666666667</v>
      </c>
      <c r="L34" s="18">
        <f t="shared" si="3"/>
        <v>30127.916666666672</v>
      </c>
    </row>
    <row r="35" spans="2:12" hidden="1" x14ac:dyDescent="0.25">
      <c r="B35" t="s">
        <v>873</v>
      </c>
      <c r="C35">
        <v>0</v>
      </c>
      <c r="D35" t="s">
        <v>830</v>
      </c>
      <c r="E35">
        <f t="shared" si="0"/>
        <v>100427</v>
      </c>
      <c r="F35" s="38" t="s">
        <v>480</v>
      </c>
      <c r="G35" s="37">
        <v>46069.52</v>
      </c>
      <c r="H35" s="37"/>
      <c r="I35" s="41">
        <f t="shared" si="1"/>
        <v>46069.52</v>
      </c>
      <c r="J35">
        <f>+_xlfn.XLOOKUP(E35,[1]BDV!$F:$F,[1]BDV!$AC:$AC)</f>
        <v>46069.52</v>
      </c>
      <c r="K35" s="14">
        <f t="shared" si="2"/>
        <v>61426.026666666665</v>
      </c>
      <c r="L35" s="18">
        <f t="shared" si="3"/>
        <v>15356.506666666668</v>
      </c>
    </row>
    <row r="36" spans="2:12" hidden="1" x14ac:dyDescent="0.25">
      <c r="B36" t="s">
        <v>873</v>
      </c>
      <c r="C36">
        <v>0</v>
      </c>
      <c r="D36" t="s">
        <v>830</v>
      </c>
      <c r="E36">
        <f t="shared" si="0"/>
        <v>100429</v>
      </c>
      <c r="F36" s="38" t="s">
        <v>481</v>
      </c>
      <c r="G36" s="37"/>
      <c r="H36" s="37">
        <v>299457.09999999998</v>
      </c>
      <c r="I36" s="41">
        <f t="shared" si="1"/>
        <v>-299457.09999999998</v>
      </c>
      <c r="J36">
        <f>+_xlfn.XLOOKUP(E36,[1]BDV!$F:$F,[1]BDV!$AC:$AC)</f>
        <v>-294384.2</v>
      </c>
      <c r="K36" s="14">
        <f t="shared" si="2"/>
        <v>-392512.26666666666</v>
      </c>
      <c r="L36" s="18">
        <f t="shared" si="3"/>
        <v>-93055.166666666686</v>
      </c>
    </row>
    <row r="37" spans="2:12" hidden="1" x14ac:dyDescent="0.25">
      <c r="B37" t="s">
        <v>873</v>
      </c>
      <c r="C37">
        <v>0</v>
      </c>
      <c r="D37" t="s">
        <v>830</v>
      </c>
      <c r="E37">
        <f t="shared" si="0"/>
        <v>100431</v>
      </c>
      <c r="F37" s="38" t="s">
        <v>482</v>
      </c>
      <c r="G37" s="37"/>
      <c r="H37" s="37">
        <v>74989</v>
      </c>
      <c r="I37" s="41">
        <f t="shared" si="1"/>
        <v>-74989</v>
      </c>
      <c r="J37">
        <f>+_xlfn.XLOOKUP(E37,[1]BDV!$F:$F,[1]BDV!$AC:$AC)</f>
        <v>-74338.240000000005</v>
      </c>
      <c r="K37" s="14">
        <f t="shared" si="2"/>
        <v>-99117.653333333335</v>
      </c>
      <c r="L37" s="18">
        <f t="shared" si="3"/>
        <v>-24128.653333333335</v>
      </c>
    </row>
    <row r="38" spans="2:12" hidden="1" x14ac:dyDescent="0.25">
      <c r="B38" t="s">
        <v>873</v>
      </c>
      <c r="C38">
        <v>0</v>
      </c>
      <c r="D38" t="s">
        <v>830</v>
      </c>
      <c r="E38">
        <f t="shared" si="0"/>
        <v>100433</v>
      </c>
      <c r="F38" s="38" t="s">
        <v>483</v>
      </c>
      <c r="G38" s="37"/>
      <c r="H38" s="37">
        <v>36919.339999999997</v>
      </c>
      <c r="I38" s="41">
        <f t="shared" si="1"/>
        <v>-36919.339999999997</v>
      </c>
      <c r="J38">
        <f>+_xlfn.XLOOKUP(E38,[1]BDV!$F:$F,[1]BDV!$AC:$AC)</f>
        <v>-36919.339999999997</v>
      </c>
      <c r="K38" s="14">
        <f t="shared" si="2"/>
        <v>-49225.78666666666</v>
      </c>
      <c r="L38" s="18">
        <f t="shared" si="3"/>
        <v>-12306.446666666663</v>
      </c>
    </row>
    <row r="39" spans="2:12" hidden="1" x14ac:dyDescent="0.25">
      <c r="B39" t="s">
        <v>873</v>
      </c>
      <c r="C39">
        <v>0</v>
      </c>
      <c r="D39" t="s">
        <v>830</v>
      </c>
      <c r="E39">
        <f t="shared" si="0"/>
        <v>100435</v>
      </c>
      <c r="F39" s="38" t="s">
        <v>484</v>
      </c>
      <c r="G39" s="37"/>
      <c r="H39" s="37">
        <v>652334.16</v>
      </c>
      <c r="I39" s="41">
        <f t="shared" si="1"/>
        <v>-652334.16</v>
      </c>
      <c r="J39">
        <f>+_xlfn.XLOOKUP(E39,[1]BDV!$F:$F,[1]BDV!$AC:$AC)</f>
        <v>-638216.69999999995</v>
      </c>
      <c r="K39" s="14">
        <f t="shared" si="2"/>
        <v>-850955.6</v>
      </c>
      <c r="L39" s="18">
        <f t="shared" si="3"/>
        <v>-198621.43999999994</v>
      </c>
    </row>
    <row r="40" spans="2:12" hidden="1" x14ac:dyDescent="0.25">
      <c r="B40" t="s">
        <v>873</v>
      </c>
      <c r="C40">
        <v>0</v>
      </c>
      <c r="D40" t="s">
        <v>830</v>
      </c>
      <c r="E40">
        <f t="shared" si="0"/>
        <v>100437</v>
      </c>
      <c r="F40" s="38" t="s">
        <v>485</v>
      </c>
      <c r="G40" s="37"/>
      <c r="H40" s="37">
        <v>74803.03</v>
      </c>
      <c r="I40" s="41">
        <f t="shared" si="1"/>
        <v>-74803.03</v>
      </c>
      <c r="J40">
        <f>+_xlfn.XLOOKUP(E40,[1]BDV!$F:$F,[1]BDV!$AC:$AC)</f>
        <v>-74166.880000000005</v>
      </c>
      <c r="K40" s="14">
        <f t="shared" si="2"/>
        <v>-98889.17333333334</v>
      </c>
      <c r="L40" s="18">
        <f t="shared" si="3"/>
        <v>-24086.143333333341</v>
      </c>
    </row>
    <row r="41" spans="2:12" hidden="1" x14ac:dyDescent="0.25">
      <c r="B41" t="s">
        <v>873</v>
      </c>
      <c r="C41">
        <v>0</v>
      </c>
      <c r="D41" t="s">
        <v>830</v>
      </c>
      <c r="E41">
        <f t="shared" si="0"/>
        <v>100439</v>
      </c>
      <c r="F41" s="38" t="s">
        <v>486</v>
      </c>
      <c r="G41" s="37"/>
      <c r="H41" s="37">
        <v>329143.84000000003</v>
      </c>
      <c r="I41" s="41">
        <f t="shared" si="1"/>
        <v>-329143.84000000003</v>
      </c>
      <c r="J41">
        <f>+_xlfn.XLOOKUP(E41,[1]BDV!$F:$F,[1]BDV!$AC:$AC)</f>
        <v>-326493.87</v>
      </c>
      <c r="K41" s="14">
        <f t="shared" si="2"/>
        <v>-435325.16</v>
      </c>
      <c r="L41" s="18">
        <f t="shared" si="3"/>
        <v>-106181.31999999995</v>
      </c>
    </row>
    <row r="42" spans="2:12" hidden="1" x14ac:dyDescent="0.25">
      <c r="B42" t="s">
        <v>873</v>
      </c>
      <c r="C42">
        <v>0</v>
      </c>
      <c r="D42" t="s">
        <v>830</v>
      </c>
      <c r="E42">
        <f t="shared" si="0"/>
        <v>100441</v>
      </c>
      <c r="F42" s="38" t="s">
        <v>487</v>
      </c>
      <c r="G42" s="37"/>
      <c r="H42" s="37">
        <v>478748.5</v>
      </c>
      <c r="I42" s="41">
        <f t="shared" si="1"/>
        <v>-478748.5</v>
      </c>
      <c r="J42">
        <f>+_xlfn.XLOOKUP(E42,[1]BDV!$F:$F,[1]BDV!$AC:$AC)</f>
        <v>-473050.14</v>
      </c>
      <c r="K42" s="14">
        <f t="shared" si="2"/>
        <v>-630733.52</v>
      </c>
      <c r="L42" s="18">
        <f t="shared" si="3"/>
        <v>-151985.02000000002</v>
      </c>
    </row>
    <row r="43" spans="2:12" hidden="1" x14ac:dyDescent="0.25">
      <c r="B43" t="s">
        <v>873</v>
      </c>
      <c r="C43">
        <v>0</v>
      </c>
      <c r="D43" t="s">
        <v>830</v>
      </c>
      <c r="E43">
        <f t="shared" si="0"/>
        <v>100443</v>
      </c>
      <c r="F43" s="38" t="s">
        <v>488</v>
      </c>
      <c r="G43" s="37"/>
      <c r="H43" s="37">
        <v>395317.49</v>
      </c>
      <c r="I43" s="41">
        <f t="shared" si="1"/>
        <v>-395317.49</v>
      </c>
      <c r="J43">
        <f>+_xlfn.XLOOKUP(E43,[1]BDV!$F:$F,[1]BDV!$AC:$AC)</f>
        <v>-390059.69</v>
      </c>
      <c r="K43" s="14">
        <f t="shared" si="2"/>
        <v>-520079.58666666667</v>
      </c>
      <c r="L43" s="18">
        <f t="shared" si="3"/>
        <v>-124762.09666666668</v>
      </c>
    </row>
    <row r="44" spans="2:12" hidden="1" x14ac:dyDescent="0.25">
      <c r="B44" t="s">
        <v>873</v>
      </c>
      <c r="C44">
        <v>0</v>
      </c>
      <c r="D44" t="s">
        <v>830</v>
      </c>
      <c r="E44">
        <f t="shared" si="0"/>
        <v>100445</v>
      </c>
      <c r="F44" s="38" t="s">
        <v>489</v>
      </c>
      <c r="G44" s="37"/>
      <c r="H44" s="37">
        <v>237452.24</v>
      </c>
      <c r="I44" s="41">
        <f t="shared" si="1"/>
        <v>-237452.24</v>
      </c>
      <c r="J44">
        <f>+_xlfn.XLOOKUP(E44,[1]BDV!$F:$F,[1]BDV!$AC:$AC)</f>
        <v>-230985.9</v>
      </c>
      <c r="K44" s="14">
        <f t="shared" si="2"/>
        <v>-307981.2</v>
      </c>
      <c r="L44" s="18">
        <f t="shared" si="3"/>
        <v>-70528.960000000021</v>
      </c>
    </row>
    <row r="45" spans="2:12" hidden="1" x14ac:dyDescent="0.25">
      <c r="B45" t="s">
        <v>873</v>
      </c>
      <c r="C45">
        <v>0</v>
      </c>
      <c r="D45" t="s">
        <v>830</v>
      </c>
      <c r="E45">
        <f t="shared" si="0"/>
        <v>100447</v>
      </c>
      <c r="F45" s="38" t="s">
        <v>490</v>
      </c>
      <c r="G45" s="37"/>
      <c r="H45" s="37">
        <v>666067.87</v>
      </c>
      <c r="I45" s="41">
        <f t="shared" si="1"/>
        <v>-666067.87</v>
      </c>
      <c r="J45">
        <f>+_xlfn.XLOOKUP(E45,[1]BDV!$F:$F,[1]BDV!$AC:$AC)</f>
        <v>-662807.72</v>
      </c>
      <c r="K45" s="14">
        <f t="shared" si="2"/>
        <v>-883743.62666666659</v>
      </c>
      <c r="L45" s="18">
        <f t="shared" si="3"/>
        <v>-217675.7566666666</v>
      </c>
    </row>
    <row r="46" spans="2:12" hidden="1" x14ac:dyDescent="0.25">
      <c r="B46" t="s">
        <v>873</v>
      </c>
      <c r="C46">
        <v>0</v>
      </c>
      <c r="D46" t="s">
        <v>830</v>
      </c>
      <c r="E46">
        <f t="shared" si="0"/>
        <v>100449</v>
      </c>
      <c r="F46" s="38" t="s">
        <v>491</v>
      </c>
      <c r="G46" s="37"/>
      <c r="H46" s="37">
        <v>88911.25</v>
      </c>
      <c r="I46" s="41">
        <f t="shared" si="1"/>
        <v>-88911.25</v>
      </c>
      <c r="J46">
        <f>+_xlfn.XLOOKUP(E46,[1]BDV!$F:$F,[1]BDV!$AC:$AC)</f>
        <v>-88175.81</v>
      </c>
      <c r="K46" s="14">
        <f t="shared" si="2"/>
        <v>-117567.74666666666</v>
      </c>
      <c r="L46" s="18">
        <f t="shared" si="3"/>
        <v>-28656.496666666659</v>
      </c>
    </row>
    <row r="47" spans="2:12" hidden="1" x14ac:dyDescent="0.25">
      <c r="B47" t="s">
        <v>873</v>
      </c>
      <c r="C47">
        <v>0</v>
      </c>
      <c r="D47" t="s">
        <v>830</v>
      </c>
      <c r="E47">
        <f t="shared" si="0"/>
        <v>100451</v>
      </c>
      <c r="F47" s="38" t="s">
        <v>492</v>
      </c>
      <c r="G47" s="37"/>
      <c r="H47" s="37">
        <v>43338.58</v>
      </c>
      <c r="I47" s="41">
        <f t="shared" si="1"/>
        <v>-43338.58</v>
      </c>
      <c r="J47">
        <f>+_xlfn.XLOOKUP(E47,[1]BDV!$F:$F,[1]BDV!$AC:$AC)</f>
        <v>-43114.12</v>
      </c>
      <c r="K47" s="14">
        <f t="shared" si="2"/>
        <v>-57485.493333333339</v>
      </c>
      <c r="L47" s="18">
        <f t="shared" si="3"/>
        <v>-14146.913333333338</v>
      </c>
    </row>
    <row r="48" spans="2:12" hidden="1" x14ac:dyDescent="0.25">
      <c r="B48" t="s">
        <v>873</v>
      </c>
      <c r="C48">
        <v>0</v>
      </c>
      <c r="D48" t="s">
        <v>830</v>
      </c>
      <c r="E48">
        <f t="shared" si="0"/>
        <v>100453</v>
      </c>
      <c r="F48" s="38" t="s">
        <v>493</v>
      </c>
      <c r="G48" s="37">
        <v>6766</v>
      </c>
      <c r="H48" s="37"/>
      <c r="I48" s="41">
        <f t="shared" si="1"/>
        <v>6766</v>
      </c>
      <c r="J48">
        <f>+_xlfn.XLOOKUP(E48,[1]BDV!$F:$F,[1]BDV!$AC:$AC)</f>
        <v>6766</v>
      </c>
      <c r="K48" s="14">
        <f t="shared" si="2"/>
        <v>9021.3333333333339</v>
      </c>
      <c r="L48" s="18">
        <f t="shared" si="3"/>
        <v>2255.3333333333339</v>
      </c>
    </row>
    <row r="49" spans="2:12" hidden="1" x14ac:dyDescent="0.25">
      <c r="B49" t="s">
        <v>873</v>
      </c>
      <c r="C49">
        <v>0</v>
      </c>
      <c r="D49" t="s">
        <v>830</v>
      </c>
      <c r="E49">
        <f t="shared" si="0"/>
        <v>100455</v>
      </c>
      <c r="F49" s="38" t="s">
        <v>494</v>
      </c>
      <c r="G49" s="37"/>
      <c r="H49" s="37">
        <v>6367.3</v>
      </c>
      <c r="I49" s="41">
        <f t="shared" si="1"/>
        <v>-6367.3</v>
      </c>
      <c r="J49">
        <f>+_xlfn.XLOOKUP(E49,[1]BDV!$F:$F,[1]BDV!$AC:$AC)</f>
        <v>-6353.75</v>
      </c>
      <c r="K49" s="14">
        <f t="shared" si="2"/>
        <v>-8471.6666666666661</v>
      </c>
      <c r="L49" s="18">
        <f t="shared" si="3"/>
        <v>-2104.3666666666659</v>
      </c>
    </row>
    <row r="50" spans="2:12" hidden="1" x14ac:dyDescent="0.25">
      <c r="B50" t="s">
        <v>873</v>
      </c>
      <c r="C50" t="s">
        <v>862</v>
      </c>
      <c r="D50" t="s">
        <v>830</v>
      </c>
      <c r="E50">
        <f t="shared" si="0"/>
        <v>100457</v>
      </c>
      <c r="F50" s="38" t="s">
        <v>495</v>
      </c>
      <c r="G50" s="37">
        <v>81349.91</v>
      </c>
      <c r="H50" s="37"/>
      <c r="I50" s="41">
        <f t="shared" si="1"/>
        <v>81349.91</v>
      </c>
      <c r="J50">
        <f>+_xlfn.XLOOKUP(E50,[1]BDV!$F:$F,[1]BDV!$AC:$AC)</f>
        <v>81349.91</v>
      </c>
      <c r="K50" s="14">
        <f t="shared" si="2"/>
        <v>108466.54666666668</v>
      </c>
      <c r="L50" s="18">
        <f t="shared" si="3"/>
        <v>27116.636666666673</v>
      </c>
    </row>
    <row r="51" spans="2:12" hidden="1" x14ac:dyDescent="0.25">
      <c r="B51" t="s">
        <v>873</v>
      </c>
      <c r="C51" t="s">
        <v>862</v>
      </c>
      <c r="D51" t="s">
        <v>830</v>
      </c>
      <c r="E51">
        <f t="shared" si="0"/>
        <v>100459</v>
      </c>
      <c r="F51" s="38" t="s">
        <v>496</v>
      </c>
      <c r="G51" s="37">
        <v>5035.95</v>
      </c>
      <c r="H51" s="37"/>
      <c r="I51" s="41">
        <f t="shared" si="1"/>
        <v>5035.95</v>
      </c>
      <c r="J51">
        <f>+_xlfn.XLOOKUP(E51,[1]BDV!$F:$F,[1]BDV!$AC:$AC)</f>
        <v>5035.95</v>
      </c>
      <c r="K51" s="14">
        <f t="shared" si="2"/>
        <v>6714.5999999999995</v>
      </c>
      <c r="L51" s="18">
        <f t="shared" si="3"/>
        <v>1678.6499999999996</v>
      </c>
    </row>
    <row r="52" spans="2:12" hidden="1" x14ac:dyDescent="0.25">
      <c r="B52" t="s">
        <v>873</v>
      </c>
      <c r="C52">
        <v>0</v>
      </c>
      <c r="D52" t="s">
        <v>830</v>
      </c>
      <c r="E52">
        <f t="shared" si="0"/>
        <v>100461</v>
      </c>
      <c r="F52" s="38" t="s">
        <v>497</v>
      </c>
      <c r="G52" s="37">
        <v>46863.199999999997</v>
      </c>
      <c r="H52" s="37"/>
      <c r="I52" s="41">
        <f t="shared" si="1"/>
        <v>46863.199999999997</v>
      </c>
      <c r="J52">
        <f>+_xlfn.XLOOKUP(E52,[1]BDV!$F:$F,[1]BDV!$AC:$AC)</f>
        <v>44863.199999999997</v>
      </c>
      <c r="K52" s="14">
        <f t="shared" si="2"/>
        <v>59817.599999999999</v>
      </c>
      <c r="L52" s="18">
        <f t="shared" si="3"/>
        <v>12954.400000000001</v>
      </c>
    </row>
    <row r="53" spans="2:12" hidden="1" x14ac:dyDescent="0.25">
      <c r="B53" t="s">
        <v>873</v>
      </c>
      <c r="C53">
        <v>0</v>
      </c>
      <c r="D53" t="s">
        <v>830</v>
      </c>
      <c r="E53">
        <f t="shared" si="0"/>
        <v>100463</v>
      </c>
      <c r="F53" s="38" t="s">
        <v>498</v>
      </c>
      <c r="G53" s="37">
        <v>542422.65</v>
      </c>
      <c r="H53" s="37"/>
      <c r="I53" s="41">
        <f t="shared" si="1"/>
        <v>542422.65</v>
      </c>
      <c r="J53">
        <f>+_xlfn.XLOOKUP(E53,[1]BDV!$F:$F,[1]BDV!$AC:$AC)</f>
        <v>542422.65</v>
      </c>
      <c r="K53" s="14">
        <f t="shared" si="2"/>
        <v>723230.20000000007</v>
      </c>
      <c r="L53" s="18">
        <f t="shared" si="3"/>
        <v>180807.55000000005</v>
      </c>
    </row>
    <row r="54" spans="2:12" hidden="1" x14ac:dyDescent="0.25">
      <c r="B54" t="s">
        <v>873</v>
      </c>
      <c r="C54">
        <v>0</v>
      </c>
      <c r="D54" t="s">
        <v>830</v>
      </c>
      <c r="E54">
        <f t="shared" si="0"/>
        <v>100465</v>
      </c>
      <c r="F54" s="38" t="s">
        <v>499</v>
      </c>
      <c r="G54" s="37"/>
      <c r="H54" s="37">
        <v>59135.35</v>
      </c>
      <c r="I54" s="41">
        <f t="shared" si="1"/>
        <v>-59135.35</v>
      </c>
      <c r="J54">
        <f>+_xlfn.XLOOKUP(E54,[1]BDV!$F:$F,[1]BDV!$AC:$AC)</f>
        <v>-56423.24</v>
      </c>
      <c r="K54" s="14">
        <f t="shared" si="2"/>
        <v>-75230.986666666664</v>
      </c>
      <c r="L54" s="18">
        <f t="shared" si="3"/>
        <v>-16095.636666666665</v>
      </c>
    </row>
    <row r="55" spans="2:12" hidden="1" x14ac:dyDescent="0.25">
      <c r="B55" t="s">
        <v>873</v>
      </c>
      <c r="C55">
        <v>0</v>
      </c>
      <c r="D55" t="s">
        <v>830</v>
      </c>
      <c r="E55">
        <f t="shared" si="0"/>
        <v>100467</v>
      </c>
      <c r="F55" s="38" t="s">
        <v>500</v>
      </c>
      <c r="G55" s="37"/>
      <c r="H55" s="37">
        <v>18097.310000000001</v>
      </c>
      <c r="I55" s="41">
        <f t="shared" si="1"/>
        <v>-18097.310000000001</v>
      </c>
      <c r="J55">
        <f>+_xlfn.XLOOKUP(E55,[1]BDV!$F:$F,[1]BDV!$AC:$AC)</f>
        <v>-18097.310000000001</v>
      </c>
      <c r="K55" s="14">
        <f t="shared" si="2"/>
        <v>-24129.74666666667</v>
      </c>
      <c r="L55" s="18">
        <f t="shared" si="3"/>
        <v>-6032.4366666666683</v>
      </c>
    </row>
    <row r="56" spans="2:12" hidden="1" x14ac:dyDescent="0.25">
      <c r="B56" t="s">
        <v>873</v>
      </c>
      <c r="C56" t="s">
        <v>862</v>
      </c>
      <c r="D56" t="s">
        <v>830</v>
      </c>
      <c r="E56">
        <f t="shared" si="0"/>
        <v>100469</v>
      </c>
      <c r="F56" s="38" t="s">
        <v>501</v>
      </c>
      <c r="G56" s="37">
        <v>1164176.77</v>
      </c>
      <c r="H56" s="37"/>
      <c r="I56" s="41">
        <f t="shared" si="1"/>
        <v>1164176.77</v>
      </c>
      <c r="J56">
        <f>+_xlfn.XLOOKUP(E56,[1]BDV!$F:$F,[1]BDV!$AC:$AC)</f>
        <v>967268.17</v>
      </c>
      <c r="K56" s="14">
        <f t="shared" si="2"/>
        <v>1289690.8933333333</v>
      </c>
      <c r="L56" s="18">
        <f t="shared" si="3"/>
        <v>125514.12333333329</v>
      </c>
    </row>
    <row r="57" spans="2:12" hidden="1" x14ac:dyDescent="0.25">
      <c r="B57" t="s">
        <v>873</v>
      </c>
      <c r="C57" t="s">
        <v>862</v>
      </c>
      <c r="D57" t="s">
        <v>830</v>
      </c>
      <c r="E57">
        <f t="shared" si="0"/>
        <v>100471</v>
      </c>
      <c r="F57" s="38" t="s">
        <v>502</v>
      </c>
      <c r="G57" s="37">
        <v>1645137.95</v>
      </c>
      <c r="H57" s="37"/>
      <c r="I57" s="41">
        <f t="shared" si="1"/>
        <v>1645137.95</v>
      </c>
      <c r="J57">
        <f>+_xlfn.XLOOKUP(E57,[1]BDV!$F:$F,[1]BDV!$AC:$AC)</f>
        <v>1301320.47</v>
      </c>
      <c r="K57" s="14">
        <f t="shared" si="2"/>
        <v>1735093.96</v>
      </c>
      <c r="L57" s="18">
        <f t="shared" si="3"/>
        <v>89956.010000000009</v>
      </c>
    </row>
    <row r="58" spans="2:12" hidden="1" x14ac:dyDescent="0.25">
      <c r="B58" t="s">
        <v>873</v>
      </c>
      <c r="C58" t="s">
        <v>862</v>
      </c>
      <c r="D58" t="s">
        <v>830</v>
      </c>
      <c r="E58">
        <f t="shared" si="0"/>
        <v>100473</v>
      </c>
      <c r="F58" s="38" t="s">
        <v>503</v>
      </c>
      <c r="G58" s="37">
        <v>921393.76</v>
      </c>
      <c r="H58" s="37"/>
      <c r="I58" s="41">
        <f t="shared" si="1"/>
        <v>921393.76</v>
      </c>
      <c r="J58">
        <f>+_xlfn.XLOOKUP(E58,[1]BDV!$F:$F,[1]BDV!$AC:$AC)</f>
        <v>865955.56</v>
      </c>
      <c r="K58" s="14">
        <f t="shared" si="2"/>
        <v>1154607.4133333333</v>
      </c>
      <c r="L58" s="18">
        <f t="shared" si="3"/>
        <v>233213.65333333332</v>
      </c>
    </row>
    <row r="59" spans="2:12" hidden="1" x14ac:dyDescent="0.25">
      <c r="B59" t="s">
        <v>873</v>
      </c>
      <c r="C59" t="s">
        <v>862</v>
      </c>
      <c r="D59" t="s">
        <v>830</v>
      </c>
      <c r="E59">
        <f t="shared" si="0"/>
        <v>100475</v>
      </c>
      <c r="F59" s="38" t="s">
        <v>504</v>
      </c>
      <c r="G59" s="37">
        <v>973496.14</v>
      </c>
      <c r="H59" s="37"/>
      <c r="I59" s="41">
        <f t="shared" si="1"/>
        <v>973496.14</v>
      </c>
      <c r="J59">
        <f>+_xlfn.XLOOKUP(E59,[1]BDV!$F:$F,[1]BDV!$AC:$AC)</f>
        <v>891789.26</v>
      </c>
      <c r="K59" s="14">
        <f t="shared" si="2"/>
        <v>1189052.3466666667</v>
      </c>
      <c r="L59" s="18">
        <f t="shared" si="3"/>
        <v>215556.20666666667</v>
      </c>
    </row>
    <row r="60" spans="2:12" hidden="1" x14ac:dyDescent="0.25">
      <c r="B60" t="s">
        <v>873</v>
      </c>
      <c r="C60" t="s">
        <v>862</v>
      </c>
      <c r="D60" t="s">
        <v>830</v>
      </c>
      <c r="E60">
        <f t="shared" si="0"/>
        <v>100477</v>
      </c>
      <c r="F60" s="38" t="s">
        <v>505</v>
      </c>
      <c r="G60" s="37">
        <v>1115669.57</v>
      </c>
      <c r="H60" s="37"/>
      <c r="I60" s="41">
        <f t="shared" si="1"/>
        <v>1115669.57</v>
      </c>
      <c r="J60">
        <f>+_xlfn.XLOOKUP(E60,[1]BDV!$F:$F,[1]BDV!$AC:$AC)</f>
        <v>1010700.7</v>
      </c>
      <c r="K60" s="14">
        <f t="shared" si="2"/>
        <v>1347600.9333333333</v>
      </c>
      <c r="L60" s="18">
        <f t="shared" si="3"/>
        <v>231931.36333333328</v>
      </c>
    </row>
    <row r="61" spans="2:12" hidden="1" x14ac:dyDescent="0.25">
      <c r="B61" t="s">
        <v>873</v>
      </c>
      <c r="C61" t="s">
        <v>862</v>
      </c>
      <c r="D61" t="s">
        <v>830</v>
      </c>
      <c r="E61">
        <f t="shared" si="0"/>
        <v>100479</v>
      </c>
      <c r="F61" s="38" t="s">
        <v>506</v>
      </c>
      <c r="G61" s="37">
        <v>829090.49</v>
      </c>
      <c r="H61" s="37"/>
      <c r="I61" s="41">
        <f t="shared" si="1"/>
        <v>829090.49</v>
      </c>
      <c r="J61">
        <f>+_xlfn.XLOOKUP(E61,[1]BDV!$F:$F,[1]BDV!$AC:$AC)</f>
        <v>775202.49</v>
      </c>
      <c r="K61" s="14">
        <f t="shared" si="2"/>
        <v>1033603.32</v>
      </c>
      <c r="L61" s="18">
        <f t="shared" si="3"/>
        <v>204512.82999999996</v>
      </c>
    </row>
    <row r="62" spans="2:12" hidden="1" x14ac:dyDescent="0.25">
      <c r="B62" t="s">
        <v>873</v>
      </c>
      <c r="C62" t="s">
        <v>862</v>
      </c>
      <c r="D62" t="s">
        <v>830</v>
      </c>
      <c r="E62">
        <f t="shared" si="0"/>
        <v>100481</v>
      </c>
      <c r="F62" s="38" t="s">
        <v>507</v>
      </c>
      <c r="G62" s="37">
        <v>1087160.78</v>
      </c>
      <c r="H62" s="37"/>
      <c r="I62" s="41">
        <f t="shared" si="1"/>
        <v>1087160.78</v>
      </c>
      <c r="J62">
        <f>+_xlfn.XLOOKUP(E62,[1]BDV!$F:$F,[1]BDV!$AC:$AC)</f>
        <v>1032784.16</v>
      </c>
      <c r="K62" s="14">
        <f t="shared" si="2"/>
        <v>1377045.5466666666</v>
      </c>
      <c r="L62" s="18">
        <f t="shared" si="3"/>
        <v>289884.7666666666</v>
      </c>
    </row>
    <row r="63" spans="2:12" hidden="1" x14ac:dyDescent="0.25">
      <c r="B63" t="s">
        <v>873</v>
      </c>
      <c r="C63" t="s">
        <v>862</v>
      </c>
      <c r="D63" t="s">
        <v>830</v>
      </c>
      <c r="E63">
        <f t="shared" si="0"/>
        <v>100483</v>
      </c>
      <c r="F63" s="38" t="s">
        <v>508</v>
      </c>
      <c r="G63" s="37">
        <v>991956.75</v>
      </c>
      <c r="H63" s="37"/>
      <c r="I63" s="41">
        <f t="shared" si="1"/>
        <v>991956.75</v>
      </c>
      <c r="J63">
        <f>+_xlfn.XLOOKUP(E63,[1]BDV!$F:$F,[1]BDV!$AC:$AC)</f>
        <v>925345.51</v>
      </c>
      <c r="K63" s="14">
        <f t="shared" si="2"/>
        <v>1233794.0133333334</v>
      </c>
      <c r="L63" s="18">
        <f t="shared" si="3"/>
        <v>241837.26333333342</v>
      </c>
    </row>
    <row r="64" spans="2:12" hidden="1" x14ac:dyDescent="0.25">
      <c r="B64" t="s">
        <v>873</v>
      </c>
      <c r="C64" t="s">
        <v>862</v>
      </c>
      <c r="D64" t="s">
        <v>830</v>
      </c>
      <c r="E64">
        <f t="shared" si="0"/>
        <v>100485</v>
      </c>
      <c r="F64" s="38" t="s">
        <v>509</v>
      </c>
      <c r="G64" s="37">
        <v>916403.37</v>
      </c>
      <c r="H64" s="37"/>
      <c r="I64" s="41">
        <f t="shared" si="1"/>
        <v>916403.37</v>
      </c>
      <c r="J64">
        <f>+_xlfn.XLOOKUP(E64,[1]BDV!$F:$F,[1]BDV!$AC:$AC)</f>
        <v>816241.22</v>
      </c>
      <c r="K64" s="14">
        <f t="shared" si="2"/>
        <v>1088321.6266666667</v>
      </c>
      <c r="L64" s="18">
        <f t="shared" si="3"/>
        <v>171918.25666666671</v>
      </c>
    </row>
    <row r="65" spans="2:12" hidden="1" x14ac:dyDescent="0.25">
      <c r="B65" t="s">
        <v>873</v>
      </c>
      <c r="C65" t="s">
        <v>862</v>
      </c>
      <c r="D65" t="s">
        <v>830</v>
      </c>
      <c r="E65">
        <f t="shared" si="0"/>
        <v>100487</v>
      </c>
      <c r="F65" s="38" t="s">
        <v>510</v>
      </c>
      <c r="G65" s="37">
        <v>838538.06</v>
      </c>
      <c r="H65" s="37"/>
      <c r="I65" s="41">
        <f t="shared" si="1"/>
        <v>838538.06</v>
      </c>
      <c r="J65">
        <f>+_xlfn.XLOOKUP(E65,[1]BDV!$F:$F,[1]BDV!$AC:$AC)</f>
        <v>572027.84</v>
      </c>
      <c r="K65" s="14">
        <f t="shared" si="2"/>
        <v>762703.78666666662</v>
      </c>
      <c r="L65" s="18">
        <f t="shared" si="3"/>
        <v>-75834.273333333433</v>
      </c>
    </row>
    <row r="66" spans="2:12" hidden="1" x14ac:dyDescent="0.25">
      <c r="B66" t="s">
        <v>873</v>
      </c>
      <c r="C66" t="s">
        <v>862</v>
      </c>
      <c r="D66" t="s">
        <v>830</v>
      </c>
      <c r="E66">
        <f t="shared" ref="E66:E113" si="4">+_xlfn.NUMBERVALUE(LEFT(F66,6))</f>
        <v>100489</v>
      </c>
      <c r="F66" s="38" t="s">
        <v>511</v>
      </c>
      <c r="G66" s="37">
        <v>1087448.49</v>
      </c>
      <c r="H66" s="37"/>
      <c r="I66" s="41">
        <f t="shared" si="1"/>
        <v>1087448.49</v>
      </c>
      <c r="J66">
        <f>+_xlfn.XLOOKUP(E66,[1]BDV!$F:$F,[1]BDV!$AC:$AC)</f>
        <v>1062632.8700000001</v>
      </c>
      <c r="K66" s="14">
        <f t="shared" si="2"/>
        <v>1416843.8266666669</v>
      </c>
      <c r="L66" s="18">
        <f t="shared" si="3"/>
        <v>329395.3366666669</v>
      </c>
    </row>
    <row r="67" spans="2:12" hidden="1" x14ac:dyDescent="0.25">
      <c r="B67" t="s">
        <v>873</v>
      </c>
      <c r="C67" t="s">
        <v>862</v>
      </c>
      <c r="D67" t="s">
        <v>830</v>
      </c>
      <c r="E67">
        <f t="shared" si="4"/>
        <v>100491</v>
      </c>
      <c r="F67" s="38" t="s">
        <v>512</v>
      </c>
      <c r="G67" s="37">
        <v>766621.33</v>
      </c>
      <c r="H67" s="37"/>
      <c r="I67" s="41">
        <f t="shared" si="1"/>
        <v>766621.33</v>
      </c>
      <c r="J67">
        <f>+_xlfn.XLOOKUP(E67,[1]BDV!$F:$F,[1]BDV!$AC:$AC)</f>
        <v>536988.21</v>
      </c>
      <c r="K67" s="14">
        <f t="shared" si="2"/>
        <v>715984.27999999991</v>
      </c>
      <c r="L67" s="18">
        <f t="shared" si="3"/>
        <v>-50637.050000000047</v>
      </c>
    </row>
    <row r="68" spans="2:12" hidden="1" x14ac:dyDescent="0.25">
      <c r="B68" t="s">
        <v>873</v>
      </c>
      <c r="C68" t="s">
        <v>862</v>
      </c>
      <c r="D68" t="s">
        <v>830</v>
      </c>
      <c r="E68">
        <f t="shared" si="4"/>
        <v>100493</v>
      </c>
      <c r="F68" s="38" t="s">
        <v>513</v>
      </c>
      <c r="G68" s="37">
        <v>270032.82</v>
      </c>
      <c r="H68" s="37"/>
      <c r="I68" s="41">
        <f t="shared" si="1"/>
        <v>270032.82</v>
      </c>
      <c r="J68">
        <f>+_xlfn.XLOOKUP(E68,[1]BDV!$F:$F,[1]BDV!$AC:$AC)</f>
        <v>204148.46</v>
      </c>
      <c r="K68" s="14">
        <f t="shared" si="2"/>
        <v>272197.94666666666</v>
      </c>
      <c r="L68" s="18">
        <f t="shared" si="3"/>
        <v>2165.1266666666488</v>
      </c>
    </row>
    <row r="69" spans="2:12" hidden="1" x14ac:dyDescent="0.25">
      <c r="B69" t="s">
        <v>873</v>
      </c>
      <c r="C69" t="s">
        <v>862</v>
      </c>
      <c r="D69" t="s">
        <v>830</v>
      </c>
      <c r="E69">
        <f t="shared" si="4"/>
        <v>100495</v>
      </c>
      <c r="F69" s="38" t="s">
        <v>514</v>
      </c>
      <c r="G69" s="37">
        <v>261711.78</v>
      </c>
      <c r="H69" s="37"/>
      <c r="I69" s="41">
        <f t="shared" si="1"/>
        <v>261711.78</v>
      </c>
      <c r="J69">
        <f>+_xlfn.XLOOKUP(E69,[1]BDV!$F:$F,[1]BDV!$AC:$AC)</f>
        <v>261711.78</v>
      </c>
      <c r="K69" s="14">
        <f t="shared" si="2"/>
        <v>348949.04</v>
      </c>
      <c r="L69" s="18">
        <f t="shared" si="3"/>
        <v>87237.25999999998</v>
      </c>
    </row>
    <row r="70" spans="2:12" hidden="1" x14ac:dyDescent="0.25">
      <c r="B70" t="s">
        <v>873</v>
      </c>
      <c r="C70" t="s">
        <v>862</v>
      </c>
      <c r="D70" t="s">
        <v>830</v>
      </c>
      <c r="E70">
        <f t="shared" si="4"/>
        <v>100497</v>
      </c>
      <c r="F70" s="38" t="s">
        <v>515</v>
      </c>
      <c r="G70" s="37">
        <v>330943.51</v>
      </c>
      <c r="H70" s="37"/>
      <c r="I70" s="41">
        <f t="shared" ref="I70:I133" si="5">+G70-H70</f>
        <v>330943.51</v>
      </c>
      <c r="J70">
        <f>+_xlfn.XLOOKUP(E70,[1]BDV!$F:$F,[1]BDV!$AC:$AC)</f>
        <v>330943.51</v>
      </c>
      <c r="K70" s="14">
        <f t="shared" ref="K70:K133" si="6">+J70/6*8</f>
        <v>441258.01333333337</v>
      </c>
      <c r="L70" s="18">
        <f t="shared" ref="L70:L133" si="7">+K70-I70</f>
        <v>110314.50333333336</v>
      </c>
    </row>
    <row r="71" spans="2:12" hidden="1" x14ac:dyDescent="0.25">
      <c r="B71" t="s">
        <v>873</v>
      </c>
      <c r="C71" t="s">
        <v>862</v>
      </c>
      <c r="D71" t="s">
        <v>830</v>
      </c>
      <c r="E71">
        <f t="shared" si="4"/>
        <v>100499</v>
      </c>
      <c r="F71" s="38" t="s">
        <v>516</v>
      </c>
      <c r="G71" s="37">
        <v>143607.9</v>
      </c>
      <c r="H71" s="37"/>
      <c r="I71" s="41">
        <f t="shared" si="5"/>
        <v>143607.9</v>
      </c>
      <c r="J71">
        <f>+_xlfn.XLOOKUP(E71,[1]BDV!$F:$F,[1]BDV!$AC:$AC)</f>
        <v>129020.33</v>
      </c>
      <c r="K71" s="14">
        <f t="shared" si="6"/>
        <v>172027.10666666666</v>
      </c>
      <c r="L71" s="18">
        <f t="shared" si="7"/>
        <v>28419.206666666665</v>
      </c>
    </row>
    <row r="72" spans="2:12" hidden="1" x14ac:dyDescent="0.25">
      <c r="B72" t="s">
        <v>873</v>
      </c>
      <c r="C72">
        <v>0</v>
      </c>
      <c r="D72" t="s">
        <v>829</v>
      </c>
      <c r="E72">
        <f t="shared" si="4"/>
        <v>100501</v>
      </c>
      <c r="F72" s="38" t="s">
        <v>517</v>
      </c>
      <c r="G72" s="37">
        <v>3399355.54</v>
      </c>
      <c r="H72" s="37"/>
      <c r="I72" s="41">
        <f t="shared" si="5"/>
        <v>3399355.54</v>
      </c>
      <c r="J72">
        <f>+_xlfn.XLOOKUP(E72,[1]BDV!$F:$F,[1]BDV!$AC:$AC)</f>
        <v>3399355.54</v>
      </c>
      <c r="K72" s="14">
        <f t="shared" si="6"/>
        <v>4532474.0533333337</v>
      </c>
      <c r="L72" s="18">
        <f t="shared" si="7"/>
        <v>1133118.5133333337</v>
      </c>
    </row>
    <row r="73" spans="2:12" hidden="1" x14ac:dyDescent="0.25">
      <c r="B73" t="s">
        <v>873</v>
      </c>
      <c r="C73">
        <v>0</v>
      </c>
      <c r="D73" t="s">
        <v>829</v>
      </c>
      <c r="E73">
        <f t="shared" si="4"/>
        <v>100503</v>
      </c>
      <c r="F73" s="38" t="s">
        <v>518</v>
      </c>
      <c r="G73" s="37"/>
      <c r="H73" s="37">
        <v>1302951.51</v>
      </c>
      <c r="I73" s="41">
        <f t="shared" si="5"/>
        <v>-1302951.51</v>
      </c>
      <c r="J73">
        <f>+_xlfn.XLOOKUP(E73,[1]BDV!$F:$F,[1]BDV!$AC:$AC)</f>
        <v>-1302951.51</v>
      </c>
      <c r="K73" s="14">
        <f t="shared" si="6"/>
        <v>-1737268.68</v>
      </c>
      <c r="L73" s="18">
        <f t="shared" si="7"/>
        <v>-434317.16999999993</v>
      </c>
    </row>
    <row r="74" spans="2:12" hidden="1" x14ac:dyDescent="0.25">
      <c r="B74" t="s">
        <v>873</v>
      </c>
      <c r="C74" t="s">
        <v>862</v>
      </c>
      <c r="D74" t="s">
        <v>830</v>
      </c>
      <c r="E74">
        <f t="shared" si="4"/>
        <v>100505</v>
      </c>
      <c r="F74" s="38" t="s">
        <v>519</v>
      </c>
      <c r="G74" s="37">
        <v>154101.24</v>
      </c>
      <c r="H74" s="37"/>
      <c r="I74" s="41">
        <f t="shared" si="5"/>
        <v>154101.24</v>
      </c>
      <c r="J74">
        <f>+_xlfn.XLOOKUP(E74,[1]BDV!$F:$F,[1]BDV!$AC:$AC)</f>
        <v>0</v>
      </c>
      <c r="K74" s="14">
        <f t="shared" si="6"/>
        <v>0</v>
      </c>
      <c r="L74" s="18">
        <f t="shared" si="7"/>
        <v>-154101.24</v>
      </c>
    </row>
    <row r="75" spans="2:12" hidden="1" x14ac:dyDescent="0.25">
      <c r="B75" t="s">
        <v>873</v>
      </c>
      <c r="C75" t="s">
        <v>862</v>
      </c>
      <c r="D75" t="s">
        <v>830</v>
      </c>
      <c r="E75">
        <f t="shared" si="4"/>
        <v>100509</v>
      </c>
      <c r="F75" s="38" t="s">
        <v>520</v>
      </c>
      <c r="G75" s="37">
        <v>57320.6</v>
      </c>
      <c r="H75" s="37"/>
      <c r="I75" s="41">
        <f t="shared" si="5"/>
        <v>57320.6</v>
      </c>
      <c r="J75">
        <f>+_xlfn.XLOOKUP(E75,[1]BDV!$F:$F,[1]BDV!$AC:$AC)</f>
        <v>57320.6</v>
      </c>
      <c r="K75" s="14">
        <f t="shared" si="6"/>
        <v>76427.46666666666</v>
      </c>
      <c r="L75" s="18">
        <f t="shared" si="7"/>
        <v>19106.866666666661</v>
      </c>
    </row>
    <row r="76" spans="2:12" hidden="1" x14ac:dyDescent="0.25">
      <c r="B76" t="s">
        <v>873</v>
      </c>
      <c r="C76" t="s">
        <v>862</v>
      </c>
      <c r="D76" t="s">
        <v>830</v>
      </c>
      <c r="E76">
        <f t="shared" si="4"/>
        <v>100513</v>
      </c>
      <c r="F76" s="38" t="s">
        <v>521</v>
      </c>
      <c r="G76" s="37">
        <v>411699.71</v>
      </c>
      <c r="H76" s="37"/>
      <c r="I76" s="41">
        <f t="shared" si="5"/>
        <v>411699.71</v>
      </c>
      <c r="J76">
        <f>+_xlfn.XLOOKUP(E76,[1]BDV!$F:$F,[1]BDV!$AC:$AC)</f>
        <v>244636.05</v>
      </c>
      <c r="K76" s="14">
        <f t="shared" si="6"/>
        <v>326181.39999999997</v>
      </c>
      <c r="L76" s="18">
        <f t="shared" si="7"/>
        <v>-85518.310000000056</v>
      </c>
    </row>
    <row r="77" spans="2:12" hidden="1" x14ac:dyDescent="0.25">
      <c r="B77" t="s">
        <v>873</v>
      </c>
      <c r="C77" t="s">
        <v>862</v>
      </c>
      <c r="D77" t="s">
        <v>830</v>
      </c>
      <c r="E77">
        <f t="shared" si="4"/>
        <v>100515</v>
      </c>
      <c r="F77" s="38" t="s">
        <v>522</v>
      </c>
      <c r="G77" s="37">
        <v>110808.86</v>
      </c>
      <c r="H77" s="37"/>
      <c r="I77" s="41">
        <f t="shared" si="5"/>
        <v>110808.86</v>
      </c>
      <c r="J77">
        <f>+_xlfn.XLOOKUP(E77,[1]BDV!$F:$F,[1]BDV!$AC:$AC)</f>
        <v>93466.25</v>
      </c>
      <c r="K77" s="14">
        <f t="shared" si="6"/>
        <v>124621.66666666667</v>
      </c>
      <c r="L77" s="18">
        <f t="shared" si="7"/>
        <v>13812.806666666671</v>
      </c>
    </row>
    <row r="78" spans="2:12" hidden="1" x14ac:dyDescent="0.25">
      <c r="B78" t="s">
        <v>873</v>
      </c>
      <c r="C78">
        <v>0</v>
      </c>
      <c r="D78" t="s">
        <v>831</v>
      </c>
      <c r="E78">
        <f t="shared" si="4"/>
        <v>100601</v>
      </c>
      <c r="F78" s="38" t="s">
        <v>523</v>
      </c>
      <c r="G78" s="37">
        <v>12654421.800000001</v>
      </c>
      <c r="H78" s="37"/>
      <c r="I78" s="41">
        <f t="shared" si="5"/>
        <v>12654421.800000001</v>
      </c>
      <c r="J78">
        <f>+_xlfn.XLOOKUP(E78,[1]BDV!$F:$F,[1]BDV!$AC:$AC)</f>
        <v>7297750.9500000002</v>
      </c>
      <c r="K78" s="14">
        <f t="shared" si="6"/>
        <v>9730334.5999999996</v>
      </c>
      <c r="L78" s="18">
        <f t="shared" si="7"/>
        <v>-2924087.2000000011</v>
      </c>
    </row>
    <row r="79" spans="2:12" hidden="1" x14ac:dyDescent="0.25">
      <c r="B79" t="s">
        <v>873</v>
      </c>
      <c r="C79">
        <v>0</v>
      </c>
      <c r="D79" t="s">
        <v>831</v>
      </c>
      <c r="E79">
        <f t="shared" si="4"/>
        <v>100603</v>
      </c>
      <c r="F79" s="38" t="s">
        <v>524</v>
      </c>
      <c r="G79" s="37">
        <v>491899.5</v>
      </c>
      <c r="H79" s="37"/>
      <c r="I79" s="41">
        <f t="shared" si="5"/>
        <v>491899.5</v>
      </c>
      <c r="J79">
        <f>+_xlfn.XLOOKUP(E79,[1]BDV!$F:$F,[1]BDV!$AC:$AC)</f>
        <v>491899.5</v>
      </c>
      <c r="K79" s="14">
        <f t="shared" si="6"/>
        <v>655866</v>
      </c>
      <c r="L79" s="18">
        <f t="shared" si="7"/>
        <v>163966.5</v>
      </c>
    </row>
    <row r="80" spans="2:12" hidden="1" x14ac:dyDescent="0.25">
      <c r="B80" t="s">
        <v>873</v>
      </c>
      <c r="C80">
        <v>0</v>
      </c>
      <c r="D80" t="s">
        <v>831</v>
      </c>
      <c r="E80">
        <f t="shared" si="4"/>
        <v>100605</v>
      </c>
      <c r="F80" s="38" t="s">
        <v>525</v>
      </c>
      <c r="G80" s="37">
        <v>46954.62</v>
      </c>
      <c r="H80" s="37"/>
      <c r="I80" s="41">
        <f t="shared" si="5"/>
        <v>46954.62</v>
      </c>
      <c r="J80">
        <f>+_xlfn.XLOOKUP(E80,[1]BDV!$F:$F,[1]BDV!$AC:$AC)</f>
        <v>7754.62</v>
      </c>
      <c r="K80" s="14">
        <f t="shared" si="6"/>
        <v>10339.493333333334</v>
      </c>
      <c r="L80" s="18">
        <f t="shared" si="7"/>
        <v>-36615.126666666671</v>
      </c>
    </row>
    <row r="81" spans="2:12" hidden="1" x14ac:dyDescent="0.25">
      <c r="B81" t="s">
        <v>873</v>
      </c>
      <c r="C81">
        <v>0</v>
      </c>
      <c r="D81" t="s">
        <v>832</v>
      </c>
      <c r="E81">
        <f t="shared" si="4"/>
        <v>100607</v>
      </c>
      <c r="F81" s="38" t="s">
        <v>526</v>
      </c>
      <c r="G81" s="37">
        <v>17114347.02</v>
      </c>
      <c r="H81" s="37"/>
      <c r="I81" s="41">
        <f t="shared" si="5"/>
        <v>17114347.02</v>
      </c>
      <c r="J81">
        <f>+_xlfn.XLOOKUP(E81,[1]BDV!$F:$F,[1]BDV!$AC:$AC)</f>
        <v>16044347.02</v>
      </c>
      <c r="K81" s="14">
        <f t="shared" si="6"/>
        <v>21392462.693333331</v>
      </c>
      <c r="L81" s="18">
        <f t="shared" si="7"/>
        <v>4278115.6733333319</v>
      </c>
    </row>
    <row r="82" spans="2:12" hidden="1" x14ac:dyDescent="0.25">
      <c r="B82" t="s">
        <v>873</v>
      </c>
      <c r="C82">
        <v>0</v>
      </c>
      <c r="D82" t="s">
        <v>832</v>
      </c>
      <c r="E82">
        <f t="shared" si="4"/>
        <v>100611</v>
      </c>
      <c r="F82" s="38" t="s">
        <v>527</v>
      </c>
      <c r="G82" s="37">
        <v>3992</v>
      </c>
      <c r="H82" s="37"/>
      <c r="I82" s="41">
        <f t="shared" si="5"/>
        <v>3992</v>
      </c>
      <c r="J82">
        <f>+_xlfn.XLOOKUP(E82,[1]BDV!$F:$F,[1]BDV!$AC:$AC)</f>
        <v>3992</v>
      </c>
      <c r="K82" s="14">
        <f t="shared" si="6"/>
        <v>5322.666666666667</v>
      </c>
      <c r="L82" s="18">
        <f t="shared" si="7"/>
        <v>1330.666666666667</v>
      </c>
    </row>
    <row r="83" spans="2:12" hidden="1" x14ac:dyDescent="0.25">
      <c r="B83" t="s">
        <v>873</v>
      </c>
      <c r="C83">
        <v>0</v>
      </c>
      <c r="D83" t="s">
        <v>832</v>
      </c>
      <c r="E83">
        <f t="shared" si="4"/>
        <v>100615</v>
      </c>
      <c r="F83" s="38" t="s">
        <v>528</v>
      </c>
      <c r="G83" s="37">
        <v>120180.32</v>
      </c>
      <c r="H83" s="37"/>
      <c r="I83" s="41">
        <f t="shared" si="5"/>
        <v>120180.32</v>
      </c>
      <c r="J83">
        <f>+_xlfn.XLOOKUP(E83,[1]BDV!$F:$F,[1]BDV!$AC:$AC)</f>
        <v>150816.43</v>
      </c>
      <c r="K83" s="14">
        <f t="shared" si="6"/>
        <v>201088.57333333333</v>
      </c>
      <c r="L83" s="18">
        <f t="shared" si="7"/>
        <v>80908.253333333327</v>
      </c>
    </row>
    <row r="84" spans="2:12" hidden="1" x14ac:dyDescent="0.25">
      <c r="B84" t="s">
        <v>873</v>
      </c>
      <c r="C84">
        <v>0</v>
      </c>
      <c r="D84" t="s">
        <v>832</v>
      </c>
      <c r="E84">
        <f t="shared" si="4"/>
        <v>100621</v>
      </c>
      <c r="F84" s="38" t="s">
        <v>529</v>
      </c>
      <c r="G84" s="37">
        <v>135934.92000000001</v>
      </c>
      <c r="H84" s="37"/>
      <c r="I84" s="41">
        <f t="shared" si="5"/>
        <v>135934.92000000001</v>
      </c>
      <c r="J84">
        <f>+_xlfn.XLOOKUP(E84,[1]BDV!$F:$F,[1]BDV!$AC:$AC)</f>
        <v>134201.73000000001</v>
      </c>
      <c r="K84" s="14">
        <f t="shared" si="6"/>
        <v>178935.64</v>
      </c>
      <c r="L84" s="18">
        <f t="shared" si="7"/>
        <v>43000.72</v>
      </c>
    </row>
    <row r="85" spans="2:12" hidden="1" x14ac:dyDescent="0.25">
      <c r="B85" t="s">
        <v>873</v>
      </c>
      <c r="C85">
        <v>0</v>
      </c>
      <c r="D85" t="s">
        <v>833</v>
      </c>
      <c r="E85">
        <f t="shared" si="4"/>
        <v>100622</v>
      </c>
      <c r="F85" s="38" t="s">
        <v>530</v>
      </c>
      <c r="G85" s="37">
        <v>108000</v>
      </c>
      <c r="H85" s="37"/>
      <c r="I85" s="41">
        <f t="shared" si="5"/>
        <v>108000</v>
      </c>
      <c r="J85">
        <f>+_xlfn.XLOOKUP(E85,[1]BDV!$F:$F,[1]BDV!$AC:$AC)</f>
        <v>108000</v>
      </c>
      <c r="K85" s="14">
        <f t="shared" si="6"/>
        <v>144000</v>
      </c>
      <c r="L85" s="18">
        <f t="shared" si="7"/>
        <v>36000</v>
      </c>
    </row>
    <row r="86" spans="2:12" hidden="1" x14ac:dyDescent="0.25">
      <c r="B86" t="s">
        <v>873</v>
      </c>
      <c r="C86">
        <v>0</v>
      </c>
      <c r="D86" t="s">
        <v>831</v>
      </c>
      <c r="E86">
        <f t="shared" si="4"/>
        <v>100623</v>
      </c>
      <c r="F86" s="38" t="s">
        <v>531</v>
      </c>
      <c r="G86" s="37">
        <v>2888550.21</v>
      </c>
      <c r="H86" s="37"/>
      <c r="I86" s="41">
        <f t="shared" si="5"/>
        <v>2888550.21</v>
      </c>
      <c r="J86">
        <f>+_xlfn.XLOOKUP(E86,[1]BDV!$F:$F,[1]BDV!$AC:$AC)</f>
        <v>2888550.21</v>
      </c>
      <c r="K86" s="14">
        <f t="shared" si="6"/>
        <v>3851400.28</v>
      </c>
      <c r="L86" s="18">
        <f t="shared" si="7"/>
        <v>962850.06999999983</v>
      </c>
    </row>
    <row r="87" spans="2:12" hidden="1" x14ac:dyDescent="0.25">
      <c r="B87" t="s">
        <v>873</v>
      </c>
      <c r="C87">
        <v>0</v>
      </c>
      <c r="D87" t="s">
        <v>831</v>
      </c>
      <c r="E87">
        <f t="shared" si="4"/>
        <v>100625</v>
      </c>
      <c r="F87" s="38" t="s">
        <v>532</v>
      </c>
      <c r="G87" s="37">
        <v>894050.18</v>
      </c>
      <c r="H87" s="37"/>
      <c r="I87" s="41">
        <f t="shared" si="5"/>
        <v>894050.18</v>
      </c>
      <c r="J87">
        <f>+_xlfn.XLOOKUP(E87,[1]BDV!$F:$F,[1]BDV!$AC:$AC)</f>
        <v>894050.18</v>
      </c>
      <c r="K87" s="14">
        <f t="shared" si="6"/>
        <v>1192066.9066666667</v>
      </c>
      <c r="L87" s="18">
        <f t="shared" si="7"/>
        <v>298016.72666666668</v>
      </c>
    </row>
    <row r="88" spans="2:12" hidden="1" x14ac:dyDescent="0.25">
      <c r="B88" t="s">
        <v>873</v>
      </c>
      <c r="C88">
        <v>0</v>
      </c>
      <c r="D88" t="s">
        <v>831</v>
      </c>
      <c r="E88">
        <f t="shared" si="4"/>
        <v>100627</v>
      </c>
      <c r="F88" s="38" t="s">
        <v>533</v>
      </c>
      <c r="G88" s="37">
        <v>978336.66</v>
      </c>
      <c r="H88" s="37"/>
      <c r="I88" s="41">
        <f t="shared" si="5"/>
        <v>978336.66</v>
      </c>
      <c r="J88">
        <f>+_xlfn.XLOOKUP(E88,[1]BDV!$F:$F,[1]BDV!$AC:$AC)</f>
        <v>978336.66</v>
      </c>
      <c r="K88" s="14">
        <f t="shared" si="6"/>
        <v>1304448.8800000001</v>
      </c>
      <c r="L88" s="18">
        <f t="shared" si="7"/>
        <v>326112.22000000009</v>
      </c>
    </row>
    <row r="89" spans="2:12" hidden="1" x14ac:dyDescent="0.25">
      <c r="B89" t="s">
        <v>873</v>
      </c>
      <c r="C89">
        <v>0</v>
      </c>
      <c r="D89" t="s">
        <v>831</v>
      </c>
      <c r="E89">
        <f t="shared" si="4"/>
        <v>100635</v>
      </c>
      <c r="F89" s="38" t="s">
        <v>534</v>
      </c>
      <c r="G89" s="37">
        <v>7918688</v>
      </c>
      <c r="H89" s="37"/>
      <c r="I89" s="41">
        <f t="shared" si="5"/>
        <v>7918688</v>
      </c>
      <c r="J89">
        <f>+_xlfn.XLOOKUP(E89,[1]BDV!$F:$F,[1]BDV!$AC:$AC)</f>
        <v>7300000</v>
      </c>
      <c r="K89" s="14">
        <f t="shared" si="6"/>
        <v>9733333.333333334</v>
      </c>
      <c r="L89" s="18">
        <f t="shared" si="7"/>
        <v>1814645.333333334</v>
      </c>
    </row>
    <row r="90" spans="2:12" hidden="1" x14ac:dyDescent="0.25">
      <c r="B90" t="s">
        <v>873</v>
      </c>
      <c r="C90">
        <v>0</v>
      </c>
      <c r="D90" t="s">
        <v>832</v>
      </c>
      <c r="E90">
        <f t="shared" si="4"/>
        <v>100637</v>
      </c>
      <c r="F90" s="38" t="s">
        <v>535</v>
      </c>
      <c r="G90" s="37">
        <v>44.98</v>
      </c>
      <c r="H90" s="37"/>
      <c r="I90" s="41">
        <f t="shared" si="5"/>
        <v>44.98</v>
      </c>
      <c r="J90">
        <f>+_xlfn.XLOOKUP(E90,[1]BDV!$F:$F,[1]BDV!$AC:$AC)</f>
        <v>44.98</v>
      </c>
      <c r="K90" s="14">
        <f t="shared" si="6"/>
        <v>59.973333333333329</v>
      </c>
      <c r="L90" s="18">
        <f t="shared" si="7"/>
        <v>14.993333333333332</v>
      </c>
    </row>
    <row r="91" spans="2:12" hidden="1" x14ac:dyDescent="0.25">
      <c r="B91" t="s">
        <v>873</v>
      </c>
      <c r="C91">
        <v>0</v>
      </c>
      <c r="D91" t="s">
        <v>834</v>
      </c>
      <c r="E91">
        <f t="shared" si="4"/>
        <v>120209</v>
      </c>
      <c r="F91" s="38" t="s">
        <v>536</v>
      </c>
      <c r="G91" s="37">
        <v>5244545.07</v>
      </c>
      <c r="H91" s="37"/>
      <c r="I91" s="41">
        <f t="shared" si="5"/>
        <v>5244545.07</v>
      </c>
      <c r="J91">
        <f>+_xlfn.XLOOKUP(E91,[1]BDV!$F:$F,[1]BDV!$AC:$AC)</f>
        <v>5063325.13</v>
      </c>
      <c r="K91" s="14">
        <f t="shared" si="6"/>
        <v>6751100.1733333329</v>
      </c>
      <c r="L91" s="18">
        <f t="shared" si="7"/>
        <v>1506555.1033333326</v>
      </c>
    </row>
    <row r="92" spans="2:12" hidden="1" x14ac:dyDescent="0.25">
      <c r="B92" t="s">
        <v>873</v>
      </c>
      <c r="C92">
        <v>0</v>
      </c>
      <c r="D92" t="s">
        <v>835</v>
      </c>
      <c r="E92">
        <f t="shared" si="4"/>
        <v>140201</v>
      </c>
      <c r="F92" s="38" t="s">
        <v>537</v>
      </c>
      <c r="G92" s="37">
        <v>13611788.140000001</v>
      </c>
      <c r="H92" s="37"/>
      <c r="I92" s="41">
        <f t="shared" si="5"/>
        <v>13611788.140000001</v>
      </c>
      <c r="J92">
        <f>+_xlfn.XLOOKUP(E92,[1]BDV!$F:$F,[1]BDV!$AC:$AC)</f>
        <v>11427294.68</v>
      </c>
      <c r="K92" s="14">
        <f t="shared" si="6"/>
        <v>15236392.906666666</v>
      </c>
      <c r="L92" s="18">
        <f t="shared" si="7"/>
        <v>1624604.7666666657</v>
      </c>
    </row>
    <row r="93" spans="2:12" hidden="1" x14ac:dyDescent="0.25">
      <c r="B93" t="s">
        <v>873</v>
      </c>
      <c r="C93">
        <v>0</v>
      </c>
      <c r="D93" t="s">
        <v>835</v>
      </c>
      <c r="E93">
        <f t="shared" si="4"/>
        <v>140205</v>
      </c>
      <c r="F93" s="38" t="s">
        <v>538</v>
      </c>
      <c r="G93" s="37"/>
      <c r="H93" s="37">
        <v>590461.28</v>
      </c>
      <c r="I93" s="41">
        <f t="shared" si="5"/>
        <v>-590461.28</v>
      </c>
      <c r="J93">
        <f>+_xlfn.XLOOKUP(E93,[1]BDV!$F:$F,[1]BDV!$AC:$AC)</f>
        <v>-590461.28</v>
      </c>
      <c r="K93" s="14">
        <f t="shared" si="6"/>
        <v>-787281.70666666667</v>
      </c>
      <c r="L93" s="18">
        <f t="shared" si="7"/>
        <v>-196820.42666666664</v>
      </c>
    </row>
    <row r="94" spans="2:12" hidden="1" x14ac:dyDescent="0.25">
      <c r="B94" t="s">
        <v>873</v>
      </c>
      <c r="C94">
        <v>0</v>
      </c>
      <c r="D94" t="s">
        <v>835</v>
      </c>
      <c r="E94">
        <f t="shared" si="4"/>
        <v>140219</v>
      </c>
      <c r="F94" s="38" t="s">
        <v>539</v>
      </c>
      <c r="G94" s="37">
        <v>146.4</v>
      </c>
      <c r="H94" s="37"/>
      <c r="I94" s="41">
        <f t="shared" si="5"/>
        <v>146.4</v>
      </c>
      <c r="J94">
        <f>+_xlfn.XLOOKUP(E94,[1]BDV!$F:$F,[1]BDV!$AC:$AC)</f>
        <v>4804.3900000000003</v>
      </c>
      <c r="K94" s="14">
        <f t="shared" si="6"/>
        <v>6405.8533333333335</v>
      </c>
      <c r="L94" s="18">
        <f t="shared" si="7"/>
        <v>6259.4533333333338</v>
      </c>
    </row>
    <row r="95" spans="2:12" hidden="1" x14ac:dyDescent="0.25">
      <c r="B95" t="s">
        <v>873</v>
      </c>
      <c r="C95">
        <v>0</v>
      </c>
      <c r="D95" t="s">
        <v>835</v>
      </c>
      <c r="E95">
        <f t="shared" si="4"/>
        <v>140221</v>
      </c>
      <c r="F95" s="38" t="s">
        <v>540</v>
      </c>
      <c r="G95" s="37">
        <v>113167.29</v>
      </c>
      <c r="H95" s="37"/>
      <c r="I95" s="41">
        <f t="shared" si="5"/>
        <v>113167.29</v>
      </c>
      <c r="J95">
        <f>+_xlfn.XLOOKUP(E95,[1]BDV!$F:$F,[1]BDV!$AC:$AC)</f>
        <v>113167.29</v>
      </c>
      <c r="K95" s="14">
        <f t="shared" si="6"/>
        <v>150889.72</v>
      </c>
      <c r="L95" s="18">
        <f t="shared" si="7"/>
        <v>37722.430000000008</v>
      </c>
    </row>
    <row r="96" spans="2:12" hidden="1" x14ac:dyDescent="0.25">
      <c r="B96" t="s">
        <v>873</v>
      </c>
      <c r="C96">
        <v>0</v>
      </c>
      <c r="D96" t="s">
        <v>836</v>
      </c>
      <c r="E96">
        <f t="shared" si="4"/>
        <v>140223</v>
      </c>
      <c r="F96" s="38" t="s">
        <v>541</v>
      </c>
      <c r="G96" s="37">
        <v>116452.71</v>
      </c>
      <c r="H96" s="37"/>
      <c r="I96" s="41">
        <f t="shared" si="5"/>
        <v>116452.71</v>
      </c>
      <c r="J96">
        <f>+_xlfn.XLOOKUP(E96,[1]BDV!$F:$F,[1]BDV!$AC:$AC)</f>
        <v>116452.71</v>
      </c>
      <c r="K96" s="14">
        <f t="shared" si="6"/>
        <v>155270.28</v>
      </c>
      <c r="L96" s="18">
        <f t="shared" si="7"/>
        <v>38817.569999999992</v>
      </c>
    </row>
    <row r="97" spans="2:12" hidden="1" x14ac:dyDescent="0.25">
      <c r="B97" t="s">
        <v>873</v>
      </c>
      <c r="C97">
        <v>0</v>
      </c>
      <c r="D97" t="s">
        <v>835</v>
      </c>
      <c r="E97">
        <f t="shared" si="4"/>
        <v>140225</v>
      </c>
      <c r="F97" s="38" t="s">
        <v>542</v>
      </c>
      <c r="G97" s="37">
        <v>1525</v>
      </c>
      <c r="H97" s="37"/>
      <c r="I97" s="41">
        <f t="shared" si="5"/>
        <v>1525</v>
      </c>
      <c r="J97">
        <f>+_xlfn.XLOOKUP(E97,[1]BDV!$F:$F,[1]BDV!$AC:$AC)</f>
        <v>1525</v>
      </c>
      <c r="K97" s="14">
        <f t="shared" si="6"/>
        <v>2033.3333333333333</v>
      </c>
      <c r="L97" s="18">
        <f t="shared" si="7"/>
        <v>508.33333333333326</v>
      </c>
    </row>
    <row r="98" spans="2:12" hidden="1" x14ac:dyDescent="0.25">
      <c r="B98" t="s">
        <v>873</v>
      </c>
      <c r="C98">
        <v>0</v>
      </c>
      <c r="D98" t="s">
        <v>832</v>
      </c>
      <c r="E98">
        <f t="shared" si="4"/>
        <v>140227</v>
      </c>
      <c r="F98" s="38" t="s">
        <v>543</v>
      </c>
      <c r="G98" s="37">
        <v>563849.75</v>
      </c>
      <c r="H98" s="37"/>
      <c r="I98" s="41">
        <f t="shared" si="5"/>
        <v>563849.75</v>
      </c>
      <c r="J98">
        <f>+_xlfn.XLOOKUP(E98,[1]BDV!$F:$F,[1]BDV!$AC:$AC)</f>
        <v>477931.6</v>
      </c>
      <c r="K98" s="14">
        <f t="shared" si="6"/>
        <v>637242.1333333333</v>
      </c>
      <c r="L98" s="18">
        <f t="shared" si="7"/>
        <v>73392.383333333302</v>
      </c>
    </row>
    <row r="99" spans="2:12" hidden="1" x14ac:dyDescent="0.25">
      <c r="B99" t="s">
        <v>873</v>
      </c>
      <c r="C99">
        <v>0</v>
      </c>
      <c r="D99" t="s">
        <v>835</v>
      </c>
      <c r="E99">
        <f t="shared" si="4"/>
        <v>140229</v>
      </c>
      <c r="F99" s="38" t="s">
        <v>544</v>
      </c>
      <c r="G99" s="37">
        <v>1700391.73</v>
      </c>
      <c r="H99" s="37"/>
      <c r="I99" s="41">
        <f t="shared" si="5"/>
        <v>1700391.73</v>
      </c>
      <c r="J99">
        <f>+_xlfn.XLOOKUP(E99,[1]BDV!$F:$F,[1]BDV!$AC:$AC)</f>
        <v>2167245.92</v>
      </c>
      <c r="K99" s="14">
        <f t="shared" si="6"/>
        <v>2889661.2266666666</v>
      </c>
      <c r="L99" s="18">
        <f t="shared" si="7"/>
        <v>1189269.4966666666</v>
      </c>
    </row>
    <row r="100" spans="2:12" hidden="1" x14ac:dyDescent="0.25">
      <c r="B100" t="s">
        <v>873</v>
      </c>
      <c r="C100">
        <v>0</v>
      </c>
      <c r="D100" t="s">
        <v>831</v>
      </c>
      <c r="E100">
        <f t="shared" si="4"/>
        <v>160201</v>
      </c>
      <c r="F100" s="38" t="s">
        <v>545</v>
      </c>
      <c r="G100" s="37">
        <v>461829.21</v>
      </c>
      <c r="H100" s="37"/>
      <c r="I100" s="41">
        <f t="shared" si="5"/>
        <v>461829.21</v>
      </c>
      <c r="J100">
        <f>+_xlfn.XLOOKUP(E100,[1]BDV!$F:$F,[1]BDV!$AC:$AC)</f>
        <v>458495.88</v>
      </c>
      <c r="K100" s="14">
        <f t="shared" si="6"/>
        <v>611327.84</v>
      </c>
      <c r="L100" s="18">
        <f t="shared" si="7"/>
        <v>149498.62999999995</v>
      </c>
    </row>
    <row r="101" spans="2:12" x14ac:dyDescent="0.25">
      <c r="B101" t="s">
        <v>874</v>
      </c>
      <c r="C101" t="s">
        <v>863</v>
      </c>
      <c r="D101" t="s">
        <v>837</v>
      </c>
      <c r="E101">
        <f t="shared" si="4"/>
        <v>160203</v>
      </c>
      <c r="F101" s="38" t="s">
        <v>546</v>
      </c>
      <c r="G101" s="37"/>
      <c r="H101" s="37">
        <v>756.79</v>
      </c>
      <c r="I101" s="41">
        <f t="shared" si="5"/>
        <v>-756.79</v>
      </c>
      <c r="J101">
        <f>+_xlfn.XLOOKUP(E101,[1]BDV!$F:$F,[1]BDV!$AC:$AC)</f>
        <v>34.6</v>
      </c>
      <c r="K101" s="14">
        <f t="shared" si="6"/>
        <v>46.133333333333333</v>
      </c>
      <c r="L101" s="18">
        <f t="shared" si="7"/>
        <v>802.92333333333329</v>
      </c>
    </row>
    <row r="102" spans="2:12" hidden="1" x14ac:dyDescent="0.25">
      <c r="B102" t="s">
        <v>873</v>
      </c>
      <c r="C102">
        <v>0</v>
      </c>
      <c r="D102" t="s">
        <v>832</v>
      </c>
      <c r="E102">
        <f t="shared" si="4"/>
        <v>160205</v>
      </c>
      <c r="F102" s="38" t="s">
        <v>547</v>
      </c>
      <c r="G102" s="37"/>
      <c r="H102" s="37">
        <v>28579.75</v>
      </c>
      <c r="I102" s="41">
        <f t="shared" si="5"/>
        <v>-28579.75</v>
      </c>
      <c r="J102">
        <f>+_xlfn.XLOOKUP(E102,[1]BDV!$F:$F,[1]BDV!$AC:$AC)</f>
        <v>0</v>
      </c>
      <c r="K102" s="14">
        <f t="shared" si="6"/>
        <v>0</v>
      </c>
      <c r="L102" s="18">
        <f t="shared" si="7"/>
        <v>28579.75</v>
      </c>
    </row>
    <row r="103" spans="2:12" hidden="1" x14ac:dyDescent="0.25">
      <c r="B103" t="s">
        <v>873</v>
      </c>
      <c r="C103">
        <v>0</v>
      </c>
      <c r="D103" t="s">
        <v>835</v>
      </c>
      <c r="E103">
        <f t="shared" si="4"/>
        <v>160207</v>
      </c>
      <c r="F103" s="38" t="s">
        <v>548</v>
      </c>
      <c r="G103" s="37">
        <v>17628920.23</v>
      </c>
      <c r="H103" s="37"/>
      <c r="I103" s="41">
        <f t="shared" si="5"/>
        <v>17628920.23</v>
      </c>
      <c r="J103">
        <f>+_xlfn.XLOOKUP(E103,[1]BDV!$F:$F,[1]BDV!$AC:$AC)</f>
        <v>18675002.550000001</v>
      </c>
      <c r="K103" s="14">
        <f t="shared" si="6"/>
        <v>24900003.400000002</v>
      </c>
      <c r="L103" s="18">
        <f t="shared" si="7"/>
        <v>7271083.1700000018</v>
      </c>
    </row>
    <row r="104" spans="2:12" hidden="1" x14ac:dyDescent="0.25">
      <c r="B104" t="s">
        <v>873</v>
      </c>
      <c r="C104">
        <v>0</v>
      </c>
      <c r="D104" t="s">
        <v>832</v>
      </c>
      <c r="E104">
        <f t="shared" si="4"/>
        <v>160208</v>
      </c>
      <c r="F104" s="38" t="s">
        <v>549</v>
      </c>
      <c r="G104" s="37">
        <v>353316.06</v>
      </c>
      <c r="H104" s="37"/>
      <c r="I104" s="41">
        <f t="shared" si="5"/>
        <v>353316.06</v>
      </c>
      <c r="J104">
        <f>+_xlfn.XLOOKUP(E104,[1]BDV!$F:$F,[1]BDV!$AC:$AC)</f>
        <v>353262.62</v>
      </c>
      <c r="K104" s="14">
        <f t="shared" si="6"/>
        <v>471016.82666666666</v>
      </c>
      <c r="L104" s="18">
        <f t="shared" si="7"/>
        <v>117700.76666666666</v>
      </c>
    </row>
    <row r="105" spans="2:12" hidden="1" x14ac:dyDescent="0.25">
      <c r="B105" t="s">
        <v>873</v>
      </c>
      <c r="C105">
        <v>0</v>
      </c>
      <c r="D105" t="s">
        <v>838</v>
      </c>
      <c r="E105">
        <f t="shared" si="4"/>
        <v>160210</v>
      </c>
      <c r="F105" s="38" t="s">
        <v>550</v>
      </c>
      <c r="G105" s="37">
        <v>147938.91</v>
      </c>
      <c r="H105" s="37"/>
      <c r="I105" s="41">
        <f t="shared" si="5"/>
        <v>147938.91</v>
      </c>
      <c r="J105">
        <f>+_xlfn.XLOOKUP(E105,[1]BDV!$F:$F,[1]BDV!$AC:$AC)</f>
        <v>156035.07999999999</v>
      </c>
      <c r="K105" s="14">
        <f t="shared" si="6"/>
        <v>208046.77333333332</v>
      </c>
      <c r="L105" s="18">
        <f t="shared" si="7"/>
        <v>60107.863333333313</v>
      </c>
    </row>
    <row r="106" spans="2:12" hidden="1" x14ac:dyDescent="0.25">
      <c r="B106" t="s">
        <v>873</v>
      </c>
      <c r="C106">
        <v>0</v>
      </c>
      <c r="D106" t="s">
        <v>838</v>
      </c>
      <c r="E106">
        <f t="shared" si="4"/>
        <v>160212</v>
      </c>
      <c r="F106" s="38" t="s">
        <v>551</v>
      </c>
      <c r="G106" s="37">
        <v>166102.54999999999</v>
      </c>
      <c r="H106" s="37"/>
      <c r="I106" s="41">
        <f t="shared" si="5"/>
        <v>166102.54999999999</v>
      </c>
      <c r="J106">
        <f>+_xlfn.XLOOKUP(E106,[1]BDV!$F:$F,[1]BDV!$AC:$AC)</f>
        <v>211069.71</v>
      </c>
      <c r="K106" s="14">
        <f t="shared" si="6"/>
        <v>281426.27999999997</v>
      </c>
      <c r="L106" s="18">
        <f t="shared" si="7"/>
        <v>115323.72999999998</v>
      </c>
    </row>
    <row r="107" spans="2:12" hidden="1" x14ac:dyDescent="0.25">
      <c r="B107" t="s">
        <v>873</v>
      </c>
      <c r="C107">
        <v>0</v>
      </c>
      <c r="D107" t="s">
        <v>832</v>
      </c>
      <c r="E107">
        <f t="shared" si="4"/>
        <v>160216</v>
      </c>
      <c r="F107" s="38" t="s">
        <v>552</v>
      </c>
      <c r="G107" s="37">
        <v>641999.5</v>
      </c>
      <c r="H107" s="37"/>
      <c r="I107" s="41">
        <f t="shared" si="5"/>
        <v>641999.5</v>
      </c>
      <c r="J107">
        <f>+_xlfn.XLOOKUP(E107,[1]BDV!$F:$F,[1]BDV!$AC:$AC)</f>
        <v>619022.96</v>
      </c>
      <c r="K107" s="14">
        <f t="shared" si="6"/>
        <v>825363.94666666666</v>
      </c>
      <c r="L107" s="18">
        <f t="shared" si="7"/>
        <v>183364.44666666666</v>
      </c>
    </row>
    <row r="108" spans="2:12" hidden="1" x14ac:dyDescent="0.25">
      <c r="B108" t="s">
        <v>873</v>
      </c>
      <c r="C108">
        <v>0</v>
      </c>
      <c r="D108" t="s">
        <v>832</v>
      </c>
      <c r="E108">
        <f t="shared" si="4"/>
        <v>160218</v>
      </c>
      <c r="F108" s="38" t="s">
        <v>553</v>
      </c>
      <c r="G108" s="37">
        <v>3335</v>
      </c>
      <c r="H108" s="37"/>
      <c r="I108" s="41">
        <f t="shared" si="5"/>
        <v>3335</v>
      </c>
      <c r="J108">
        <f>+_xlfn.XLOOKUP(E108,[1]BDV!$F:$F,[1]BDV!$AC:$AC)</f>
        <v>3335</v>
      </c>
      <c r="K108" s="14">
        <f t="shared" si="6"/>
        <v>4446.666666666667</v>
      </c>
      <c r="L108" s="18">
        <f t="shared" si="7"/>
        <v>1111.666666666667</v>
      </c>
    </row>
    <row r="109" spans="2:12" hidden="1" x14ac:dyDescent="0.25">
      <c r="B109" t="s">
        <v>873</v>
      </c>
      <c r="C109">
        <v>0</v>
      </c>
      <c r="D109" t="s">
        <v>832</v>
      </c>
      <c r="E109">
        <f t="shared" si="4"/>
        <v>160220</v>
      </c>
      <c r="F109" s="38" t="s">
        <v>554</v>
      </c>
      <c r="G109" s="37">
        <v>5062.5</v>
      </c>
      <c r="H109" s="37"/>
      <c r="I109" s="41">
        <f t="shared" si="5"/>
        <v>5062.5</v>
      </c>
      <c r="J109">
        <f>+_xlfn.XLOOKUP(E109,[1]BDV!$F:$F,[1]BDV!$AC:$AC)</f>
        <v>5062.5</v>
      </c>
      <c r="K109" s="14">
        <f t="shared" si="6"/>
        <v>6750</v>
      </c>
      <c r="L109" s="18">
        <f t="shared" si="7"/>
        <v>1687.5</v>
      </c>
    </row>
    <row r="110" spans="2:12" hidden="1" x14ac:dyDescent="0.25">
      <c r="B110" t="s">
        <v>873</v>
      </c>
      <c r="C110">
        <v>0</v>
      </c>
      <c r="D110" t="s">
        <v>832</v>
      </c>
      <c r="E110">
        <f t="shared" si="4"/>
        <v>160222</v>
      </c>
      <c r="F110" s="38" t="s">
        <v>555</v>
      </c>
      <c r="G110" s="37">
        <v>137585.87</v>
      </c>
      <c r="H110" s="37"/>
      <c r="I110" s="41">
        <f t="shared" si="5"/>
        <v>137585.87</v>
      </c>
      <c r="J110">
        <f>+_xlfn.XLOOKUP(E110,[1]BDV!$F:$F,[1]BDV!$AC:$AC)</f>
        <v>137585.87</v>
      </c>
      <c r="K110" s="14">
        <f t="shared" si="6"/>
        <v>183447.82666666666</v>
      </c>
      <c r="L110" s="18">
        <f t="shared" si="7"/>
        <v>45861.956666666665</v>
      </c>
    </row>
    <row r="111" spans="2:12" hidden="1" x14ac:dyDescent="0.25">
      <c r="B111" t="s">
        <v>873</v>
      </c>
      <c r="C111">
        <v>0</v>
      </c>
      <c r="D111" t="s">
        <v>835</v>
      </c>
      <c r="E111">
        <f t="shared" si="4"/>
        <v>160224</v>
      </c>
      <c r="F111" s="38" t="s">
        <v>556</v>
      </c>
      <c r="G111" s="37">
        <v>16.75</v>
      </c>
      <c r="H111" s="37"/>
      <c r="I111" s="41">
        <f t="shared" si="5"/>
        <v>16.75</v>
      </c>
      <c r="J111">
        <f>+_xlfn.XLOOKUP(E111,[1]BDV!$F:$F,[1]BDV!$AC:$AC)</f>
        <v>16.75</v>
      </c>
      <c r="K111" s="14">
        <f t="shared" si="6"/>
        <v>22.333333333333332</v>
      </c>
      <c r="L111" s="18">
        <f t="shared" si="7"/>
        <v>5.5833333333333321</v>
      </c>
    </row>
    <row r="112" spans="2:12" hidden="1" x14ac:dyDescent="0.25">
      <c r="B112" t="s">
        <v>873</v>
      </c>
      <c r="C112">
        <v>0</v>
      </c>
      <c r="D112" t="s">
        <v>836</v>
      </c>
      <c r="E112">
        <f t="shared" si="4"/>
        <v>160401</v>
      </c>
      <c r="F112" s="38" t="s">
        <v>557</v>
      </c>
      <c r="G112" s="37">
        <v>1012821.4</v>
      </c>
      <c r="H112" s="37"/>
      <c r="I112" s="41">
        <f t="shared" si="5"/>
        <v>1012821.4</v>
      </c>
      <c r="J112">
        <f>+_xlfn.XLOOKUP(E112,[1]BDV!$F:$F,[1]BDV!$AC:$AC)</f>
        <v>918231.35</v>
      </c>
      <c r="K112" s="14">
        <f t="shared" si="6"/>
        <v>1224308.4666666666</v>
      </c>
      <c r="L112" s="18">
        <f t="shared" si="7"/>
        <v>211487.06666666653</v>
      </c>
    </row>
    <row r="113" spans="2:12" hidden="1" x14ac:dyDescent="0.25">
      <c r="B113" t="s">
        <v>873</v>
      </c>
      <c r="C113">
        <v>0</v>
      </c>
      <c r="D113" t="s">
        <v>836</v>
      </c>
      <c r="E113">
        <f t="shared" si="4"/>
        <v>160403</v>
      </c>
      <c r="F113" s="38" t="s">
        <v>558</v>
      </c>
      <c r="G113" s="37">
        <v>2942929.78</v>
      </c>
      <c r="H113" s="37"/>
      <c r="I113" s="41">
        <f t="shared" si="5"/>
        <v>2942929.78</v>
      </c>
      <c r="J113">
        <f>+_xlfn.XLOOKUP(E113,[1]BDV!$F:$F,[1]BDV!$AC:$AC)</f>
        <v>3979009.32</v>
      </c>
      <c r="K113" s="14">
        <f t="shared" si="6"/>
        <v>5305345.76</v>
      </c>
      <c r="L113" s="18">
        <f t="shared" si="7"/>
        <v>2362415.98</v>
      </c>
    </row>
    <row r="114" spans="2:12" hidden="1" x14ac:dyDescent="0.25">
      <c r="B114" t="s">
        <v>873</v>
      </c>
      <c r="C114">
        <v>0</v>
      </c>
      <c r="D114" t="s">
        <v>836</v>
      </c>
      <c r="E114">
        <f t="shared" ref="E114:E173" si="8">+_xlfn.NUMBERVALUE(LEFT(F114,6))</f>
        <v>160405</v>
      </c>
      <c r="F114" s="38" t="s">
        <v>559</v>
      </c>
      <c r="G114" s="37">
        <v>909.42</v>
      </c>
      <c r="H114" s="37"/>
      <c r="I114" s="41">
        <f t="shared" si="5"/>
        <v>909.42</v>
      </c>
      <c r="J114">
        <f>+_xlfn.XLOOKUP(E114,[1]BDV!$F:$F,[1]BDV!$AC:$AC)</f>
        <v>838.94</v>
      </c>
      <c r="K114" s="14">
        <f t="shared" si="6"/>
        <v>1118.5866666666668</v>
      </c>
      <c r="L114" s="18">
        <f t="shared" si="7"/>
        <v>209.16666666666686</v>
      </c>
    </row>
    <row r="115" spans="2:12" hidden="1" x14ac:dyDescent="0.25">
      <c r="B115" t="s">
        <v>873</v>
      </c>
      <c r="C115">
        <v>0</v>
      </c>
      <c r="D115" t="s">
        <v>836</v>
      </c>
      <c r="E115">
        <f t="shared" si="8"/>
        <v>160407</v>
      </c>
      <c r="F115" s="38" t="s">
        <v>560</v>
      </c>
      <c r="G115" s="37">
        <v>673332.24</v>
      </c>
      <c r="H115" s="37"/>
      <c r="I115" s="41">
        <f t="shared" si="5"/>
        <v>673332.24</v>
      </c>
      <c r="J115">
        <f>+_xlfn.XLOOKUP(E115,[1]BDV!$F:$F,[1]BDV!$AC:$AC)</f>
        <v>673332.24</v>
      </c>
      <c r="K115" s="14">
        <f t="shared" si="6"/>
        <v>897776.32</v>
      </c>
      <c r="L115" s="18">
        <f t="shared" si="7"/>
        <v>224444.07999999996</v>
      </c>
    </row>
    <row r="116" spans="2:12" hidden="1" x14ac:dyDescent="0.25">
      <c r="B116" t="s">
        <v>873</v>
      </c>
      <c r="C116">
        <v>0</v>
      </c>
      <c r="D116" t="s">
        <v>836</v>
      </c>
      <c r="E116">
        <f t="shared" si="8"/>
        <v>160409</v>
      </c>
      <c r="F116" s="38" t="s">
        <v>561</v>
      </c>
      <c r="G116" s="37">
        <v>16924.23</v>
      </c>
      <c r="H116" s="37"/>
      <c r="I116" s="41">
        <f t="shared" si="5"/>
        <v>16924.23</v>
      </c>
      <c r="J116">
        <f>+_xlfn.XLOOKUP(E116,[1]BDV!$F:$F,[1]BDV!$AC:$AC)</f>
        <v>16924.23</v>
      </c>
      <c r="K116" s="14">
        <f t="shared" si="6"/>
        <v>22565.64</v>
      </c>
      <c r="L116" s="18">
        <f t="shared" si="7"/>
        <v>5641.41</v>
      </c>
    </row>
    <row r="117" spans="2:12" hidden="1" x14ac:dyDescent="0.25">
      <c r="B117" t="s">
        <v>873</v>
      </c>
      <c r="C117">
        <v>0</v>
      </c>
      <c r="D117" t="s">
        <v>836</v>
      </c>
      <c r="E117">
        <f t="shared" si="8"/>
        <v>160411</v>
      </c>
      <c r="F117" s="38" t="s">
        <v>562</v>
      </c>
      <c r="G117" s="37">
        <v>2334868.4500000002</v>
      </c>
      <c r="H117" s="37"/>
      <c r="I117" s="41">
        <f t="shared" si="5"/>
        <v>2334868.4500000002</v>
      </c>
      <c r="J117">
        <f>+_xlfn.XLOOKUP(E117,[1]BDV!$F:$F,[1]BDV!$AC:$AC)</f>
        <v>1244763.28</v>
      </c>
      <c r="K117" s="14">
        <f t="shared" si="6"/>
        <v>1659684.3733333333</v>
      </c>
      <c r="L117" s="18">
        <f t="shared" si="7"/>
        <v>-675184.07666666689</v>
      </c>
    </row>
    <row r="118" spans="2:12" hidden="1" x14ac:dyDescent="0.25">
      <c r="B118" t="s">
        <v>873</v>
      </c>
      <c r="C118">
        <v>0</v>
      </c>
      <c r="D118" t="s">
        <v>836</v>
      </c>
      <c r="E118">
        <f t="shared" si="8"/>
        <v>160413</v>
      </c>
      <c r="F118" s="38" t="s">
        <v>563</v>
      </c>
      <c r="G118" s="37">
        <v>1305.52</v>
      </c>
      <c r="H118" s="37"/>
      <c r="I118" s="41">
        <f t="shared" si="5"/>
        <v>1305.52</v>
      </c>
      <c r="J118">
        <f>+_xlfn.XLOOKUP(E118,[1]BDV!$F:$F,[1]BDV!$AC:$AC)</f>
        <v>1305.52</v>
      </c>
      <c r="K118" s="14">
        <f t="shared" si="6"/>
        <v>1740.6933333333334</v>
      </c>
      <c r="L118" s="18">
        <f t="shared" si="7"/>
        <v>435.1733333333334</v>
      </c>
    </row>
    <row r="119" spans="2:12" hidden="1" x14ac:dyDescent="0.25">
      <c r="B119" t="s">
        <v>873</v>
      </c>
      <c r="C119">
        <v>0</v>
      </c>
      <c r="D119" t="s">
        <v>839</v>
      </c>
      <c r="E119">
        <f t="shared" si="8"/>
        <v>180201</v>
      </c>
      <c r="F119" s="38" t="s">
        <v>564</v>
      </c>
      <c r="G119" s="37">
        <v>7566.21</v>
      </c>
      <c r="H119" s="37"/>
      <c r="I119" s="41">
        <f t="shared" si="5"/>
        <v>7566.21</v>
      </c>
      <c r="J119">
        <f>+_xlfn.XLOOKUP(E119,[1]BDV!$F:$F,[1]BDV!$AC:$AC)</f>
        <v>14343.76</v>
      </c>
      <c r="K119" s="14">
        <f t="shared" si="6"/>
        <v>19125.013333333332</v>
      </c>
      <c r="L119" s="18">
        <f t="shared" si="7"/>
        <v>11558.803333333333</v>
      </c>
    </row>
    <row r="120" spans="2:12" hidden="1" x14ac:dyDescent="0.25">
      <c r="B120" t="s">
        <v>873</v>
      </c>
      <c r="C120">
        <v>0</v>
      </c>
      <c r="D120" t="s">
        <v>839</v>
      </c>
      <c r="E120">
        <f t="shared" si="8"/>
        <v>180205</v>
      </c>
      <c r="F120" s="38" t="s">
        <v>565</v>
      </c>
      <c r="G120" s="37">
        <v>9661.7099999999991</v>
      </c>
      <c r="H120" s="37"/>
      <c r="I120" s="41">
        <f t="shared" si="5"/>
        <v>9661.7099999999991</v>
      </c>
      <c r="J120">
        <f>+_xlfn.XLOOKUP(E120,[1]BDV!$F:$F,[1]BDV!$AC:$AC)</f>
        <v>1099662.21</v>
      </c>
      <c r="K120" s="14">
        <f t="shared" si="6"/>
        <v>1466216.28</v>
      </c>
      <c r="L120" s="18">
        <f t="shared" si="7"/>
        <v>1456554.57</v>
      </c>
    </row>
    <row r="121" spans="2:12" hidden="1" x14ac:dyDescent="0.25">
      <c r="B121" t="s">
        <v>873</v>
      </c>
      <c r="C121">
        <v>0</v>
      </c>
      <c r="D121" t="s">
        <v>839</v>
      </c>
      <c r="E121">
        <f t="shared" si="8"/>
        <v>180207</v>
      </c>
      <c r="F121" s="38" t="s">
        <v>566</v>
      </c>
      <c r="G121" s="37">
        <v>29778.39</v>
      </c>
      <c r="H121" s="37"/>
      <c r="I121" s="41">
        <f t="shared" si="5"/>
        <v>29778.39</v>
      </c>
      <c r="J121">
        <f>+_xlfn.XLOOKUP(E121,[1]BDV!$F:$F,[1]BDV!$AC:$AC)</f>
        <v>28681.07</v>
      </c>
      <c r="K121" s="14">
        <f t="shared" si="6"/>
        <v>38241.426666666666</v>
      </c>
      <c r="L121" s="18">
        <f t="shared" si="7"/>
        <v>8463.0366666666669</v>
      </c>
    </row>
    <row r="122" spans="2:12" hidden="1" x14ac:dyDescent="0.25">
      <c r="B122" t="s">
        <v>873</v>
      </c>
      <c r="C122">
        <v>0</v>
      </c>
      <c r="D122" t="s">
        <v>839</v>
      </c>
      <c r="E122">
        <f t="shared" si="8"/>
        <v>180209</v>
      </c>
      <c r="F122" s="38" t="s">
        <v>567</v>
      </c>
      <c r="G122" s="37">
        <v>30939.31</v>
      </c>
      <c r="H122" s="37"/>
      <c r="I122" s="41">
        <f t="shared" si="5"/>
        <v>30939.31</v>
      </c>
      <c r="J122">
        <f>+_xlfn.XLOOKUP(E122,[1]BDV!$F:$F,[1]BDV!$AC:$AC)</f>
        <v>20984.83</v>
      </c>
      <c r="K122" s="14">
        <f t="shared" si="6"/>
        <v>27979.773333333334</v>
      </c>
      <c r="L122" s="18">
        <f t="shared" si="7"/>
        <v>-2959.5366666666669</v>
      </c>
    </row>
    <row r="123" spans="2:12" hidden="1" x14ac:dyDescent="0.25">
      <c r="B123" t="s">
        <v>873</v>
      </c>
      <c r="C123">
        <v>0</v>
      </c>
      <c r="D123" t="s">
        <v>839</v>
      </c>
      <c r="E123">
        <f t="shared" si="8"/>
        <v>180211</v>
      </c>
      <c r="F123" s="38" t="s">
        <v>568</v>
      </c>
      <c r="G123" s="37">
        <v>5286.42</v>
      </c>
      <c r="H123" s="37"/>
      <c r="I123" s="41">
        <f t="shared" si="5"/>
        <v>5286.42</v>
      </c>
      <c r="J123">
        <f>+_xlfn.XLOOKUP(E123,[1]BDV!$F:$F,[1]BDV!$AC:$AC)</f>
        <v>17644.66</v>
      </c>
      <c r="K123" s="14">
        <f t="shared" si="6"/>
        <v>23526.213333333333</v>
      </c>
      <c r="L123" s="18">
        <f t="shared" si="7"/>
        <v>18239.793333333335</v>
      </c>
    </row>
    <row r="124" spans="2:12" hidden="1" x14ac:dyDescent="0.25">
      <c r="B124" t="s">
        <v>873</v>
      </c>
      <c r="C124">
        <v>0</v>
      </c>
      <c r="D124" t="s">
        <v>839</v>
      </c>
      <c r="E124">
        <f t="shared" si="8"/>
        <v>180213</v>
      </c>
      <c r="F124" s="38" t="s">
        <v>569</v>
      </c>
      <c r="G124" s="37">
        <v>41308.019999999997</v>
      </c>
      <c r="H124" s="37"/>
      <c r="I124" s="41">
        <f t="shared" si="5"/>
        <v>41308.019999999997</v>
      </c>
      <c r="J124">
        <f>+_xlfn.XLOOKUP(E124,[1]BDV!$F:$F,[1]BDV!$AC:$AC)</f>
        <v>33298.400000000001</v>
      </c>
      <c r="K124" s="14">
        <f t="shared" si="6"/>
        <v>44397.866666666669</v>
      </c>
      <c r="L124" s="18">
        <f t="shared" si="7"/>
        <v>3089.8466666666718</v>
      </c>
    </row>
    <row r="125" spans="2:12" hidden="1" x14ac:dyDescent="0.25">
      <c r="B125" t="s">
        <v>873</v>
      </c>
      <c r="C125">
        <v>0</v>
      </c>
      <c r="D125" t="s">
        <v>839</v>
      </c>
      <c r="E125">
        <f t="shared" si="8"/>
        <v>180215</v>
      </c>
      <c r="F125" s="38" t="s">
        <v>570</v>
      </c>
      <c r="G125" s="37">
        <v>426672.56</v>
      </c>
      <c r="H125" s="37"/>
      <c r="I125" s="41">
        <f t="shared" si="5"/>
        <v>426672.56</v>
      </c>
      <c r="J125">
        <f>+_xlfn.XLOOKUP(E125,[1]BDV!$F:$F,[1]BDV!$AC:$AC)</f>
        <v>465499.2</v>
      </c>
      <c r="K125" s="14">
        <f t="shared" si="6"/>
        <v>620665.59999999998</v>
      </c>
      <c r="L125" s="18">
        <f t="shared" si="7"/>
        <v>193993.03999999998</v>
      </c>
    </row>
    <row r="126" spans="2:12" hidden="1" x14ac:dyDescent="0.25">
      <c r="B126" t="s">
        <v>873</v>
      </c>
      <c r="C126">
        <v>0</v>
      </c>
      <c r="D126" t="s">
        <v>839</v>
      </c>
      <c r="E126">
        <f t="shared" si="8"/>
        <v>180217</v>
      </c>
      <c r="F126" s="38" t="s">
        <v>571</v>
      </c>
      <c r="G126" s="37">
        <v>178406.61</v>
      </c>
      <c r="H126" s="37"/>
      <c r="I126" s="41">
        <f t="shared" si="5"/>
        <v>178406.61</v>
      </c>
      <c r="J126">
        <f>+_xlfn.XLOOKUP(E126,[1]BDV!$F:$F,[1]BDV!$AC:$AC)</f>
        <v>538597.15</v>
      </c>
      <c r="K126" s="14">
        <f t="shared" si="6"/>
        <v>718129.53333333333</v>
      </c>
      <c r="L126" s="18">
        <f t="shared" si="7"/>
        <v>539722.92333333334</v>
      </c>
    </row>
    <row r="127" spans="2:12" hidden="1" x14ac:dyDescent="0.25">
      <c r="B127" t="s">
        <v>873</v>
      </c>
      <c r="C127">
        <v>0</v>
      </c>
      <c r="D127" t="s">
        <v>839</v>
      </c>
      <c r="E127">
        <f t="shared" si="8"/>
        <v>180219</v>
      </c>
      <c r="F127" s="38" t="s">
        <v>572</v>
      </c>
      <c r="G127" s="37">
        <v>77656.77</v>
      </c>
      <c r="H127" s="37"/>
      <c r="I127" s="41">
        <f t="shared" si="5"/>
        <v>77656.77</v>
      </c>
      <c r="J127">
        <f>+_xlfn.XLOOKUP(E127,[1]BDV!$F:$F,[1]BDV!$AC:$AC)</f>
        <v>95494.42</v>
      </c>
      <c r="K127" s="14">
        <f t="shared" si="6"/>
        <v>127325.89333333333</v>
      </c>
      <c r="L127" s="18">
        <f t="shared" si="7"/>
        <v>49669.123333333322</v>
      </c>
    </row>
    <row r="128" spans="2:12" hidden="1" x14ac:dyDescent="0.25">
      <c r="B128" t="s">
        <v>873</v>
      </c>
      <c r="C128">
        <v>0</v>
      </c>
      <c r="D128" t="s">
        <v>839</v>
      </c>
      <c r="E128">
        <f t="shared" si="8"/>
        <v>180221</v>
      </c>
      <c r="F128" s="38" t="s">
        <v>573</v>
      </c>
      <c r="G128" s="37">
        <v>85435.26</v>
      </c>
      <c r="H128" s="37"/>
      <c r="I128" s="41">
        <f t="shared" si="5"/>
        <v>85435.26</v>
      </c>
      <c r="J128">
        <f>+_xlfn.XLOOKUP(E128,[1]BDV!$F:$F,[1]BDV!$AC:$AC)</f>
        <v>85452.06</v>
      </c>
      <c r="K128" s="14">
        <f t="shared" si="6"/>
        <v>113936.08</v>
      </c>
      <c r="L128" s="18">
        <f t="shared" si="7"/>
        <v>28500.820000000007</v>
      </c>
    </row>
    <row r="129" spans="2:12" hidden="1" x14ac:dyDescent="0.25">
      <c r="B129" t="s">
        <v>873</v>
      </c>
      <c r="C129">
        <v>0</v>
      </c>
      <c r="D129" t="s">
        <v>839</v>
      </c>
      <c r="E129">
        <f t="shared" si="8"/>
        <v>180223</v>
      </c>
      <c r="F129" s="38" t="s">
        <v>574</v>
      </c>
      <c r="G129" s="37">
        <v>30800.9</v>
      </c>
      <c r="H129" s="37"/>
      <c r="I129" s="41">
        <f t="shared" si="5"/>
        <v>30800.9</v>
      </c>
      <c r="J129">
        <f>+_xlfn.XLOOKUP(E129,[1]BDV!$F:$F,[1]BDV!$AC:$AC)</f>
        <v>61189.39</v>
      </c>
      <c r="K129" s="14">
        <f t="shared" si="6"/>
        <v>81585.853333333333</v>
      </c>
      <c r="L129" s="18">
        <f t="shared" si="7"/>
        <v>50784.953333333331</v>
      </c>
    </row>
    <row r="130" spans="2:12" hidden="1" x14ac:dyDescent="0.25">
      <c r="B130" t="s">
        <v>873</v>
      </c>
      <c r="C130">
        <v>0</v>
      </c>
      <c r="D130" t="s">
        <v>839</v>
      </c>
      <c r="E130">
        <f t="shared" si="8"/>
        <v>180225</v>
      </c>
      <c r="F130" s="38" t="s">
        <v>575</v>
      </c>
      <c r="G130" s="37">
        <v>77231.710000000006</v>
      </c>
      <c r="H130" s="37"/>
      <c r="I130" s="41">
        <f t="shared" si="5"/>
        <v>77231.710000000006</v>
      </c>
      <c r="J130">
        <f>+_xlfn.XLOOKUP(E130,[1]BDV!$F:$F,[1]BDV!$AC:$AC)</f>
        <v>8271086.0999999996</v>
      </c>
      <c r="K130" s="14">
        <f t="shared" si="6"/>
        <v>11028114.799999999</v>
      </c>
      <c r="L130" s="18">
        <f t="shared" si="7"/>
        <v>10950883.089999998</v>
      </c>
    </row>
    <row r="131" spans="2:12" hidden="1" x14ac:dyDescent="0.25">
      <c r="B131" t="s">
        <v>873</v>
      </c>
      <c r="C131">
        <v>0</v>
      </c>
      <c r="D131" t="s">
        <v>839</v>
      </c>
      <c r="E131">
        <f t="shared" si="8"/>
        <v>180227</v>
      </c>
      <c r="F131" s="38" t="s">
        <v>576</v>
      </c>
      <c r="G131" s="37">
        <v>4198567.6100000003</v>
      </c>
      <c r="H131" s="37"/>
      <c r="I131" s="41">
        <f t="shared" si="5"/>
        <v>4198567.6100000003</v>
      </c>
      <c r="J131">
        <f>+_xlfn.XLOOKUP(E131,[1]BDV!$F:$F,[1]BDV!$AC:$AC)</f>
        <v>10335272.18</v>
      </c>
      <c r="K131" s="14">
        <f t="shared" si="6"/>
        <v>13780362.906666666</v>
      </c>
      <c r="L131" s="18">
        <f t="shared" si="7"/>
        <v>9581795.2966666669</v>
      </c>
    </row>
    <row r="132" spans="2:12" hidden="1" x14ac:dyDescent="0.25">
      <c r="B132" t="s">
        <v>873</v>
      </c>
      <c r="C132">
        <v>0</v>
      </c>
      <c r="D132" t="s">
        <v>839</v>
      </c>
      <c r="E132">
        <f t="shared" si="8"/>
        <v>180231</v>
      </c>
      <c r="F132" s="38" t="s">
        <v>577</v>
      </c>
      <c r="G132" s="37">
        <v>448.71</v>
      </c>
      <c r="H132" s="37"/>
      <c r="I132" s="41">
        <f t="shared" si="5"/>
        <v>448.71</v>
      </c>
      <c r="J132">
        <f>+_xlfn.XLOOKUP(E132,[1]BDV!$F:$F,[1]BDV!$AC:$AC)</f>
        <v>12432.16</v>
      </c>
      <c r="K132" s="14">
        <f t="shared" si="6"/>
        <v>16576.213333333333</v>
      </c>
      <c r="L132" s="18">
        <f t="shared" si="7"/>
        <v>16127.503333333334</v>
      </c>
    </row>
    <row r="133" spans="2:12" hidden="1" x14ac:dyDescent="0.25">
      <c r="B133" t="s">
        <v>873</v>
      </c>
      <c r="C133">
        <v>0</v>
      </c>
      <c r="D133" t="s">
        <v>839</v>
      </c>
      <c r="E133">
        <f t="shared" si="8"/>
        <v>180243</v>
      </c>
      <c r="F133" s="38" t="s">
        <v>578</v>
      </c>
      <c r="G133" s="37">
        <v>1053391.3999999999</v>
      </c>
      <c r="H133" s="37"/>
      <c r="I133" s="41">
        <f t="shared" si="5"/>
        <v>1053391.3999999999</v>
      </c>
      <c r="J133">
        <f>+_xlfn.XLOOKUP(E133,[1]BDV!$F:$F,[1]BDV!$AC:$AC)</f>
        <v>1158552.69</v>
      </c>
      <c r="K133" s="14">
        <f t="shared" si="6"/>
        <v>1544736.92</v>
      </c>
      <c r="L133" s="18">
        <f t="shared" si="7"/>
        <v>491345.52</v>
      </c>
    </row>
    <row r="134" spans="2:12" hidden="1" x14ac:dyDescent="0.25">
      <c r="B134" t="s">
        <v>873</v>
      </c>
      <c r="C134">
        <v>0</v>
      </c>
      <c r="D134" t="s">
        <v>839</v>
      </c>
      <c r="E134">
        <f t="shared" si="8"/>
        <v>180247</v>
      </c>
      <c r="F134" s="38" t="s">
        <v>579</v>
      </c>
      <c r="G134" s="37">
        <v>140937.60000000001</v>
      </c>
      <c r="H134" s="37"/>
      <c r="I134" s="41">
        <f t="shared" ref="I134:I197" si="9">+G134-H134</f>
        <v>140937.60000000001</v>
      </c>
      <c r="J134">
        <f>+_xlfn.XLOOKUP(E134,[1]BDV!$F:$F,[1]BDV!$AC:$AC)</f>
        <v>232736.16</v>
      </c>
      <c r="K134" s="14">
        <f t="shared" ref="K134:K197" si="10">+J134/6*8</f>
        <v>310314.88</v>
      </c>
      <c r="L134" s="18">
        <f t="shared" ref="L134:L197" si="11">+K134-I134</f>
        <v>169377.28</v>
      </c>
    </row>
    <row r="135" spans="2:12" hidden="1" x14ac:dyDescent="0.25">
      <c r="B135" t="s">
        <v>873</v>
      </c>
      <c r="C135">
        <v>0</v>
      </c>
      <c r="D135" t="s">
        <v>839</v>
      </c>
      <c r="E135">
        <f t="shared" si="8"/>
        <v>180249</v>
      </c>
      <c r="F135" s="38" t="s">
        <v>580</v>
      </c>
      <c r="G135" s="37">
        <v>27903.26</v>
      </c>
      <c r="H135" s="37"/>
      <c r="I135" s="41">
        <f t="shared" si="9"/>
        <v>27903.26</v>
      </c>
      <c r="J135">
        <f>+_xlfn.XLOOKUP(E135,[1]BDV!$F:$F,[1]BDV!$AC:$AC)</f>
        <v>156106.87</v>
      </c>
      <c r="K135" s="14">
        <f t="shared" si="10"/>
        <v>208142.49333333332</v>
      </c>
      <c r="L135" s="18">
        <f t="shared" si="11"/>
        <v>180239.23333333331</v>
      </c>
    </row>
    <row r="136" spans="2:12" hidden="1" x14ac:dyDescent="0.25">
      <c r="B136" t="s">
        <v>873</v>
      </c>
      <c r="C136">
        <v>0</v>
      </c>
      <c r="D136" t="s">
        <v>839</v>
      </c>
      <c r="E136">
        <f t="shared" si="8"/>
        <v>180251</v>
      </c>
      <c r="F136" s="38" t="s">
        <v>581</v>
      </c>
      <c r="G136" s="37">
        <v>464584.3</v>
      </c>
      <c r="H136" s="37"/>
      <c r="I136" s="41">
        <f t="shared" si="9"/>
        <v>464584.3</v>
      </c>
      <c r="J136">
        <f>+_xlfn.XLOOKUP(E136,[1]BDV!$F:$F,[1]BDV!$AC:$AC)</f>
        <v>357901.18</v>
      </c>
      <c r="K136" s="14">
        <f t="shared" si="10"/>
        <v>477201.5733333333</v>
      </c>
      <c r="L136" s="18">
        <f t="shared" si="11"/>
        <v>12617.273333333316</v>
      </c>
    </row>
    <row r="137" spans="2:12" hidden="1" x14ac:dyDescent="0.25">
      <c r="B137" t="s">
        <v>873</v>
      </c>
      <c r="C137">
        <v>0</v>
      </c>
      <c r="D137" t="s">
        <v>839</v>
      </c>
      <c r="E137">
        <f t="shared" si="8"/>
        <v>180253</v>
      </c>
      <c r="F137" s="38" t="s">
        <v>582</v>
      </c>
      <c r="G137" s="37">
        <v>88654.57</v>
      </c>
      <c r="H137" s="37"/>
      <c r="I137" s="41">
        <f t="shared" si="9"/>
        <v>88654.57</v>
      </c>
      <c r="J137">
        <f>+_xlfn.XLOOKUP(E137,[1]BDV!$F:$F,[1]BDV!$AC:$AC)</f>
        <v>82369.06</v>
      </c>
      <c r="K137" s="14">
        <f t="shared" si="10"/>
        <v>109825.41333333333</v>
      </c>
      <c r="L137" s="18">
        <f t="shared" si="11"/>
        <v>21170.843333333323</v>
      </c>
    </row>
    <row r="138" spans="2:12" hidden="1" x14ac:dyDescent="0.25">
      <c r="B138" t="s">
        <v>873</v>
      </c>
      <c r="C138">
        <v>0</v>
      </c>
      <c r="D138" t="s">
        <v>839</v>
      </c>
      <c r="E138">
        <f t="shared" si="8"/>
        <v>180255</v>
      </c>
      <c r="F138" s="38" t="s">
        <v>583</v>
      </c>
      <c r="G138" s="37">
        <v>13823.53</v>
      </c>
      <c r="H138" s="37"/>
      <c r="I138" s="41">
        <f t="shared" si="9"/>
        <v>13823.53</v>
      </c>
      <c r="J138">
        <f>+_xlfn.XLOOKUP(E138,[1]BDV!$F:$F,[1]BDV!$AC:$AC)</f>
        <v>78824.53</v>
      </c>
      <c r="K138" s="14">
        <f t="shared" si="10"/>
        <v>105099.37333333334</v>
      </c>
      <c r="L138" s="18">
        <f t="shared" si="11"/>
        <v>91275.843333333338</v>
      </c>
    </row>
    <row r="139" spans="2:12" hidden="1" x14ac:dyDescent="0.25">
      <c r="B139" t="s">
        <v>873</v>
      </c>
      <c r="C139">
        <v>0</v>
      </c>
      <c r="D139" t="s">
        <v>840</v>
      </c>
      <c r="E139">
        <f t="shared" si="8"/>
        <v>180257</v>
      </c>
      <c r="F139" s="38" t="s">
        <v>584</v>
      </c>
      <c r="G139" s="37">
        <v>268</v>
      </c>
      <c r="H139" s="37"/>
      <c r="I139" s="41">
        <f t="shared" si="9"/>
        <v>268</v>
      </c>
      <c r="J139">
        <f>+_xlfn.XLOOKUP(E139,[1]BDV!$F:$F,[1]BDV!$AC:$AC)</f>
        <v>246.92</v>
      </c>
      <c r="K139" s="14">
        <f t="shared" si="10"/>
        <v>329.22666666666663</v>
      </c>
      <c r="L139" s="18">
        <f t="shared" si="11"/>
        <v>61.226666666666631</v>
      </c>
    </row>
    <row r="140" spans="2:12" hidden="1" x14ac:dyDescent="0.25">
      <c r="B140" t="s">
        <v>873</v>
      </c>
      <c r="C140">
        <v>0</v>
      </c>
      <c r="D140" t="s">
        <v>840</v>
      </c>
      <c r="E140">
        <f t="shared" si="8"/>
        <v>180259</v>
      </c>
      <c r="F140" s="38" t="s">
        <v>585</v>
      </c>
      <c r="G140" s="37"/>
      <c r="H140" s="37">
        <v>1628.5</v>
      </c>
      <c r="I140" s="41">
        <f t="shared" si="9"/>
        <v>-1628.5</v>
      </c>
      <c r="J140">
        <f>+_xlfn.XLOOKUP(E140,[1]BDV!$F:$F,[1]BDV!$AC:$AC)</f>
        <v>-35.5</v>
      </c>
      <c r="K140" s="14">
        <f t="shared" si="10"/>
        <v>-47.333333333333336</v>
      </c>
      <c r="L140" s="18">
        <f t="shared" si="11"/>
        <v>1581.1666666666667</v>
      </c>
    </row>
    <row r="141" spans="2:12" hidden="1" x14ac:dyDescent="0.25">
      <c r="B141" t="s">
        <v>873</v>
      </c>
      <c r="C141">
        <v>0</v>
      </c>
      <c r="D141" t="s">
        <v>840</v>
      </c>
      <c r="E141">
        <f t="shared" si="8"/>
        <v>180261</v>
      </c>
      <c r="F141" s="38" t="s">
        <v>586</v>
      </c>
      <c r="G141" s="37">
        <v>1808.5</v>
      </c>
      <c r="H141" s="37"/>
      <c r="I141" s="41">
        <f t="shared" si="9"/>
        <v>1808.5</v>
      </c>
      <c r="J141">
        <f>+_xlfn.XLOOKUP(E141,[1]BDV!$F:$F,[1]BDV!$AC:$AC)</f>
        <v>-2838.26</v>
      </c>
      <c r="K141" s="14">
        <f t="shared" si="10"/>
        <v>-3784.3466666666668</v>
      </c>
      <c r="L141" s="18">
        <f t="shared" si="11"/>
        <v>-5592.8466666666664</v>
      </c>
    </row>
    <row r="142" spans="2:12" hidden="1" x14ac:dyDescent="0.25">
      <c r="B142" t="s">
        <v>873</v>
      </c>
      <c r="C142">
        <v>0</v>
      </c>
      <c r="D142" t="s">
        <v>839</v>
      </c>
      <c r="E142">
        <f t="shared" si="8"/>
        <v>180265</v>
      </c>
      <c r="F142" s="38" t="s">
        <v>587</v>
      </c>
      <c r="G142" s="37"/>
      <c r="H142" s="37">
        <v>1.5</v>
      </c>
      <c r="I142" s="41">
        <f t="shared" si="9"/>
        <v>-1.5</v>
      </c>
      <c r="J142">
        <f>+_xlfn.XLOOKUP(E142,[1]BDV!$F:$F,[1]BDV!$AC:$AC)</f>
        <v>0</v>
      </c>
      <c r="K142" s="14">
        <f t="shared" si="10"/>
        <v>0</v>
      </c>
      <c r="L142" s="18">
        <f t="shared" si="11"/>
        <v>1.5</v>
      </c>
    </row>
    <row r="143" spans="2:12" hidden="1" x14ac:dyDescent="0.25">
      <c r="B143" t="s">
        <v>873</v>
      </c>
      <c r="C143">
        <v>0</v>
      </c>
      <c r="D143" t="s">
        <v>839</v>
      </c>
      <c r="E143">
        <f t="shared" si="8"/>
        <v>180267</v>
      </c>
      <c r="F143" s="38" t="s">
        <v>588</v>
      </c>
      <c r="G143" s="37">
        <v>26202.67</v>
      </c>
      <c r="H143" s="37"/>
      <c r="I143" s="41">
        <f t="shared" si="9"/>
        <v>26202.67</v>
      </c>
      <c r="J143">
        <f>+_xlfn.XLOOKUP(E143,[1]BDV!$F:$F,[1]BDV!$AC:$AC)</f>
        <v>-1830.46</v>
      </c>
      <c r="K143" s="14">
        <f t="shared" si="10"/>
        <v>-2440.6133333333332</v>
      </c>
      <c r="L143" s="18">
        <f t="shared" si="11"/>
        <v>-28643.283333333333</v>
      </c>
    </row>
    <row r="144" spans="2:12" hidden="1" x14ac:dyDescent="0.25">
      <c r="B144" t="s">
        <v>873</v>
      </c>
      <c r="C144">
        <v>0</v>
      </c>
      <c r="D144" t="s">
        <v>839</v>
      </c>
      <c r="E144">
        <f t="shared" si="8"/>
        <v>180273</v>
      </c>
      <c r="F144" s="38" t="s">
        <v>589</v>
      </c>
      <c r="G144" s="37">
        <v>162028.18</v>
      </c>
      <c r="H144" s="37"/>
      <c r="I144" s="41">
        <f t="shared" si="9"/>
        <v>162028.18</v>
      </c>
      <c r="J144">
        <f>+_xlfn.XLOOKUP(E144,[1]BDV!$F:$F,[1]BDV!$AC:$AC)</f>
        <v>213597.69</v>
      </c>
      <c r="K144" s="14">
        <f t="shared" si="10"/>
        <v>284796.92</v>
      </c>
      <c r="L144" s="18">
        <f t="shared" si="11"/>
        <v>122768.73999999999</v>
      </c>
    </row>
    <row r="145" spans="2:12" hidden="1" x14ac:dyDescent="0.25">
      <c r="B145" t="s">
        <v>873</v>
      </c>
      <c r="C145">
        <v>0</v>
      </c>
      <c r="D145" t="s">
        <v>839</v>
      </c>
      <c r="E145">
        <f t="shared" si="8"/>
        <v>180275</v>
      </c>
      <c r="F145" s="38" t="s">
        <v>590</v>
      </c>
      <c r="G145" s="37">
        <v>172.48</v>
      </c>
      <c r="H145" s="37"/>
      <c r="I145" s="41">
        <f t="shared" si="9"/>
        <v>172.48</v>
      </c>
      <c r="J145">
        <f>+_xlfn.XLOOKUP(E145,[1]BDV!$F:$F,[1]BDV!$AC:$AC)</f>
        <v>172.48</v>
      </c>
      <c r="K145" s="14">
        <f t="shared" si="10"/>
        <v>229.97333333333333</v>
      </c>
      <c r="L145" s="18">
        <f t="shared" si="11"/>
        <v>57.493333333333339</v>
      </c>
    </row>
    <row r="146" spans="2:12" hidden="1" x14ac:dyDescent="0.25">
      <c r="B146" t="s">
        <v>873</v>
      </c>
      <c r="C146">
        <v>0</v>
      </c>
      <c r="D146" t="s">
        <v>839</v>
      </c>
      <c r="E146">
        <f t="shared" si="8"/>
        <v>180277</v>
      </c>
      <c r="F146" s="38" t="s">
        <v>591</v>
      </c>
      <c r="G146" s="37">
        <v>1784.6</v>
      </c>
      <c r="H146" s="37"/>
      <c r="I146" s="41">
        <f t="shared" si="9"/>
        <v>1784.6</v>
      </c>
      <c r="J146">
        <f>+_xlfn.XLOOKUP(E146,[1]BDV!$F:$F,[1]BDV!$AC:$AC)</f>
        <v>2357.19</v>
      </c>
      <c r="K146" s="14">
        <f t="shared" si="10"/>
        <v>3142.92</v>
      </c>
      <c r="L146" s="18">
        <f t="shared" si="11"/>
        <v>1358.3200000000002</v>
      </c>
    </row>
    <row r="147" spans="2:12" hidden="1" x14ac:dyDescent="0.25">
      <c r="B147" t="s">
        <v>873</v>
      </c>
      <c r="C147">
        <v>0</v>
      </c>
      <c r="D147" t="s">
        <v>839</v>
      </c>
      <c r="E147">
        <f t="shared" si="8"/>
        <v>180279</v>
      </c>
      <c r="F147" s="38" t="s">
        <v>592</v>
      </c>
      <c r="G147" s="37">
        <v>1.76</v>
      </c>
      <c r="H147" s="37"/>
      <c r="I147" s="41">
        <f t="shared" si="9"/>
        <v>1.76</v>
      </c>
      <c r="J147">
        <f>+_xlfn.XLOOKUP(E147,[1]BDV!$F:$F,[1]BDV!$AC:$AC)</f>
        <v>1.76</v>
      </c>
      <c r="K147" s="14">
        <f t="shared" si="10"/>
        <v>2.3466666666666667</v>
      </c>
      <c r="L147" s="18">
        <f t="shared" si="11"/>
        <v>0.58666666666666667</v>
      </c>
    </row>
    <row r="148" spans="2:12" hidden="1" x14ac:dyDescent="0.25">
      <c r="B148" t="s">
        <v>873</v>
      </c>
      <c r="C148">
        <v>0</v>
      </c>
      <c r="D148" t="s">
        <v>839</v>
      </c>
      <c r="E148">
        <f t="shared" si="8"/>
        <v>180281</v>
      </c>
      <c r="F148" s="38" t="s">
        <v>593</v>
      </c>
      <c r="G148" s="37">
        <v>311.85000000000002</v>
      </c>
      <c r="H148" s="37"/>
      <c r="I148" s="41">
        <f t="shared" si="9"/>
        <v>311.85000000000002</v>
      </c>
      <c r="J148">
        <f>+_xlfn.XLOOKUP(E148,[1]BDV!$F:$F,[1]BDV!$AC:$AC)</f>
        <v>753.4</v>
      </c>
      <c r="K148" s="14">
        <f t="shared" si="10"/>
        <v>1004.5333333333333</v>
      </c>
      <c r="L148" s="18">
        <f t="shared" si="11"/>
        <v>692.68333333333328</v>
      </c>
    </row>
    <row r="149" spans="2:12" hidden="1" x14ac:dyDescent="0.25">
      <c r="B149" t="s">
        <v>873</v>
      </c>
      <c r="C149">
        <v>0</v>
      </c>
      <c r="D149" t="s">
        <v>839</v>
      </c>
      <c r="E149">
        <f t="shared" si="8"/>
        <v>180283</v>
      </c>
      <c r="F149" s="38" t="s">
        <v>594</v>
      </c>
      <c r="G149" s="37">
        <v>869.98</v>
      </c>
      <c r="H149" s="37"/>
      <c r="I149" s="41">
        <f t="shared" si="9"/>
        <v>869.98</v>
      </c>
      <c r="J149">
        <f>+_xlfn.XLOOKUP(E149,[1]BDV!$F:$F,[1]BDV!$AC:$AC)</f>
        <v>3876.34</v>
      </c>
      <c r="K149" s="14">
        <f t="shared" si="10"/>
        <v>5168.4533333333338</v>
      </c>
      <c r="L149" s="18">
        <f t="shared" si="11"/>
        <v>4298.4733333333334</v>
      </c>
    </row>
    <row r="150" spans="2:12" hidden="1" x14ac:dyDescent="0.25">
      <c r="B150" t="s">
        <v>873</v>
      </c>
      <c r="C150">
        <v>0</v>
      </c>
      <c r="D150" t="s">
        <v>839</v>
      </c>
      <c r="E150">
        <f t="shared" si="8"/>
        <v>180285</v>
      </c>
      <c r="F150" s="38" t="s">
        <v>595</v>
      </c>
      <c r="G150" s="37">
        <v>2756.07</v>
      </c>
      <c r="H150" s="37"/>
      <c r="I150" s="41">
        <f t="shared" si="9"/>
        <v>2756.07</v>
      </c>
      <c r="J150">
        <f>+_xlfn.XLOOKUP(E150,[1]BDV!$F:$F,[1]BDV!$AC:$AC)</f>
        <v>2756.07</v>
      </c>
      <c r="K150" s="14">
        <f t="shared" si="10"/>
        <v>3674.76</v>
      </c>
      <c r="L150" s="18">
        <f t="shared" si="11"/>
        <v>918.69</v>
      </c>
    </row>
    <row r="151" spans="2:12" hidden="1" x14ac:dyDescent="0.25">
      <c r="B151" t="s">
        <v>873</v>
      </c>
      <c r="C151">
        <v>0</v>
      </c>
      <c r="D151" t="s">
        <v>839</v>
      </c>
      <c r="E151">
        <f t="shared" si="8"/>
        <v>180287</v>
      </c>
      <c r="F151" s="38" t="s">
        <v>596</v>
      </c>
      <c r="G151" s="37">
        <v>1318575.45</v>
      </c>
      <c r="H151" s="37"/>
      <c r="I151" s="41">
        <f t="shared" si="9"/>
        <v>1318575.45</v>
      </c>
      <c r="J151">
        <f>+_xlfn.XLOOKUP(E151,[1]BDV!$F:$F,[1]BDV!$AC:$AC)</f>
        <v>2383934.38</v>
      </c>
      <c r="K151" s="14">
        <f t="shared" si="10"/>
        <v>3178579.1733333333</v>
      </c>
      <c r="L151" s="18">
        <f t="shared" si="11"/>
        <v>1860003.7233333334</v>
      </c>
    </row>
    <row r="152" spans="2:12" hidden="1" x14ac:dyDescent="0.25">
      <c r="B152" t="s">
        <v>873</v>
      </c>
      <c r="C152">
        <v>0</v>
      </c>
      <c r="D152" t="s">
        <v>839</v>
      </c>
      <c r="E152">
        <f t="shared" si="8"/>
        <v>180289</v>
      </c>
      <c r="F152" s="38" t="s">
        <v>597</v>
      </c>
      <c r="G152" s="37">
        <v>2984.46</v>
      </c>
      <c r="H152" s="37"/>
      <c r="I152" s="41">
        <f t="shared" si="9"/>
        <v>2984.46</v>
      </c>
      <c r="J152">
        <f>+_xlfn.XLOOKUP(E152,[1]BDV!$F:$F,[1]BDV!$AC:$AC)</f>
        <v>15273.92</v>
      </c>
      <c r="K152" s="14">
        <f t="shared" si="10"/>
        <v>20365.226666666666</v>
      </c>
      <c r="L152" s="18">
        <f t="shared" si="11"/>
        <v>17380.766666666666</v>
      </c>
    </row>
    <row r="153" spans="2:12" hidden="1" x14ac:dyDescent="0.25">
      <c r="B153" t="s">
        <v>873</v>
      </c>
      <c r="C153">
        <v>0</v>
      </c>
      <c r="D153" t="s">
        <v>839</v>
      </c>
      <c r="E153">
        <f t="shared" si="8"/>
        <v>180291</v>
      </c>
      <c r="F153" s="38" t="s">
        <v>598</v>
      </c>
      <c r="G153" s="37">
        <v>395.41</v>
      </c>
      <c r="H153" s="37"/>
      <c r="I153" s="41">
        <f t="shared" si="9"/>
        <v>395.41</v>
      </c>
      <c r="J153">
        <f>+_xlfn.XLOOKUP(E153,[1]BDV!$F:$F,[1]BDV!$AC:$AC)</f>
        <v>395.41</v>
      </c>
      <c r="K153" s="14">
        <f t="shared" si="10"/>
        <v>527.21333333333337</v>
      </c>
      <c r="L153" s="18">
        <f t="shared" si="11"/>
        <v>131.80333333333334</v>
      </c>
    </row>
    <row r="154" spans="2:12" hidden="1" x14ac:dyDescent="0.25">
      <c r="B154" t="s">
        <v>873</v>
      </c>
      <c r="C154">
        <v>0</v>
      </c>
      <c r="D154" t="s">
        <v>839</v>
      </c>
      <c r="E154">
        <f t="shared" si="8"/>
        <v>180295</v>
      </c>
      <c r="F154" s="38" t="s">
        <v>599</v>
      </c>
      <c r="G154" s="37"/>
      <c r="H154" s="37">
        <v>2.25</v>
      </c>
      <c r="I154" s="41">
        <f t="shared" si="9"/>
        <v>-2.25</v>
      </c>
      <c r="J154">
        <f>+_xlfn.XLOOKUP(E154,[1]BDV!$F:$F,[1]BDV!$AC:$AC)</f>
        <v>-2.25</v>
      </c>
      <c r="K154" s="14">
        <f t="shared" si="10"/>
        <v>-3</v>
      </c>
      <c r="L154" s="18">
        <f t="shared" si="11"/>
        <v>-0.75</v>
      </c>
    </row>
    <row r="155" spans="2:12" hidden="1" x14ac:dyDescent="0.25">
      <c r="B155" t="s">
        <v>873</v>
      </c>
      <c r="C155">
        <v>0</v>
      </c>
      <c r="D155" t="s">
        <v>839</v>
      </c>
      <c r="E155">
        <f t="shared" si="8"/>
        <v>180299</v>
      </c>
      <c r="F155" s="38" t="s">
        <v>600</v>
      </c>
      <c r="G155" s="37">
        <v>460.52</v>
      </c>
      <c r="H155" s="37"/>
      <c r="I155" s="41">
        <f t="shared" si="9"/>
        <v>460.52</v>
      </c>
      <c r="J155">
        <f>+_xlfn.XLOOKUP(E155,[1]BDV!$F:$F,[1]BDV!$AC:$AC)</f>
        <v>52.98</v>
      </c>
      <c r="K155" s="14">
        <f t="shared" si="10"/>
        <v>70.64</v>
      </c>
      <c r="L155" s="18">
        <f t="shared" si="11"/>
        <v>-389.88</v>
      </c>
    </row>
    <row r="156" spans="2:12" hidden="1" x14ac:dyDescent="0.25">
      <c r="B156" t="s">
        <v>873</v>
      </c>
      <c r="C156">
        <v>0</v>
      </c>
      <c r="D156" t="s">
        <v>839</v>
      </c>
      <c r="E156">
        <f t="shared" si="8"/>
        <v>180301</v>
      </c>
      <c r="F156" s="38" t="s">
        <v>601</v>
      </c>
      <c r="G156" s="37">
        <v>87.78</v>
      </c>
      <c r="H156" s="37"/>
      <c r="I156" s="41">
        <f t="shared" si="9"/>
        <v>87.78</v>
      </c>
      <c r="J156">
        <f>+_xlfn.XLOOKUP(E156,[1]BDV!$F:$F,[1]BDV!$AC:$AC)</f>
        <v>87.78</v>
      </c>
      <c r="K156" s="14">
        <f t="shared" si="10"/>
        <v>117.04</v>
      </c>
      <c r="L156" s="18">
        <f t="shared" si="11"/>
        <v>29.260000000000005</v>
      </c>
    </row>
    <row r="157" spans="2:12" hidden="1" x14ac:dyDescent="0.25">
      <c r="B157" t="s">
        <v>873</v>
      </c>
      <c r="C157">
        <v>0</v>
      </c>
      <c r="D157" t="s">
        <v>839</v>
      </c>
      <c r="E157">
        <f t="shared" si="8"/>
        <v>180303</v>
      </c>
      <c r="F157" s="38" t="s">
        <v>602</v>
      </c>
      <c r="G157" s="37">
        <v>0.61</v>
      </c>
      <c r="H157" s="37"/>
      <c r="I157" s="41">
        <f t="shared" si="9"/>
        <v>0.61</v>
      </c>
      <c r="J157">
        <f>+_xlfn.XLOOKUP(E157,[1]BDV!$F:$F,[1]BDV!$AC:$AC)</f>
        <v>0.61</v>
      </c>
      <c r="K157" s="14">
        <f t="shared" si="10"/>
        <v>0.81333333333333335</v>
      </c>
      <c r="L157" s="18">
        <f t="shared" si="11"/>
        <v>0.20333333333333337</v>
      </c>
    </row>
    <row r="158" spans="2:12" hidden="1" x14ac:dyDescent="0.25">
      <c r="B158" t="s">
        <v>873</v>
      </c>
      <c r="C158">
        <v>0</v>
      </c>
      <c r="D158" t="s">
        <v>839</v>
      </c>
      <c r="E158">
        <f t="shared" si="8"/>
        <v>180307</v>
      </c>
      <c r="F158" s="38" t="s">
        <v>603</v>
      </c>
      <c r="G158" s="37"/>
      <c r="H158" s="37">
        <v>621.03</v>
      </c>
      <c r="I158" s="41">
        <f t="shared" si="9"/>
        <v>-621.03</v>
      </c>
      <c r="J158">
        <f>+_xlfn.XLOOKUP(E158,[1]BDV!$F:$F,[1]BDV!$AC:$AC)</f>
        <v>-621.03</v>
      </c>
      <c r="K158" s="14">
        <f t="shared" si="10"/>
        <v>-828.04</v>
      </c>
      <c r="L158" s="18">
        <f t="shared" si="11"/>
        <v>-207.01</v>
      </c>
    </row>
    <row r="159" spans="2:12" hidden="1" x14ac:dyDescent="0.25">
      <c r="B159" t="s">
        <v>873</v>
      </c>
      <c r="C159">
        <v>0</v>
      </c>
      <c r="D159" t="s">
        <v>839</v>
      </c>
      <c r="E159">
        <f t="shared" si="8"/>
        <v>180309</v>
      </c>
      <c r="F159" s="38" t="s">
        <v>604</v>
      </c>
      <c r="G159" s="37">
        <v>3338.42</v>
      </c>
      <c r="H159" s="37"/>
      <c r="I159" s="41">
        <f t="shared" si="9"/>
        <v>3338.42</v>
      </c>
      <c r="J159">
        <f>+_xlfn.XLOOKUP(E159,[1]BDV!$F:$F,[1]BDV!$AC:$AC)</f>
        <v>3338.42</v>
      </c>
      <c r="K159" s="14">
        <f t="shared" si="10"/>
        <v>4451.2266666666665</v>
      </c>
      <c r="L159" s="18">
        <f t="shared" si="11"/>
        <v>1112.8066666666664</v>
      </c>
    </row>
    <row r="160" spans="2:12" hidden="1" x14ac:dyDescent="0.25">
      <c r="B160" t="s">
        <v>873</v>
      </c>
      <c r="C160">
        <v>0</v>
      </c>
      <c r="D160" t="s">
        <v>839</v>
      </c>
      <c r="E160">
        <f t="shared" si="8"/>
        <v>180311</v>
      </c>
      <c r="F160" s="38" t="s">
        <v>605</v>
      </c>
      <c r="G160" s="37"/>
      <c r="H160" s="37">
        <v>779.27</v>
      </c>
      <c r="I160" s="41">
        <f t="shared" si="9"/>
        <v>-779.27</v>
      </c>
      <c r="J160">
        <f>+_xlfn.XLOOKUP(E160,[1]BDV!$F:$F,[1]BDV!$AC:$AC)</f>
        <v>-779.27</v>
      </c>
      <c r="K160" s="14">
        <f t="shared" si="10"/>
        <v>-1039.0266666666666</v>
      </c>
      <c r="L160" s="18">
        <f t="shared" si="11"/>
        <v>-259.75666666666666</v>
      </c>
    </row>
    <row r="161" spans="2:12" hidden="1" x14ac:dyDescent="0.25">
      <c r="B161" t="s">
        <v>873</v>
      </c>
      <c r="C161">
        <v>0</v>
      </c>
      <c r="D161" t="s">
        <v>839</v>
      </c>
      <c r="E161">
        <f t="shared" si="8"/>
        <v>180313</v>
      </c>
      <c r="F161" s="38" t="s">
        <v>606</v>
      </c>
      <c r="G161" s="37">
        <v>524561.23</v>
      </c>
      <c r="H161" s="37"/>
      <c r="I161" s="41">
        <f t="shared" si="9"/>
        <v>524561.23</v>
      </c>
      <c r="J161">
        <f>+_xlfn.XLOOKUP(E161,[1]BDV!$F:$F,[1]BDV!$AC:$AC)</f>
        <v>570016.92000000004</v>
      </c>
      <c r="K161" s="14">
        <f t="shared" si="10"/>
        <v>760022.56</v>
      </c>
      <c r="L161" s="18">
        <f t="shared" si="11"/>
        <v>235461.33000000007</v>
      </c>
    </row>
    <row r="162" spans="2:12" hidden="1" x14ac:dyDescent="0.25">
      <c r="B162" t="s">
        <v>873</v>
      </c>
      <c r="C162">
        <v>0</v>
      </c>
      <c r="D162" t="s">
        <v>839</v>
      </c>
      <c r="E162">
        <f t="shared" si="8"/>
        <v>180315</v>
      </c>
      <c r="F162" s="38" t="s">
        <v>607</v>
      </c>
      <c r="G162" s="37">
        <v>0.01</v>
      </c>
      <c r="H162" s="37"/>
      <c r="I162" s="41">
        <f t="shared" si="9"/>
        <v>0.01</v>
      </c>
      <c r="J162">
        <f>+_xlfn.XLOOKUP(E162,[1]BDV!$F:$F,[1]BDV!$AC:$AC)</f>
        <v>0.01</v>
      </c>
      <c r="K162" s="14">
        <f t="shared" si="10"/>
        <v>1.3333333333333334E-2</v>
      </c>
      <c r="L162" s="18">
        <f t="shared" si="11"/>
        <v>3.333333333333334E-3</v>
      </c>
    </row>
    <row r="163" spans="2:12" hidden="1" x14ac:dyDescent="0.25">
      <c r="B163" t="s">
        <v>873</v>
      </c>
      <c r="C163">
        <v>0</v>
      </c>
      <c r="D163" t="s">
        <v>839</v>
      </c>
      <c r="E163">
        <f t="shared" si="8"/>
        <v>180317</v>
      </c>
      <c r="F163" s="38" t="s">
        <v>608</v>
      </c>
      <c r="G163" s="37"/>
      <c r="H163" s="37">
        <v>587.39</v>
      </c>
      <c r="I163" s="41">
        <f t="shared" si="9"/>
        <v>-587.39</v>
      </c>
      <c r="J163">
        <f>+_xlfn.XLOOKUP(E163,[1]BDV!$F:$F,[1]BDV!$AC:$AC)</f>
        <v>-590.80999999999995</v>
      </c>
      <c r="K163" s="14">
        <f t="shared" si="10"/>
        <v>-787.74666666666656</v>
      </c>
      <c r="L163" s="18">
        <f t="shared" si="11"/>
        <v>-200.35666666666657</v>
      </c>
    </row>
    <row r="164" spans="2:12" hidden="1" x14ac:dyDescent="0.25">
      <c r="B164" t="s">
        <v>873</v>
      </c>
      <c r="C164">
        <v>0</v>
      </c>
      <c r="D164" t="s">
        <v>839</v>
      </c>
      <c r="E164">
        <f t="shared" si="8"/>
        <v>180319</v>
      </c>
      <c r="F164" s="38" t="s">
        <v>609</v>
      </c>
      <c r="G164" s="37">
        <v>39673.79</v>
      </c>
      <c r="H164" s="37"/>
      <c r="I164" s="41">
        <f t="shared" si="9"/>
        <v>39673.79</v>
      </c>
      <c r="J164">
        <f>+_xlfn.XLOOKUP(E164,[1]BDV!$F:$F,[1]BDV!$AC:$AC)</f>
        <v>129634.94</v>
      </c>
      <c r="K164" s="14">
        <f t="shared" si="10"/>
        <v>172846.58666666667</v>
      </c>
      <c r="L164" s="18">
        <f t="shared" si="11"/>
        <v>133172.79666666666</v>
      </c>
    </row>
    <row r="165" spans="2:12" hidden="1" x14ac:dyDescent="0.25">
      <c r="B165" t="s">
        <v>873</v>
      </c>
      <c r="C165">
        <v>0</v>
      </c>
      <c r="D165" t="s">
        <v>839</v>
      </c>
      <c r="E165">
        <f t="shared" si="8"/>
        <v>180321</v>
      </c>
      <c r="F165" s="38" t="s">
        <v>610</v>
      </c>
      <c r="G165" s="37">
        <v>344830.48</v>
      </c>
      <c r="H165" s="37"/>
      <c r="I165" s="41">
        <f t="shared" si="9"/>
        <v>344830.48</v>
      </c>
      <c r="J165">
        <f>+_xlfn.XLOOKUP(E165,[1]BDV!$F:$F,[1]BDV!$AC:$AC)</f>
        <v>521746.86</v>
      </c>
      <c r="K165" s="14">
        <f t="shared" si="10"/>
        <v>695662.48</v>
      </c>
      <c r="L165" s="18">
        <f t="shared" si="11"/>
        <v>350832</v>
      </c>
    </row>
    <row r="166" spans="2:12" hidden="1" x14ac:dyDescent="0.25">
      <c r="B166" t="s">
        <v>873</v>
      </c>
      <c r="C166">
        <v>0</v>
      </c>
      <c r="D166" t="s">
        <v>839</v>
      </c>
      <c r="E166">
        <f t="shared" si="8"/>
        <v>180323</v>
      </c>
      <c r="F166" s="38" t="s">
        <v>611</v>
      </c>
      <c r="G166" s="37">
        <v>105.35</v>
      </c>
      <c r="H166" s="37"/>
      <c r="I166" s="41">
        <f t="shared" si="9"/>
        <v>105.35</v>
      </c>
      <c r="J166">
        <f>+_xlfn.XLOOKUP(E166,[1]BDV!$F:$F,[1]BDV!$AC:$AC)</f>
        <v>2283.13</v>
      </c>
      <c r="K166" s="14">
        <f t="shared" si="10"/>
        <v>3044.1733333333336</v>
      </c>
      <c r="L166" s="18">
        <f t="shared" si="11"/>
        <v>2938.8233333333337</v>
      </c>
    </row>
    <row r="167" spans="2:12" hidden="1" x14ac:dyDescent="0.25">
      <c r="B167" t="s">
        <v>873</v>
      </c>
      <c r="C167">
        <v>0</v>
      </c>
      <c r="D167" t="s">
        <v>839</v>
      </c>
      <c r="E167">
        <f t="shared" si="8"/>
        <v>180325</v>
      </c>
      <c r="F167" s="38" t="s">
        <v>612</v>
      </c>
      <c r="G167" s="37">
        <v>240562.87</v>
      </c>
      <c r="H167" s="37"/>
      <c r="I167" s="41">
        <f t="shared" si="9"/>
        <v>240562.87</v>
      </c>
      <c r="J167">
        <f>+_xlfn.XLOOKUP(E167,[1]BDV!$F:$F,[1]BDV!$AC:$AC)</f>
        <v>31470.29</v>
      </c>
      <c r="K167" s="14">
        <f t="shared" si="10"/>
        <v>41960.386666666665</v>
      </c>
      <c r="L167" s="18">
        <f t="shared" si="11"/>
        <v>-198602.48333333334</v>
      </c>
    </row>
    <row r="168" spans="2:12" hidden="1" x14ac:dyDescent="0.25">
      <c r="B168" t="s">
        <v>873</v>
      </c>
      <c r="C168">
        <v>0</v>
      </c>
      <c r="D168" t="s">
        <v>839</v>
      </c>
      <c r="E168">
        <f t="shared" si="8"/>
        <v>180327</v>
      </c>
      <c r="F168" s="38" t="s">
        <v>613</v>
      </c>
      <c r="G168" s="37">
        <v>132826.54999999999</v>
      </c>
      <c r="H168" s="37"/>
      <c r="I168" s="41">
        <f t="shared" si="9"/>
        <v>132826.54999999999</v>
      </c>
      <c r="J168">
        <f>+_xlfn.XLOOKUP(E168,[1]BDV!$F:$F,[1]BDV!$AC:$AC)</f>
        <v>148767.79999999999</v>
      </c>
      <c r="K168" s="14">
        <f t="shared" si="10"/>
        <v>198357.06666666665</v>
      </c>
      <c r="L168" s="18">
        <f t="shared" si="11"/>
        <v>65530.516666666663</v>
      </c>
    </row>
    <row r="169" spans="2:12" hidden="1" x14ac:dyDescent="0.25">
      <c r="B169" t="s">
        <v>873</v>
      </c>
      <c r="C169">
        <v>0</v>
      </c>
      <c r="D169" t="s">
        <v>839</v>
      </c>
      <c r="E169">
        <f t="shared" si="8"/>
        <v>180329</v>
      </c>
      <c r="F169" s="38" t="s">
        <v>614</v>
      </c>
      <c r="G169" s="37">
        <v>322932.67</v>
      </c>
      <c r="H169" s="37"/>
      <c r="I169" s="41">
        <f t="shared" si="9"/>
        <v>322932.67</v>
      </c>
      <c r="J169">
        <f>+_xlfn.XLOOKUP(E169,[1]BDV!$F:$F,[1]BDV!$AC:$AC)</f>
        <v>297925.46000000002</v>
      </c>
      <c r="K169" s="14">
        <f t="shared" si="10"/>
        <v>397233.94666666671</v>
      </c>
      <c r="L169" s="18">
        <f t="shared" si="11"/>
        <v>74301.27666666673</v>
      </c>
    </row>
    <row r="170" spans="2:12" hidden="1" x14ac:dyDescent="0.25">
      <c r="B170" t="s">
        <v>873</v>
      </c>
      <c r="C170">
        <v>0</v>
      </c>
      <c r="D170" t="s">
        <v>839</v>
      </c>
      <c r="E170">
        <f t="shared" si="8"/>
        <v>180331</v>
      </c>
      <c r="F170" s="38" t="s">
        <v>615</v>
      </c>
      <c r="G170" s="37">
        <v>68270.009999999995</v>
      </c>
      <c r="H170" s="37"/>
      <c r="I170" s="41">
        <f t="shared" si="9"/>
        <v>68270.009999999995</v>
      </c>
      <c r="J170">
        <f>+_xlfn.XLOOKUP(E170,[1]BDV!$F:$F,[1]BDV!$AC:$AC)</f>
        <v>42888.39</v>
      </c>
      <c r="K170" s="14">
        <f t="shared" si="10"/>
        <v>57184.52</v>
      </c>
      <c r="L170" s="18">
        <f t="shared" si="11"/>
        <v>-11085.489999999998</v>
      </c>
    </row>
    <row r="171" spans="2:12" hidden="1" x14ac:dyDescent="0.25">
      <c r="B171" t="s">
        <v>873</v>
      </c>
      <c r="C171">
        <v>0</v>
      </c>
      <c r="D171" t="s">
        <v>839</v>
      </c>
      <c r="E171">
        <f t="shared" si="8"/>
        <v>180333</v>
      </c>
      <c r="F171" s="38" t="s">
        <v>616</v>
      </c>
      <c r="G171" s="37">
        <v>21886.84</v>
      </c>
      <c r="H171" s="37"/>
      <c r="I171" s="41">
        <f t="shared" si="9"/>
        <v>21886.84</v>
      </c>
      <c r="J171">
        <f>+_xlfn.XLOOKUP(E171,[1]BDV!$F:$F,[1]BDV!$AC:$AC)</f>
        <v>0</v>
      </c>
      <c r="K171" s="14">
        <f t="shared" si="10"/>
        <v>0</v>
      </c>
      <c r="L171" s="18">
        <f t="shared" si="11"/>
        <v>-21886.84</v>
      </c>
    </row>
    <row r="172" spans="2:12" hidden="1" x14ac:dyDescent="0.25">
      <c r="B172" t="s">
        <v>873</v>
      </c>
      <c r="C172">
        <v>0</v>
      </c>
      <c r="D172" t="s">
        <v>839</v>
      </c>
      <c r="E172">
        <f t="shared" si="8"/>
        <v>180335</v>
      </c>
      <c r="F172" s="38" t="s">
        <v>617</v>
      </c>
      <c r="G172" s="37">
        <v>96.16</v>
      </c>
      <c r="H172" s="37"/>
      <c r="I172" s="41">
        <f t="shared" si="9"/>
        <v>96.16</v>
      </c>
      <c r="J172">
        <f>+_xlfn.XLOOKUP(E172,[1]BDV!$F:$F,[1]BDV!$AC:$AC)</f>
        <v>0</v>
      </c>
      <c r="K172" s="14">
        <f t="shared" si="10"/>
        <v>0</v>
      </c>
      <c r="L172" s="18">
        <f t="shared" si="11"/>
        <v>-96.16</v>
      </c>
    </row>
    <row r="173" spans="2:12" hidden="1" x14ac:dyDescent="0.25">
      <c r="B173" t="s">
        <v>873</v>
      </c>
      <c r="C173">
        <v>0</v>
      </c>
      <c r="D173" t="s">
        <v>839</v>
      </c>
      <c r="E173">
        <f t="shared" si="8"/>
        <v>180337</v>
      </c>
      <c r="F173" s="38" t="s">
        <v>618</v>
      </c>
      <c r="G173" s="37">
        <v>1451695.41</v>
      </c>
      <c r="H173" s="37"/>
      <c r="I173" s="41">
        <f t="shared" si="9"/>
        <v>1451695.41</v>
      </c>
      <c r="J173">
        <f>+_xlfn.XLOOKUP(E173,[1]BDV!$F:$F,[1]BDV!$AC:$AC)</f>
        <v>0</v>
      </c>
      <c r="K173" s="14">
        <f t="shared" si="10"/>
        <v>0</v>
      </c>
      <c r="L173" s="18">
        <f t="shared" si="11"/>
        <v>-1451695.41</v>
      </c>
    </row>
    <row r="174" spans="2:12" hidden="1" x14ac:dyDescent="0.25">
      <c r="B174" t="s">
        <v>873</v>
      </c>
      <c r="C174">
        <v>0</v>
      </c>
      <c r="D174" t="s">
        <v>839</v>
      </c>
      <c r="E174">
        <f t="shared" ref="E174:E206" si="12">+_xlfn.NUMBERVALUE(LEFT(F174,6))</f>
        <v>180351</v>
      </c>
      <c r="F174" s="38" t="s">
        <v>619</v>
      </c>
      <c r="G174" s="37">
        <v>18937.43</v>
      </c>
      <c r="H174" s="37"/>
      <c r="I174" s="41">
        <f t="shared" si="9"/>
        <v>18937.43</v>
      </c>
      <c r="J174">
        <f>+_xlfn.XLOOKUP(E174,[1]BDV!$F:$F,[1]BDV!$AC:$AC)</f>
        <v>0</v>
      </c>
      <c r="K174" s="14">
        <f t="shared" si="10"/>
        <v>0</v>
      </c>
      <c r="L174" s="18">
        <f t="shared" si="11"/>
        <v>-18937.43</v>
      </c>
    </row>
    <row r="175" spans="2:12" hidden="1" x14ac:dyDescent="0.25">
      <c r="B175" t="s">
        <v>873</v>
      </c>
      <c r="C175">
        <v>0</v>
      </c>
      <c r="D175" t="s">
        <v>841</v>
      </c>
      <c r="E175">
        <f t="shared" si="12"/>
        <v>200203</v>
      </c>
      <c r="F175" s="38" t="s">
        <v>620</v>
      </c>
      <c r="G175" s="37"/>
      <c r="H175" s="37">
        <v>214497.64</v>
      </c>
      <c r="I175" s="41">
        <f t="shared" si="9"/>
        <v>-214497.64</v>
      </c>
      <c r="J175">
        <f>+_xlfn.XLOOKUP(E175,[1]BDV!$F:$F,[1]BDV!$AC:$AC)</f>
        <v>-214497.64</v>
      </c>
      <c r="K175" s="14">
        <f t="shared" si="10"/>
        <v>-285996.85333333333</v>
      </c>
      <c r="L175" s="18">
        <f t="shared" si="11"/>
        <v>-71499.213333333319</v>
      </c>
    </row>
    <row r="176" spans="2:12" hidden="1" x14ac:dyDescent="0.25">
      <c r="B176" t="s">
        <v>873</v>
      </c>
      <c r="C176">
        <v>0</v>
      </c>
      <c r="D176" t="s">
        <v>842</v>
      </c>
      <c r="E176">
        <f t="shared" si="12"/>
        <v>220201</v>
      </c>
      <c r="F176" s="38" t="s">
        <v>621</v>
      </c>
      <c r="G176" s="37"/>
      <c r="H176" s="37">
        <v>1699000</v>
      </c>
      <c r="I176" s="41">
        <f t="shared" si="9"/>
        <v>-1699000</v>
      </c>
      <c r="J176">
        <f>+_xlfn.XLOOKUP(E176,[1]BDV!$F:$F,[1]BDV!$AC:$AC)</f>
        <v>-1689000</v>
      </c>
      <c r="K176" s="14">
        <f t="shared" si="10"/>
        <v>-2252000</v>
      </c>
      <c r="L176" s="18">
        <f t="shared" si="11"/>
        <v>-553000</v>
      </c>
    </row>
    <row r="177" spans="2:12" hidden="1" x14ac:dyDescent="0.25">
      <c r="B177" t="s">
        <v>873</v>
      </c>
      <c r="C177">
        <v>0</v>
      </c>
      <c r="D177" t="s">
        <v>843</v>
      </c>
      <c r="E177">
        <f t="shared" si="12"/>
        <v>220207</v>
      </c>
      <c r="F177" s="38" t="s">
        <v>622</v>
      </c>
      <c r="G177" s="37"/>
      <c r="H177" s="37">
        <v>320642.71999999997</v>
      </c>
      <c r="I177" s="41">
        <f t="shared" si="9"/>
        <v>-320642.71999999997</v>
      </c>
      <c r="J177">
        <f>+_xlfn.XLOOKUP(E177,[1]BDV!$F:$F,[1]BDV!$AC:$AC)</f>
        <v>-318274.71999999997</v>
      </c>
      <c r="K177" s="14">
        <f t="shared" si="10"/>
        <v>-424366.29333333328</v>
      </c>
      <c r="L177" s="18">
        <f t="shared" si="11"/>
        <v>-103723.5733333333</v>
      </c>
    </row>
    <row r="178" spans="2:12" hidden="1" x14ac:dyDescent="0.25">
      <c r="B178" t="s">
        <v>873</v>
      </c>
      <c r="C178">
        <v>0</v>
      </c>
      <c r="D178" t="s">
        <v>833</v>
      </c>
      <c r="E178">
        <f t="shared" si="12"/>
        <v>220209</v>
      </c>
      <c r="F178" s="38" t="s">
        <v>623</v>
      </c>
      <c r="G178" s="37"/>
      <c r="H178" s="37">
        <v>1369957.26</v>
      </c>
      <c r="I178" s="41">
        <f t="shared" si="9"/>
        <v>-1369957.26</v>
      </c>
      <c r="J178">
        <f>+_xlfn.XLOOKUP(E178,[1]BDV!$F:$F,[1]BDV!$AC:$AC)</f>
        <v>-1369957.26</v>
      </c>
      <c r="K178" s="14">
        <f t="shared" si="10"/>
        <v>-1826609.68</v>
      </c>
      <c r="L178" s="18">
        <f t="shared" si="11"/>
        <v>-456652.41999999993</v>
      </c>
    </row>
    <row r="179" spans="2:12" hidden="1" x14ac:dyDescent="0.25">
      <c r="B179" t="s">
        <v>873</v>
      </c>
      <c r="C179">
        <v>0</v>
      </c>
      <c r="D179" t="s">
        <v>833</v>
      </c>
      <c r="E179">
        <f t="shared" si="12"/>
        <v>220213</v>
      </c>
      <c r="F179" s="38" t="s">
        <v>624</v>
      </c>
      <c r="G179" s="37">
        <v>6367.63</v>
      </c>
      <c r="H179" s="37"/>
      <c r="I179" s="41">
        <f t="shared" si="9"/>
        <v>6367.63</v>
      </c>
      <c r="J179">
        <f>+_xlfn.XLOOKUP(E179,[1]BDV!$F:$F,[1]BDV!$AC:$AC)</f>
        <v>6367.63</v>
      </c>
      <c r="K179" s="14">
        <f t="shared" si="10"/>
        <v>8490.1733333333341</v>
      </c>
      <c r="L179" s="18">
        <f t="shared" si="11"/>
        <v>2122.543333333334</v>
      </c>
    </row>
    <row r="180" spans="2:12" hidden="1" x14ac:dyDescent="0.25">
      <c r="B180" t="s">
        <v>873</v>
      </c>
      <c r="C180">
        <v>0</v>
      </c>
      <c r="D180" t="s">
        <v>844</v>
      </c>
      <c r="E180">
        <f t="shared" si="12"/>
        <v>220215</v>
      </c>
      <c r="F180" s="38" t="s">
        <v>625</v>
      </c>
      <c r="G180" s="37"/>
      <c r="H180" s="37">
        <v>193410191</v>
      </c>
      <c r="I180" s="41">
        <f t="shared" si="9"/>
        <v>-193410191</v>
      </c>
      <c r="J180">
        <f>+_xlfn.XLOOKUP(E180,[1]BDV!$F:$F,[1]BDV!$AC:$AC)</f>
        <v>-191000508</v>
      </c>
      <c r="K180" s="14">
        <f t="shared" si="10"/>
        <v>-254667344</v>
      </c>
      <c r="L180" s="18">
        <f t="shared" si="11"/>
        <v>-61257153</v>
      </c>
    </row>
    <row r="181" spans="2:12" hidden="1" x14ac:dyDescent="0.25">
      <c r="B181" t="s">
        <v>873</v>
      </c>
      <c r="C181">
        <v>0</v>
      </c>
      <c r="D181" t="s">
        <v>845</v>
      </c>
      <c r="E181">
        <f t="shared" si="12"/>
        <v>220217</v>
      </c>
      <c r="F181" s="38" t="s">
        <v>626</v>
      </c>
      <c r="G181" s="37"/>
      <c r="H181" s="37">
        <v>3547477.14</v>
      </c>
      <c r="I181" s="41">
        <f t="shared" si="9"/>
        <v>-3547477.14</v>
      </c>
      <c r="J181">
        <f>+_xlfn.XLOOKUP(E181,[1]BDV!$F:$F,[1]BDV!$AC:$AC)</f>
        <v>-3502486.85</v>
      </c>
      <c r="K181" s="14">
        <f t="shared" si="10"/>
        <v>-4669982.4666666668</v>
      </c>
      <c r="L181" s="18">
        <f t="shared" si="11"/>
        <v>-1122505.3266666667</v>
      </c>
    </row>
    <row r="182" spans="2:12" hidden="1" x14ac:dyDescent="0.25">
      <c r="B182" t="s">
        <v>873</v>
      </c>
      <c r="C182">
        <v>0</v>
      </c>
      <c r="D182" t="s">
        <v>845</v>
      </c>
      <c r="E182">
        <f t="shared" si="12"/>
        <v>220219</v>
      </c>
      <c r="F182" s="38" t="s">
        <v>627</v>
      </c>
      <c r="G182" s="37">
        <v>1405</v>
      </c>
      <c r="H182" s="37"/>
      <c r="I182" s="41">
        <f t="shared" si="9"/>
        <v>1405</v>
      </c>
      <c r="J182">
        <f>+_xlfn.XLOOKUP(E182,[1]BDV!$F:$F,[1]BDV!$AC:$AC)</f>
        <v>1405</v>
      </c>
      <c r="K182" s="14">
        <f t="shared" si="10"/>
        <v>1873.3333333333333</v>
      </c>
      <c r="L182" s="18">
        <f t="shared" si="11"/>
        <v>468.33333333333326</v>
      </c>
    </row>
    <row r="183" spans="2:12" hidden="1" x14ac:dyDescent="0.25">
      <c r="B183" t="s">
        <v>873</v>
      </c>
      <c r="C183">
        <v>0</v>
      </c>
      <c r="D183" t="s">
        <v>845</v>
      </c>
      <c r="E183">
        <f t="shared" si="12"/>
        <v>220221</v>
      </c>
      <c r="F183" s="38" t="s">
        <v>628</v>
      </c>
      <c r="G183" s="37"/>
      <c r="H183" s="37">
        <v>1</v>
      </c>
      <c r="I183" s="41">
        <f t="shared" si="9"/>
        <v>-1</v>
      </c>
      <c r="J183">
        <f>+_xlfn.XLOOKUP(E183,[1]BDV!$F:$F,[1]BDV!$AC:$AC)</f>
        <v>-47359.29</v>
      </c>
      <c r="K183" s="14">
        <f t="shared" si="10"/>
        <v>-63145.72</v>
      </c>
      <c r="L183" s="18">
        <f t="shared" si="11"/>
        <v>-63144.72</v>
      </c>
    </row>
    <row r="184" spans="2:12" hidden="1" x14ac:dyDescent="0.25">
      <c r="B184" t="s">
        <v>873</v>
      </c>
      <c r="C184">
        <v>0</v>
      </c>
      <c r="D184" t="s">
        <v>833</v>
      </c>
      <c r="E184">
        <f t="shared" si="12"/>
        <v>220225</v>
      </c>
      <c r="F184" s="38" t="s">
        <v>629</v>
      </c>
      <c r="G184" s="37"/>
      <c r="H184" s="37">
        <v>19537123.109999999</v>
      </c>
      <c r="I184" s="41">
        <f t="shared" si="9"/>
        <v>-19537123.109999999</v>
      </c>
      <c r="J184">
        <f>+_xlfn.XLOOKUP(E184,[1]BDV!$F:$F,[1]BDV!$AC:$AC)</f>
        <v>-19537123.109999999</v>
      </c>
      <c r="K184" s="14">
        <f t="shared" si="10"/>
        <v>-26049497.48</v>
      </c>
      <c r="L184" s="18">
        <f t="shared" si="11"/>
        <v>-6512374.370000001</v>
      </c>
    </row>
    <row r="185" spans="2:12" hidden="1" x14ac:dyDescent="0.25">
      <c r="B185" t="s">
        <v>873</v>
      </c>
      <c r="C185">
        <v>0</v>
      </c>
      <c r="D185" t="s">
        <v>833</v>
      </c>
      <c r="E185">
        <f t="shared" si="12"/>
        <v>220227</v>
      </c>
      <c r="F185" s="38" t="s">
        <v>630</v>
      </c>
      <c r="G185" s="37"/>
      <c r="H185" s="37">
        <v>747631</v>
      </c>
      <c r="I185" s="41">
        <f t="shared" si="9"/>
        <v>-747631</v>
      </c>
      <c r="J185">
        <f>+_xlfn.XLOOKUP(E185,[1]BDV!$F:$F,[1]BDV!$AC:$AC)</f>
        <v>-747631</v>
      </c>
      <c r="K185" s="14">
        <f t="shared" si="10"/>
        <v>-996841.33333333337</v>
      </c>
      <c r="L185" s="18">
        <f t="shared" si="11"/>
        <v>-249210.33333333337</v>
      </c>
    </row>
    <row r="186" spans="2:12" hidden="1" x14ac:dyDescent="0.25">
      <c r="B186" t="s">
        <v>873</v>
      </c>
      <c r="C186">
        <v>0</v>
      </c>
      <c r="D186" t="s">
        <v>842</v>
      </c>
      <c r="E186">
        <f t="shared" si="12"/>
        <v>220233</v>
      </c>
      <c r="F186" s="38" t="s">
        <v>631</v>
      </c>
      <c r="G186" s="37">
        <v>1075640.1100000001</v>
      </c>
      <c r="H186" s="37"/>
      <c r="I186" s="41">
        <f t="shared" si="9"/>
        <v>1075640.1100000001</v>
      </c>
      <c r="J186">
        <f>+_xlfn.XLOOKUP(E186,[1]BDV!$F:$F,[1]BDV!$AC:$AC)</f>
        <v>1075640.1100000001</v>
      </c>
      <c r="K186" s="14">
        <f t="shared" si="10"/>
        <v>1434186.8133333335</v>
      </c>
      <c r="L186" s="18">
        <f t="shared" si="11"/>
        <v>358546.70333333337</v>
      </c>
    </row>
    <row r="187" spans="2:12" hidden="1" x14ac:dyDescent="0.25">
      <c r="B187" t="s">
        <v>873</v>
      </c>
      <c r="C187">
        <v>0</v>
      </c>
      <c r="D187" t="s">
        <v>842</v>
      </c>
      <c r="E187">
        <f t="shared" si="12"/>
        <v>220235</v>
      </c>
      <c r="F187" s="38" t="s">
        <v>632</v>
      </c>
      <c r="G187" s="37"/>
      <c r="H187" s="37">
        <v>36817.82</v>
      </c>
      <c r="I187" s="41">
        <f t="shared" si="9"/>
        <v>-36817.82</v>
      </c>
      <c r="J187">
        <f>+_xlfn.XLOOKUP(E187,[1]BDV!$F:$F,[1]BDV!$AC:$AC)</f>
        <v>-36817.82</v>
      </c>
      <c r="K187" s="14">
        <f t="shared" si="10"/>
        <v>-49090.426666666666</v>
      </c>
      <c r="L187" s="18">
        <f t="shared" si="11"/>
        <v>-12272.606666666667</v>
      </c>
    </row>
    <row r="188" spans="2:12" hidden="1" x14ac:dyDescent="0.25">
      <c r="B188" t="s">
        <v>873</v>
      </c>
      <c r="C188">
        <v>0</v>
      </c>
      <c r="D188" t="s">
        <v>842</v>
      </c>
      <c r="E188">
        <f t="shared" si="12"/>
        <v>220237</v>
      </c>
      <c r="F188" s="38" t="s">
        <v>633</v>
      </c>
      <c r="G188" s="37"/>
      <c r="H188" s="37">
        <v>16075</v>
      </c>
      <c r="I188" s="41">
        <f t="shared" si="9"/>
        <v>-16075</v>
      </c>
      <c r="J188">
        <f>+_xlfn.XLOOKUP(E188,[1]BDV!$F:$F,[1]BDV!$AC:$AC)</f>
        <v>-16075</v>
      </c>
      <c r="K188" s="14">
        <f t="shared" si="10"/>
        <v>-21433.333333333332</v>
      </c>
      <c r="L188" s="18">
        <f t="shared" si="11"/>
        <v>-5358.3333333333321</v>
      </c>
    </row>
    <row r="189" spans="2:12" hidden="1" x14ac:dyDescent="0.25">
      <c r="B189" t="s">
        <v>873</v>
      </c>
      <c r="C189">
        <v>0</v>
      </c>
      <c r="D189" t="s">
        <v>846</v>
      </c>
      <c r="E189">
        <f t="shared" si="12"/>
        <v>240201</v>
      </c>
      <c r="F189" s="38" t="s">
        <v>634</v>
      </c>
      <c r="G189" s="37"/>
      <c r="H189" s="37">
        <v>524</v>
      </c>
      <c r="I189" s="41">
        <f t="shared" si="9"/>
        <v>-524</v>
      </c>
      <c r="J189">
        <f>+_xlfn.XLOOKUP(E189,[1]BDV!$F:$F,[1]BDV!$AC:$AC)</f>
        <v>-524</v>
      </c>
      <c r="K189" s="14">
        <f t="shared" si="10"/>
        <v>-698.66666666666663</v>
      </c>
      <c r="L189" s="18">
        <f t="shared" si="11"/>
        <v>-174.66666666666663</v>
      </c>
    </row>
    <row r="190" spans="2:12" hidden="1" x14ac:dyDescent="0.25">
      <c r="B190" t="s">
        <v>873</v>
      </c>
      <c r="C190">
        <v>0</v>
      </c>
      <c r="D190" t="s">
        <v>847</v>
      </c>
      <c r="E190">
        <f t="shared" si="12"/>
        <v>240219</v>
      </c>
      <c r="F190" s="38" t="s">
        <v>635</v>
      </c>
      <c r="G190" s="37"/>
      <c r="H190" s="37">
        <v>6867686.9100000001</v>
      </c>
      <c r="I190" s="41">
        <f t="shared" si="9"/>
        <v>-6867686.9100000001</v>
      </c>
      <c r="J190">
        <f>+_xlfn.XLOOKUP(E190,[1]BDV!$F:$F,[1]BDV!$AC:$AC)</f>
        <v>-6867686.9100000001</v>
      </c>
      <c r="K190" s="14">
        <f t="shared" si="10"/>
        <v>-9156915.8800000008</v>
      </c>
      <c r="L190" s="18">
        <f t="shared" si="11"/>
        <v>-2289228.9700000007</v>
      </c>
    </row>
    <row r="191" spans="2:12" hidden="1" x14ac:dyDescent="0.25">
      <c r="B191" t="s">
        <v>873</v>
      </c>
      <c r="C191">
        <v>0</v>
      </c>
      <c r="D191" t="s">
        <v>846</v>
      </c>
      <c r="E191">
        <f t="shared" si="12"/>
        <v>240223</v>
      </c>
      <c r="F191" s="38" t="s">
        <v>636</v>
      </c>
      <c r="G191" s="37"/>
      <c r="H191" s="37">
        <v>689613.15</v>
      </c>
      <c r="I191" s="41">
        <f t="shared" si="9"/>
        <v>-689613.15</v>
      </c>
      <c r="J191">
        <f>+_xlfn.XLOOKUP(E191,[1]BDV!$F:$F,[1]BDV!$AC:$AC)</f>
        <v>-553613.15</v>
      </c>
      <c r="K191" s="14">
        <f t="shared" si="10"/>
        <v>-738150.8666666667</v>
      </c>
      <c r="L191" s="18">
        <f t="shared" si="11"/>
        <v>-48537.716666666674</v>
      </c>
    </row>
    <row r="192" spans="2:12" hidden="1" x14ac:dyDescent="0.25">
      <c r="B192" t="s">
        <v>873</v>
      </c>
      <c r="C192">
        <v>0</v>
      </c>
      <c r="D192" t="s">
        <v>846</v>
      </c>
      <c r="E192">
        <f t="shared" si="12"/>
        <v>240225</v>
      </c>
      <c r="F192" s="38" t="s">
        <v>637</v>
      </c>
      <c r="G192" s="37"/>
      <c r="H192" s="37">
        <v>8390.2999999999993</v>
      </c>
      <c r="I192" s="41">
        <f t="shared" si="9"/>
        <v>-8390.2999999999993</v>
      </c>
      <c r="J192">
        <f>+_xlfn.XLOOKUP(E192,[1]BDV!$F:$F,[1]BDV!$AC:$AC)</f>
        <v>-8390.2999999999993</v>
      </c>
      <c r="K192" s="14">
        <f t="shared" si="10"/>
        <v>-11187.066666666666</v>
      </c>
      <c r="L192" s="18">
        <f t="shared" si="11"/>
        <v>-2796.7666666666664</v>
      </c>
    </row>
    <row r="193" spans="2:12" hidden="1" x14ac:dyDescent="0.25">
      <c r="B193" t="s">
        <v>873</v>
      </c>
      <c r="C193">
        <v>0</v>
      </c>
      <c r="D193" t="s">
        <v>846</v>
      </c>
      <c r="E193">
        <f t="shared" si="12"/>
        <v>240227</v>
      </c>
      <c r="F193" s="38" t="s">
        <v>638</v>
      </c>
      <c r="G193" s="37"/>
      <c r="H193" s="37">
        <v>721576.75</v>
      </c>
      <c r="I193" s="41">
        <f t="shared" si="9"/>
        <v>-721576.75</v>
      </c>
      <c r="J193">
        <f>+_xlfn.XLOOKUP(E193,[1]BDV!$F:$F,[1]BDV!$AC:$AC)</f>
        <v>-773576.75</v>
      </c>
      <c r="K193" s="14">
        <f t="shared" si="10"/>
        <v>-1031435.6666666666</v>
      </c>
      <c r="L193" s="18">
        <f t="shared" si="11"/>
        <v>-309858.91666666663</v>
      </c>
    </row>
    <row r="194" spans="2:12" hidden="1" x14ac:dyDescent="0.25">
      <c r="B194" t="s">
        <v>873</v>
      </c>
      <c r="C194">
        <v>0</v>
      </c>
      <c r="D194" t="s">
        <v>848</v>
      </c>
      <c r="E194">
        <f t="shared" si="12"/>
        <v>260201</v>
      </c>
      <c r="F194" s="38" t="s">
        <v>639</v>
      </c>
      <c r="G194" s="37"/>
      <c r="H194" s="37">
        <v>952563.54</v>
      </c>
      <c r="I194" s="41">
        <f t="shared" si="9"/>
        <v>-952563.54</v>
      </c>
      <c r="J194">
        <f>+_xlfn.XLOOKUP(E194,[1]BDV!$F:$F,[1]BDV!$AC:$AC)</f>
        <v>-977214.22</v>
      </c>
      <c r="K194" s="14">
        <f t="shared" si="10"/>
        <v>-1302952.2933333332</v>
      </c>
      <c r="L194" s="18">
        <f t="shared" si="11"/>
        <v>-350388.75333333318</v>
      </c>
    </row>
    <row r="195" spans="2:12" hidden="1" x14ac:dyDescent="0.25">
      <c r="B195" t="s">
        <v>873</v>
      </c>
      <c r="C195">
        <v>0</v>
      </c>
      <c r="D195" t="s">
        <v>840</v>
      </c>
      <c r="E195">
        <f t="shared" si="12"/>
        <v>280221</v>
      </c>
      <c r="F195" s="38" t="s">
        <v>640</v>
      </c>
      <c r="G195" s="37">
        <v>327623.67999999999</v>
      </c>
      <c r="H195" s="37"/>
      <c r="I195" s="41">
        <f t="shared" si="9"/>
        <v>327623.67999999999</v>
      </c>
      <c r="J195">
        <f>+_xlfn.XLOOKUP(E195,[1]BDV!$F:$F,[1]BDV!$AC:$AC)</f>
        <v>-18480895.32</v>
      </c>
      <c r="K195" s="14">
        <f t="shared" si="10"/>
        <v>-24641193.760000002</v>
      </c>
      <c r="L195" s="18">
        <f t="shared" si="11"/>
        <v>-24968817.440000001</v>
      </c>
    </row>
    <row r="196" spans="2:12" hidden="1" x14ac:dyDescent="0.25">
      <c r="B196" t="s">
        <v>873</v>
      </c>
      <c r="C196">
        <v>0</v>
      </c>
      <c r="D196" t="s">
        <v>849</v>
      </c>
      <c r="E196">
        <f t="shared" si="12"/>
        <v>280403</v>
      </c>
      <c r="F196" s="38" t="s">
        <v>641</v>
      </c>
      <c r="G196" s="37"/>
      <c r="H196" s="37">
        <v>263994.92</v>
      </c>
      <c r="I196" s="41">
        <f t="shared" si="9"/>
        <v>-263994.92</v>
      </c>
      <c r="J196">
        <f>+_xlfn.XLOOKUP(E196,[1]BDV!$F:$F,[1]BDV!$AC:$AC)</f>
        <v>-263994.92</v>
      </c>
      <c r="K196" s="14">
        <f t="shared" si="10"/>
        <v>-351993.22666666663</v>
      </c>
      <c r="L196" s="18">
        <f t="shared" si="11"/>
        <v>-87998.306666666642</v>
      </c>
    </row>
    <row r="197" spans="2:12" hidden="1" x14ac:dyDescent="0.25">
      <c r="B197" t="s">
        <v>873</v>
      </c>
      <c r="C197">
        <v>0</v>
      </c>
      <c r="D197" t="s">
        <v>840</v>
      </c>
      <c r="E197">
        <f t="shared" si="12"/>
        <v>280405</v>
      </c>
      <c r="F197" s="38" t="s">
        <v>642</v>
      </c>
      <c r="G197" s="37"/>
      <c r="H197" s="37">
        <v>1445322.96</v>
      </c>
      <c r="I197" s="41">
        <f t="shared" si="9"/>
        <v>-1445322.96</v>
      </c>
      <c r="J197">
        <f>+_xlfn.XLOOKUP(E197,[1]BDV!$F:$F,[1]BDV!$AC:$AC)</f>
        <v>-1445322.96</v>
      </c>
      <c r="K197" s="14">
        <f t="shared" si="10"/>
        <v>-1927097.28</v>
      </c>
      <c r="L197" s="18">
        <f t="shared" si="11"/>
        <v>-481774.32000000007</v>
      </c>
    </row>
    <row r="198" spans="2:12" hidden="1" x14ac:dyDescent="0.25">
      <c r="B198" t="s">
        <v>873</v>
      </c>
      <c r="C198">
        <v>0</v>
      </c>
      <c r="D198" t="s">
        <v>840</v>
      </c>
      <c r="E198">
        <f t="shared" si="12"/>
        <v>280407</v>
      </c>
      <c r="F198" s="38" t="s">
        <v>643</v>
      </c>
      <c r="G198" s="37"/>
      <c r="H198" s="37">
        <v>696613.91</v>
      </c>
      <c r="I198" s="41">
        <f t="shared" ref="I198:I261" si="13">+G198-H198</f>
        <v>-696613.91</v>
      </c>
      <c r="J198">
        <f>+_xlfn.XLOOKUP(E198,[1]BDV!$F:$F,[1]BDV!$AC:$AC)</f>
        <v>-696613.91</v>
      </c>
      <c r="K198" s="14">
        <f t="shared" ref="K198:K261" si="14">+J198/6*8</f>
        <v>-928818.54666666675</v>
      </c>
      <c r="L198" s="18">
        <f t="shared" ref="L198:L261" si="15">+K198-I198</f>
        <v>-232204.63666666672</v>
      </c>
    </row>
    <row r="199" spans="2:12" hidden="1" x14ac:dyDescent="0.25">
      <c r="B199" t="s">
        <v>873</v>
      </c>
      <c r="C199">
        <v>0</v>
      </c>
      <c r="D199" t="s">
        <v>840</v>
      </c>
      <c r="E199">
        <f t="shared" si="12"/>
        <v>280279</v>
      </c>
      <c r="F199" s="39" t="s">
        <v>644</v>
      </c>
      <c r="G199" s="37"/>
      <c r="H199" s="37">
        <v>24795591.890000001</v>
      </c>
      <c r="I199" s="41">
        <f t="shared" si="13"/>
        <v>-24795591.890000001</v>
      </c>
      <c r="J199">
        <f>+_xlfn.XLOOKUP(E199,[1]BDV!$F:$F,[1]BDV!$AC:$AC)</f>
        <v>0</v>
      </c>
      <c r="K199" s="14">
        <f t="shared" si="14"/>
        <v>0</v>
      </c>
      <c r="L199" s="18">
        <f t="shared" si="15"/>
        <v>24795591.890000001</v>
      </c>
    </row>
    <row r="200" spans="2:12" hidden="1" x14ac:dyDescent="0.25">
      <c r="B200" t="s">
        <v>873</v>
      </c>
      <c r="C200">
        <v>0</v>
      </c>
      <c r="D200" t="s">
        <v>838</v>
      </c>
      <c r="E200">
        <f t="shared" si="12"/>
        <v>300203</v>
      </c>
      <c r="F200" s="38" t="s">
        <v>645</v>
      </c>
      <c r="G200" s="37">
        <v>937.47</v>
      </c>
      <c r="H200" s="37"/>
      <c r="I200" s="41">
        <f t="shared" si="13"/>
        <v>937.47</v>
      </c>
      <c r="J200">
        <f>+_xlfn.XLOOKUP(E200,[1]BDV!$F:$F,[1]BDV!$AC:$AC)</f>
        <v>937.47</v>
      </c>
      <c r="K200" s="14">
        <f t="shared" si="14"/>
        <v>1249.96</v>
      </c>
      <c r="L200" s="18">
        <f t="shared" si="15"/>
        <v>312.49</v>
      </c>
    </row>
    <row r="201" spans="2:12" hidden="1" x14ac:dyDescent="0.25">
      <c r="B201" t="s">
        <v>873</v>
      </c>
      <c r="C201">
        <v>0</v>
      </c>
      <c r="D201" t="s">
        <v>838</v>
      </c>
      <c r="E201">
        <f t="shared" si="12"/>
        <v>300205</v>
      </c>
      <c r="F201" s="38" t="s">
        <v>646</v>
      </c>
      <c r="G201" s="37"/>
      <c r="H201" s="37">
        <v>11376460.640000001</v>
      </c>
      <c r="I201" s="41">
        <f t="shared" si="13"/>
        <v>-11376460.640000001</v>
      </c>
      <c r="J201">
        <f>+_xlfn.XLOOKUP(E201,[1]BDV!$F:$F,[1]BDV!$AC:$AC)</f>
        <v>-12613468.67</v>
      </c>
      <c r="K201" s="14">
        <f t="shared" si="14"/>
        <v>-16817958.226666667</v>
      </c>
      <c r="L201" s="18">
        <f t="shared" si="15"/>
        <v>-5441497.586666666</v>
      </c>
    </row>
    <row r="202" spans="2:12" hidden="1" x14ac:dyDescent="0.25">
      <c r="B202" t="s">
        <v>873</v>
      </c>
      <c r="C202">
        <v>0</v>
      </c>
      <c r="D202" t="s">
        <v>838</v>
      </c>
      <c r="E202">
        <f t="shared" si="12"/>
        <v>300207</v>
      </c>
      <c r="F202" s="38" t="s">
        <v>647</v>
      </c>
      <c r="G202" s="37"/>
      <c r="H202" s="37">
        <v>125938.44</v>
      </c>
      <c r="I202" s="41">
        <f t="shared" si="13"/>
        <v>-125938.44</v>
      </c>
      <c r="J202">
        <f>+_xlfn.XLOOKUP(E202,[1]BDV!$F:$F,[1]BDV!$AC:$AC)</f>
        <v>-26476.31</v>
      </c>
      <c r="K202" s="14">
        <f t="shared" si="14"/>
        <v>-35301.746666666666</v>
      </c>
      <c r="L202" s="18">
        <f t="shared" si="15"/>
        <v>90636.693333333329</v>
      </c>
    </row>
    <row r="203" spans="2:12" hidden="1" x14ac:dyDescent="0.25">
      <c r="B203" t="s">
        <v>873</v>
      </c>
      <c r="C203">
        <v>0</v>
      </c>
      <c r="D203" t="s">
        <v>841</v>
      </c>
      <c r="E203">
        <f t="shared" si="12"/>
        <v>300209</v>
      </c>
      <c r="F203" s="38" t="s">
        <v>648</v>
      </c>
      <c r="G203" s="37"/>
      <c r="H203" s="37">
        <v>555236.14</v>
      </c>
      <c r="I203" s="41">
        <f t="shared" si="13"/>
        <v>-555236.14</v>
      </c>
      <c r="J203">
        <f>+_xlfn.XLOOKUP(E203,[1]BDV!$F:$F,[1]BDV!$AC:$AC)</f>
        <v>-470444.6</v>
      </c>
      <c r="K203" s="14">
        <f t="shared" si="14"/>
        <v>-627259.46666666667</v>
      </c>
      <c r="L203" s="18">
        <f t="shared" si="15"/>
        <v>-72023.32666666666</v>
      </c>
    </row>
    <row r="204" spans="2:12" hidden="1" x14ac:dyDescent="0.25">
      <c r="B204" t="s">
        <v>873</v>
      </c>
      <c r="C204">
        <v>0</v>
      </c>
      <c r="D204" t="s">
        <v>841</v>
      </c>
      <c r="E204">
        <f t="shared" si="12"/>
        <v>320203</v>
      </c>
      <c r="F204" s="38" t="s">
        <v>649</v>
      </c>
      <c r="G204" s="37"/>
      <c r="H204" s="37">
        <v>52.5</v>
      </c>
      <c r="I204" s="41">
        <f t="shared" si="13"/>
        <v>-52.5</v>
      </c>
      <c r="J204">
        <f>+_xlfn.XLOOKUP(E204,[1]BDV!$F:$F,[1]BDV!$AC:$AC)</f>
        <v>-52.5</v>
      </c>
      <c r="K204" s="14">
        <f t="shared" si="14"/>
        <v>-70</v>
      </c>
      <c r="L204" s="18">
        <f t="shared" si="15"/>
        <v>-17.5</v>
      </c>
    </row>
    <row r="205" spans="2:12" hidden="1" x14ac:dyDescent="0.25">
      <c r="B205" t="s">
        <v>873</v>
      </c>
      <c r="C205">
        <v>0</v>
      </c>
      <c r="D205" t="s">
        <v>841</v>
      </c>
      <c r="E205">
        <f t="shared" si="12"/>
        <v>320207</v>
      </c>
      <c r="F205" s="38" t="s">
        <v>650</v>
      </c>
      <c r="G205" s="37"/>
      <c r="H205" s="37">
        <v>18872.54</v>
      </c>
      <c r="I205" s="41">
        <f t="shared" si="13"/>
        <v>-18872.54</v>
      </c>
      <c r="J205">
        <f>+_xlfn.XLOOKUP(E205,[1]BDV!$F:$F,[1]BDV!$AC:$AC)</f>
        <v>-18872.54</v>
      </c>
      <c r="K205" s="14">
        <f t="shared" si="14"/>
        <v>-25163.386666666669</v>
      </c>
      <c r="L205" s="18">
        <f t="shared" si="15"/>
        <v>-6290.8466666666682</v>
      </c>
    </row>
    <row r="206" spans="2:12" hidden="1" x14ac:dyDescent="0.25">
      <c r="B206" t="s">
        <v>873</v>
      </c>
      <c r="C206">
        <v>0</v>
      </c>
      <c r="D206" t="s">
        <v>841</v>
      </c>
      <c r="E206">
        <f t="shared" si="12"/>
        <v>320209</v>
      </c>
      <c r="F206" s="38" t="s">
        <v>651</v>
      </c>
      <c r="G206" s="37"/>
      <c r="H206" s="37">
        <v>8403086.1899999995</v>
      </c>
      <c r="I206" s="41">
        <f t="shared" si="13"/>
        <v>-8403086.1899999995</v>
      </c>
      <c r="J206">
        <f>+_xlfn.XLOOKUP(E206,[1]BDV!$F:$F,[1]BDV!$AC:$AC)</f>
        <v>-8403086.1899999995</v>
      </c>
      <c r="K206" s="14">
        <f t="shared" si="14"/>
        <v>-11204114.92</v>
      </c>
      <c r="L206" s="18">
        <f t="shared" si="15"/>
        <v>-2801028.7300000004</v>
      </c>
    </row>
    <row r="207" spans="2:12" hidden="1" x14ac:dyDescent="0.25">
      <c r="B207" t="s">
        <v>873</v>
      </c>
      <c r="C207">
        <v>0</v>
      </c>
      <c r="D207" t="s">
        <v>850</v>
      </c>
      <c r="E207">
        <f t="shared" ref="E207:E243" si="16">+_xlfn.NUMBERVALUE(LEFT(F207,6))</f>
        <v>320401</v>
      </c>
      <c r="F207" s="38" t="s">
        <v>652</v>
      </c>
      <c r="G207" s="37"/>
      <c r="H207" s="37">
        <v>4441.3599999999997</v>
      </c>
      <c r="I207" s="41">
        <f t="shared" si="13"/>
        <v>-4441.3599999999997</v>
      </c>
      <c r="J207">
        <f>+_xlfn.XLOOKUP(E207,[1]BDV!$F:$F,[1]BDV!$AC:$AC)</f>
        <v>-3833.7</v>
      </c>
      <c r="K207" s="14">
        <f t="shared" si="14"/>
        <v>-5111.5999999999995</v>
      </c>
      <c r="L207" s="18">
        <f t="shared" si="15"/>
        <v>-670.23999999999978</v>
      </c>
    </row>
    <row r="208" spans="2:12" hidden="1" x14ac:dyDescent="0.25">
      <c r="B208" t="s">
        <v>873</v>
      </c>
      <c r="C208">
        <v>0</v>
      </c>
      <c r="D208" t="s">
        <v>850</v>
      </c>
      <c r="E208">
        <f t="shared" si="16"/>
        <v>320403</v>
      </c>
      <c r="F208" s="38" t="s">
        <v>653</v>
      </c>
      <c r="G208" s="37"/>
      <c r="H208" s="37">
        <v>1240534.82</v>
      </c>
      <c r="I208" s="41">
        <f t="shared" si="13"/>
        <v>-1240534.82</v>
      </c>
      <c r="J208">
        <f>+_xlfn.XLOOKUP(E208,[1]BDV!$F:$F,[1]BDV!$AC:$AC)</f>
        <v>-1276516.52</v>
      </c>
      <c r="K208" s="14">
        <f t="shared" si="14"/>
        <v>-1702022.0266666666</v>
      </c>
      <c r="L208" s="18">
        <f t="shared" si="15"/>
        <v>-461487.20666666655</v>
      </c>
    </row>
    <row r="209" spans="2:12" hidden="1" x14ac:dyDescent="0.25">
      <c r="B209" t="s">
        <v>873</v>
      </c>
      <c r="C209">
        <v>0</v>
      </c>
      <c r="D209" t="s">
        <v>836</v>
      </c>
      <c r="E209">
        <f t="shared" si="16"/>
        <v>320405</v>
      </c>
      <c r="F209" s="38" t="s">
        <v>654</v>
      </c>
      <c r="G209" s="37"/>
      <c r="H209" s="37">
        <v>245102.92</v>
      </c>
      <c r="I209" s="41">
        <f t="shared" si="13"/>
        <v>-245102.92</v>
      </c>
      <c r="J209">
        <f>+_xlfn.XLOOKUP(E209,[1]BDV!$F:$F,[1]BDV!$AC:$AC)</f>
        <v>-285203.44</v>
      </c>
      <c r="K209" s="14">
        <f t="shared" si="14"/>
        <v>-380271.25333333336</v>
      </c>
      <c r="L209" s="18">
        <f t="shared" si="15"/>
        <v>-135168.33333333334</v>
      </c>
    </row>
    <row r="210" spans="2:12" hidden="1" x14ac:dyDescent="0.25">
      <c r="B210" t="s">
        <v>873</v>
      </c>
      <c r="C210">
        <v>0</v>
      </c>
      <c r="D210" t="s">
        <v>836</v>
      </c>
      <c r="E210">
        <f t="shared" si="16"/>
        <v>320409</v>
      </c>
      <c r="F210" s="38" t="s">
        <v>655</v>
      </c>
      <c r="G210" s="37">
        <v>291886.3</v>
      </c>
      <c r="H210" s="37"/>
      <c r="I210" s="41">
        <f t="shared" si="13"/>
        <v>291886.3</v>
      </c>
      <c r="J210">
        <f>+_xlfn.XLOOKUP(E210,[1]BDV!$F:$F,[1]BDV!$AC:$AC)</f>
        <v>2328870.65</v>
      </c>
      <c r="K210" s="14">
        <f t="shared" si="14"/>
        <v>3105160.8666666667</v>
      </c>
      <c r="L210" s="18">
        <f t="shared" si="15"/>
        <v>2813274.5666666669</v>
      </c>
    </row>
    <row r="211" spans="2:12" hidden="1" x14ac:dyDescent="0.25">
      <c r="B211" t="s">
        <v>873</v>
      </c>
      <c r="C211">
        <v>0</v>
      </c>
      <c r="D211" t="s">
        <v>850</v>
      </c>
      <c r="E211">
        <f t="shared" si="16"/>
        <v>320411</v>
      </c>
      <c r="F211" s="38" t="s">
        <v>656</v>
      </c>
      <c r="G211" s="37">
        <v>1777219.46</v>
      </c>
      <c r="H211" s="37"/>
      <c r="I211" s="41">
        <f t="shared" si="13"/>
        <v>1777219.46</v>
      </c>
      <c r="J211">
        <f>+_xlfn.XLOOKUP(E211,[1]BDV!$F:$F,[1]BDV!$AC:$AC)</f>
        <v>370.74</v>
      </c>
      <c r="K211" s="14">
        <f t="shared" si="14"/>
        <v>494.32</v>
      </c>
      <c r="L211" s="18">
        <f t="shared" si="15"/>
        <v>-1776725.14</v>
      </c>
    </row>
    <row r="212" spans="2:12" hidden="1" x14ac:dyDescent="0.25">
      <c r="B212" t="s">
        <v>873</v>
      </c>
      <c r="C212">
        <v>0</v>
      </c>
      <c r="D212" t="s">
        <v>850</v>
      </c>
      <c r="E212">
        <f t="shared" si="16"/>
        <v>320413</v>
      </c>
      <c r="F212" s="38" t="s">
        <v>657</v>
      </c>
      <c r="G212" s="37"/>
      <c r="H212" s="37">
        <v>543337.47</v>
      </c>
      <c r="I212" s="41">
        <f t="shared" si="13"/>
        <v>-543337.47</v>
      </c>
      <c r="J212">
        <f>+_xlfn.XLOOKUP(E212,[1]BDV!$F:$F,[1]BDV!$AC:$AC)</f>
        <v>-154299.89000000001</v>
      </c>
      <c r="K212" s="14">
        <f t="shared" si="14"/>
        <v>-205733.18666666668</v>
      </c>
      <c r="L212" s="18">
        <f t="shared" si="15"/>
        <v>337604.28333333333</v>
      </c>
    </row>
    <row r="213" spans="2:12" hidden="1" x14ac:dyDescent="0.25">
      <c r="B213" t="s">
        <v>873</v>
      </c>
      <c r="C213">
        <v>0</v>
      </c>
      <c r="D213" t="s">
        <v>850</v>
      </c>
      <c r="E213">
        <f t="shared" si="16"/>
        <v>320417</v>
      </c>
      <c r="F213" s="38" t="s">
        <v>658</v>
      </c>
      <c r="G213" s="37"/>
      <c r="H213" s="37">
        <v>428566.25</v>
      </c>
      <c r="I213" s="41">
        <f t="shared" si="13"/>
        <v>-428566.25</v>
      </c>
      <c r="J213">
        <f>+_xlfn.XLOOKUP(E213,[1]BDV!$F:$F,[1]BDV!$AC:$AC)</f>
        <v>0</v>
      </c>
      <c r="K213" s="14">
        <f t="shared" si="14"/>
        <v>0</v>
      </c>
      <c r="L213" s="18">
        <f t="shared" si="15"/>
        <v>428566.25</v>
      </c>
    </row>
    <row r="214" spans="2:12" hidden="1" x14ac:dyDescent="0.25">
      <c r="B214" t="s">
        <v>873</v>
      </c>
      <c r="C214">
        <v>0</v>
      </c>
      <c r="D214" t="s">
        <v>850</v>
      </c>
      <c r="E214">
        <f t="shared" si="16"/>
        <v>320601</v>
      </c>
      <c r="F214" s="38" t="s">
        <v>659</v>
      </c>
      <c r="G214" s="37"/>
      <c r="H214" s="37">
        <v>29791.33</v>
      </c>
      <c r="I214" s="41">
        <f t="shared" si="13"/>
        <v>-29791.33</v>
      </c>
      <c r="J214">
        <f>+_xlfn.XLOOKUP(E214,[1]BDV!$F:$F,[1]BDV!$AC:$AC)</f>
        <v>-28653.37</v>
      </c>
      <c r="K214" s="14">
        <f t="shared" si="14"/>
        <v>-38204.493333333332</v>
      </c>
      <c r="L214" s="18">
        <f t="shared" si="15"/>
        <v>-8413.1633333333302</v>
      </c>
    </row>
    <row r="215" spans="2:12" hidden="1" x14ac:dyDescent="0.25">
      <c r="B215" t="s">
        <v>873</v>
      </c>
      <c r="C215">
        <v>0</v>
      </c>
      <c r="D215" t="s">
        <v>850</v>
      </c>
      <c r="E215">
        <f t="shared" si="16"/>
        <v>320603</v>
      </c>
      <c r="F215" s="38" t="s">
        <v>660</v>
      </c>
      <c r="G215" s="37"/>
      <c r="H215" s="37">
        <v>62404.02</v>
      </c>
      <c r="I215" s="41">
        <f t="shared" si="13"/>
        <v>-62404.02</v>
      </c>
      <c r="J215">
        <f>+_xlfn.XLOOKUP(E215,[1]BDV!$F:$F,[1]BDV!$AC:$AC)</f>
        <v>-74813.490000000005</v>
      </c>
      <c r="K215" s="14">
        <f t="shared" si="14"/>
        <v>-99751.32</v>
      </c>
      <c r="L215" s="18">
        <f t="shared" si="15"/>
        <v>-37347.30000000001</v>
      </c>
    </row>
    <row r="216" spans="2:12" hidden="1" x14ac:dyDescent="0.25">
      <c r="B216" t="s">
        <v>873</v>
      </c>
      <c r="C216">
        <v>0</v>
      </c>
      <c r="D216" t="s">
        <v>850</v>
      </c>
      <c r="E216">
        <f t="shared" si="16"/>
        <v>320605</v>
      </c>
      <c r="F216" s="38" t="s">
        <v>661</v>
      </c>
      <c r="G216" s="37"/>
      <c r="H216" s="37">
        <v>52035.17</v>
      </c>
      <c r="I216" s="41">
        <f t="shared" si="13"/>
        <v>-52035.17</v>
      </c>
      <c r="J216">
        <f>+_xlfn.XLOOKUP(E216,[1]BDV!$F:$F,[1]BDV!$AC:$AC)</f>
        <v>-113071.76</v>
      </c>
      <c r="K216" s="14">
        <f t="shared" si="14"/>
        <v>-150762.34666666665</v>
      </c>
      <c r="L216" s="18">
        <f t="shared" si="15"/>
        <v>-98727.176666666652</v>
      </c>
    </row>
    <row r="217" spans="2:12" hidden="1" x14ac:dyDescent="0.25">
      <c r="B217" t="s">
        <v>873</v>
      </c>
      <c r="C217">
        <v>0</v>
      </c>
      <c r="D217" t="s">
        <v>841</v>
      </c>
      <c r="E217">
        <f t="shared" si="16"/>
        <v>320611</v>
      </c>
      <c r="F217" s="38" t="s">
        <v>662</v>
      </c>
      <c r="G217" s="37">
        <v>315.39</v>
      </c>
      <c r="H217" s="37"/>
      <c r="I217" s="41">
        <f t="shared" si="13"/>
        <v>315.39</v>
      </c>
      <c r="J217">
        <f>+_xlfn.XLOOKUP(E217,[1]BDV!$F:$F,[1]BDV!$AC:$AC)</f>
        <v>315.39</v>
      </c>
      <c r="K217" s="14">
        <f t="shared" si="14"/>
        <v>420.52</v>
      </c>
      <c r="L217" s="18">
        <f t="shared" si="15"/>
        <v>105.13</v>
      </c>
    </row>
    <row r="218" spans="2:12" hidden="1" x14ac:dyDescent="0.25">
      <c r="B218" t="s">
        <v>873</v>
      </c>
      <c r="C218">
        <v>0</v>
      </c>
      <c r="D218" t="s">
        <v>850</v>
      </c>
      <c r="E218">
        <f t="shared" si="16"/>
        <v>320613</v>
      </c>
      <c r="F218" s="38" t="s">
        <v>663</v>
      </c>
      <c r="G218" s="37"/>
      <c r="H218" s="37">
        <v>178842.75</v>
      </c>
      <c r="I218" s="41">
        <f t="shared" si="13"/>
        <v>-178842.75</v>
      </c>
      <c r="J218">
        <f>+_xlfn.XLOOKUP(E218,[1]BDV!$F:$F,[1]BDV!$AC:$AC)</f>
        <v>-179532.42</v>
      </c>
      <c r="K218" s="14">
        <f t="shared" si="14"/>
        <v>-239376.56000000003</v>
      </c>
      <c r="L218" s="18">
        <f t="shared" si="15"/>
        <v>-60533.810000000027</v>
      </c>
    </row>
    <row r="219" spans="2:12" hidden="1" x14ac:dyDescent="0.25">
      <c r="B219" t="s">
        <v>873</v>
      </c>
      <c r="C219">
        <v>0</v>
      </c>
      <c r="D219" t="s">
        <v>850</v>
      </c>
      <c r="E219">
        <f t="shared" si="16"/>
        <v>320617</v>
      </c>
      <c r="F219" s="38" t="s">
        <v>664</v>
      </c>
      <c r="G219" s="37"/>
      <c r="H219" s="37">
        <v>11542.3</v>
      </c>
      <c r="I219" s="41">
        <f t="shared" si="13"/>
        <v>-11542.3</v>
      </c>
      <c r="J219">
        <f>+_xlfn.XLOOKUP(E219,[1]BDV!$F:$F,[1]BDV!$AC:$AC)</f>
        <v>-10552.3</v>
      </c>
      <c r="K219" s="14">
        <f t="shared" si="14"/>
        <v>-14069.733333333332</v>
      </c>
      <c r="L219" s="18">
        <f t="shared" si="15"/>
        <v>-2527.4333333333325</v>
      </c>
    </row>
    <row r="220" spans="2:12" hidden="1" x14ac:dyDescent="0.25">
      <c r="B220" t="s">
        <v>873</v>
      </c>
      <c r="C220">
        <v>0</v>
      </c>
      <c r="D220" t="s">
        <v>841</v>
      </c>
      <c r="E220">
        <f t="shared" si="16"/>
        <v>320803</v>
      </c>
      <c r="F220" s="38" t="s">
        <v>665</v>
      </c>
      <c r="G220" s="37"/>
      <c r="H220" s="37">
        <v>882.83</v>
      </c>
      <c r="I220" s="41">
        <f t="shared" si="13"/>
        <v>-882.83</v>
      </c>
      <c r="J220">
        <f>+_xlfn.XLOOKUP(E220,[1]BDV!$F:$F,[1]BDV!$AC:$AC)</f>
        <v>5733.91</v>
      </c>
      <c r="K220" s="14">
        <f t="shared" si="14"/>
        <v>7645.2133333333331</v>
      </c>
      <c r="L220" s="18">
        <f t="shared" si="15"/>
        <v>8528.0433333333331</v>
      </c>
    </row>
    <row r="221" spans="2:12" hidden="1" x14ac:dyDescent="0.25">
      <c r="B221" t="s">
        <v>873</v>
      </c>
      <c r="C221">
        <v>0</v>
      </c>
      <c r="D221" t="s">
        <v>849</v>
      </c>
      <c r="E221">
        <f t="shared" si="16"/>
        <v>320811</v>
      </c>
      <c r="F221" s="38" t="s">
        <v>666</v>
      </c>
      <c r="G221" s="37"/>
      <c r="H221" s="37">
        <v>10079537.039999999</v>
      </c>
      <c r="I221" s="41">
        <f t="shared" si="13"/>
        <v>-10079537.039999999</v>
      </c>
      <c r="J221">
        <f>+_xlfn.XLOOKUP(E221,[1]BDV!$F:$F,[1]BDV!$AC:$AC)</f>
        <v>-9204114.6500000004</v>
      </c>
      <c r="K221" s="14">
        <f t="shared" si="14"/>
        <v>-12272152.866666667</v>
      </c>
      <c r="L221" s="18">
        <f t="shared" si="15"/>
        <v>-2192615.8266666681</v>
      </c>
    </row>
    <row r="222" spans="2:12" hidden="1" x14ac:dyDescent="0.25">
      <c r="B222" t="s">
        <v>873</v>
      </c>
      <c r="C222">
        <v>0</v>
      </c>
      <c r="D222" t="s">
        <v>838</v>
      </c>
      <c r="E222">
        <f t="shared" si="16"/>
        <v>320813</v>
      </c>
      <c r="F222" s="38" t="s">
        <v>667</v>
      </c>
      <c r="G222" s="37"/>
      <c r="H222" s="37">
        <v>3513488.77</v>
      </c>
      <c r="I222" s="41">
        <f t="shared" si="13"/>
        <v>-3513488.77</v>
      </c>
      <c r="J222">
        <f>+_xlfn.XLOOKUP(E222,[1]BDV!$F:$F,[1]BDV!$AC:$AC)</f>
        <v>-3583795.93</v>
      </c>
      <c r="K222" s="14">
        <f t="shared" si="14"/>
        <v>-4778394.5733333332</v>
      </c>
      <c r="L222" s="18">
        <f t="shared" si="15"/>
        <v>-1264905.8033333332</v>
      </c>
    </row>
    <row r="223" spans="2:12" hidden="1" x14ac:dyDescent="0.25">
      <c r="B223" t="s">
        <v>873</v>
      </c>
      <c r="C223">
        <v>0</v>
      </c>
      <c r="D223" t="s">
        <v>835</v>
      </c>
      <c r="E223">
        <f t="shared" si="16"/>
        <v>320815</v>
      </c>
      <c r="F223" s="38" t="s">
        <v>668</v>
      </c>
      <c r="G223" s="37">
        <v>646.59</v>
      </c>
      <c r="H223" s="37"/>
      <c r="I223" s="41">
        <f t="shared" si="13"/>
        <v>646.59</v>
      </c>
      <c r="J223">
        <f>+_xlfn.XLOOKUP(E223,[1]BDV!$F:$F,[1]BDV!$AC:$AC)</f>
        <v>646.59</v>
      </c>
      <c r="K223" s="14">
        <f t="shared" si="14"/>
        <v>862.12</v>
      </c>
      <c r="L223" s="18">
        <f t="shared" si="15"/>
        <v>215.52999999999997</v>
      </c>
    </row>
    <row r="224" spans="2:12" hidden="1" x14ac:dyDescent="0.25">
      <c r="B224" t="s">
        <v>873</v>
      </c>
      <c r="C224">
        <v>0</v>
      </c>
      <c r="D224" t="s">
        <v>841</v>
      </c>
      <c r="E224">
        <f t="shared" si="16"/>
        <v>320817</v>
      </c>
      <c r="F224" s="38" t="s">
        <v>669</v>
      </c>
      <c r="G224" s="37">
        <v>345.42</v>
      </c>
      <c r="H224" s="37"/>
      <c r="I224" s="41">
        <f t="shared" si="13"/>
        <v>345.42</v>
      </c>
      <c r="J224">
        <f>+_xlfn.XLOOKUP(E224,[1]BDV!$F:$F,[1]BDV!$AC:$AC)</f>
        <v>345.42</v>
      </c>
      <c r="K224" s="14">
        <f t="shared" si="14"/>
        <v>460.56</v>
      </c>
      <c r="L224" s="18">
        <f t="shared" si="15"/>
        <v>115.13999999999999</v>
      </c>
    </row>
    <row r="225" spans="2:12" hidden="1" x14ac:dyDescent="0.25">
      <c r="B225" t="s">
        <v>873</v>
      </c>
      <c r="C225">
        <v>0</v>
      </c>
      <c r="D225" t="s">
        <v>838</v>
      </c>
      <c r="E225">
        <f t="shared" si="16"/>
        <v>320819</v>
      </c>
      <c r="F225" s="38" t="s">
        <v>670</v>
      </c>
      <c r="G225" s="37"/>
      <c r="H225" s="37">
        <v>553689.18000000005</v>
      </c>
      <c r="I225" s="41">
        <f t="shared" si="13"/>
        <v>-553689.18000000005</v>
      </c>
      <c r="J225">
        <f>+_xlfn.XLOOKUP(E225,[1]BDV!$F:$F,[1]BDV!$AC:$AC)</f>
        <v>-553689.18000000005</v>
      </c>
      <c r="K225" s="14">
        <f t="shared" si="14"/>
        <v>-738252.24000000011</v>
      </c>
      <c r="L225" s="18">
        <f t="shared" si="15"/>
        <v>-184563.06000000006</v>
      </c>
    </row>
    <row r="226" spans="2:12" hidden="1" x14ac:dyDescent="0.25">
      <c r="B226" t="s">
        <v>873</v>
      </c>
      <c r="C226">
        <v>0</v>
      </c>
      <c r="D226" t="s">
        <v>841</v>
      </c>
      <c r="E226">
        <f t="shared" si="16"/>
        <v>320821</v>
      </c>
      <c r="F226" s="38" t="s">
        <v>671</v>
      </c>
      <c r="G226" s="37"/>
      <c r="H226" s="37">
        <v>185691.83</v>
      </c>
      <c r="I226" s="41">
        <f t="shared" si="13"/>
        <v>-185691.83</v>
      </c>
      <c r="J226">
        <f>+_xlfn.XLOOKUP(E226,[1]BDV!$F:$F,[1]BDV!$AC:$AC)</f>
        <v>-185691.83</v>
      </c>
      <c r="K226" s="14">
        <f t="shared" si="14"/>
        <v>-247589.10666666666</v>
      </c>
      <c r="L226" s="18">
        <f t="shared" si="15"/>
        <v>-61897.276666666672</v>
      </c>
    </row>
    <row r="227" spans="2:12" hidden="1" x14ac:dyDescent="0.25">
      <c r="B227" t="s">
        <v>873</v>
      </c>
      <c r="C227">
        <v>0</v>
      </c>
      <c r="D227" t="s">
        <v>841</v>
      </c>
      <c r="E227">
        <f t="shared" si="16"/>
        <v>320825</v>
      </c>
      <c r="F227" s="38" t="s">
        <v>672</v>
      </c>
      <c r="G227" s="37"/>
      <c r="H227" s="37">
        <v>391531.25</v>
      </c>
      <c r="I227" s="41">
        <f t="shared" si="13"/>
        <v>-391531.25</v>
      </c>
      <c r="J227">
        <f>+_xlfn.XLOOKUP(E227,[1]BDV!$F:$F,[1]BDV!$AC:$AC)</f>
        <v>-290428.52</v>
      </c>
      <c r="K227" s="14">
        <f t="shared" si="14"/>
        <v>-387238.02666666667</v>
      </c>
      <c r="L227" s="18">
        <f t="shared" si="15"/>
        <v>4293.2233333333279</v>
      </c>
    </row>
    <row r="228" spans="2:12" hidden="1" x14ac:dyDescent="0.25">
      <c r="B228" t="s">
        <v>873</v>
      </c>
      <c r="C228">
        <v>0</v>
      </c>
      <c r="D228" t="s">
        <v>838</v>
      </c>
      <c r="E228">
        <f t="shared" si="16"/>
        <v>320827</v>
      </c>
      <c r="F228" s="38" t="s">
        <v>673</v>
      </c>
      <c r="G228" s="37"/>
      <c r="H228" s="37">
        <v>5871.6</v>
      </c>
      <c r="I228" s="41">
        <f t="shared" si="13"/>
        <v>-5871.6</v>
      </c>
      <c r="J228">
        <f>+_xlfn.XLOOKUP(E228,[1]BDV!$F:$F,[1]BDV!$AC:$AC)</f>
        <v>-5871.6</v>
      </c>
      <c r="K228" s="14">
        <f t="shared" si="14"/>
        <v>-7828.8</v>
      </c>
      <c r="L228" s="18">
        <f t="shared" si="15"/>
        <v>-1957.1999999999998</v>
      </c>
    </row>
    <row r="229" spans="2:12" hidden="1" x14ac:dyDescent="0.25">
      <c r="B229" t="s">
        <v>873</v>
      </c>
      <c r="C229">
        <v>0</v>
      </c>
      <c r="D229" t="s">
        <v>835</v>
      </c>
      <c r="E229">
        <f t="shared" si="16"/>
        <v>320829</v>
      </c>
      <c r="F229" s="38" t="s">
        <v>674</v>
      </c>
      <c r="G229" s="37"/>
      <c r="H229" s="37">
        <v>19406.54</v>
      </c>
      <c r="I229" s="41">
        <f t="shared" si="13"/>
        <v>-19406.54</v>
      </c>
      <c r="J229">
        <f>+_xlfn.XLOOKUP(E229,[1]BDV!$F:$F,[1]BDV!$AC:$AC)</f>
        <v>-19406.54</v>
      </c>
      <c r="K229" s="14">
        <f t="shared" si="14"/>
        <v>-25875.386666666669</v>
      </c>
      <c r="L229" s="18">
        <f t="shared" si="15"/>
        <v>-6468.8466666666682</v>
      </c>
    </row>
    <row r="230" spans="2:12" hidden="1" x14ac:dyDescent="0.25">
      <c r="B230" t="s">
        <v>873</v>
      </c>
      <c r="C230">
        <v>0</v>
      </c>
      <c r="D230" t="s">
        <v>835</v>
      </c>
      <c r="E230">
        <f t="shared" si="16"/>
        <v>320831</v>
      </c>
      <c r="F230" s="38" t="s">
        <v>675</v>
      </c>
      <c r="G230" s="37"/>
      <c r="H230" s="37">
        <v>223335.3</v>
      </c>
      <c r="I230" s="41">
        <f t="shared" si="13"/>
        <v>-223335.3</v>
      </c>
      <c r="J230">
        <f>+_xlfn.XLOOKUP(E230,[1]BDV!$F:$F,[1]BDV!$AC:$AC)</f>
        <v>-223335.3</v>
      </c>
      <c r="K230" s="14">
        <f t="shared" si="14"/>
        <v>-297780.39999999997</v>
      </c>
      <c r="L230" s="18">
        <f t="shared" si="15"/>
        <v>-74445.099999999977</v>
      </c>
    </row>
    <row r="231" spans="2:12" hidden="1" x14ac:dyDescent="0.25">
      <c r="B231" t="s">
        <v>873</v>
      </c>
      <c r="C231">
        <v>0</v>
      </c>
      <c r="D231" t="s">
        <v>841</v>
      </c>
      <c r="E231">
        <f t="shared" si="16"/>
        <v>340213</v>
      </c>
      <c r="F231" s="38" t="s">
        <v>676</v>
      </c>
      <c r="G231" s="37"/>
      <c r="H231" s="37">
        <v>1001544.81</v>
      </c>
      <c r="I231" s="41">
        <f t="shared" si="13"/>
        <v>-1001544.81</v>
      </c>
      <c r="J231">
        <f>+_xlfn.XLOOKUP(E231,[1]BDV!$F:$F,[1]BDV!$AC:$AC)</f>
        <v>-967511.09</v>
      </c>
      <c r="K231" s="14">
        <f t="shared" si="14"/>
        <v>-1290014.7866666666</v>
      </c>
      <c r="L231" s="18">
        <f t="shared" si="15"/>
        <v>-288469.97666666657</v>
      </c>
    </row>
    <row r="232" spans="2:12" hidden="1" x14ac:dyDescent="0.25">
      <c r="B232" t="s">
        <v>873</v>
      </c>
      <c r="C232">
        <v>0</v>
      </c>
      <c r="D232" t="s">
        <v>841</v>
      </c>
      <c r="E232">
        <f t="shared" si="16"/>
        <v>340215</v>
      </c>
      <c r="F232" s="38" t="s">
        <v>677</v>
      </c>
      <c r="G232" s="37"/>
      <c r="H232" s="37">
        <v>263435.83</v>
      </c>
      <c r="I232" s="41">
        <f t="shared" si="13"/>
        <v>-263435.83</v>
      </c>
      <c r="J232">
        <f>+_xlfn.XLOOKUP(E232,[1]BDV!$F:$F,[1]BDV!$AC:$AC)</f>
        <v>-252650.5</v>
      </c>
      <c r="K232" s="14">
        <f t="shared" si="14"/>
        <v>-336867.33333333331</v>
      </c>
      <c r="L232" s="18">
        <f t="shared" si="15"/>
        <v>-73431.503333333298</v>
      </c>
    </row>
    <row r="233" spans="2:12" hidden="1" x14ac:dyDescent="0.25">
      <c r="B233" t="s">
        <v>873</v>
      </c>
      <c r="C233">
        <v>0</v>
      </c>
      <c r="D233" t="s">
        <v>841</v>
      </c>
      <c r="E233">
        <f t="shared" si="16"/>
        <v>340217</v>
      </c>
      <c r="F233" s="38" t="s">
        <v>678</v>
      </c>
      <c r="G233" s="37"/>
      <c r="H233" s="37">
        <v>7498.69</v>
      </c>
      <c r="I233" s="41">
        <f t="shared" si="13"/>
        <v>-7498.69</v>
      </c>
      <c r="J233">
        <f>+_xlfn.XLOOKUP(E233,[1]BDV!$F:$F,[1]BDV!$AC:$AC)</f>
        <v>-6210.96</v>
      </c>
      <c r="K233" s="14">
        <f t="shared" si="14"/>
        <v>-8281.2800000000007</v>
      </c>
      <c r="L233" s="18">
        <f t="shared" si="15"/>
        <v>-782.59000000000106</v>
      </c>
    </row>
    <row r="234" spans="2:12" hidden="1" x14ac:dyDescent="0.25">
      <c r="B234" t="s">
        <v>873</v>
      </c>
      <c r="C234">
        <v>0</v>
      </c>
      <c r="D234" t="s">
        <v>832</v>
      </c>
      <c r="E234">
        <f t="shared" si="16"/>
        <v>360201</v>
      </c>
      <c r="F234" s="38" t="s">
        <v>679</v>
      </c>
      <c r="G234" s="37">
        <v>314967.42</v>
      </c>
      <c r="H234" s="37"/>
      <c r="I234" s="41">
        <f t="shared" si="13"/>
        <v>314967.42</v>
      </c>
      <c r="J234">
        <f>+_xlfn.XLOOKUP(E234,[1]BDV!$F:$F,[1]BDV!$AC:$AC)</f>
        <v>292751.39</v>
      </c>
      <c r="K234" s="14">
        <f t="shared" si="14"/>
        <v>390335.1866666667</v>
      </c>
      <c r="L234" s="18">
        <f t="shared" si="15"/>
        <v>75367.766666666721</v>
      </c>
    </row>
    <row r="235" spans="2:12" hidden="1" x14ac:dyDescent="0.25">
      <c r="B235" t="s">
        <v>873</v>
      </c>
      <c r="C235">
        <v>0</v>
      </c>
      <c r="D235" t="s">
        <v>841</v>
      </c>
      <c r="E235">
        <f t="shared" si="16"/>
        <v>360203</v>
      </c>
      <c r="F235" s="38" t="s">
        <v>680</v>
      </c>
      <c r="G235" s="37"/>
      <c r="H235" s="37">
        <v>22386.38</v>
      </c>
      <c r="I235" s="41">
        <f t="shared" si="13"/>
        <v>-22386.38</v>
      </c>
      <c r="J235">
        <f>+_xlfn.XLOOKUP(E235,[1]BDV!$F:$F,[1]BDV!$AC:$AC)</f>
        <v>-22386.38</v>
      </c>
      <c r="K235" s="14">
        <f t="shared" si="14"/>
        <v>-29848.506666666668</v>
      </c>
      <c r="L235" s="18">
        <f t="shared" si="15"/>
        <v>-7462.126666666667</v>
      </c>
    </row>
    <row r="236" spans="2:12" x14ac:dyDescent="0.25">
      <c r="B236" t="s">
        <v>874</v>
      </c>
      <c r="C236" t="s">
        <v>864</v>
      </c>
      <c r="D236" t="s">
        <v>851</v>
      </c>
      <c r="E236">
        <f t="shared" si="16"/>
        <v>620201</v>
      </c>
      <c r="F236" s="38" t="s">
        <v>681</v>
      </c>
      <c r="G236" s="37"/>
      <c r="H236" s="37">
        <v>36911193.549999997</v>
      </c>
      <c r="I236" s="41">
        <f t="shared" si="13"/>
        <v>-36911193.549999997</v>
      </c>
      <c r="J236">
        <f>+_xlfn.XLOOKUP(E236,[1]BDV!$F:$F,[1]BDV!$AC:$AC)</f>
        <v>0</v>
      </c>
      <c r="K236" s="14">
        <f t="shared" si="14"/>
        <v>0</v>
      </c>
      <c r="L236" s="18">
        <f t="shared" si="15"/>
        <v>36911193.549999997</v>
      </c>
    </row>
    <row r="237" spans="2:12" x14ac:dyDescent="0.25">
      <c r="B237" t="s">
        <v>874</v>
      </c>
      <c r="C237" t="s">
        <v>864</v>
      </c>
      <c r="D237" t="s">
        <v>851</v>
      </c>
      <c r="E237">
        <f t="shared" si="16"/>
        <v>620203</v>
      </c>
      <c r="F237" s="38" t="s">
        <v>682</v>
      </c>
      <c r="G237" s="37"/>
      <c r="H237" s="37">
        <v>789276.15</v>
      </c>
      <c r="I237" s="41">
        <f t="shared" si="13"/>
        <v>-789276.15</v>
      </c>
      <c r="J237">
        <f>+_xlfn.XLOOKUP(E237,[1]BDV!$F:$F,[1]BDV!$AC:$AC)</f>
        <v>-648033.57999999996</v>
      </c>
      <c r="K237" s="14">
        <f t="shared" si="14"/>
        <v>-864044.77333333332</v>
      </c>
      <c r="L237" s="18">
        <f t="shared" si="15"/>
        <v>-74768.623333333293</v>
      </c>
    </row>
    <row r="238" spans="2:12" x14ac:dyDescent="0.25">
      <c r="B238" t="s">
        <v>874</v>
      </c>
      <c r="C238" t="s">
        <v>863</v>
      </c>
      <c r="D238" t="s">
        <v>852</v>
      </c>
      <c r="E238">
        <f t="shared" si="16"/>
        <v>640201</v>
      </c>
      <c r="F238" s="38" t="s">
        <v>683</v>
      </c>
      <c r="G238" s="37"/>
      <c r="H238" s="37">
        <v>2824723.56</v>
      </c>
      <c r="I238" s="41">
        <f t="shared" si="13"/>
        <v>-2824723.56</v>
      </c>
      <c r="J238">
        <f>+_xlfn.XLOOKUP(E238,[1]BDV!$F:$F,[1]BDV!$AC:$AC)</f>
        <v>-2126354.77</v>
      </c>
      <c r="K238" s="14">
        <f t="shared" si="14"/>
        <v>-2835139.6933333334</v>
      </c>
      <c r="L238" s="18">
        <f t="shared" si="15"/>
        <v>-10416.133333333302</v>
      </c>
    </row>
    <row r="239" spans="2:12" x14ac:dyDescent="0.25">
      <c r="B239" t="s">
        <v>874</v>
      </c>
      <c r="C239" t="s">
        <v>863</v>
      </c>
      <c r="D239" t="s">
        <v>837</v>
      </c>
      <c r="E239">
        <f t="shared" si="16"/>
        <v>660201</v>
      </c>
      <c r="F239" s="38" t="s">
        <v>684</v>
      </c>
      <c r="G239" s="37"/>
      <c r="H239" s="37">
        <v>7206.23</v>
      </c>
      <c r="I239" s="41">
        <f t="shared" si="13"/>
        <v>-7206.23</v>
      </c>
      <c r="J239">
        <f>+_xlfn.XLOOKUP(E239,[1]BDV!$F:$F,[1]BDV!$AC:$AC)</f>
        <v>-5231.37</v>
      </c>
      <c r="K239" s="14">
        <f t="shared" si="14"/>
        <v>-6975.16</v>
      </c>
      <c r="L239" s="18">
        <f t="shared" si="15"/>
        <v>231.06999999999971</v>
      </c>
    </row>
    <row r="240" spans="2:12" x14ac:dyDescent="0.25">
      <c r="B240" t="s">
        <v>874</v>
      </c>
      <c r="C240" t="s">
        <v>863</v>
      </c>
      <c r="D240" t="s">
        <v>837</v>
      </c>
      <c r="E240">
        <f t="shared" si="16"/>
        <v>660203</v>
      </c>
      <c r="F240" s="38" t="s">
        <v>685</v>
      </c>
      <c r="G240" s="37"/>
      <c r="H240" s="37">
        <v>9498.5</v>
      </c>
      <c r="I240" s="41">
        <f t="shared" si="13"/>
        <v>-9498.5</v>
      </c>
      <c r="J240">
        <f>+_xlfn.XLOOKUP(E240,[1]BDV!$F:$F,[1]BDV!$AC:$AC)</f>
        <v>-9498.5</v>
      </c>
      <c r="K240" s="14">
        <f t="shared" si="14"/>
        <v>-12664.666666666666</v>
      </c>
      <c r="L240" s="18">
        <f t="shared" si="15"/>
        <v>-3166.1666666666661</v>
      </c>
    </row>
    <row r="241" spans="2:12" x14ac:dyDescent="0.25">
      <c r="B241" t="s">
        <v>874</v>
      </c>
      <c r="C241" t="s">
        <v>863</v>
      </c>
      <c r="D241" t="s">
        <v>837</v>
      </c>
      <c r="E241">
        <f t="shared" si="16"/>
        <v>660403</v>
      </c>
      <c r="F241" s="38" t="s">
        <v>686</v>
      </c>
      <c r="G241" s="37"/>
      <c r="H241" s="37">
        <v>3152.3</v>
      </c>
      <c r="I241" s="41">
        <f t="shared" si="13"/>
        <v>-3152.3</v>
      </c>
      <c r="J241">
        <f>+_xlfn.XLOOKUP(E241,[1]BDV!$F:$F,[1]BDV!$AC:$AC)</f>
        <v>0</v>
      </c>
      <c r="K241" s="14">
        <f t="shared" si="14"/>
        <v>0</v>
      </c>
      <c r="L241" s="18">
        <f t="shared" si="15"/>
        <v>3152.3</v>
      </c>
    </row>
    <row r="242" spans="2:12" x14ac:dyDescent="0.25">
      <c r="B242" t="s">
        <v>874</v>
      </c>
      <c r="C242" t="s">
        <v>863</v>
      </c>
      <c r="D242" t="s">
        <v>853</v>
      </c>
      <c r="E242">
        <f t="shared" si="16"/>
        <v>660407</v>
      </c>
      <c r="F242" s="38" t="s">
        <v>687</v>
      </c>
      <c r="G242" s="37"/>
      <c r="H242" s="37">
        <v>23438.42</v>
      </c>
      <c r="I242" s="41">
        <f t="shared" si="13"/>
        <v>-23438.42</v>
      </c>
      <c r="J242">
        <f>+_xlfn.XLOOKUP(E242,[1]BDV!$F:$F,[1]BDV!$AC:$AC)</f>
        <v>-13766.53</v>
      </c>
      <c r="K242" s="14">
        <f t="shared" si="14"/>
        <v>-18355.373333333333</v>
      </c>
      <c r="L242" s="18">
        <f t="shared" si="15"/>
        <v>5083.0466666666653</v>
      </c>
    </row>
    <row r="243" spans="2:12" x14ac:dyDescent="0.25">
      <c r="B243" t="s">
        <v>874</v>
      </c>
      <c r="C243" t="s">
        <v>863</v>
      </c>
      <c r="D243" t="s">
        <v>853</v>
      </c>
      <c r="E243">
        <f t="shared" si="16"/>
        <v>660409</v>
      </c>
      <c r="F243" s="38" t="s">
        <v>688</v>
      </c>
      <c r="G243" s="37"/>
      <c r="H243" s="37">
        <v>1691.99</v>
      </c>
      <c r="I243" s="41">
        <f t="shared" si="13"/>
        <v>-1691.99</v>
      </c>
      <c r="J243">
        <f>+_xlfn.XLOOKUP(E243,[1]BDV!$F:$F,[1]BDV!$AC:$AC)</f>
        <v>-1375.4</v>
      </c>
      <c r="K243" s="14">
        <f t="shared" si="14"/>
        <v>-1833.8666666666668</v>
      </c>
      <c r="L243" s="18">
        <f t="shared" si="15"/>
        <v>-141.87666666666678</v>
      </c>
    </row>
    <row r="244" spans="2:12" x14ac:dyDescent="0.25">
      <c r="B244" t="s">
        <v>874</v>
      </c>
      <c r="C244" t="s">
        <v>863</v>
      </c>
      <c r="D244" t="s">
        <v>837</v>
      </c>
      <c r="E244">
        <f t="shared" ref="E244:E283" si="17">+_xlfn.NUMBERVALUE(LEFT(F244,6))</f>
        <v>660413</v>
      </c>
      <c r="F244" s="38" t="s">
        <v>689</v>
      </c>
      <c r="G244" s="37"/>
      <c r="H244" s="37">
        <v>18677.46</v>
      </c>
      <c r="I244" s="41">
        <f t="shared" si="13"/>
        <v>-18677.46</v>
      </c>
      <c r="J244">
        <f>+_xlfn.XLOOKUP(E244,[1]BDV!$F:$F,[1]BDV!$AC:$AC)</f>
        <v>-13343.37</v>
      </c>
      <c r="K244" s="14">
        <f t="shared" si="14"/>
        <v>-17791.16</v>
      </c>
      <c r="L244" s="18">
        <f t="shared" si="15"/>
        <v>886.29999999999927</v>
      </c>
    </row>
    <row r="245" spans="2:12" x14ac:dyDescent="0.25">
      <c r="B245" t="s">
        <v>874</v>
      </c>
      <c r="C245" t="s">
        <v>865</v>
      </c>
      <c r="D245" t="s">
        <v>854</v>
      </c>
      <c r="E245">
        <f t="shared" si="17"/>
        <v>680201</v>
      </c>
      <c r="F245" s="38" t="s">
        <v>690</v>
      </c>
      <c r="G245" s="37">
        <v>7647933.29</v>
      </c>
      <c r="H245" s="37"/>
      <c r="I245" s="41">
        <f t="shared" si="13"/>
        <v>7647933.29</v>
      </c>
      <c r="J245">
        <f>+_xlfn.XLOOKUP(E245,[1]BDV!$F:$F,[1]BDV!$AC:$AC)</f>
        <v>5934074.3700000001</v>
      </c>
      <c r="K245" s="14">
        <f t="shared" si="14"/>
        <v>7912099.1600000001</v>
      </c>
      <c r="L245" s="18">
        <f t="shared" si="15"/>
        <v>264165.87000000011</v>
      </c>
    </row>
    <row r="246" spans="2:12" x14ac:dyDescent="0.25">
      <c r="B246" t="s">
        <v>874</v>
      </c>
      <c r="C246" t="s">
        <v>863</v>
      </c>
      <c r="D246" t="s">
        <v>852</v>
      </c>
      <c r="E246">
        <f t="shared" si="17"/>
        <v>680209</v>
      </c>
      <c r="F246" s="38" t="s">
        <v>691</v>
      </c>
      <c r="G246" s="37"/>
      <c r="H246" s="37">
        <v>2001545.22</v>
      </c>
      <c r="I246" s="41">
        <f t="shared" si="13"/>
        <v>-2001545.22</v>
      </c>
      <c r="J246">
        <f>+_xlfn.XLOOKUP(E246,[1]BDV!$F:$F,[1]BDV!$AC:$AC)</f>
        <v>-1767627.08</v>
      </c>
      <c r="K246" s="14">
        <f t="shared" si="14"/>
        <v>-2356836.1066666669</v>
      </c>
      <c r="L246" s="18">
        <f t="shared" si="15"/>
        <v>-355290.88666666695</v>
      </c>
    </row>
    <row r="247" spans="2:12" x14ac:dyDescent="0.25">
      <c r="B247" t="s">
        <v>874</v>
      </c>
      <c r="C247" t="s">
        <v>865</v>
      </c>
      <c r="D247" t="s">
        <v>855</v>
      </c>
      <c r="E247">
        <f t="shared" si="17"/>
        <v>680401</v>
      </c>
      <c r="F247" s="38" t="s">
        <v>692</v>
      </c>
      <c r="G247" s="37">
        <v>81.89</v>
      </c>
      <c r="H247" s="37"/>
      <c r="I247" s="41">
        <f t="shared" si="13"/>
        <v>81.89</v>
      </c>
      <c r="J247">
        <f>+_xlfn.XLOOKUP(E247,[1]BDV!$F:$F,[1]BDV!$AC:$AC)</f>
        <v>81.89</v>
      </c>
      <c r="K247" s="14">
        <f t="shared" si="14"/>
        <v>109.18666666666667</v>
      </c>
      <c r="L247" s="18">
        <f t="shared" si="15"/>
        <v>27.296666666666667</v>
      </c>
    </row>
    <row r="248" spans="2:12" x14ac:dyDescent="0.25">
      <c r="B248" t="s">
        <v>874</v>
      </c>
      <c r="C248" t="s">
        <v>865</v>
      </c>
      <c r="D248" t="s">
        <v>855</v>
      </c>
      <c r="E248">
        <f t="shared" si="17"/>
        <v>680601</v>
      </c>
      <c r="F248" s="38" t="s">
        <v>693</v>
      </c>
      <c r="G248" s="37">
        <v>79349.64</v>
      </c>
      <c r="H248" s="37"/>
      <c r="I248" s="41">
        <f t="shared" si="13"/>
        <v>79349.64</v>
      </c>
      <c r="J248">
        <f>+_xlfn.XLOOKUP(E248,[1]BDV!$F:$F,[1]BDV!$AC:$AC)</f>
        <v>61385.36</v>
      </c>
      <c r="K248" s="14">
        <f t="shared" si="14"/>
        <v>81847.146666666667</v>
      </c>
      <c r="L248" s="18">
        <f t="shared" si="15"/>
        <v>2497.506666666668</v>
      </c>
    </row>
    <row r="249" spans="2:12" x14ac:dyDescent="0.25">
      <c r="B249" t="s">
        <v>874</v>
      </c>
      <c r="C249" t="s">
        <v>865</v>
      </c>
      <c r="D249" t="s">
        <v>855</v>
      </c>
      <c r="E249">
        <f t="shared" si="17"/>
        <v>680603</v>
      </c>
      <c r="F249" s="38" t="s">
        <v>694</v>
      </c>
      <c r="G249" s="37">
        <v>173653.03</v>
      </c>
      <c r="H249" s="37"/>
      <c r="I249" s="41">
        <f t="shared" si="13"/>
        <v>173653.03</v>
      </c>
      <c r="J249">
        <f>+_xlfn.XLOOKUP(E249,[1]BDV!$F:$F,[1]BDV!$AC:$AC)</f>
        <v>116700.52</v>
      </c>
      <c r="K249" s="14">
        <f t="shared" si="14"/>
        <v>155600.69333333333</v>
      </c>
      <c r="L249" s="18">
        <f t="shared" si="15"/>
        <v>-18052.33666666667</v>
      </c>
    </row>
    <row r="250" spans="2:12" x14ac:dyDescent="0.25">
      <c r="B250" t="s">
        <v>874</v>
      </c>
      <c r="C250" t="s">
        <v>865</v>
      </c>
      <c r="D250" t="s">
        <v>854</v>
      </c>
      <c r="E250">
        <f t="shared" si="17"/>
        <v>700201</v>
      </c>
      <c r="F250" s="38" t="s">
        <v>695</v>
      </c>
      <c r="G250" s="37">
        <v>13306.66</v>
      </c>
      <c r="H250" s="37"/>
      <c r="I250" s="41">
        <f t="shared" si="13"/>
        <v>13306.66</v>
      </c>
      <c r="J250">
        <f>+_xlfn.XLOOKUP(E250,[1]BDV!$F:$F,[1]BDV!$AC:$AC)</f>
        <v>0</v>
      </c>
      <c r="K250" s="14">
        <f t="shared" si="14"/>
        <v>0</v>
      </c>
      <c r="L250" s="18">
        <f t="shared" si="15"/>
        <v>-13306.66</v>
      </c>
    </row>
    <row r="251" spans="2:12" x14ac:dyDescent="0.25">
      <c r="B251" t="s">
        <v>874</v>
      </c>
      <c r="C251" t="s">
        <v>865</v>
      </c>
      <c r="D251" t="s">
        <v>854</v>
      </c>
      <c r="E251">
        <f t="shared" si="17"/>
        <v>700203</v>
      </c>
      <c r="F251" s="38" t="s">
        <v>696</v>
      </c>
      <c r="G251" s="37">
        <v>11105304.789999999</v>
      </c>
      <c r="H251" s="37"/>
      <c r="I251" s="41">
        <f t="shared" si="13"/>
        <v>11105304.789999999</v>
      </c>
      <c r="J251">
        <f>+_xlfn.XLOOKUP(E251,[1]BDV!$F:$F,[1]BDV!$AC:$AC)</f>
        <v>8415918.3300000001</v>
      </c>
      <c r="K251" s="14">
        <f t="shared" si="14"/>
        <v>11221224.439999999</v>
      </c>
      <c r="L251" s="18">
        <f t="shared" si="15"/>
        <v>115919.65000000037</v>
      </c>
    </row>
    <row r="252" spans="2:12" x14ac:dyDescent="0.25">
      <c r="B252" t="s">
        <v>874</v>
      </c>
      <c r="C252" t="s">
        <v>865</v>
      </c>
      <c r="D252" t="s">
        <v>854</v>
      </c>
      <c r="E252">
        <f t="shared" si="17"/>
        <v>700205</v>
      </c>
      <c r="F252" s="38" t="s">
        <v>697</v>
      </c>
      <c r="G252" s="37">
        <v>9061.2000000000007</v>
      </c>
      <c r="H252" s="37"/>
      <c r="I252" s="41">
        <f t="shared" si="13"/>
        <v>9061.2000000000007</v>
      </c>
      <c r="J252">
        <f>+_xlfn.XLOOKUP(E252,[1]BDV!$F:$F,[1]BDV!$AC:$AC)</f>
        <v>2671.4</v>
      </c>
      <c r="K252" s="14">
        <f t="shared" si="14"/>
        <v>3561.8666666666668</v>
      </c>
      <c r="L252" s="18">
        <f t="shared" si="15"/>
        <v>-5499.3333333333339</v>
      </c>
    </row>
    <row r="253" spans="2:12" x14ac:dyDescent="0.25">
      <c r="B253" t="s">
        <v>874</v>
      </c>
      <c r="C253" t="s">
        <v>865</v>
      </c>
      <c r="D253" t="s">
        <v>854</v>
      </c>
      <c r="E253">
        <f t="shared" si="17"/>
        <v>700207</v>
      </c>
      <c r="F253" s="38" t="s">
        <v>698</v>
      </c>
      <c r="G253" s="37">
        <v>8491.2900000000009</v>
      </c>
      <c r="H253" s="37"/>
      <c r="I253" s="41">
        <f t="shared" si="13"/>
        <v>8491.2900000000009</v>
      </c>
      <c r="J253">
        <f>+_xlfn.XLOOKUP(E253,[1]BDV!$F:$F,[1]BDV!$AC:$AC)</f>
        <v>4312.1000000000004</v>
      </c>
      <c r="K253" s="14">
        <f t="shared" si="14"/>
        <v>5749.4666666666672</v>
      </c>
      <c r="L253" s="18">
        <f t="shared" si="15"/>
        <v>-2741.8233333333337</v>
      </c>
    </row>
    <row r="254" spans="2:12" x14ac:dyDescent="0.25">
      <c r="B254" t="s">
        <v>874</v>
      </c>
      <c r="C254" t="s">
        <v>865</v>
      </c>
      <c r="D254" t="s">
        <v>855</v>
      </c>
      <c r="E254">
        <f t="shared" si="17"/>
        <v>700209</v>
      </c>
      <c r="F254" s="38" t="s">
        <v>699</v>
      </c>
      <c r="G254" s="37">
        <v>58945.79</v>
      </c>
      <c r="H254" s="37"/>
      <c r="I254" s="41">
        <f t="shared" si="13"/>
        <v>58945.79</v>
      </c>
      <c r="J254">
        <f>+_xlfn.XLOOKUP(E254,[1]BDV!$F:$F,[1]BDV!$AC:$AC)</f>
        <v>48624.7</v>
      </c>
      <c r="K254" s="14">
        <f t="shared" si="14"/>
        <v>64832.933333333327</v>
      </c>
      <c r="L254" s="18">
        <f t="shared" si="15"/>
        <v>5887.1433333333262</v>
      </c>
    </row>
    <row r="255" spans="2:12" x14ac:dyDescent="0.25">
      <c r="B255" t="s">
        <v>874</v>
      </c>
      <c r="C255" t="s">
        <v>865</v>
      </c>
      <c r="D255" t="s">
        <v>855</v>
      </c>
      <c r="E255">
        <f t="shared" si="17"/>
        <v>700211</v>
      </c>
      <c r="F255" s="38" t="s">
        <v>700</v>
      </c>
      <c r="G255" s="37">
        <v>5279.23</v>
      </c>
      <c r="H255" s="37"/>
      <c r="I255" s="41">
        <f t="shared" si="13"/>
        <v>5279.23</v>
      </c>
      <c r="J255">
        <f>+_xlfn.XLOOKUP(E255,[1]BDV!$F:$F,[1]BDV!$AC:$AC)</f>
        <v>4874.22</v>
      </c>
      <c r="K255" s="14">
        <f t="shared" si="14"/>
        <v>6498.96</v>
      </c>
      <c r="L255" s="18">
        <f t="shared" si="15"/>
        <v>1219.7300000000005</v>
      </c>
    </row>
    <row r="256" spans="2:12" x14ac:dyDescent="0.25">
      <c r="B256" t="s">
        <v>874</v>
      </c>
      <c r="C256" t="s">
        <v>865</v>
      </c>
      <c r="D256" t="s">
        <v>855</v>
      </c>
      <c r="E256">
        <f t="shared" si="17"/>
        <v>700213</v>
      </c>
      <c r="F256" s="38" t="s">
        <v>701</v>
      </c>
      <c r="G256" s="37">
        <v>77150.23</v>
      </c>
      <c r="H256" s="37"/>
      <c r="I256" s="41">
        <f t="shared" si="13"/>
        <v>77150.23</v>
      </c>
      <c r="J256">
        <f>+_xlfn.XLOOKUP(E256,[1]BDV!$F:$F,[1]BDV!$AC:$AC)</f>
        <v>77150.23</v>
      </c>
      <c r="K256" s="14">
        <f t="shared" si="14"/>
        <v>102866.97333333333</v>
      </c>
      <c r="L256" s="18">
        <f t="shared" si="15"/>
        <v>25716.743333333332</v>
      </c>
    </row>
    <row r="257" spans="2:12" x14ac:dyDescent="0.25">
      <c r="B257" t="s">
        <v>874</v>
      </c>
      <c r="C257" t="s">
        <v>863</v>
      </c>
      <c r="D257" t="s">
        <v>852</v>
      </c>
      <c r="E257">
        <f t="shared" si="17"/>
        <v>700217</v>
      </c>
      <c r="F257" s="38" t="s">
        <v>702</v>
      </c>
      <c r="G257" s="37"/>
      <c r="H257" s="37">
        <v>5877412.6799999997</v>
      </c>
      <c r="I257" s="41">
        <f t="shared" si="13"/>
        <v>-5877412.6799999997</v>
      </c>
      <c r="J257">
        <f>+_xlfn.XLOOKUP(E257,[1]BDV!$F:$F,[1]BDV!$AC:$AC)</f>
        <v>-4414506.26</v>
      </c>
      <c r="K257" s="14">
        <f t="shared" si="14"/>
        <v>-5886008.3466666667</v>
      </c>
      <c r="L257" s="18">
        <f t="shared" si="15"/>
        <v>-8595.6666666669771</v>
      </c>
    </row>
    <row r="258" spans="2:12" x14ac:dyDescent="0.25">
      <c r="B258" t="s">
        <v>874</v>
      </c>
      <c r="C258" t="s">
        <v>865</v>
      </c>
      <c r="D258" t="s">
        <v>855</v>
      </c>
      <c r="E258">
        <f t="shared" si="17"/>
        <v>700401</v>
      </c>
      <c r="F258" s="38" t="s">
        <v>703</v>
      </c>
      <c r="G258" s="37">
        <v>25298.76</v>
      </c>
      <c r="H258" s="37"/>
      <c r="I258" s="41">
        <f t="shared" si="13"/>
        <v>25298.76</v>
      </c>
      <c r="J258">
        <f>+_xlfn.XLOOKUP(E258,[1]BDV!$F:$F,[1]BDV!$AC:$AC)</f>
        <v>0</v>
      </c>
      <c r="K258" s="14">
        <f t="shared" si="14"/>
        <v>0</v>
      </c>
      <c r="L258" s="18">
        <f t="shared" si="15"/>
        <v>-25298.76</v>
      </c>
    </row>
    <row r="259" spans="2:12" x14ac:dyDescent="0.25">
      <c r="B259" t="s">
        <v>874</v>
      </c>
      <c r="C259" t="s">
        <v>865</v>
      </c>
      <c r="D259" t="s">
        <v>856</v>
      </c>
      <c r="E259">
        <f t="shared" si="17"/>
        <v>700403</v>
      </c>
      <c r="F259" s="38" t="s">
        <v>704</v>
      </c>
      <c r="G259" s="37">
        <v>242668.54</v>
      </c>
      <c r="H259" s="37"/>
      <c r="I259" s="41">
        <f t="shared" si="13"/>
        <v>242668.54</v>
      </c>
      <c r="J259">
        <f>+_xlfn.XLOOKUP(E259,[1]BDV!$F:$F,[1]BDV!$AC:$AC)</f>
        <v>184694.93</v>
      </c>
      <c r="K259" s="14">
        <f t="shared" si="14"/>
        <v>246259.90666666665</v>
      </c>
      <c r="L259" s="18">
        <f t="shared" si="15"/>
        <v>3591.3666666666395</v>
      </c>
    </row>
    <row r="260" spans="2:12" x14ac:dyDescent="0.25">
      <c r="B260" t="s">
        <v>874</v>
      </c>
      <c r="C260" t="s">
        <v>865</v>
      </c>
      <c r="D260" t="s">
        <v>855</v>
      </c>
      <c r="E260">
        <f t="shared" si="17"/>
        <v>700405</v>
      </c>
      <c r="F260" s="38" t="s">
        <v>705</v>
      </c>
      <c r="G260" s="37">
        <v>568887.39</v>
      </c>
      <c r="H260" s="37"/>
      <c r="I260" s="41">
        <f t="shared" si="13"/>
        <v>568887.39</v>
      </c>
      <c r="J260">
        <f>+_xlfn.XLOOKUP(E260,[1]BDV!$F:$F,[1]BDV!$AC:$AC)</f>
        <v>334011.37</v>
      </c>
      <c r="K260" s="14">
        <f t="shared" si="14"/>
        <v>445348.49333333335</v>
      </c>
      <c r="L260" s="18">
        <f t="shared" si="15"/>
        <v>-123538.89666666667</v>
      </c>
    </row>
    <row r="261" spans="2:12" x14ac:dyDescent="0.25">
      <c r="B261" t="s">
        <v>874</v>
      </c>
      <c r="C261" t="s">
        <v>865</v>
      </c>
      <c r="D261" t="s">
        <v>855</v>
      </c>
      <c r="E261">
        <f t="shared" si="17"/>
        <v>700407</v>
      </c>
      <c r="F261" s="38" t="s">
        <v>706</v>
      </c>
      <c r="G261" s="37">
        <v>1078802.76</v>
      </c>
      <c r="H261" s="37"/>
      <c r="I261" s="41">
        <f t="shared" si="13"/>
        <v>1078802.76</v>
      </c>
      <c r="J261">
        <f>+_xlfn.XLOOKUP(E261,[1]BDV!$F:$F,[1]BDV!$AC:$AC)</f>
        <v>887136.03</v>
      </c>
      <c r="K261" s="14">
        <f t="shared" si="14"/>
        <v>1182848.04</v>
      </c>
      <c r="L261" s="18">
        <f t="shared" si="15"/>
        <v>104045.28000000003</v>
      </c>
    </row>
    <row r="262" spans="2:12" x14ac:dyDescent="0.25">
      <c r="B262" t="s">
        <v>874</v>
      </c>
      <c r="C262" t="s">
        <v>865</v>
      </c>
      <c r="D262" t="s">
        <v>855</v>
      </c>
      <c r="E262">
        <f t="shared" si="17"/>
        <v>700409</v>
      </c>
      <c r="F262" s="38" t="s">
        <v>707</v>
      </c>
      <c r="G262" s="37">
        <v>403472.76</v>
      </c>
      <c r="H262" s="37"/>
      <c r="I262" s="41">
        <f t="shared" ref="I262:I325" si="18">+G262-H262</f>
        <v>403472.76</v>
      </c>
      <c r="J262">
        <f>+_xlfn.XLOOKUP(E262,[1]BDV!$F:$F,[1]BDV!$AC:$AC)</f>
        <v>351421.82</v>
      </c>
      <c r="K262" s="14">
        <f t="shared" ref="K262:K325" si="19">+J262/6*8</f>
        <v>468562.4266666667</v>
      </c>
      <c r="L262" s="18">
        <f t="shared" ref="L262:L325" si="20">+K262-I262</f>
        <v>65089.666666666686</v>
      </c>
    </row>
    <row r="263" spans="2:12" x14ac:dyDescent="0.25">
      <c r="B263" t="s">
        <v>874</v>
      </c>
      <c r="C263" t="s">
        <v>865</v>
      </c>
      <c r="D263" t="s">
        <v>856</v>
      </c>
      <c r="E263">
        <f t="shared" si="17"/>
        <v>700411</v>
      </c>
      <c r="F263" s="38" t="s">
        <v>708</v>
      </c>
      <c r="G263" s="37">
        <v>39190.76</v>
      </c>
      <c r="H263" s="37"/>
      <c r="I263" s="41">
        <f t="shared" si="18"/>
        <v>39190.76</v>
      </c>
      <c r="J263">
        <f>+_xlfn.XLOOKUP(E263,[1]BDV!$F:$F,[1]BDV!$AC:$AC)</f>
        <v>29914.92</v>
      </c>
      <c r="K263" s="14">
        <f t="shared" si="19"/>
        <v>39886.559999999998</v>
      </c>
      <c r="L263" s="18">
        <f t="shared" si="20"/>
        <v>695.79999999999563</v>
      </c>
    </row>
    <row r="264" spans="2:12" x14ac:dyDescent="0.25">
      <c r="B264" t="s">
        <v>874</v>
      </c>
      <c r="C264" t="s">
        <v>865</v>
      </c>
      <c r="D264" t="s">
        <v>854</v>
      </c>
      <c r="E264">
        <f t="shared" si="17"/>
        <v>700601</v>
      </c>
      <c r="F264" s="38" t="s">
        <v>709</v>
      </c>
      <c r="G264" s="37">
        <v>9600242.3800000008</v>
      </c>
      <c r="H264" s="37"/>
      <c r="I264" s="41">
        <f t="shared" si="18"/>
        <v>9600242.3800000008</v>
      </c>
      <c r="J264">
        <f>+_xlfn.XLOOKUP(E264,[1]BDV!$F:$F,[1]BDV!$AC:$AC)</f>
        <v>6897386.9900000002</v>
      </c>
      <c r="K264" s="14">
        <f t="shared" si="19"/>
        <v>9196515.9866666663</v>
      </c>
      <c r="L264" s="18">
        <f t="shared" si="20"/>
        <v>-403726.39333333448</v>
      </c>
    </row>
    <row r="265" spans="2:12" x14ac:dyDescent="0.25">
      <c r="B265" t="s">
        <v>874</v>
      </c>
      <c r="C265" t="s">
        <v>865</v>
      </c>
      <c r="D265" t="s">
        <v>855</v>
      </c>
      <c r="E265">
        <f t="shared" si="17"/>
        <v>700603</v>
      </c>
      <c r="F265" s="38" t="s">
        <v>710</v>
      </c>
      <c r="G265" s="37">
        <v>23936.02</v>
      </c>
      <c r="H265" s="37"/>
      <c r="I265" s="41">
        <f t="shared" si="18"/>
        <v>23936.02</v>
      </c>
      <c r="J265">
        <f>+_xlfn.XLOOKUP(E265,[1]BDV!$F:$F,[1]BDV!$AC:$AC)</f>
        <v>11700.18</v>
      </c>
      <c r="K265" s="14">
        <f t="shared" si="19"/>
        <v>15600.24</v>
      </c>
      <c r="L265" s="18">
        <f t="shared" si="20"/>
        <v>-8335.7800000000007</v>
      </c>
    </row>
    <row r="266" spans="2:12" x14ac:dyDescent="0.25">
      <c r="B266" t="s">
        <v>874</v>
      </c>
      <c r="C266" t="s">
        <v>865</v>
      </c>
      <c r="D266" t="s">
        <v>855</v>
      </c>
      <c r="E266">
        <f t="shared" si="17"/>
        <v>700801</v>
      </c>
      <c r="F266" s="38" t="s">
        <v>711</v>
      </c>
      <c r="G266" s="37">
        <v>80784.009999999995</v>
      </c>
      <c r="H266" s="37"/>
      <c r="I266" s="41">
        <f t="shared" si="18"/>
        <v>80784.009999999995</v>
      </c>
      <c r="J266">
        <f>+_xlfn.XLOOKUP(E266,[1]BDV!$F:$F,[1]BDV!$AC:$AC)</f>
        <v>68487.55</v>
      </c>
      <c r="K266" s="14">
        <f t="shared" si="19"/>
        <v>91316.733333333337</v>
      </c>
      <c r="L266" s="18">
        <f t="shared" si="20"/>
        <v>10532.723333333342</v>
      </c>
    </row>
    <row r="267" spans="2:12" x14ac:dyDescent="0.25">
      <c r="B267" t="s">
        <v>874</v>
      </c>
      <c r="C267" t="s">
        <v>865</v>
      </c>
      <c r="D267" t="s">
        <v>855</v>
      </c>
      <c r="E267">
        <f t="shared" si="17"/>
        <v>700803</v>
      </c>
      <c r="F267" s="38" t="s">
        <v>712</v>
      </c>
      <c r="G267" s="37">
        <v>12047.23</v>
      </c>
      <c r="H267" s="37"/>
      <c r="I267" s="41">
        <f t="shared" si="18"/>
        <v>12047.23</v>
      </c>
      <c r="J267">
        <f>+_xlfn.XLOOKUP(E267,[1]BDV!$F:$F,[1]BDV!$AC:$AC)</f>
        <v>6786.69</v>
      </c>
      <c r="K267" s="14">
        <f t="shared" si="19"/>
        <v>9048.92</v>
      </c>
      <c r="L267" s="18">
        <f t="shared" si="20"/>
        <v>-2998.3099999999995</v>
      </c>
    </row>
    <row r="268" spans="2:12" x14ac:dyDescent="0.25">
      <c r="B268" t="s">
        <v>874</v>
      </c>
      <c r="C268" t="s">
        <v>865</v>
      </c>
      <c r="D268" t="s">
        <v>855</v>
      </c>
      <c r="E268">
        <f t="shared" si="17"/>
        <v>700805</v>
      </c>
      <c r="F268" s="38" t="s">
        <v>713</v>
      </c>
      <c r="G268" s="37">
        <v>7274.19</v>
      </c>
      <c r="H268" s="37"/>
      <c r="I268" s="41">
        <f t="shared" si="18"/>
        <v>7274.19</v>
      </c>
      <c r="J268">
        <f>+_xlfn.XLOOKUP(E268,[1]BDV!$F:$F,[1]BDV!$AC:$AC)</f>
        <v>5525.93</v>
      </c>
      <c r="K268" s="14">
        <f t="shared" si="19"/>
        <v>7367.9066666666668</v>
      </c>
      <c r="L268" s="18">
        <f t="shared" si="20"/>
        <v>93.716666666667152</v>
      </c>
    </row>
    <row r="269" spans="2:12" x14ac:dyDescent="0.25">
      <c r="B269" t="s">
        <v>874</v>
      </c>
      <c r="C269" t="s">
        <v>865</v>
      </c>
      <c r="D269" t="s">
        <v>855</v>
      </c>
      <c r="E269">
        <f t="shared" si="17"/>
        <v>700807</v>
      </c>
      <c r="F269" s="38" t="s">
        <v>714</v>
      </c>
      <c r="G269" s="37">
        <v>31325.5</v>
      </c>
      <c r="H269" s="37"/>
      <c r="I269" s="41">
        <f t="shared" si="18"/>
        <v>31325.5</v>
      </c>
      <c r="J269">
        <f>+_xlfn.XLOOKUP(E269,[1]BDV!$F:$F,[1]BDV!$AC:$AC)</f>
        <v>30751.94</v>
      </c>
      <c r="K269" s="14">
        <f t="shared" si="19"/>
        <v>41002.586666666662</v>
      </c>
      <c r="L269" s="18">
        <f t="shared" si="20"/>
        <v>9677.0866666666625</v>
      </c>
    </row>
    <row r="270" spans="2:12" x14ac:dyDescent="0.25">
      <c r="B270" t="s">
        <v>874</v>
      </c>
      <c r="C270" t="s">
        <v>865</v>
      </c>
      <c r="D270" t="s">
        <v>855</v>
      </c>
      <c r="E270">
        <f t="shared" si="17"/>
        <v>700809</v>
      </c>
      <c r="F270" s="38" t="s">
        <v>715</v>
      </c>
      <c r="G270" s="37">
        <v>73216.83</v>
      </c>
      <c r="H270" s="37"/>
      <c r="I270" s="41">
        <f t="shared" si="18"/>
        <v>73216.83</v>
      </c>
      <c r="J270">
        <f>+_xlfn.XLOOKUP(E270,[1]BDV!$F:$F,[1]BDV!$AC:$AC)</f>
        <v>37706.81</v>
      </c>
      <c r="K270" s="14">
        <f t="shared" si="19"/>
        <v>50275.746666666666</v>
      </c>
      <c r="L270" s="18">
        <f t="shared" si="20"/>
        <v>-22941.083333333336</v>
      </c>
    </row>
    <row r="271" spans="2:12" x14ac:dyDescent="0.25">
      <c r="B271" t="s">
        <v>874</v>
      </c>
      <c r="C271" t="s">
        <v>865</v>
      </c>
      <c r="D271" t="s">
        <v>855</v>
      </c>
      <c r="E271">
        <f t="shared" si="17"/>
        <v>700811</v>
      </c>
      <c r="F271" s="38" t="s">
        <v>716</v>
      </c>
      <c r="G271" s="37">
        <v>69.900000000000006</v>
      </c>
      <c r="H271" s="37"/>
      <c r="I271" s="41">
        <f t="shared" si="18"/>
        <v>69.900000000000006</v>
      </c>
      <c r="J271">
        <f>+_xlfn.XLOOKUP(E271,[1]BDV!$F:$F,[1]BDV!$AC:$AC)</f>
        <v>0</v>
      </c>
      <c r="K271" s="14">
        <f t="shared" si="19"/>
        <v>0</v>
      </c>
      <c r="L271" s="18">
        <f t="shared" si="20"/>
        <v>-69.900000000000006</v>
      </c>
    </row>
    <row r="272" spans="2:12" x14ac:dyDescent="0.25">
      <c r="B272" t="s">
        <v>874</v>
      </c>
      <c r="C272" t="s">
        <v>865</v>
      </c>
      <c r="D272" t="s">
        <v>855</v>
      </c>
      <c r="E272">
        <f t="shared" si="17"/>
        <v>700813</v>
      </c>
      <c r="F272" s="38" t="s">
        <v>717</v>
      </c>
      <c r="G272" s="37">
        <v>35087.269999999997</v>
      </c>
      <c r="H272" s="37"/>
      <c r="I272" s="41">
        <f t="shared" si="18"/>
        <v>35087.269999999997</v>
      </c>
      <c r="J272">
        <f>+_xlfn.XLOOKUP(E272,[1]BDV!$F:$F,[1]BDV!$AC:$AC)</f>
        <v>23124.01</v>
      </c>
      <c r="K272" s="14">
        <f t="shared" si="19"/>
        <v>30832.013333333332</v>
      </c>
      <c r="L272" s="18">
        <f t="shared" si="20"/>
        <v>-4255.2566666666644</v>
      </c>
    </row>
    <row r="273" spans="2:12" x14ac:dyDescent="0.25">
      <c r="B273" t="s">
        <v>874</v>
      </c>
      <c r="C273" t="s">
        <v>865</v>
      </c>
      <c r="D273" t="s">
        <v>855</v>
      </c>
      <c r="E273">
        <f t="shared" si="17"/>
        <v>700815</v>
      </c>
      <c r="F273" s="38" t="s">
        <v>718</v>
      </c>
      <c r="G273" s="37">
        <v>119529.99</v>
      </c>
      <c r="H273" s="37"/>
      <c r="I273" s="41">
        <f t="shared" si="18"/>
        <v>119529.99</v>
      </c>
      <c r="J273">
        <f>+_xlfn.XLOOKUP(E273,[1]BDV!$F:$F,[1]BDV!$AC:$AC)</f>
        <v>93192.04</v>
      </c>
      <c r="K273" s="14">
        <f t="shared" si="19"/>
        <v>124256.05333333333</v>
      </c>
      <c r="L273" s="18">
        <f t="shared" si="20"/>
        <v>4726.0633333333244</v>
      </c>
    </row>
    <row r="274" spans="2:12" x14ac:dyDescent="0.25">
      <c r="B274" t="s">
        <v>874</v>
      </c>
      <c r="C274" t="s">
        <v>865</v>
      </c>
      <c r="D274" t="s">
        <v>855</v>
      </c>
      <c r="E274">
        <f t="shared" si="17"/>
        <v>700819</v>
      </c>
      <c r="F274" s="38" t="s">
        <v>719</v>
      </c>
      <c r="G274" s="37">
        <v>54388.6</v>
      </c>
      <c r="H274" s="37"/>
      <c r="I274" s="41">
        <f t="shared" si="18"/>
        <v>54388.6</v>
      </c>
      <c r="J274">
        <f>+_xlfn.XLOOKUP(E274,[1]BDV!$F:$F,[1]BDV!$AC:$AC)</f>
        <v>7191.24</v>
      </c>
      <c r="K274" s="14">
        <f t="shared" si="19"/>
        <v>9588.32</v>
      </c>
      <c r="L274" s="18">
        <f t="shared" si="20"/>
        <v>-44800.28</v>
      </c>
    </row>
    <row r="275" spans="2:12" x14ac:dyDescent="0.25">
      <c r="B275" t="s">
        <v>874</v>
      </c>
      <c r="C275" t="s">
        <v>865</v>
      </c>
      <c r="D275" t="s">
        <v>855</v>
      </c>
      <c r="E275">
        <f t="shared" si="17"/>
        <v>700821</v>
      </c>
      <c r="F275" s="38" t="s">
        <v>720</v>
      </c>
      <c r="G275" s="37">
        <v>9.52</v>
      </c>
      <c r="H275" s="37"/>
      <c r="I275" s="41">
        <f t="shared" si="18"/>
        <v>9.52</v>
      </c>
      <c r="J275">
        <f>+_xlfn.XLOOKUP(E275,[1]BDV!$F:$F,[1]BDV!$AC:$AC)</f>
        <v>0</v>
      </c>
      <c r="K275" s="14">
        <f t="shared" si="19"/>
        <v>0</v>
      </c>
      <c r="L275" s="18">
        <f t="shared" si="20"/>
        <v>-9.52</v>
      </c>
    </row>
    <row r="276" spans="2:12" x14ac:dyDescent="0.25">
      <c r="B276" t="s">
        <v>874</v>
      </c>
      <c r="C276" t="s">
        <v>865</v>
      </c>
      <c r="D276" t="s">
        <v>856</v>
      </c>
      <c r="E276">
        <f t="shared" si="17"/>
        <v>700823</v>
      </c>
      <c r="F276" s="38" t="s">
        <v>721</v>
      </c>
      <c r="G276" s="37">
        <v>7207.96</v>
      </c>
      <c r="H276" s="37"/>
      <c r="I276" s="41">
        <f t="shared" si="18"/>
        <v>7207.96</v>
      </c>
      <c r="J276">
        <f>+_xlfn.XLOOKUP(E276,[1]BDV!$F:$F,[1]BDV!$AC:$AC)</f>
        <v>5007.96</v>
      </c>
      <c r="K276" s="14">
        <f t="shared" si="19"/>
        <v>6677.28</v>
      </c>
      <c r="L276" s="18">
        <f t="shared" si="20"/>
        <v>-530.68000000000029</v>
      </c>
    </row>
    <row r="277" spans="2:12" x14ac:dyDescent="0.25">
      <c r="B277" t="s">
        <v>874</v>
      </c>
      <c r="C277" t="s">
        <v>865</v>
      </c>
      <c r="D277" t="s">
        <v>855</v>
      </c>
      <c r="E277">
        <f t="shared" si="17"/>
        <v>701201</v>
      </c>
      <c r="F277" s="38" t="s">
        <v>722</v>
      </c>
      <c r="G277" s="37">
        <v>60145.33</v>
      </c>
      <c r="H277" s="37"/>
      <c r="I277" s="41">
        <f t="shared" si="18"/>
        <v>60145.33</v>
      </c>
      <c r="J277">
        <f>+_xlfn.XLOOKUP(E277,[1]BDV!$F:$F,[1]BDV!$AC:$AC)</f>
        <v>34235.21</v>
      </c>
      <c r="K277" s="14">
        <f t="shared" si="19"/>
        <v>45646.946666666663</v>
      </c>
      <c r="L277" s="18">
        <f t="shared" si="20"/>
        <v>-14498.383333333339</v>
      </c>
    </row>
    <row r="278" spans="2:12" x14ac:dyDescent="0.25">
      <c r="B278" t="s">
        <v>874</v>
      </c>
      <c r="C278" t="s">
        <v>865</v>
      </c>
      <c r="D278" t="s">
        <v>855</v>
      </c>
      <c r="E278">
        <f t="shared" si="17"/>
        <v>701601</v>
      </c>
      <c r="F278" s="38" t="s">
        <v>723</v>
      </c>
      <c r="G278" s="37">
        <v>643268</v>
      </c>
      <c r="H278" s="37"/>
      <c r="I278" s="41">
        <f t="shared" si="18"/>
        <v>643268</v>
      </c>
      <c r="J278">
        <f>+_xlfn.XLOOKUP(E278,[1]BDV!$F:$F,[1]BDV!$AC:$AC)</f>
        <v>400000</v>
      </c>
      <c r="K278" s="14">
        <f t="shared" si="19"/>
        <v>533333.33333333337</v>
      </c>
      <c r="L278" s="18">
        <f t="shared" si="20"/>
        <v>-109934.66666666663</v>
      </c>
    </row>
    <row r="279" spans="2:12" x14ac:dyDescent="0.25">
      <c r="B279" t="s">
        <v>874</v>
      </c>
      <c r="C279" t="s">
        <v>865</v>
      </c>
      <c r="D279" t="s">
        <v>855</v>
      </c>
      <c r="E279">
        <f t="shared" si="17"/>
        <v>701603</v>
      </c>
      <c r="F279" s="38" t="s">
        <v>724</v>
      </c>
      <c r="G279" s="37">
        <v>131797.70000000001</v>
      </c>
      <c r="H279" s="37"/>
      <c r="I279" s="41">
        <f t="shared" si="18"/>
        <v>131797.70000000001</v>
      </c>
      <c r="J279">
        <f>+_xlfn.XLOOKUP(E279,[1]BDV!$F:$F,[1]BDV!$AC:$AC)</f>
        <v>106712.87</v>
      </c>
      <c r="K279" s="14">
        <f t="shared" si="19"/>
        <v>142283.82666666666</v>
      </c>
      <c r="L279" s="18">
        <f t="shared" si="20"/>
        <v>10486.126666666649</v>
      </c>
    </row>
    <row r="280" spans="2:12" x14ac:dyDescent="0.25">
      <c r="B280" t="s">
        <v>874</v>
      </c>
      <c r="C280" t="s">
        <v>865</v>
      </c>
      <c r="D280" t="s">
        <v>855</v>
      </c>
      <c r="E280">
        <f t="shared" si="17"/>
        <v>701605</v>
      </c>
      <c r="F280" s="38" t="s">
        <v>725</v>
      </c>
      <c r="G280" s="37">
        <v>6617.28</v>
      </c>
      <c r="H280" s="37"/>
      <c r="I280" s="41">
        <f t="shared" si="18"/>
        <v>6617.28</v>
      </c>
      <c r="J280">
        <f>+_xlfn.XLOOKUP(E280,[1]BDV!$F:$F,[1]BDV!$AC:$AC)</f>
        <v>5731.17</v>
      </c>
      <c r="K280" s="14">
        <f t="shared" si="19"/>
        <v>7641.56</v>
      </c>
      <c r="L280" s="18">
        <f t="shared" si="20"/>
        <v>1024.2800000000007</v>
      </c>
    </row>
    <row r="281" spans="2:12" x14ac:dyDescent="0.25">
      <c r="B281" t="s">
        <v>874</v>
      </c>
      <c r="C281" t="s">
        <v>865</v>
      </c>
      <c r="D281" t="s">
        <v>855</v>
      </c>
      <c r="E281">
        <f t="shared" si="17"/>
        <v>701607</v>
      </c>
      <c r="F281" s="38" t="s">
        <v>726</v>
      </c>
      <c r="G281" s="37">
        <v>161022.29999999999</v>
      </c>
      <c r="H281" s="37"/>
      <c r="I281" s="41">
        <f t="shared" si="18"/>
        <v>161022.29999999999</v>
      </c>
      <c r="J281">
        <f>+_xlfn.XLOOKUP(E281,[1]BDV!$F:$F,[1]BDV!$AC:$AC)</f>
        <v>155751.20000000001</v>
      </c>
      <c r="K281" s="14">
        <f t="shared" si="19"/>
        <v>207668.26666666669</v>
      </c>
      <c r="L281" s="18">
        <f t="shared" si="20"/>
        <v>46645.966666666704</v>
      </c>
    </row>
    <row r="282" spans="2:12" x14ac:dyDescent="0.25">
      <c r="B282" t="s">
        <v>874</v>
      </c>
      <c r="C282" t="s">
        <v>865</v>
      </c>
      <c r="D282" t="s">
        <v>856</v>
      </c>
      <c r="E282">
        <f t="shared" si="17"/>
        <v>701805</v>
      </c>
      <c r="F282" s="38" t="s">
        <v>727</v>
      </c>
      <c r="G282" s="37">
        <v>852.61</v>
      </c>
      <c r="H282" s="37"/>
      <c r="I282" s="41">
        <f t="shared" si="18"/>
        <v>852.61</v>
      </c>
      <c r="J282">
        <f>+_xlfn.XLOOKUP(E282,[1]BDV!$F:$F,[1]BDV!$AC:$AC)</f>
        <v>852.61</v>
      </c>
      <c r="K282" s="14">
        <f t="shared" si="19"/>
        <v>1136.8133333333333</v>
      </c>
      <c r="L282" s="18">
        <f t="shared" si="20"/>
        <v>284.20333333333326</v>
      </c>
    </row>
    <row r="283" spans="2:12" x14ac:dyDescent="0.25">
      <c r="B283" t="s">
        <v>874</v>
      </c>
      <c r="C283" t="s">
        <v>865</v>
      </c>
      <c r="D283" t="s">
        <v>855</v>
      </c>
      <c r="E283">
        <f t="shared" si="17"/>
        <v>701807</v>
      </c>
      <c r="F283" s="38" t="s">
        <v>728</v>
      </c>
      <c r="G283" s="37">
        <v>1300</v>
      </c>
      <c r="H283" s="37"/>
      <c r="I283" s="41">
        <f t="shared" si="18"/>
        <v>1300</v>
      </c>
      <c r="J283">
        <f>+_xlfn.XLOOKUP(E283,[1]BDV!$F:$F,[1]BDV!$AC:$AC)</f>
        <v>0</v>
      </c>
      <c r="K283" s="14">
        <f t="shared" si="19"/>
        <v>0</v>
      </c>
      <c r="L283" s="18">
        <f t="shared" si="20"/>
        <v>-1300</v>
      </c>
    </row>
    <row r="284" spans="2:12" x14ac:dyDescent="0.25">
      <c r="B284" t="s">
        <v>874</v>
      </c>
      <c r="C284" t="s">
        <v>865</v>
      </c>
      <c r="D284" t="s">
        <v>855</v>
      </c>
      <c r="E284">
        <f t="shared" ref="E284:E317" si="21">+_xlfn.NUMBERVALUE(LEFT(F284,6))</f>
        <v>701811</v>
      </c>
      <c r="F284" s="38" t="s">
        <v>729</v>
      </c>
      <c r="G284" s="37">
        <v>6820</v>
      </c>
      <c r="H284" s="37"/>
      <c r="I284" s="41">
        <f t="shared" si="18"/>
        <v>6820</v>
      </c>
      <c r="J284">
        <f>+_xlfn.XLOOKUP(E284,[1]BDV!$F:$F,[1]BDV!$AC:$AC)</f>
        <v>6820</v>
      </c>
      <c r="K284" s="14">
        <f t="shared" si="19"/>
        <v>9093.3333333333339</v>
      </c>
      <c r="L284" s="18">
        <f t="shared" si="20"/>
        <v>2273.3333333333339</v>
      </c>
    </row>
    <row r="285" spans="2:12" x14ac:dyDescent="0.25">
      <c r="B285" t="s">
        <v>874</v>
      </c>
      <c r="C285" t="s">
        <v>865</v>
      </c>
      <c r="D285" t="s">
        <v>855</v>
      </c>
      <c r="E285">
        <f t="shared" si="21"/>
        <v>702001</v>
      </c>
      <c r="F285" s="38" t="s">
        <v>730</v>
      </c>
      <c r="G285" s="37">
        <v>1355538.96</v>
      </c>
      <c r="H285" s="37"/>
      <c r="I285" s="41">
        <f t="shared" si="18"/>
        <v>1355538.96</v>
      </c>
      <c r="J285">
        <f>+_xlfn.XLOOKUP(E285,[1]BDV!$F:$F,[1]BDV!$AC:$AC)</f>
        <v>1014814.45</v>
      </c>
      <c r="K285" s="14">
        <f t="shared" si="19"/>
        <v>1353085.9333333333</v>
      </c>
      <c r="L285" s="18">
        <f t="shared" si="20"/>
        <v>-2453.0266666666139</v>
      </c>
    </row>
    <row r="286" spans="2:12" x14ac:dyDescent="0.25">
      <c r="B286" t="s">
        <v>874</v>
      </c>
      <c r="C286" t="s">
        <v>865</v>
      </c>
      <c r="D286" t="s">
        <v>855</v>
      </c>
      <c r="E286">
        <f t="shared" si="21"/>
        <v>702003</v>
      </c>
      <c r="F286" s="38" t="s">
        <v>731</v>
      </c>
      <c r="G286" s="37">
        <v>127915</v>
      </c>
      <c r="H286" s="37"/>
      <c r="I286" s="41">
        <f t="shared" si="18"/>
        <v>127915</v>
      </c>
      <c r="J286">
        <f>+_xlfn.XLOOKUP(E286,[1]BDV!$F:$F,[1]BDV!$AC:$AC)</f>
        <v>89036.28</v>
      </c>
      <c r="K286" s="14">
        <f t="shared" si="19"/>
        <v>118715.04</v>
      </c>
      <c r="L286" s="18">
        <f t="shared" si="20"/>
        <v>-9199.9600000000064</v>
      </c>
    </row>
    <row r="287" spans="2:12" x14ac:dyDescent="0.25">
      <c r="B287" t="s">
        <v>874</v>
      </c>
      <c r="C287" t="s">
        <v>865</v>
      </c>
      <c r="D287" t="s">
        <v>855</v>
      </c>
      <c r="E287">
        <f t="shared" si="21"/>
        <v>702201</v>
      </c>
      <c r="F287" s="38" t="s">
        <v>732</v>
      </c>
      <c r="G287" s="37">
        <v>70568.7</v>
      </c>
      <c r="H287" s="37"/>
      <c r="I287" s="41">
        <f t="shared" si="18"/>
        <v>70568.7</v>
      </c>
      <c r="J287">
        <f>+_xlfn.XLOOKUP(E287,[1]BDV!$F:$F,[1]BDV!$AC:$AC)</f>
        <v>58085.49</v>
      </c>
      <c r="K287" s="14">
        <f t="shared" si="19"/>
        <v>77447.319999999992</v>
      </c>
      <c r="L287" s="18">
        <f t="shared" si="20"/>
        <v>6878.6199999999953</v>
      </c>
    </row>
    <row r="288" spans="2:12" x14ac:dyDescent="0.25">
      <c r="B288" t="s">
        <v>874</v>
      </c>
      <c r="C288" t="s">
        <v>865</v>
      </c>
      <c r="D288" t="s">
        <v>855</v>
      </c>
      <c r="E288">
        <f t="shared" si="21"/>
        <v>702203</v>
      </c>
      <c r="F288" s="38" t="s">
        <v>733</v>
      </c>
      <c r="G288" s="37">
        <v>19464.099999999999</v>
      </c>
      <c r="H288" s="37"/>
      <c r="I288" s="41">
        <f t="shared" si="18"/>
        <v>19464.099999999999</v>
      </c>
      <c r="J288">
        <f>+_xlfn.XLOOKUP(E288,[1]BDV!$F:$F,[1]BDV!$AC:$AC)</f>
        <v>10060.25</v>
      </c>
      <c r="K288" s="14">
        <f t="shared" si="19"/>
        <v>13413.666666666666</v>
      </c>
      <c r="L288" s="18">
        <f t="shared" si="20"/>
        <v>-6050.4333333333325</v>
      </c>
    </row>
    <row r="289" spans="2:12" x14ac:dyDescent="0.25">
      <c r="B289" t="s">
        <v>874</v>
      </c>
      <c r="C289" t="s">
        <v>865</v>
      </c>
      <c r="D289" t="s">
        <v>855</v>
      </c>
      <c r="E289">
        <f t="shared" si="21"/>
        <v>702401</v>
      </c>
      <c r="F289" s="38" t="s">
        <v>734</v>
      </c>
      <c r="G289" s="37">
        <v>222003.35</v>
      </c>
      <c r="H289" s="37"/>
      <c r="I289" s="41">
        <f t="shared" si="18"/>
        <v>222003.35</v>
      </c>
      <c r="J289">
        <f>+_xlfn.XLOOKUP(E289,[1]BDV!$F:$F,[1]BDV!$AC:$AC)</f>
        <v>174240.13</v>
      </c>
      <c r="K289" s="14">
        <f t="shared" si="19"/>
        <v>232320.17333333334</v>
      </c>
      <c r="L289" s="18">
        <f t="shared" si="20"/>
        <v>10316.823333333334</v>
      </c>
    </row>
    <row r="290" spans="2:12" x14ac:dyDescent="0.25">
      <c r="B290" t="s">
        <v>874</v>
      </c>
      <c r="C290" t="s">
        <v>865</v>
      </c>
      <c r="D290" t="s">
        <v>855</v>
      </c>
      <c r="E290">
        <f t="shared" si="21"/>
        <v>702403</v>
      </c>
      <c r="F290" s="38" t="s">
        <v>735</v>
      </c>
      <c r="G290" s="37">
        <v>18339.95</v>
      </c>
      <c r="H290" s="37"/>
      <c r="I290" s="41">
        <f t="shared" si="18"/>
        <v>18339.95</v>
      </c>
      <c r="J290">
        <f>+_xlfn.XLOOKUP(E290,[1]BDV!$F:$F,[1]BDV!$AC:$AC)</f>
        <v>11905.09</v>
      </c>
      <c r="K290" s="14">
        <f t="shared" si="19"/>
        <v>15873.453333333333</v>
      </c>
      <c r="L290" s="18">
        <f t="shared" si="20"/>
        <v>-2466.4966666666678</v>
      </c>
    </row>
    <row r="291" spans="2:12" x14ac:dyDescent="0.25">
      <c r="B291" t="s">
        <v>874</v>
      </c>
      <c r="C291" t="s">
        <v>865</v>
      </c>
      <c r="D291" t="s">
        <v>855</v>
      </c>
      <c r="E291">
        <f t="shared" si="21"/>
        <v>702405</v>
      </c>
      <c r="F291" s="38" t="s">
        <v>736</v>
      </c>
      <c r="G291" s="37">
        <v>30902.54</v>
      </c>
      <c r="H291" s="37"/>
      <c r="I291" s="41">
        <f t="shared" si="18"/>
        <v>30902.54</v>
      </c>
      <c r="J291">
        <f>+_xlfn.XLOOKUP(E291,[1]BDV!$F:$F,[1]BDV!$AC:$AC)</f>
        <v>29972.01</v>
      </c>
      <c r="K291" s="14">
        <f t="shared" si="19"/>
        <v>39962.68</v>
      </c>
      <c r="L291" s="18">
        <f t="shared" si="20"/>
        <v>9060.14</v>
      </c>
    </row>
    <row r="292" spans="2:12" x14ac:dyDescent="0.25">
      <c r="B292" t="s">
        <v>874</v>
      </c>
      <c r="C292" t="s">
        <v>865</v>
      </c>
      <c r="D292" t="s">
        <v>855</v>
      </c>
      <c r="E292">
        <f t="shared" si="21"/>
        <v>702407</v>
      </c>
      <c r="F292" s="38" t="s">
        <v>737</v>
      </c>
      <c r="G292" s="37">
        <v>15259.39</v>
      </c>
      <c r="H292" s="37"/>
      <c r="I292" s="41">
        <f t="shared" si="18"/>
        <v>15259.39</v>
      </c>
      <c r="J292">
        <f>+_xlfn.XLOOKUP(E292,[1]BDV!$F:$F,[1]BDV!$AC:$AC)</f>
        <v>13689.72</v>
      </c>
      <c r="K292" s="14">
        <f t="shared" si="19"/>
        <v>18252.96</v>
      </c>
      <c r="L292" s="18">
        <f t="shared" si="20"/>
        <v>2993.5699999999997</v>
      </c>
    </row>
    <row r="293" spans="2:12" x14ac:dyDescent="0.25">
      <c r="B293" t="s">
        <v>874</v>
      </c>
      <c r="C293" t="s">
        <v>865</v>
      </c>
      <c r="D293" t="s">
        <v>855</v>
      </c>
      <c r="E293">
        <f t="shared" si="21"/>
        <v>702411</v>
      </c>
      <c r="F293" s="38" t="s">
        <v>738</v>
      </c>
      <c r="G293" s="37">
        <v>191525.62</v>
      </c>
      <c r="H293" s="37"/>
      <c r="I293" s="41">
        <f t="shared" si="18"/>
        <v>191525.62</v>
      </c>
      <c r="J293">
        <f>+_xlfn.XLOOKUP(E293,[1]BDV!$F:$F,[1]BDV!$AC:$AC)</f>
        <v>161362.35999999999</v>
      </c>
      <c r="K293" s="14">
        <f t="shared" si="19"/>
        <v>215149.81333333332</v>
      </c>
      <c r="L293" s="18">
        <f t="shared" si="20"/>
        <v>23624.193333333329</v>
      </c>
    </row>
    <row r="294" spans="2:12" x14ac:dyDescent="0.25">
      <c r="B294" t="s">
        <v>874</v>
      </c>
      <c r="C294" t="s">
        <v>865</v>
      </c>
      <c r="D294" t="s">
        <v>855</v>
      </c>
      <c r="E294">
        <f t="shared" si="21"/>
        <v>720201</v>
      </c>
      <c r="F294" s="38" t="s">
        <v>739</v>
      </c>
      <c r="G294" s="37">
        <v>264386.57</v>
      </c>
      <c r="H294" s="37"/>
      <c r="I294" s="41">
        <f t="shared" si="18"/>
        <v>264386.57</v>
      </c>
      <c r="J294">
        <f>+_xlfn.XLOOKUP(E294,[1]BDV!$F:$F,[1]BDV!$AC:$AC)</f>
        <v>171046.3</v>
      </c>
      <c r="K294" s="14">
        <f t="shared" si="19"/>
        <v>228061.73333333331</v>
      </c>
      <c r="L294" s="18">
        <f t="shared" si="20"/>
        <v>-36324.836666666699</v>
      </c>
    </row>
    <row r="295" spans="2:12" x14ac:dyDescent="0.25">
      <c r="B295" t="s">
        <v>874</v>
      </c>
      <c r="C295" t="s">
        <v>865</v>
      </c>
      <c r="D295" t="s">
        <v>855</v>
      </c>
      <c r="E295">
        <f t="shared" si="21"/>
        <v>720401</v>
      </c>
      <c r="F295" s="38" t="s">
        <v>740</v>
      </c>
      <c r="G295" s="37">
        <v>51694.26</v>
      </c>
      <c r="H295" s="37"/>
      <c r="I295" s="41">
        <f t="shared" si="18"/>
        <v>51694.26</v>
      </c>
      <c r="J295">
        <f>+_xlfn.XLOOKUP(E295,[1]BDV!$F:$F,[1]BDV!$AC:$AC)</f>
        <v>32444.49</v>
      </c>
      <c r="K295" s="14">
        <f t="shared" si="19"/>
        <v>43259.32</v>
      </c>
      <c r="L295" s="18">
        <f t="shared" si="20"/>
        <v>-8434.9400000000023</v>
      </c>
    </row>
    <row r="296" spans="2:12" x14ac:dyDescent="0.25">
      <c r="B296" t="s">
        <v>874</v>
      </c>
      <c r="C296" t="s">
        <v>865</v>
      </c>
      <c r="D296" t="s">
        <v>855</v>
      </c>
      <c r="E296">
        <f t="shared" si="21"/>
        <v>720403</v>
      </c>
      <c r="F296" s="38" t="s">
        <v>741</v>
      </c>
      <c r="G296" s="37">
        <v>47795.17</v>
      </c>
      <c r="H296" s="37"/>
      <c r="I296" s="41">
        <f t="shared" si="18"/>
        <v>47795.17</v>
      </c>
      <c r="J296">
        <f>+_xlfn.XLOOKUP(E296,[1]BDV!$F:$F,[1]BDV!$AC:$AC)</f>
        <v>36032.629999999997</v>
      </c>
      <c r="K296" s="14">
        <f t="shared" si="19"/>
        <v>48043.506666666661</v>
      </c>
      <c r="L296" s="18">
        <f t="shared" si="20"/>
        <v>248.3366666666625</v>
      </c>
    </row>
    <row r="297" spans="2:12" x14ac:dyDescent="0.25">
      <c r="B297" t="s">
        <v>874</v>
      </c>
      <c r="C297" t="s">
        <v>865</v>
      </c>
      <c r="D297" t="s">
        <v>855</v>
      </c>
      <c r="E297">
        <f t="shared" si="21"/>
        <v>720405</v>
      </c>
      <c r="F297" s="38" t="s">
        <v>742</v>
      </c>
      <c r="G297" s="37">
        <v>422809.09</v>
      </c>
      <c r="H297" s="37"/>
      <c r="I297" s="41">
        <f t="shared" si="18"/>
        <v>422809.09</v>
      </c>
      <c r="J297">
        <f>+_xlfn.XLOOKUP(E297,[1]BDV!$F:$F,[1]BDV!$AC:$AC)</f>
        <v>315786.02</v>
      </c>
      <c r="K297" s="14">
        <f t="shared" si="19"/>
        <v>421048.02666666667</v>
      </c>
      <c r="L297" s="18">
        <f t="shared" si="20"/>
        <v>-1761.0633333333535</v>
      </c>
    </row>
    <row r="298" spans="2:12" x14ac:dyDescent="0.25">
      <c r="B298" t="s">
        <v>874</v>
      </c>
      <c r="C298" t="s">
        <v>865</v>
      </c>
      <c r="D298" t="s">
        <v>855</v>
      </c>
      <c r="E298">
        <f t="shared" si="21"/>
        <v>720601</v>
      </c>
      <c r="F298" s="38" t="s">
        <v>743</v>
      </c>
      <c r="G298" s="37">
        <v>17675.22</v>
      </c>
      <c r="H298" s="37"/>
      <c r="I298" s="41">
        <f t="shared" si="18"/>
        <v>17675.22</v>
      </c>
      <c r="J298">
        <f>+_xlfn.XLOOKUP(E298,[1]BDV!$F:$F,[1]BDV!$AC:$AC)</f>
        <v>10563.34</v>
      </c>
      <c r="K298" s="14">
        <f t="shared" si="19"/>
        <v>14084.453333333333</v>
      </c>
      <c r="L298" s="18">
        <f t="shared" si="20"/>
        <v>-3590.7666666666682</v>
      </c>
    </row>
    <row r="299" spans="2:12" x14ac:dyDescent="0.25">
      <c r="B299" t="s">
        <v>874</v>
      </c>
      <c r="C299" t="s">
        <v>865</v>
      </c>
      <c r="D299" t="s">
        <v>855</v>
      </c>
      <c r="E299">
        <f t="shared" si="21"/>
        <v>720605</v>
      </c>
      <c r="F299" s="38" t="s">
        <v>744</v>
      </c>
      <c r="G299" s="37">
        <v>6500</v>
      </c>
      <c r="H299" s="37"/>
      <c r="I299" s="41">
        <f t="shared" si="18"/>
        <v>6500</v>
      </c>
      <c r="J299">
        <f>+_xlfn.XLOOKUP(E299,[1]BDV!$F:$F,[1]BDV!$AC:$AC)</f>
        <v>0</v>
      </c>
      <c r="K299" s="14">
        <f t="shared" si="19"/>
        <v>0</v>
      </c>
      <c r="L299" s="18">
        <f t="shared" si="20"/>
        <v>-6500</v>
      </c>
    </row>
    <row r="300" spans="2:12" x14ac:dyDescent="0.25">
      <c r="B300" t="s">
        <v>874</v>
      </c>
      <c r="C300" t="s">
        <v>865</v>
      </c>
      <c r="D300" t="s">
        <v>856</v>
      </c>
      <c r="E300">
        <f t="shared" si="21"/>
        <v>740201</v>
      </c>
      <c r="F300" s="38" t="s">
        <v>745</v>
      </c>
      <c r="G300" s="37">
        <v>822904.77</v>
      </c>
      <c r="H300" s="37"/>
      <c r="I300" s="41">
        <f t="shared" si="18"/>
        <v>822904.77</v>
      </c>
      <c r="J300">
        <f>+_xlfn.XLOOKUP(E300,[1]BDV!$F:$F,[1]BDV!$AC:$AC)</f>
        <v>618703.69999999995</v>
      </c>
      <c r="K300" s="14">
        <f t="shared" si="19"/>
        <v>824938.2666666666</v>
      </c>
      <c r="L300" s="18">
        <f t="shared" si="20"/>
        <v>2033.496666666586</v>
      </c>
    </row>
    <row r="301" spans="2:12" x14ac:dyDescent="0.25">
      <c r="B301" t="s">
        <v>874</v>
      </c>
      <c r="C301" t="s">
        <v>865</v>
      </c>
      <c r="D301" t="s">
        <v>856</v>
      </c>
      <c r="E301">
        <f t="shared" si="21"/>
        <v>740203</v>
      </c>
      <c r="F301" s="38" t="s">
        <v>746</v>
      </c>
      <c r="G301" s="37">
        <v>2095339.18</v>
      </c>
      <c r="H301" s="37"/>
      <c r="I301" s="41">
        <f t="shared" si="18"/>
        <v>2095339.18</v>
      </c>
      <c r="J301">
        <f>+_xlfn.XLOOKUP(E301,[1]BDV!$F:$F,[1]BDV!$AC:$AC)</f>
        <v>1504399.54</v>
      </c>
      <c r="K301" s="14">
        <f t="shared" si="19"/>
        <v>2005866.0533333335</v>
      </c>
      <c r="L301" s="18">
        <f t="shared" si="20"/>
        <v>-89473.126666666474</v>
      </c>
    </row>
    <row r="302" spans="2:12" x14ac:dyDescent="0.25">
      <c r="B302" t="s">
        <v>874</v>
      </c>
      <c r="C302" t="s">
        <v>865</v>
      </c>
      <c r="D302" t="s">
        <v>856</v>
      </c>
      <c r="E302">
        <f t="shared" si="21"/>
        <v>740205</v>
      </c>
      <c r="F302" s="38" t="s">
        <v>747</v>
      </c>
      <c r="G302" s="37">
        <v>842556.66</v>
      </c>
      <c r="H302" s="37"/>
      <c r="I302" s="41">
        <f t="shared" si="18"/>
        <v>842556.66</v>
      </c>
      <c r="J302">
        <f>+_xlfn.XLOOKUP(E302,[1]BDV!$F:$F,[1]BDV!$AC:$AC)</f>
        <v>633333.35</v>
      </c>
      <c r="K302" s="14">
        <f t="shared" si="19"/>
        <v>844444.46666666667</v>
      </c>
      <c r="L302" s="18">
        <f t="shared" si="20"/>
        <v>1887.8066666666418</v>
      </c>
    </row>
    <row r="303" spans="2:12" x14ac:dyDescent="0.25">
      <c r="B303" t="s">
        <v>874</v>
      </c>
      <c r="C303" t="s">
        <v>865</v>
      </c>
      <c r="D303" t="s">
        <v>856</v>
      </c>
      <c r="E303">
        <f t="shared" si="21"/>
        <v>740207</v>
      </c>
      <c r="F303" s="38" t="s">
        <v>748</v>
      </c>
      <c r="G303" s="37">
        <v>101489.14</v>
      </c>
      <c r="H303" s="37"/>
      <c r="I303" s="41">
        <f t="shared" si="18"/>
        <v>101489.14</v>
      </c>
      <c r="J303">
        <f>+_xlfn.XLOOKUP(E303,[1]BDV!$F:$F,[1]BDV!$AC:$AC)</f>
        <v>79544.460000000006</v>
      </c>
      <c r="K303" s="14">
        <f t="shared" si="19"/>
        <v>106059.28000000001</v>
      </c>
      <c r="L303" s="18">
        <f t="shared" si="20"/>
        <v>4570.140000000014</v>
      </c>
    </row>
    <row r="304" spans="2:12" x14ac:dyDescent="0.25">
      <c r="B304" t="s">
        <v>874</v>
      </c>
      <c r="C304" t="s">
        <v>865</v>
      </c>
      <c r="D304" t="s">
        <v>856</v>
      </c>
      <c r="E304">
        <f t="shared" si="21"/>
        <v>740209</v>
      </c>
      <c r="F304" s="38" t="s">
        <v>749</v>
      </c>
      <c r="G304" s="37">
        <v>79732.86</v>
      </c>
      <c r="H304" s="37"/>
      <c r="I304" s="41">
        <f t="shared" si="18"/>
        <v>79732.86</v>
      </c>
      <c r="J304">
        <f>+_xlfn.XLOOKUP(E304,[1]BDV!$F:$F,[1]BDV!$AC:$AC)</f>
        <v>60124.32</v>
      </c>
      <c r="K304" s="14">
        <f t="shared" si="19"/>
        <v>80165.759999999995</v>
      </c>
      <c r="L304" s="18">
        <f t="shared" si="20"/>
        <v>432.89999999999418</v>
      </c>
    </row>
    <row r="305" spans="2:12" x14ac:dyDescent="0.25">
      <c r="B305" t="s">
        <v>874</v>
      </c>
      <c r="C305" t="s">
        <v>865</v>
      </c>
      <c r="D305" t="s">
        <v>856</v>
      </c>
      <c r="E305">
        <f t="shared" si="21"/>
        <v>740211</v>
      </c>
      <c r="F305" s="38" t="s">
        <v>750</v>
      </c>
      <c r="G305" s="37">
        <v>225607.77</v>
      </c>
      <c r="H305" s="37"/>
      <c r="I305" s="41">
        <f t="shared" si="18"/>
        <v>225607.77</v>
      </c>
      <c r="J305">
        <f>+_xlfn.XLOOKUP(E305,[1]BDV!$F:$F,[1]BDV!$AC:$AC)</f>
        <v>165131.29999999999</v>
      </c>
      <c r="K305" s="14">
        <f t="shared" si="19"/>
        <v>220175.06666666665</v>
      </c>
      <c r="L305" s="18">
        <f t="shared" si="20"/>
        <v>-5432.7033333333384</v>
      </c>
    </row>
    <row r="306" spans="2:12" x14ac:dyDescent="0.25">
      <c r="B306" t="s">
        <v>874</v>
      </c>
      <c r="C306" t="s">
        <v>865</v>
      </c>
      <c r="D306" t="s">
        <v>856</v>
      </c>
      <c r="E306">
        <f t="shared" si="21"/>
        <v>740213</v>
      </c>
      <c r="F306" s="38" t="s">
        <v>751</v>
      </c>
      <c r="G306" s="37">
        <v>89304.81</v>
      </c>
      <c r="H306" s="37"/>
      <c r="I306" s="41">
        <f t="shared" si="18"/>
        <v>89304.81</v>
      </c>
      <c r="J306">
        <f>+_xlfn.XLOOKUP(E306,[1]BDV!$F:$F,[1]BDV!$AC:$AC)</f>
        <v>66995</v>
      </c>
      <c r="K306" s="14">
        <f t="shared" si="19"/>
        <v>89326.666666666672</v>
      </c>
      <c r="L306" s="18">
        <f t="shared" si="20"/>
        <v>21.856666666673846</v>
      </c>
    </row>
    <row r="307" spans="2:12" x14ac:dyDescent="0.25">
      <c r="B307" t="s">
        <v>874</v>
      </c>
      <c r="C307" t="s">
        <v>863</v>
      </c>
      <c r="D307" t="s">
        <v>852</v>
      </c>
      <c r="E307">
        <f t="shared" si="21"/>
        <v>740215</v>
      </c>
      <c r="F307" s="38" t="s">
        <v>752</v>
      </c>
      <c r="G307" s="37"/>
      <c r="H307" s="37">
        <v>2475534.92</v>
      </c>
      <c r="I307" s="41">
        <f t="shared" si="18"/>
        <v>-2475534.92</v>
      </c>
      <c r="J307">
        <f>+_xlfn.XLOOKUP(E307,[1]BDV!$F:$F,[1]BDV!$AC:$AC)</f>
        <v>-1971649.52</v>
      </c>
      <c r="K307" s="14">
        <f t="shared" si="19"/>
        <v>-2628866.0266666668</v>
      </c>
      <c r="L307" s="18">
        <f t="shared" si="20"/>
        <v>-153331.10666666692</v>
      </c>
    </row>
    <row r="308" spans="2:12" x14ac:dyDescent="0.25">
      <c r="B308" t="s">
        <v>874</v>
      </c>
      <c r="C308" t="s">
        <v>865</v>
      </c>
      <c r="D308" t="s">
        <v>856</v>
      </c>
      <c r="E308">
        <f t="shared" si="21"/>
        <v>740401</v>
      </c>
      <c r="F308" s="38" t="s">
        <v>753</v>
      </c>
      <c r="G308" s="37">
        <v>477601.93</v>
      </c>
      <c r="H308" s="37"/>
      <c r="I308" s="41">
        <f t="shared" si="18"/>
        <v>477601.93</v>
      </c>
      <c r="J308">
        <f>+_xlfn.XLOOKUP(E308,[1]BDV!$F:$F,[1]BDV!$AC:$AC)</f>
        <v>356946.4</v>
      </c>
      <c r="K308" s="14">
        <f t="shared" si="19"/>
        <v>475928.53333333338</v>
      </c>
      <c r="L308" s="18">
        <f t="shared" si="20"/>
        <v>-1673.3966666666092</v>
      </c>
    </row>
    <row r="309" spans="2:12" x14ac:dyDescent="0.25">
      <c r="B309" t="s">
        <v>874</v>
      </c>
      <c r="C309" t="s">
        <v>865</v>
      </c>
      <c r="D309" t="s">
        <v>856</v>
      </c>
      <c r="E309">
        <f t="shared" si="21"/>
        <v>740601</v>
      </c>
      <c r="F309" s="38" t="s">
        <v>754</v>
      </c>
      <c r="G309" s="37">
        <v>235109.89</v>
      </c>
      <c r="H309" s="37"/>
      <c r="I309" s="41">
        <f t="shared" si="18"/>
        <v>235109.89</v>
      </c>
      <c r="J309">
        <f>+_xlfn.XLOOKUP(E309,[1]BDV!$F:$F,[1]BDV!$AC:$AC)</f>
        <v>175172.22</v>
      </c>
      <c r="K309" s="14">
        <f t="shared" si="19"/>
        <v>233562.96</v>
      </c>
      <c r="L309" s="18">
        <f t="shared" si="20"/>
        <v>-1546.9300000000221</v>
      </c>
    </row>
    <row r="310" spans="2:12" x14ac:dyDescent="0.25">
      <c r="B310" t="s">
        <v>874</v>
      </c>
      <c r="C310" t="s">
        <v>865</v>
      </c>
      <c r="D310" t="s">
        <v>856</v>
      </c>
      <c r="E310">
        <f t="shared" si="21"/>
        <v>740605</v>
      </c>
      <c r="F310" s="38" t="s">
        <v>755</v>
      </c>
      <c r="G310" s="37">
        <v>20720</v>
      </c>
      <c r="H310" s="37"/>
      <c r="I310" s="41">
        <f t="shared" si="18"/>
        <v>20720</v>
      </c>
      <c r="J310">
        <f>+_xlfn.XLOOKUP(E310,[1]BDV!$F:$F,[1]BDV!$AC:$AC)</f>
        <v>13450</v>
      </c>
      <c r="K310" s="14">
        <f t="shared" si="19"/>
        <v>17933.333333333332</v>
      </c>
      <c r="L310" s="18">
        <f t="shared" si="20"/>
        <v>-2786.6666666666679</v>
      </c>
    </row>
    <row r="311" spans="2:12" x14ac:dyDescent="0.25">
      <c r="B311" t="s">
        <v>874</v>
      </c>
      <c r="C311" t="s">
        <v>865</v>
      </c>
      <c r="D311" t="s">
        <v>856</v>
      </c>
      <c r="E311">
        <f t="shared" si="21"/>
        <v>740607</v>
      </c>
      <c r="F311" s="38" t="s">
        <v>756</v>
      </c>
      <c r="G311" s="37">
        <v>25573.24</v>
      </c>
      <c r="H311" s="37"/>
      <c r="I311" s="41">
        <f t="shared" si="18"/>
        <v>25573.24</v>
      </c>
      <c r="J311">
        <f>+_xlfn.XLOOKUP(E311,[1]BDV!$F:$F,[1]BDV!$AC:$AC)</f>
        <v>18708.36</v>
      </c>
      <c r="K311" s="14">
        <f t="shared" si="19"/>
        <v>24944.48</v>
      </c>
      <c r="L311" s="18">
        <f t="shared" si="20"/>
        <v>-628.76000000000204</v>
      </c>
    </row>
    <row r="312" spans="2:12" x14ac:dyDescent="0.25">
      <c r="B312" t="s">
        <v>874</v>
      </c>
      <c r="C312" t="s">
        <v>865</v>
      </c>
      <c r="D312" t="s">
        <v>856</v>
      </c>
      <c r="E312">
        <f t="shared" si="21"/>
        <v>740609</v>
      </c>
      <c r="F312" s="38" t="s">
        <v>757</v>
      </c>
      <c r="G312" s="37">
        <v>336838.91</v>
      </c>
      <c r="H312" s="37"/>
      <c r="I312" s="41">
        <f t="shared" si="18"/>
        <v>336838.91</v>
      </c>
      <c r="J312">
        <f>+_xlfn.XLOOKUP(E312,[1]BDV!$F:$F,[1]BDV!$AC:$AC)</f>
        <v>279271.38</v>
      </c>
      <c r="K312" s="14">
        <f t="shared" si="19"/>
        <v>372361.84</v>
      </c>
      <c r="L312" s="18">
        <f t="shared" si="20"/>
        <v>35522.930000000051</v>
      </c>
    </row>
    <row r="313" spans="2:12" x14ac:dyDescent="0.25">
      <c r="B313" t="s">
        <v>874</v>
      </c>
      <c r="C313" t="s">
        <v>865</v>
      </c>
      <c r="D313" t="s">
        <v>856</v>
      </c>
      <c r="E313">
        <f t="shared" si="21"/>
        <v>740611</v>
      </c>
      <c r="F313" s="38" t="s">
        <v>758</v>
      </c>
      <c r="G313" s="37">
        <v>664931.25</v>
      </c>
      <c r="H313" s="37"/>
      <c r="I313" s="41">
        <f t="shared" si="18"/>
        <v>664931.25</v>
      </c>
      <c r="J313">
        <f>+_xlfn.XLOOKUP(E313,[1]BDV!$F:$F,[1]BDV!$AC:$AC)</f>
        <v>492524.59</v>
      </c>
      <c r="K313" s="14">
        <f t="shared" si="19"/>
        <v>656699.45333333337</v>
      </c>
      <c r="L313" s="18">
        <f t="shared" si="20"/>
        <v>-8231.7966666666325</v>
      </c>
    </row>
    <row r="314" spans="2:12" x14ac:dyDescent="0.25">
      <c r="B314" t="s">
        <v>874</v>
      </c>
      <c r="C314" t="s">
        <v>865</v>
      </c>
      <c r="D314" t="s">
        <v>856</v>
      </c>
      <c r="E314">
        <f t="shared" si="21"/>
        <v>740801</v>
      </c>
      <c r="F314" s="38" t="s">
        <v>759</v>
      </c>
      <c r="G314" s="37">
        <v>34694.67</v>
      </c>
      <c r="H314" s="37"/>
      <c r="I314" s="41">
        <f t="shared" si="18"/>
        <v>34694.67</v>
      </c>
      <c r="J314">
        <f>+_xlfn.XLOOKUP(E314,[1]BDV!$F:$F,[1]BDV!$AC:$AC)</f>
        <v>25766.91</v>
      </c>
      <c r="K314" s="14">
        <f t="shared" si="19"/>
        <v>34355.879999999997</v>
      </c>
      <c r="L314" s="18">
        <f t="shared" si="20"/>
        <v>-338.79000000000087</v>
      </c>
    </row>
    <row r="315" spans="2:12" x14ac:dyDescent="0.25">
      <c r="B315" t="s">
        <v>874</v>
      </c>
      <c r="C315" t="s">
        <v>865</v>
      </c>
      <c r="D315" t="s">
        <v>856</v>
      </c>
      <c r="E315">
        <f t="shared" si="21"/>
        <v>741001</v>
      </c>
      <c r="F315" s="38" t="s">
        <v>760</v>
      </c>
      <c r="G315" s="37">
        <v>130549.24</v>
      </c>
      <c r="H315" s="37"/>
      <c r="I315" s="41">
        <f t="shared" si="18"/>
        <v>130549.24</v>
      </c>
      <c r="J315">
        <f>+_xlfn.XLOOKUP(E315,[1]BDV!$F:$F,[1]BDV!$AC:$AC)</f>
        <v>97064</v>
      </c>
      <c r="K315" s="14">
        <f t="shared" si="19"/>
        <v>129418.66666666667</v>
      </c>
      <c r="L315" s="18">
        <f t="shared" si="20"/>
        <v>-1130.5733333333337</v>
      </c>
    </row>
    <row r="316" spans="2:12" x14ac:dyDescent="0.25">
      <c r="B316" t="s">
        <v>874</v>
      </c>
      <c r="C316" t="s">
        <v>865</v>
      </c>
      <c r="D316" t="s">
        <v>856</v>
      </c>
      <c r="E316">
        <f t="shared" si="21"/>
        <v>741201</v>
      </c>
      <c r="F316" s="38" t="s">
        <v>761</v>
      </c>
      <c r="G316" s="37">
        <v>140397.95000000001</v>
      </c>
      <c r="H316" s="37"/>
      <c r="I316" s="41">
        <f t="shared" si="18"/>
        <v>140397.95000000001</v>
      </c>
      <c r="J316">
        <f>+_xlfn.XLOOKUP(E316,[1]BDV!$F:$F,[1]BDV!$AC:$AC)</f>
        <v>127457.54</v>
      </c>
      <c r="K316" s="14">
        <f t="shared" si="19"/>
        <v>169943.38666666666</v>
      </c>
      <c r="L316" s="18">
        <f t="shared" si="20"/>
        <v>29545.436666666646</v>
      </c>
    </row>
    <row r="317" spans="2:12" x14ac:dyDescent="0.25">
      <c r="B317" t="s">
        <v>874</v>
      </c>
      <c r="C317" t="s">
        <v>865</v>
      </c>
      <c r="D317" t="s">
        <v>856</v>
      </c>
      <c r="E317">
        <f t="shared" si="21"/>
        <v>741401</v>
      </c>
      <c r="F317" s="38" t="s">
        <v>762</v>
      </c>
      <c r="G317" s="37">
        <v>544000</v>
      </c>
      <c r="H317" s="37"/>
      <c r="I317" s="41">
        <f t="shared" si="18"/>
        <v>544000</v>
      </c>
      <c r="J317">
        <f>+_xlfn.XLOOKUP(E317,[1]BDV!$F:$F,[1]BDV!$AC:$AC)</f>
        <v>408000</v>
      </c>
      <c r="K317" s="14">
        <f t="shared" si="19"/>
        <v>544000</v>
      </c>
      <c r="L317" s="18">
        <f t="shared" si="20"/>
        <v>0</v>
      </c>
    </row>
    <row r="318" spans="2:12" x14ac:dyDescent="0.25">
      <c r="B318" t="s">
        <v>874</v>
      </c>
      <c r="C318" t="s">
        <v>865</v>
      </c>
      <c r="D318" t="s">
        <v>856</v>
      </c>
      <c r="E318">
        <f t="shared" ref="E318:E343" si="22">+_xlfn.NUMBERVALUE(LEFT(F318,6))</f>
        <v>741601</v>
      </c>
      <c r="F318" s="38" t="s">
        <v>763</v>
      </c>
      <c r="G318" s="37">
        <v>205217.04</v>
      </c>
      <c r="H318" s="37"/>
      <c r="I318" s="41">
        <f t="shared" si="18"/>
        <v>205217.04</v>
      </c>
      <c r="J318">
        <f>+_xlfn.XLOOKUP(E318,[1]BDV!$F:$F,[1]BDV!$AC:$AC)</f>
        <v>149854.79999999999</v>
      </c>
      <c r="K318" s="14">
        <f t="shared" si="19"/>
        <v>199806.4</v>
      </c>
      <c r="L318" s="18">
        <f t="shared" si="20"/>
        <v>-5410.640000000014</v>
      </c>
    </row>
    <row r="319" spans="2:12" x14ac:dyDescent="0.25">
      <c r="B319" t="s">
        <v>874</v>
      </c>
      <c r="C319" t="s">
        <v>865</v>
      </c>
      <c r="D319" t="s">
        <v>855</v>
      </c>
      <c r="E319">
        <f t="shared" si="22"/>
        <v>741605</v>
      </c>
      <c r="F319" s="38" t="s">
        <v>764</v>
      </c>
      <c r="G319" s="37">
        <v>38032.050000000003</v>
      </c>
      <c r="H319" s="37"/>
      <c r="I319" s="41">
        <f t="shared" si="18"/>
        <v>38032.050000000003</v>
      </c>
      <c r="J319">
        <f>+_xlfn.XLOOKUP(E319,[1]BDV!$F:$F,[1]BDV!$AC:$AC)</f>
        <v>24883</v>
      </c>
      <c r="K319" s="14">
        <f t="shared" si="19"/>
        <v>33177.333333333336</v>
      </c>
      <c r="L319" s="18">
        <f t="shared" si="20"/>
        <v>-4854.7166666666672</v>
      </c>
    </row>
    <row r="320" spans="2:12" x14ac:dyDescent="0.25">
      <c r="B320" t="s">
        <v>874</v>
      </c>
      <c r="C320" t="s">
        <v>865</v>
      </c>
      <c r="D320" t="s">
        <v>856</v>
      </c>
      <c r="E320">
        <f t="shared" si="22"/>
        <v>741607</v>
      </c>
      <c r="F320" s="38" t="s">
        <v>765</v>
      </c>
      <c r="G320" s="37">
        <v>97340.13</v>
      </c>
      <c r="H320" s="37"/>
      <c r="I320" s="41">
        <f t="shared" si="18"/>
        <v>97340.13</v>
      </c>
      <c r="J320">
        <f>+_xlfn.XLOOKUP(E320,[1]BDV!$F:$F,[1]BDV!$AC:$AC)</f>
        <v>86889.27</v>
      </c>
      <c r="K320" s="14">
        <f t="shared" si="19"/>
        <v>115852.36</v>
      </c>
      <c r="L320" s="18">
        <f t="shared" si="20"/>
        <v>18512.229999999996</v>
      </c>
    </row>
    <row r="321" spans="2:12" x14ac:dyDescent="0.25">
      <c r="B321" t="s">
        <v>874</v>
      </c>
      <c r="C321" t="s">
        <v>865</v>
      </c>
      <c r="D321" t="s">
        <v>856</v>
      </c>
      <c r="E321">
        <f t="shared" si="22"/>
        <v>741801</v>
      </c>
      <c r="F321" s="38" t="s">
        <v>766</v>
      </c>
      <c r="G321" s="37">
        <v>57424.5</v>
      </c>
      <c r="H321" s="37"/>
      <c r="I321" s="41">
        <f t="shared" si="18"/>
        <v>57424.5</v>
      </c>
      <c r="J321">
        <f>+_xlfn.XLOOKUP(E321,[1]BDV!$F:$F,[1]BDV!$AC:$AC)</f>
        <v>19492.5</v>
      </c>
      <c r="K321" s="14">
        <f t="shared" si="19"/>
        <v>25990</v>
      </c>
      <c r="L321" s="18">
        <f t="shared" si="20"/>
        <v>-31434.5</v>
      </c>
    </row>
    <row r="322" spans="2:12" x14ac:dyDescent="0.25">
      <c r="B322" t="s">
        <v>874</v>
      </c>
      <c r="C322" t="s">
        <v>865</v>
      </c>
      <c r="D322" t="s">
        <v>855</v>
      </c>
      <c r="E322">
        <f t="shared" si="22"/>
        <v>741803</v>
      </c>
      <c r="F322" s="38" t="s">
        <v>767</v>
      </c>
      <c r="G322" s="37">
        <v>56090</v>
      </c>
      <c r="H322" s="37"/>
      <c r="I322" s="41">
        <f t="shared" si="18"/>
        <v>56090</v>
      </c>
      <c r="J322">
        <f>+_xlfn.XLOOKUP(E322,[1]BDV!$F:$F,[1]BDV!$AC:$AC)</f>
        <v>49590</v>
      </c>
      <c r="K322" s="14">
        <f t="shared" si="19"/>
        <v>66120</v>
      </c>
      <c r="L322" s="18">
        <f t="shared" si="20"/>
        <v>10030</v>
      </c>
    </row>
    <row r="323" spans="2:12" x14ac:dyDescent="0.25">
      <c r="B323" t="s">
        <v>874</v>
      </c>
      <c r="C323" t="s">
        <v>865</v>
      </c>
      <c r="D323" t="s">
        <v>856</v>
      </c>
      <c r="E323">
        <f t="shared" si="22"/>
        <v>742001</v>
      </c>
      <c r="F323" s="38" t="s">
        <v>768</v>
      </c>
      <c r="G323" s="37">
        <v>5151.1899999999996</v>
      </c>
      <c r="H323" s="37"/>
      <c r="I323" s="41">
        <f t="shared" si="18"/>
        <v>5151.1899999999996</v>
      </c>
      <c r="J323">
        <f>+_xlfn.XLOOKUP(E323,[1]BDV!$F:$F,[1]BDV!$AC:$AC)</f>
        <v>3642.03</v>
      </c>
      <c r="K323" s="14">
        <f t="shared" si="19"/>
        <v>4856.04</v>
      </c>
      <c r="L323" s="18">
        <f t="shared" si="20"/>
        <v>-295.14999999999964</v>
      </c>
    </row>
    <row r="324" spans="2:12" x14ac:dyDescent="0.25">
      <c r="B324" t="s">
        <v>874</v>
      </c>
      <c r="C324" t="s">
        <v>865</v>
      </c>
      <c r="D324" t="s">
        <v>856</v>
      </c>
      <c r="E324">
        <f t="shared" si="22"/>
        <v>742003</v>
      </c>
      <c r="F324" s="38" t="s">
        <v>769</v>
      </c>
      <c r="G324" s="37">
        <v>23760.71</v>
      </c>
      <c r="H324" s="37"/>
      <c r="I324" s="41">
        <f t="shared" si="18"/>
        <v>23760.71</v>
      </c>
      <c r="J324">
        <f>+_xlfn.XLOOKUP(E324,[1]BDV!$F:$F,[1]BDV!$AC:$AC)</f>
        <v>16799.88</v>
      </c>
      <c r="K324" s="14">
        <f t="shared" si="19"/>
        <v>22399.84</v>
      </c>
      <c r="L324" s="18">
        <f t="shared" si="20"/>
        <v>-1360.869999999999</v>
      </c>
    </row>
    <row r="325" spans="2:12" x14ac:dyDescent="0.25">
      <c r="B325" t="s">
        <v>874</v>
      </c>
      <c r="C325" t="s">
        <v>865</v>
      </c>
      <c r="D325" t="s">
        <v>856</v>
      </c>
      <c r="E325">
        <f t="shared" si="22"/>
        <v>742005</v>
      </c>
      <c r="F325" s="38" t="s">
        <v>770</v>
      </c>
      <c r="G325" s="37">
        <v>77938.91</v>
      </c>
      <c r="H325" s="37"/>
      <c r="I325" s="41">
        <f t="shared" si="18"/>
        <v>77938.91</v>
      </c>
      <c r="J325">
        <f>+_xlfn.XLOOKUP(E325,[1]BDV!$F:$F,[1]BDV!$AC:$AC)</f>
        <v>40073.67</v>
      </c>
      <c r="K325" s="14">
        <f t="shared" si="19"/>
        <v>53431.56</v>
      </c>
      <c r="L325" s="18">
        <f t="shared" si="20"/>
        <v>-24507.350000000006</v>
      </c>
    </row>
    <row r="326" spans="2:12" x14ac:dyDescent="0.25">
      <c r="B326" t="s">
        <v>874</v>
      </c>
      <c r="C326" t="s">
        <v>865</v>
      </c>
      <c r="D326" t="s">
        <v>856</v>
      </c>
      <c r="E326">
        <f t="shared" si="22"/>
        <v>742009</v>
      </c>
      <c r="F326" s="38" t="s">
        <v>771</v>
      </c>
      <c r="G326" s="37">
        <v>71459.19</v>
      </c>
      <c r="H326" s="37"/>
      <c r="I326" s="41">
        <f t="shared" ref="I326:I374" si="23">+G326-H326</f>
        <v>71459.19</v>
      </c>
      <c r="J326">
        <f>+_xlfn.XLOOKUP(E326,[1]BDV!$F:$F,[1]BDV!$AC:$AC)</f>
        <v>51753.99</v>
      </c>
      <c r="K326" s="14">
        <f t="shared" ref="K326:K374" si="24">+J326/6*8</f>
        <v>69005.319999999992</v>
      </c>
      <c r="L326" s="18">
        <f t="shared" ref="L326:L374" si="25">+K326-I326</f>
        <v>-2453.8700000000099</v>
      </c>
    </row>
    <row r="327" spans="2:12" x14ac:dyDescent="0.25">
      <c r="B327" t="s">
        <v>874</v>
      </c>
      <c r="C327" t="s">
        <v>865</v>
      </c>
      <c r="D327" t="s">
        <v>857</v>
      </c>
      <c r="E327">
        <f t="shared" si="22"/>
        <v>760201</v>
      </c>
      <c r="F327" s="38" t="s">
        <v>772</v>
      </c>
      <c r="G327" s="37">
        <v>627224.13</v>
      </c>
      <c r="H327" s="37"/>
      <c r="I327" s="41">
        <f t="shared" si="23"/>
        <v>627224.13</v>
      </c>
      <c r="J327">
        <f>+_xlfn.XLOOKUP(E327,[1]BDV!$F:$F,[1]BDV!$AC:$AC)</f>
        <v>468574.12</v>
      </c>
      <c r="K327" s="14">
        <f t="shared" si="24"/>
        <v>624765.49333333329</v>
      </c>
      <c r="L327" s="18">
        <f t="shared" si="25"/>
        <v>-2458.6366666667163</v>
      </c>
    </row>
    <row r="328" spans="2:12" x14ac:dyDescent="0.25">
      <c r="B328" t="s">
        <v>874</v>
      </c>
      <c r="C328" t="s">
        <v>865</v>
      </c>
      <c r="D328" t="s">
        <v>857</v>
      </c>
      <c r="E328">
        <f t="shared" si="22"/>
        <v>760401</v>
      </c>
      <c r="F328" s="38" t="s">
        <v>773</v>
      </c>
      <c r="G328" s="37">
        <v>1102</v>
      </c>
      <c r="H328" s="37"/>
      <c r="I328" s="41">
        <f t="shared" si="23"/>
        <v>1102</v>
      </c>
      <c r="J328">
        <f>+_xlfn.XLOOKUP(E328,[1]BDV!$F:$F,[1]BDV!$AC:$AC)</f>
        <v>827</v>
      </c>
      <c r="K328" s="14">
        <f t="shared" si="24"/>
        <v>1102.6666666666667</v>
      </c>
      <c r="L328" s="18">
        <f t="shared" si="25"/>
        <v>0.66666666666674246</v>
      </c>
    </row>
    <row r="329" spans="2:12" x14ac:dyDescent="0.25">
      <c r="B329" t="s">
        <v>874</v>
      </c>
      <c r="C329" t="s">
        <v>865</v>
      </c>
      <c r="D329" t="s">
        <v>857</v>
      </c>
      <c r="E329">
        <f t="shared" si="22"/>
        <v>760601</v>
      </c>
      <c r="F329" s="38" t="s">
        <v>774</v>
      </c>
      <c r="G329" s="37">
        <v>4362356.04</v>
      </c>
      <c r="H329" s="37"/>
      <c r="I329" s="41">
        <f t="shared" si="23"/>
        <v>4362356.04</v>
      </c>
      <c r="J329">
        <f>+_xlfn.XLOOKUP(E329,[1]BDV!$F:$F,[1]BDV!$AC:$AC)</f>
        <v>3547370.98</v>
      </c>
      <c r="K329" s="14">
        <f t="shared" si="24"/>
        <v>4729827.9733333336</v>
      </c>
      <c r="L329" s="18">
        <f t="shared" si="25"/>
        <v>367471.93333333358</v>
      </c>
    </row>
    <row r="330" spans="2:12" x14ac:dyDescent="0.25">
      <c r="B330" t="s">
        <v>874</v>
      </c>
      <c r="C330" t="s">
        <v>865</v>
      </c>
      <c r="D330" t="s">
        <v>857</v>
      </c>
      <c r="E330">
        <f t="shared" si="22"/>
        <v>760801</v>
      </c>
      <c r="F330" s="38" t="s">
        <v>775</v>
      </c>
      <c r="G330" s="37">
        <v>1239</v>
      </c>
      <c r="H330" s="37"/>
      <c r="I330" s="41">
        <f t="shared" si="23"/>
        <v>1239</v>
      </c>
      <c r="J330">
        <f>+_xlfn.XLOOKUP(E330,[1]BDV!$F:$F,[1]BDV!$AC:$AC)</f>
        <v>929</v>
      </c>
      <c r="K330" s="14">
        <f t="shared" si="24"/>
        <v>1238.6666666666667</v>
      </c>
      <c r="L330" s="18">
        <f t="shared" si="25"/>
        <v>-0.33333333333325754</v>
      </c>
    </row>
    <row r="331" spans="2:12" x14ac:dyDescent="0.25">
      <c r="B331" t="s">
        <v>874</v>
      </c>
      <c r="C331" t="s">
        <v>865</v>
      </c>
      <c r="D331" t="s">
        <v>857</v>
      </c>
      <c r="E331">
        <f t="shared" si="22"/>
        <v>761001</v>
      </c>
      <c r="F331" s="38" t="s">
        <v>776</v>
      </c>
      <c r="G331" s="37">
        <v>29686.15</v>
      </c>
      <c r="H331" s="37"/>
      <c r="I331" s="41">
        <f t="shared" si="23"/>
        <v>29686.15</v>
      </c>
      <c r="J331">
        <f>+_xlfn.XLOOKUP(E331,[1]BDV!$F:$F,[1]BDV!$AC:$AC)</f>
        <v>22265.11</v>
      </c>
      <c r="K331" s="14">
        <f t="shared" si="24"/>
        <v>29686.813333333335</v>
      </c>
      <c r="L331" s="18">
        <f t="shared" si="25"/>
        <v>0.6633333333338669</v>
      </c>
    </row>
    <row r="332" spans="2:12" x14ac:dyDescent="0.25">
      <c r="B332" t="s">
        <v>874</v>
      </c>
      <c r="C332" t="s">
        <v>865</v>
      </c>
      <c r="D332" t="s">
        <v>857</v>
      </c>
      <c r="E332">
        <f t="shared" si="22"/>
        <v>761601</v>
      </c>
      <c r="F332" s="38" t="s">
        <v>777</v>
      </c>
      <c r="G332" s="37">
        <v>1797</v>
      </c>
      <c r="H332" s="37"/>
      <c r="I332" s="41">
        <f t="shared" si="23"/>
        <v>1797</v>
      </c>
      <c r="J332">
        <f>+_xlfn.XLOOKUP(E332,[1]BDV!$F:$F,[1]BDV!$AC:$AC)</f>
        <v>1348</v>
      </c>
      <c r="K332" s="14">
        <f t="shared" si="24"/>
        <v>1797.3333333333333</v>
      </c>
      <c r="L332" s="18">
        <f t="shared" si="25"/>
        <v>0.33333333333325754</v>
      </c>
    </row>
    <row r="333" spans="2:12" x14ac:dyDescent="0.25">
      <c r="B333" t="s">
        <v>874</v>
      </c>
      <c r="C333" t="s">
        <v>865</v>
      </c>
      <c r="D333" t="s">
        <v>857</v>
      </c>
      <c r="E333">
        <f t="shared" si="22"/>
        <v>761607</v>
      </c>
      <c r="F333" s="38" t="s">
        <v>778</v>
      </c>
      <c r="G333" s="37">
        <v>1149429.6000000001</v>
      </c>
      <c r="H333" s="37"/>
      <c r="I333" s="41">
        <f t="shared" si="23"/>
        <v>1149429.6000000001</v>
      </c>
      <c r="J333">
        <f>+_xlfn.XLOOKUP(E333,[1]BDV!$F:$F,[1]BDV!$AC:$AC)</f>
        <v>862072.2</v>
      </c>
      <c r="K333" s="14">
        <f t="shared" si="24"/>
        <v>1149429.5999999999</v>
      </c>
      <c r="L333" s="18">
        <f t="shared" si="25"/>
        <v>0</v>
      </c>
    </row>
    <row r="334" spans="2:12" x14ac:dyDescent="0.25">
      <c r="B334" t="s">
        <v>874</v>
      </c>
      <c r="C334" t="s">
        <v>865</v>
      </c>
      <c r="D334" t="s">
        <v>857</v>
      </c>
      <c r="E334">
        <f t="shared" si="22"/>
        <v>780201</v>
      </c>
      <c r="F334" s="38" t="s">
        <v>779</v>
      </c>
      <c r="G334" s="37">
        <v>20291.61</v>
      </c>
      <c r="H334" s="37"/>
      <c r="I334" s="41">
        <f t="shared" si="23"/>
        <v>20291.61</v>
      </c>
      <c r="J334">
        <f>+_xlfn.XLOOKUP(E334,[1]BDV!$F:$F,[1]BDV!$AC:$AC)</f>
        <v>15218.71</v>
      </c>
      <c r="K334" s="14">
        <f t="shared" si="24"/>
        <v>20291.613333333331</v>
      </c>
      <c r="L334" s="18">
        <f t="shared" si="25"/>
        <v>3.3333333303744439E-3</v>
      </c>
    </row>
    <row r="335" spans="2:12" x14ac:dyDescent="0.25">
      <c r="B335" t="s">
        <v>874</v>
      </c>
      <c r="C335" t="s">
        <v>865</v>
      </c>
      <c r="D335" t="s">
        <v>857</v>
      </c>
      <c r="E335">
        <f t="shared" si="22"/>
        <v>780203</v>
      </c>
      <c r="F335" s="38" t="s">
        <v>780</v>
      </c>
      <c r="G335" s="37">
        <v>10848.45</v>
      </c>
      <c r="H335" s="37"/>
      <c r="I335" s="41">
        <f t="shared" si="23"/>
        <v>10848.45</v>
      </c>
      <c r="J335">
        <f>+_xlfn.XLOOKUP(E335,[1]BDV!$F:$F,[1]BDV!$AC:$AC)</f>
        <v>8136.34</v>
      </c>
      <c r="K335" s="14">
        <f t="shared" si="24"/>
        <v>10848.453333333333</v>
      </c>
      <c r="L335" s="18">
        <f t="shared" si="25"/>
        <v>3.3333333321934333E-3</v>
      </c>
    </row>
    <row r="336" spans="2:12" x14ac:dyDescent="0.25">
      <c r="B336" t="s">
        <v>874</v>
      </c>
      <c r="C336" t="s">
        <v>865</v>
      </c>
      <c r="D336" t="s">
        <v>857</v>
      </c>
      <c r="E336">
        <f t="shared" si="22"/>
        <v>780401</v>
      </c>
      <c r="F336" s="38" t="s">
        <v>781</v>
      </c>
      <c r="G336" s="37">
        <v>2477.7800000000002</v>
      </c>
      <c r="H336" s="37"/>
      <c r="I336" s="41">
        <f t="shared" si="23"/>
        <v>2477.7800000000002</v>
      </c>
      <c r="J336">
        <f>+_xlfn.XLOOKUP(E336,[1]BDV!$F:$F,[1]BDV!$AC:$AC)</f>
        <v>1827.02</v>
      </c>
      <c r="K336" s="14">
        <f t="shared" si="24"/>
        <v>2436.0266666666666</v>
      </c>
      <c r="L336" s="18">
        <f t="shared" si="25"/>
        <v>-41.753333333333558</v>
      </c>
    </row>
    <row r="337" spans="2:12" x14ac:dyDescent="0.25">
      <c r="B337" t="s">
        <v>874</v>
      </c>
      <c r="C337" t="s">
        <v>865</v>
      </c>
      <c r="D337" t="s">
        <v>857</v>
      </c>
      <c r="E337">
        <f t="shared" si="22"/>
        <v>780601</v>
      </c>
      <c r="F337" s="38" t="s">
        <v>782</v>
      </c>
      <c r="G337" s="37">
        <v>10599.88</v>
      </c>
      <c r="H337" s="37"/>
      <c r="I337" s="41">
        <f t="shared" si="23"/>
        <v>10599.88</v>
      </c>
      <c r="J337">
        <f>+_xlfn.XLOOKUP(E337,[1]BDV!$F:$F,[1]BDV!$AC:$AC)</f>
        <v>7949.91</v>
      </c>
      <c r="K337" s="14">
        <f t="shared" si="24"/>
        <v>10599.88</v>
      </c>
      <c r="L337" s="18">
        <f t="shared" si="25"/>
        <v>0</v>
      </c>
    </row>
    <row r="338" spans="2:12" x14ac:dyDescent="0.25">
      <c r="B338" t="s">
        <v>874</v>
      </c>
      <c r="C338" t="s">
        <v>865</v>
      </c>
      <c r="D338" t="s">
        <v>857</v>
      </c>
      <c r="E338">
        <f t="shared" si="22"/>
        <v>780603</v>
      </c>
      <c r="F338" s="38" t="s">
        <v>783</v>
      </c>
      <c r="G338" s="37">
        <v>22793.41</v>
      </c>
      <c r="H338" s="37"/>
      <c r="I338" s="41">
        <f t="shared" si="23"/>
        <v>22793.41</v>
      </c>
      <c r="J338">
        <f>+_xlfn.XLOOKUP(E338,[1]BDV!$F:$F,[1]BDV!$AC:$AC)</f>
        <v>17095.05</v>
      </c>
      <c r="K338" s="14">
        <f t="shared" si="24"/>
        <v>22793.399999999998</v>
      </c>
      <c r="L338" s="18">
        <f t="shared" si="25"/>
        <v>-1.0000000002037268E-2</v>
      </c>
    </row>
    <row r="339" spans="2:12" x14ac:dyDescent="0.25">
      <c r="B339" t="s">
        <v>874</v>
      </c>
      <c r="C339" t="s">
        <v>865</v>
      </c>
      <c r="D339" t="s">
        <v>857</v>
      </c>
      <c r="E339">
        <f t="shared" si="22"/>
        <v>781001</v>
      </c>
      <c r="F339" s="38" t="s">
        <v>784</v>
      </c>
      <c r="G339" s="37">
        <v>55735.82</v>
      </c>
      <c r="H339" s="37"/>
      <c r="I339" s="41">
        <f t="shared" si="23"/>
        <v>55735.82</v>
      </c>
      <c r="J339">
        <f>+_xlfn.XLOOKUP(E339,[1]BDV!$F:$F,[1]BDV!$AC:$AC)</f>
        <v>40982.21</v>
      </c>
      <c r="K339" s="14">
        <f t="shared" si="24"/>
        <v>54642.946666666663</v>
      </c>
      <c r="L339" s="18">
        <f t="shared" si="25"/>
        <v>-1092.8733333333366</v>
      </c>
    </row>
    <row r="340" spans="2:12" x14ac:dyDescent="0.25">
      <c r="B340" t="s">
        <v>874</v>
      </c>
      <c r="C340" t="s">
        <v>865</v>
      </c>
      <c r="D340" t="s">
        <v>857</v>
      </c>
      <c r="E340">
        <f t="shared" si="22"/>
        <v>781201</v>
      </c>
      <c r="F340" s="38" t="s">
        <v>785</v>
      </c>
      <c r="G340" s="37">
        <v>20604.490000000002</v>
      </c>
      <c r="H340" s="37"/>
      <c r="I340" s="41">
        <f t="shared" si="23"/>
        <v>20604.490000000002</v>
      </c>
      <c r="J340">
        <f>+_xlfn.XLOOKUP(E340,[1]BDV!$F:$F,[1]BDV!$AC:$AC)</f>
        <v>15346.69</v>
      </c>
      <c r="K340" s="14">
        <f t="shared" si="24"/>
        <v>20462.253333333334</v>
      </c>
      <c r="L340" s="18">
        <f t="shared" si="25"/>
        <v>-142.23666666666759</v>
      </c>
    </row>
    <row r="341" spans="2:12" x14ac:dyDescent="0.25">
      <c r="B341" t="s">
        <v>874</v>
      </c>
      <c r="C341" t="s">
        <v>865</v>
      </c>
      <c r="D341" t="s">
        <v>857</v>
      </c>
      <c r="E341">
        <f t="shared" si="22"/>
        <v>781401</v>
      </c>
      <c r="F341" s="38" t="s">
        <v>786</v>
      </c>
      <c r="G341" s="37">
        <v>22651.93</v>
      </c>
      <c r="H341" s="37"/>
      <c r="I341" s="41">
        <f t="shared" si="23"/>
        <v>22651.93</v>
      </c>
      <c r="J341">
        <f>+_xlfn.XLOOKUP(E341,[1]BDV!$F:$F,[1]BDV!$AC:$AC)</f>
        <v>16185.59</v>
      </c>
      <c r="K341" s="14">
        <f t="shared" si="24"/>
        <v>21580.786666666667</v>
      </c>
      <c r="L341" s="18">
        <f t="shared" si="25"/>
        <v>-1071.1433333333334</v>
      </c>
    </row>
    <row r="342" spans="2:12" x14ac:dyDescent="0.25">
      <c r="B342" t="s">
        <v>874</v>
      </c>
      <c r="C342" t="s">
        <v>865</v>
      </c>
      <c r="D342" t="s">
        <v>857</v>
      </c>
      <c r="E342">
        <f t="shared" si="22"/>
        <v>781801</v>
      </c>
      <c r="F342" s="38" t="s">
        <v>787</v>
      </c>
      <c r="G342" s="37">
        <v>13040.61</v>
      </c>
      <c r="H342" s="37"/>
      <c r="I342" s="41">
        <f t="shared" si="23"/>
        <v>13040.61</v>
      </c>
      <c r="J342">
        <f>+_xlfn.XLOOKUP(E342,[1]BDV!$F:$F,[1]BDV!$AC:$AC)</f>
        <v>9780.4599999999991</v>
      </c>
      <c r="K342" s="14">
        <f t="shared" si="24"/>
        <v>13040.613333333333</v>
      </c>
      <c r="L342" s="18">
        <f t="shared" si="25"/>
        <v>3.3333333321934333E-3</v>
      </c>
    </row>
    <row r="343" spans="2:12" x14ac:dyDescent="0.25">
      <c r="B343" t="s">
        <v>874</v>
      </c>
      <c r="C343" t="s">
        <v>865</v>
      </c>
      <c r="D343" t="s">
        <v>857</v>
      </c>
      <c r="E343">
        <f t="shared" si="22"/>
        <v>782001</v>
      </c>
      <c r="F343" s="38" t="s">
        <v>788</v>
      </c>
      <c r="G343" s="37">
        <v>2941.77</v>
      </c>
      <c r="H343" s="37"/>
      <c r="I343" s="41">
        <f t="shared" si="23"/>
        <v>2941.77</v>
      </c>
      <c r="J343">
        <f>+_xlfn.XLOOKUP(E343,[1]BDV!$F:$F,[1]BDV!$AC:$AC)</f>
        <v>2206.33</v>
      </c>
      <c r="K343" s="14">
        <f t="shared" si="24"/>
        <v>2941.7733333333331</v>
      </c>
      <c r="L343" s="18">
        <f t="shared" si="25"/>
        <v>3.333333333102928E-3</v>
      </c>
    </row>
    <row r="344" spans="2:12" x14ac:dyDescent="0.25">
      <c r="B344" t="s">
        <v>874</v>
      </c>
      <c r="C344" t="s">
        <v>865</v>
      </c>
      <c r="D344" t="s">
        <v>857</v>
      </c>
      <c r="E344">
        <f t="shared" ref="E344:E367" si="26">+_xlfn.NUMBERVALUE(LEFT(F344,6))</f>
        <v>782401</v>
      </c>
      <c r="F344" s="38" t="s">
        <v>789</v>
      </c>
      <c r="G344" s="37">
        <v>897.83</v>
      </c>
      <c r="H344" s="37"/>
      <c r="I344" s="41">
        <f t="shared" si="23"/>
        <v>897.83</v>
      </c>
      <c r="J344">
        <f>+_xlfn.XLOOKUP(E344,[1]BDV!$F:$F,[1]BDV!$AC:$AC)</f>
        <v>673.37</v>
      </c>
      <c r="K344" s="14">
        <f t="shared" si="24"/>
        <v>897.82666666666671</v>
      </c>
      <c r="L344" s="18">
        <f t="shared" si="25"/>
        <v>-3.3333333333303017E-3</v>
      </c>
    </row>
    <row r="345" spans="2:12" x14ac:dyDescent="0.25">
      <c r="B345" t="s">
        <v>874</v>
      </c>
      <c r="C345" t="s">
        <v>865</v>
      </c>
      <c r="D345" t="s">
        <v>857</v>
      </c>
      <c r="E345">
        <f t="shared" si="26"/>
        <v>782801</v>
      </c>
      <c r="F345" s="38" t="s">
        <v>790</v>
      </c>
      <c r="G345" s="37">
        <v>34.200000000000003</v>
      </c>
      <c r="H345" s="37"/>
      <c r="I345" s="41">
        <f t="shared" si="23"/>
        <v>34.200000000000003</v>
      </c>
      <c r="J345">
        <f>+_xlfn.XLOOKUP(E345,[1]BDV!$F:$F,[1]BDV!$AC:$AC)</f>
        <v>20.65</v>
      </c>
      <c r="K345" s="14">
        <f t="shared" si="24"/>
        <v>27.533333333333331</v>
      </c>
      <c r="L345" s="18">
        <f t="shared" si="25"/>
        <v>-6.6666666666666714</v>
      </c>
    </row>
    <row r="346" spans="2:12" x14ac:dyDescent="0.25">
      <c r="B346" t="s">
        <v>874</v>
      </c>
      <c r="C346" t="s">
        <v>865</v>
      </c>
      <c r="D346" t="s">
        <v>854</v>
      </c>
      <c r="E346">
        <f t="shared" si="26"/>
        <v>800205</v>
      </c>
      <c r="F346" s="38" t="s">
        <v>791</v>
      </c>
      <c r="G346" s="37"/>
      <c r="H346" s="37">
        <v>5244545.07</v>
      </c>
      <c r="I346" s="41">
        <f t="shared" si="23"/>
        <v>-5244545.07</v>
      </c>
      <c r="J346">
        <f>+_xlfn.XLOOKUP(E346,[1]BDV!$F:$F,[1]BDV!$AC:$AC)</f>
        <v>-5063325.13</v>
      </c>
      <c r="K346" s="14">
        <f t="shared" si="24"/>
        <v>-6751100.1733333329</v>
      </c>
      <c r="L346" s="18">
        <f t="shared" si="25"/>
        <v>-1506555.1033333326</v>
      </c>
    </row>
    <row r="347" spans="2:12" x14ac:dyDescent="0.25">
      <c r="B347" t="s">
        <v>874</v>
      </c>
      <c r="C347" t="s">
        <v>865</v>
      </c>
      <c r="D347" t="s">
        <v>854</v>
      </c>
      <c r="E347">
        <f t="shared" si="26"/>
        <v>800405</v>
      </c>
      <c r="F347" s="38" t="s">
        <v>792</v>
      </c>
      <c r="G347" s="37">
        <v>2131263.21</v>
      </c>
      <c r="H347" s="37"/>
      <c r="I347" s="41">
        <f t="shared" si="23"/>
        <v>2131263.21</v>
      </c>
      <c r="J347">
        <f>+_xlfn.XLOOKUP(E347,[1]BDV!$F:$F,[1]BDV!$AC:$AC)</f>
        <v>2131263.21</v>
      </c>
      <c r="K347" s="14">
        <f t="shared" si="24"/>
        <v>2841684.28</v>
      </c>
      <c r="L347" s="18">
        <f t="shared" si="25"/>
        <v>710421.06999999983</v>
      </c>
    </row>
    <row r="348" spans="2:12" x14ac:dyDescent="0.25">
      <c r="B348" t="s">
        <v>874</v>
      </c>
      <c r="C348" t="s">
        <v>865</v>
      </c>
      <c r="D348" t="s">
        <v>855</v>
      </c>
      <c r="E348">
        <f t="shared" si="26"/>
        <v>840201</v>
      </c>
      <c r="F348" s="38" t="s">
        <v>793</v>
      </c>
      <c r="G348" s="37">
        <v>27236.49</v>
      </c>
      <c r="H348" s="37"/>
      <c r="I348" s="41">
        <f t="shared" si="23"/>
        <v>27236.49</v>
      </c>
      <c r="J348">
        <f>+_xlfn.XLOOKUP(E348,[1]BDV!$F:$F,[1]BDV!$AC:$AC)</f>
        <v>0</v>
      </c>
      <c r="K348" s="14">
        <f t="shared" si="24"/>
        <v>0</v>
      </c>
      <c r="L348" s="18">
        <f t="shared" si="25"/>
        <v>-27236.49</v>
      </c>
    </row>
    <row r="349" spans="2:12" x14ac:dyDescent="0.25">
      <c r="B349" t="s">
        <v>874</v>
      </c>
      <c r="C349" t="s">
        <v>865</v>
      </c>
      <c r="D349" t="s">
        <v>855</v>
      </c>
      <c r="E349">
        <f t="shared" si="26"/>
        <v>840401</v>
      </c>
      <c r="F349" s="38" t="s">
        <v>794</v>
      </c>
      <c r="G349" s="37">
        <v>1104.5999999999999</v>
      </c>
      <c r="H349" s="37"/>
      <c r="I349" s="41">
        <f t="shared" si="23"/>
        <v>1104.5999999999999</v>
      </c>
      <c r="J349">
        <f>+_xlfn.XLOOKUP(E349,[1]BDV!$F:$F,[1]BDV!$AC:$AC)</f>
        <v>1001.39</v>
      </c>
      <c r="K349" s="14">
        <f t="shared" si="24"/>
        <v>1335.1866666666667</v>
      </c>
      <c r="L349" s="18">
        <f t="shared" si="25"/>
        <v>230.58666666666682</v>
      </c>
    </row>
    <row r="350" spans="2:12" x14ac:dyDescent="0.25">
      <c r="B350" t="s">
        <v>874</v>
      </c>
      <c r="C350" t="s">
        <v>865</v>
      </c>
      <c r="D350" t="s">
        <v>855</v>
      </c>
      <c r="E350">
        <f t="shared" si="26"/>
        <v>840403</v>
      </c>
      <c r="F350" s="38" t="s">
        <v>795</v>
      </c>
      <c r="G350" s="37">
        <v>11383.67</v>
      </c>
      <c r="H350" s="37"/>
      <c r="I350" s="41">
        <f t="shared" si="23"/>
        <v>11383.67</v>
      </c>
      <c r="J350">
        <f>+_xlfn.XLOOKUP(E350,[1]BDV!$F:$F,[1]BDV!$AC:$AC)</f>
        <v>5454.1</v>
      </c>
      <c r="K350" s="14">
        <f t="shared" si="24"/>
        <v>7272.1333333333341</v>
      </c>
      <c r="L350" s="18">
        <f t="shared" si="25"/>
        <v>-4111.536666666666</v>
      </c>
    </row>
    <row r="351" spans="2:12" x14ac:dyDescent="0.25">
      <c r="B351" t="s">
        <v>874</v>
      </c>
      <c r="C351" t="s">
        <v>865</v>
      </c>
      <c r="D351" t="s">
        <v>855</v>
      </c>
      <c r="E351">
        <f t="shared" si="26"/>
        <v>840601</v>
      </c>
      <c r="F351" s="38" t="s">
        <v>796</v>
      </c>
      <c r="G351" s="37">
        <v>1910.05</v>
      </c>
      <c r="H351" s="37"/>
      <c r="I351" s="41">
        <f t="shared" si="23"/>
        <v>1910.05</v>
      </c>
      <c r="J351">
        <f>+_xlfn.XLOOKUP(E351,[1]BDV!$F:$F,[1]BDV!$AC:$AC)</f>
        <v>1059.22</v>
      </c>
      <c r="K351" s="14">
        <f t="shared" si="24"/>
        <v>1412.2933333333333</v>
      </c>
      <c r="L351" s="18">
        <f t="shared" si="25"/>
        <v>-497.75666666666666</v>
      </c>
    </row>
    <row r="352" spans="2:12" x14ac:dyDescent="0.25">
      <c r="B352" t="s">
        <v>874</v>
      </c>
      <c r="C352" t="s">
        <v>865</v>
      </c>
      <c r="D352" t="s">
        <v>853</v>
      </c>
      <c r="E352">
        <f t="shared" si="26"/>
        <v>860207</v>
      </c>
      <c r="F352" s="38" t="s">
        <v>797</v>
      </c>
      <c r="G352" s="37">
        <v>22519.83</v>
      </c>
      <c r="H352" s="37"/>
      <c r="I352" s="41">
        <f t="shared" si="23"/>
        <v>22519.83</v>
      </c>
      <c r="J352">
        <f>+_xlfn.XLOOKUP(E352,[1]BDV!$F:$F,[1]BDV!$AC:$AC)</f>
        <v>2672.45</v>
      </c>
      <c r="K352" s="14">
        <f t="shared" si="24"/>
        <v>3563.2666666666664</v>
      </c>
      <c r="L352" s="18">
        <f t="shared" si="25"/>
        <v>-18956.563333333335</v>
      </c>
    </row>
    <row r="353" spans="2:12" x14ac:dyDescent="0.25">
      <c r="B353" t="s">
        <v>874</v>
      </c>
      <c r="C353" t="s">
        <v>865</v>
      </c>
      <c r="D353" t="s">
        <v>855</v>
      </c>
      <c r="E353">
        <f t="shared" si="26"/>
        <v>860209</v>
      </c>
      <c r="F353" s="38" t="s">
        <v>798</v>
      </c>
      <c r="G353" s="37">
        <v>172.36</v>
      </c>
      <c r="H353" s="37"/>
      <c r="I353" s="41">
        <f t="shared" si="23"/>
        <v>172.36</v>
      </c>
      <c r="J353">
        <f>+_xlfn.XLOOKUP(E353,[1]BDV!$F:$F,[1]BDV!$AC:$AC)</f>
        <v>0</v>
      </c>
      <c r="K353" s="14">
        <f t="shared" si="24"/>
        <v>0</v>
      </c>
      <c r="L353" s="18">
        <f t="shared" si="25"/>
        <v>-172.36</v>
      </c>
    </row>
    <row r="354" spans="2:12" x14ac:dyDescent="0.25">
      <c r="B354" t="s">
        <v>874</v>
      </c>
      <c r="C354" t="s">
        <v>865</v>
      </c>
      <c r="D354" t="s">
        <v>855</v>
      </c>
      <c r="E354">
        <f t="shared" si="26"/>
        <v>880201</v>
      </c>
      <c r="F354" s="38" t="s">
        <v>799</v>
      </c>
      <c r="G354" s="37">
        <v>3109</v>
      </c>
      <c r="H354" s="37"/>
      <c r="I354" s="41">
        <f t="shared" si="23"/>
        <v>3109</v>
      </c>
      <c r="J354">
        <f>+_xlfn.XLOOKUP(E354,[1]BDV!$F:$F,[1]BDV!$AC:$AC)</f>
        <v>3109</v>
      </c>
      <c r="K354" s="14">
        <f t="shared" si="24"/>
        <v>4145.333333333333</v>
      </c>
      <c r="L354" s="18">
        <f t="shared" si="25"/>
        <v>1036.333333333333</v>
      </c>
    </row>
    <row r="355" spans="2:12" x14ac:dyDescent="0.25">
      <c r="B355" t="s">
        <v>874</v>
      </c>
      <c r="C355" t="s">
        <v>865</v>
      </c>
      <c r="D355" t="s">
        <v>855</v>
      </c>
      <c r="E355">
        <f t="shared" si="26"/>
        <v>880203</v>
      </c>
      <c r="F355" s="38" t="s">
        <v>800</v>
      </c>
      <c r="G355" s="37">
        <v>3015.38</v>
      </c>
      <c r="H355" s="37"/>
      <c r="I355" s="41">
        <f t="shared" si="23"/>
        <v>3015.38</v>
      </c>
      <c r="J355">
        <f>+_xlfn.XLOOKUP(E355,[1]BDV!$F:$F,[1]BDV!$AC:$AC)</f>
        <v>2714.86</v>
      </c>
      <c r="K355" s="14">
        <f t="shared" si="24"/>
        <v>3619.8133333333335</v>
      </c>
      <c r="L355" s="18">
        <f t="shared" si="25"/>
        <v>604.43333333333339</v>
      </c>
    </row>
    <row r="356" spans="2:12" x14ac:dyDescent="0.25">
      <c r="B356" t="s">
        <v>874</v>
      </c>
      <c r="C356" t="s">
        <v>865</v>
      </c>
      <c r="D356" t="s">
        <v>858</v>
      </c>
      <c r="E356">
        <f t="shared" si="26"/>
        <v>880205</v>
      </c>
      <c r="F356" s="38" t="s">
        <v>801</v>
      </c>
      <c r="G356" s="37">
        <v>140731.57</v>
      </c>
      <c r="H356" s="37"/>
      <c r="I356" s="41">
        <f t="shared" si="23"/>
        <v>140731.57</v>
      </c>
      <c r="J356">
        <f>+_xlfn.XLOOKUP(E356,[1]BDV!$F:$F,[1]BDV!$AC:$AC)</f>
        <v>69294.62</v>
      </c>
      <c r="K356" s="14">
        <f t="shared" si="24"/>
        <v>92392.82666666666</v>
      </c>
      <c r="L356" s="18">
        <f t="shared" si="25"/>
        <v>-48338.743333333347</v>
      </c>
    </row>
    <row r="357" spans="2:12" x14ac:dyDescent="0.25">
      <c r="B357" t="s">
        <v>874</v>
      </c>
      <c r="C357" t="s">
        <v>865</v>
      </c>
      <c r="D357" t="s">
        <v>858</v>
      </c>
      <c r="E357">
        <f t="shared" si="26"/>
        <v>880207</v>
      </c>
      <c r="F357" s="38" t="s">
        <v>802</v>
      </c>
      <c r="G357" s="37">
        <v>166401.98000000001</v>
      </c>
      <c r="H357" s="37"/>
      <c r="I357" s="41">
        <f t="shared" si="23"/>
        <v>166401.98000000001</v>
      </c>
      <c r="J357">
        <f>+_xlfn.XLOOKUP(E357,[1]BDV!$F:$F,[1]BDV!$AC:$AC)</f>
        <v>165226.79</v>
      </c>
      <c r="K357" s="14">
        <f t="shared" si="24"/>
        <v>220302.38666666669</v>
      </c>
      <c r="L357" s="18">
        <f t="shared" si="25"/>
        <v>53900.406666666677</v>
      </c>
    </row>
    <row r="358" spans="2:12" x14ac:dyDescent="0.25">
      <c r="B358" t="s">
        <v>874</v>
      </c>
      <c r="C358" t="s">
        <v>865</v>
      </c>
      <c r="D358" t="s">
        <v>855</v>
      </c>
      <c r="E358">
        <f t="shared" si="26"/>
        <v>880209</v>
      </c>
      <c r="F358" s="38" t="s">
        <v>803</v>
      </c>
      <c r="G358" s="37">
        <v>2375.6799999999998</v>
      </c>
      <c r="H358" s="37"/>
      <c r="I358" s="41">
        <f t="shared" si="23"/>
        <v>2375.6799999999998</v>
      </c>
      <c r="J358">
        <f>+_xlfn.XLOOKUP(E358,[1]BDV!$F:$F,[1]BDV!$AC:$AC)</f>
        <v>2375.6799999999998</v>
      </c>
      <c r="K358" s="14">
        <f t="shared" si="24"/>
        <v>3167.5733333333333</v>
      </c>
      <c r="L358" s="18">
        <f t="shared" si="25"/>
        <v>791.89333333333343</v>
      </c>
    </row>
    <row r="359" spans="2:12" x14ac:dyDescent="0.25">
      <c r="B359" t="s">
        <v>874</v>
      </c>
      <c r="C359" t="s">
        <v>865</v>
      </c>
      <c r="D359" t="s">
        <v>855</v>
      </c>
      <c r="E359">
        <f t="shared" si="26"/>
        <v>880211</v>
      </c>
      <c r="F359" s="38" t="s">
        <v>804</v>
      </c>
      <c r="G359" s="37">
        <v>3568.16</v>
      </c>
      <c r="H359" s="37"/>
      <c r="I359" s="41">
        <f t="shared" si="23"/>
        <v>3568.16</v>
      </c>
      <c r="J359">
        <f>+_xlfn.XLOOKUP(E359,[1]BDV!$F:$F,[1]BDV!$AC:$AC)</f>
        <v>367.42</v>
      </c>
      <c r="K359" s="14">
        <f t="shared" si="24"/>
        <v>489.89333333333337</v>
      </c>
      <c r="L359" s="18">
        <f t="shared" si="25"/>
        <v>-3078.2666666666664</v>
      </c>
    </row>
    <row r="360" spans="2:12" x14ac:dyDescent="0.25">
      <c r="B360" t="s">
        <v>874</v>
      </c>
      <c r="C360" t="s">
        <v>865</v>
      </c>
      <c r="D360" t="s">
        <v>855</v>
      </c>
      <c r="E360">
        <f t="shared" si="26"/>
        <v>880601</v>
      </c>
      <c r="F360" s="38" t="s">
        <v>805</v>
      </c>
      <c r="G360" s="37"/>
      <c r="H360" s="37">
        <v>112.46</v>
      </c>
      <c r="I360" s="41">
        <f t="shared" si="23"/>
        <v>-112.46</v>
      </c>
      <c r="J360">
        <f>+_xlfn.XLOOKUP(E360,[1]BDV!$F:$F,[1]BDV!$AC:$AC)</f>
        <v>-114.67</v>
      </c>
      <c r="K360" s="14">
        <f t="shared" si="24"/>
        <v>-152.89333333333335</v>
      </c>
      <c r="L360" s="18">
        <f t="shared" si="25"/>
        <v>-40.433333333333351</v>
      </c>
    </row>
    <row r="361" spans="2:12" x14ac:dyDescent="0.25">
      <c r="B361" t="s">
        <v>874</v>
      </c>
      <c r="C361" t="s">
        <v>865</v>
      </c>
      <c r="D361" t="s">
        <v>855</v>
      </c>
      <c r="E361">
        <f t="shared" si="26"/>
        <v>880803</v>
      </c>
      <c r="F361" s="38" t="s">
        <v>806</v>
      </c>
      <c r="G361" s="37">
        <v>5236.0200000000004</v>
      </c>
      <c r="H361" s="37"/>
      <c r="I361" s="41">
        <f t="shared" si="23"/>
        <v>5236.0200000000004</v>
      </c>
      <c r="J361">
        <f>+_xlfn.XLOOKUP(E361,[1]BDV!$F:$F,[1]BDV!$AC:$AC)</f>
        <v>3352.25</v>
      </c>
      <c r="K361" s="14">
        <f t="shared" si="24"/>
        <v>4469.666666666667</v>
      </c>
      <c r="L361" s="18">
        <f t="shared" si="25"/>
        <v>-766.35333333333347</v>
      </c>
    </row>
    <row r="362" spans="2:12" x14ac:dyDescent="0.25">
      <c r="B362" t="s">
        <v>874</v>
      </c>
      <c r="C362" t="s">
        <v>865</v>
      </c>
      <c r="D362" t="s">
        <v>855</v>
      </c>
      <c r="E362">
        <f t="shared" si="26"/>
        <v>881001</v>
      </c>
      <c r="F362" s="38" t="s">
        <v>807</v>
      </c>
      <c r="G362" s="37">
        <v>24265</v>
      </c>
      <c r="H362" s="37"/>
      <c r="I362" s="41">
        <f t="shared" si="23"/>
        <v>24265</v>
      </c>
      <c r="J362">
        <f>+_xlfn.XLOOKUP(E362,[1]BDV!$F:$F,[1]BDV!$AC:$AC)</f>
        <v>22265</v>
      </c>
      <c r="K362" s="14">
        <f t="shared" si="24"/>
        <v>29686.666666666668</v>
      </c>
      <c r="L362" s="18">
        <f t="shared" si="25"/>
        <v>5421.6666666666679</v>
      </c>
    </row>
    <row r="363" spans="2:12" x14ac:dyDescent="0.25">
      <c r="B363" t="s">
        <v>874</v>
      </c>
      <c r="C363" t="s">
        <v>865</v>
      </c>
      <c r="D363" t="s">
        <v>859</v>
      </c>
      <c r="E363">
        <f t="shared" si="26"/>
        <v>900201</v>
      </c>
      <c r="F363" s="38" t="s">
        <v>808</v>
      </c>
      <c r="G363" s="37"/>
      <c r="H363" s="37">
        <v>214475.36</v>
      </c>
      <c r="I363" s="41">
        <f t="shared" si="23"/>
        <v>-214475.36</v>
      </c>
      <c r="J363">
        <f>+_xlfn.XLOOKUP(E363,[1]BDV!$F:$F,[1]BDV!$AC:$AC)</f>
        <v>16821.080000000002</v>
      </c>
      <c r="K363" s="14">
        <f t="shared" si="24"/>
        <v>22428.10666666667</v>
      </c>
      <c r="L363" s="18">
        <f t="shared" si="25"/>
        <v>236903.46666666665</v>
      </c>
    </row>
    <row r="364" spans="2:12" x14ac:dyDescent="0.25">
      <c r="B364" t="s">
        <v>874</v>
      </c>
      <c r="C364" t="s">
        <v>863</v>
      </c>
      <c r="D364" t="s">
        <v>859</v>
      </c>
      <c r="E364">
        <f t="shared" si="26"/>
        <v>900209</v>
      </c>
      <c r="F364" s="38" t="s">
        <v>809</v>
      </c>
      <c r="G364" s="37"/>
      <c r="H364" s="37">
        <v>19111.54</v>
      </c>
      <c r="I364" s="41">
        <f t="shared" si="23"/>
        <v>-19111.54</v>
      </c>
      <c r="J364">
        <f>+_xlfn.XLOOKUP(E364,[1]BDV!$F:$F,[1]BDV!$AC:$AC)</f>
        <v>-8317.8799999999992</v>
      </c>
      <c r="K364" s="14">
        <f t="shared" si="24"/>
        <v>-11090.506666666666</v>
      </c>
      <c r="L364" s="18">
        <f t="shared" si="25"/>
        <v>8021.0333333333347</v>
      </c>
    </row>
    <row r="365" spans="2:12" x14ac:dyDescent="0.25">
      <c r="B365" t="s">
        <v>874</v>
      </c>
      <c r="C365" t="s">
        <v>865</v>
      </c>
      <c r="D365" t="s">
        <v>860</v>
      </c>
      <c r="E365">
        <f t="shared" si="26"/>
        <v>920207</v>
      </c>
      <c r="F365" s="38" t="s">
        <v>810</v>
      </c>
      <c r="G365" s="37">
        <v>83426.69</v>
      </c>
      <c r="H365" s="37"/>
      <c r="I365" s="41">
        <f t="shared" si="23"/>
        <v>83426.69</v>
      </c>
      <c r="J365">
        <f>+_xlfn.XLOOKUP(E365,[1]BDV!$F:$F,[1]BDV!$AC:$AC)</f>
        <v>59077.17</v>
      </c>
      <c r="K365" s="14">
        <f t="shared" si="24"/>
        <v>78769.56</v>
      </c>
      <c r="L365" s="18">
        <f t="shared" si="25"/>
        <v>-4657.1300000000047</v>
      </c>
    </row>
    <row r="366" spans="2:12" x14ac:dyDescent="0.25">
      <c r="B366" t="s">
        <v>874</v>
      </c>
      <c r="C366" t="s">
        <v>865</v>
      </c>
      <c r="D366" t="s">
        <v>860</v>
      </c>
      <c r="E366">
        <f t="shared" si="26"/>
        <v>920211</v>
      </c>
      <c r="F366" s="38" t="s">
        <v>811</v>
      </c>
      <c r="G366" s="37">
        <v>14.09</v>
      </c>
      <c r="H366" s="37"/>
      <c r="I366" s="41">
        <f t="shared" si="23"/>
        <v>14.09</v>
      </c>
      <c r="J366">
        <f>+_xlfn.XLOOKUP(E366,[1]BDV!$F:$F,[1]BDV!$AC:$AC)</f>
        <v>0</v>
      </c>
      <c r="K366" s="14">
        <f t="shared" si="24"/>
        <v>0</v>
      </c>
      <c r="L366" s="18">
        <f t="shared" si="25"/>
        <v>-14.09</v>
      </c>
    </row>
    <row r="367" spans="2:12" x14ac:dyDescent="0.25">
      <c r="B367" t="s">
        <v>874</v>
      </c>
      <c r="C367" t="s">
        <v>865</v>
      </c>
      <c r="D367" t="s">
        <v>860</v>
      </c>
      <c r="E367">
        <f t="shared" si="26"/>
        <v>920213</v>
      </c>
      <c r="F367" s="38" t="s">
        <v>812</v>
      </c>
      <c r="G367" s="37">
        <v>661.76</v>
      </c>
      <c r="H367" s="37"/>
      <c r="I367" s="41">
        <f t="shared" si="23"/>
        <v>661.76</v>
      </c>
      <c r="J367">
        <f>+_xlfn.XLOOKUP(E367,[1]BDV!$F:$F,[1]BDV!$AC:$AC)</f>
        <v>615.73</v>
      </c>
      <c r="K367" s="14">
        <f t="shared" si="24"/>
        <v>820.97333333333336</v>
      </c>
      <c r="L367" s="18">
        <f t="shared" si="25"/>
        <v>159.21333333333337</v>
      </c>
    </row>
    <row r="368" spans="2:12" x14ac:dyDescent="0.25">
      <c r="B368" t="s">
        <v>874</v>
      </c>
      <c r="C368" t="s">
        <v>865</v>
      </c>
      <c r="D368" t="s">
        <v>860</v>
      </c>
      <c r="E368">
        <f t="shared" ref="E368:E370" si="27">+_xlfn.NUMBERVALUE(LEFT(F368,6))</f>
        <v>920215</v>
      </c>
      <c r="F368" s="38" t="s">
        <v>813</v>
      </c>
      <c r="G368" s="37">
        <v>487688.42</v>
      </c>
      <c r="H368" s="37"/>
      <c r="I368" s="41">
        <f t="shared" si="23"/>
        <v>487688.42</v>
      </c>
      <c r="J368">
        <f>+_xlfn.XLOOKUP(E368,[1]BDV!$F:$F,[1]BDV!$AC:$AC)</f>
        <v>418991.35</v>
      </c>
      <c r="K368" s="14">
        <f t="shared" si="24"/>
        <v>558655.1333333333</v>
      </c>
      <c r="L368" s="18">
        <f t="shared" si="25"/>
        <v>70966.713333333319</v>
      </c>
    </row>
    <row r="369" spans="2:12" x14ac:dyDescent="0.25">
      <c r="B369" t="s">
        <v>874</v>
      </c>
      <c r="C369" t="s">
        <v>865</v>
      </c>
      <c r="D369" t="s">
        <v>861</v>
      </c>
      <c r="E369">
        <f t="shared" si="27"/>
        <v>940201</v>
      </c>
      <c r="F369" s="38" t="s">
        <v>814</v>
      </c>
      <c r="G369" s="37">
        <v>4801</v>
      </c>
      <c r="H369" s="37"/>
      <c r="I369" s="41">
        <f t="shared" si="23"/>
        <v>4801</v>
      </c>
      <c r="J369">
        <f>+_xlfn.XLOOKUP(E369,[1]BDV!$F:$F,[1]BDV!$AC:$AC)</f>
        <v>0</v>
      </c>
      <c r="K369" s="14">
        <f t="shared" si="24"/>
        <v>0</v>
      </c>
      <c r="L369" s="18">
        <f t="shared" si="25"/>
        <v>-4801</v>
      </c>
    </row>
    <row r="370" spans="2:12" x14ac:dyDescent="0.25">
      <c r="B370" t="s">
        <v>874</v>
      </c>
      <c r="C370" t="s">
        <v>865</v>
      </c>
      <c r="D370" t="s">
        <v>861</v>
      </c>
      <c r="E370">
        <f t="shared" si="27"/>
        <v>940209</v>
      </c>
      <c r="F370" s="38" t="s">
        <v>815</v>
      </c>
      <c r="G370" s="37">
        <v>29605</v>
      </c>
      <c r="H370" s="37"/>
      <c r="I370" s="41">
        <f t="shared" si="23"/>
        <v>29605</v>
      </c>
      <c r="J370">
        <f>+_xlfn.XLOOKUP(E370,[1]BDV!$F:$F,[1]BDV!$AC:$AC)</f>
        <v>0</v>
      </c>
      <c r="K370" s="14">
        <f t="shared" si="24"/>
        <v>0</v>
      </c>
      <c r="L370" s="18">
        <f t="shared" si="25"/>
        <v>-29605</v>
      </c>
    </row>
    <row r="371" spans="2:12" hidden="1" x14ac:dyDescent="0.25">
      <c r="B371" t="s">
        <v>873</v>
      </c>
      <c r="C371">
        <v>0</v>
      </c>
      <c r="D371" t="s">
        <v>832</v>
      </c>
      <c r="E371" t="s">
        <v>816</v>
      </c>
      <c r="F371" s="40" t="s">
        <v>817</v>
      </c>
      <c r="G371" s="37">
        <v>661599.88</v>
      </c>
      <c r="H371" s="37"/>
      <c r="I371" s="41">
        <f t="shared" si="23"/>
        <v>661599.88</v>
      </c>
      <c r="J371">
        <f>+_xlfn.XLOOKUP(E371,[1]BDV!$F:$F,[1]BDV!$AC:$AC)</f>
        <v>588931.56000000006</v>
      </c>
      <c r="K371" s="14">
        <f t="shared" si="24"/>
        <v>785242.08000000007</v>
      </c>
      <c r="L371" s="18">
        <f t="shared" si="25"/>
        <v>123642.20000000007</v>
      </c>
    </row>
    <row r="372" spans="2:12" hidden="1" x14ac:dyDescent="0.25">
      <c r="B372" t="s">
        <v>873</v>
      </c>
      <c r="C372">
        <v>0</v>
      </c>
      <c r="D372" t="s">
        <v>841</v>
      </c>
      <c r="E372" t="s">
        <v>818</v>
      </c>
      <c r="F372" s="40" t="s">
        <v>819</v>
      </c>
      <c r="G372" s="37"/>
      <c r="H372" s="37">
        <v>787113.65</v>
      </c>
      <c r="I372" s="41">
        <f t="shared" si="23"/>
        <v>-787113.65</v>
      </c>
      <c r="J372">
        <f>+_xlfn.XLOOKUP(E372,[1]BDV!$F:$F,[1]BDV!$AC:$AC)</f>
        <v>-645871.07999999996</v>
      </c>
      <c r="K372" s="14">
        <f t="shared" si="24"/>
        <v>-861161.44</v>
      </c>
      <c r="L372" s="18">
        <f t="shared" si="25"/>
        <v>-74047.789999999921</v>
      </c>
    </row>
    <row r="373" spans="2:12" x14ac:dyDescent="0.25">
      <c r="B373" t="s">
        <v>874</v>
      </c>
      <c r="C373" t="s">
        <v>865</v>
      </c>
      <c r="D373" t="s">
        <v>854</v>
      </c>
      <c r="E373" t="s">
        <v>820</v>
      </c>
      <c r="F373" s="40" t="s">
        <v>821</v>
      </c>
      <c r="G373" s="37">
        <v>123959.8</v>
      </c>
      <c r="H373" s="37"/>
      <c r="I373" s="41">
        <f t="shared" si="23"/>
        <v>123959.8</v>
      </c>
      <c r="J373">
        <f>+_xlfn.XLOOKUP(E373,[1]BDV!$F:$F,[1]BDV!$AC:$AC)</f>
        <v>56939.519999999997</v>
      </c>
      <c r="K373" s="14">
        <f t="shared" si="24"/>
        <v>75919.360000000001</v>
      </c>
      <c r="L373" s="18">
        <f t="shared" si="25"/>
        <v>-48040.44</v>
      </c>
    </row>
    <row r="374" spans="2:12" hidden="1" x14ac:dyDescent="0.25">
      <c r="B374" t="s">
        <v>873</v>
      </c>
      <c r="C374">
        <v>0</v>
      </c>
      <c r="D374" t="s">
        <v>832</v>
      </c>
      <c r="E374" t="s">
        <v>824</v>
      </c>
      <c r="F374" s="40" t="s">
        <v>825</v>
      </c>
      <c r="G374" s="37">
        <v>1553.97</v>
      </c>
      <c r="H374" s="37"/>
      <c r="I374" s="41">
        <f t="shared" si="23"/>
        <v>1553.97</v>
      </c>
      <c r="J374">
        <f>+_xlfn.XLOOKUP(E374,[1]BDV!$F:$F,[1]BDV!$AC:$AC)</f>
        <v>0</v>
      </c>
      <c r="K374" s="14">
        <f t="shared" si="24"/>
        <v>0</v>
      </c>
      <c r="L374" s="18">
        <f t="shared" si="25"/>
        <v>-1553.97</v>
      </c>
    </row>
  </sheetData>
  <autoFilter ref="B4:L374" xr:uid="{F6200EC2-75FE-4BBD-B5A1-E7407B4F62A0}">
    <filterColumn colId="0">
      <filters>
        <filter val="C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0744-E939-4EA6-9332-91407A553296}">
  <sheetPr filterMode="1"/>
  <dimension ref="B2:P153"/>
  <sheetViews>
    <sheetView showGridLines="0" workbookViewId="0">
      <selection activeCell="L16" sqref="L16"/>
    </sheetView>
  </sheetViews>
  <sheetFormatPr defaultRowHeight="15" x14ac:dyDescent="0.25"/>
  <cols>
    <col min="3" max="3" width="9.7109375" bestFit="1" customWidth="1"/>
    <col min="6" max="6" width="25.5703125" customWidth="1"/>
    <col min="7" max="7" width="28.42578125" bestFit="1" customWidth="1"/>
    <col min="8" max="8" width="13.7109375" customWidth="1"/>
    <col min="9" max="9" width="16" customWidth="1"/>
    <col min="10" max="10" width="13.7109375" style="18" customWidth="1"/>
    <col min="11" max="11" width="14.28515625" bestFit="1" customWidth="1"/>
    <col min="12" max="12" width="11.5703125" bestFit="1" customWidth="1"/>
    <col min="15" max="15" width="28.42578125" bestFit="1" customWidth="1"/>
    <col min="16" max="16" width="14.28515625" bestFit="1" customWidth="1"/>
  </cols>
  <sheetData>
    <row r="2" spans="2:16" x14ac:dyDescent="0.25">
      <c r="G2" t="s">
        <v>854</v>
      </c>
      <c r="H2" s="18">
        <f>+SUMIFS(L:L,D:D,G2)</f>
        <v>-93229.130000000645</v>
      </c>
      <c r="I2" t="s">
        <v>876</v>
      </c>
    </row>
    <row r="3" spans="2:16" x14ac:dyDescent="0.25">
      <c r="G3" t="s">
        <v>855</v>
      </c>
      <c r="H3" s="45">
        <f>+SUMIFS(L:L,D:D,G3)</f>
        <v>-132393.35</v>
      </c>
      <c r="I3" t="s">
        <v>876</v>
      </c>
    </row>
    <row r="4" spans="2:16" x14ac:dyDescent="0.25">
      <c r="G4" t="s">
        <v>851</v>
      </c>
      <c r="H4" s="45">
        <f>+SUMIFS(L:L,D:D,G4)</f>
        <v>-1312065.4466666637</v>
      </c>
      <c r="I4" t="s">
        <v>878</v>
      </c>
    </row>
    <row r="5" spans="2:16" x14ac:dyDescent="0.25">
      <c r="G5" t="s">
        <v>852</v>
      </c>
      <c r="H5" s="45">
        <f>+SUMIFS(L:L,D:D,G5)</f>
        <v>-527633.79333333415</v>
      </c>
      <c r="I5" t="s">
        <v>877</v>
      </c>
    </row>
    <row r="6" spans="2:16" x14ac:dyDescent="0.25">
      <c r="G6" t="s">
        <v>856</v>
      </c>
      <c r="H6" s="18">
        <f>+SUMIFS(L:L,D:D,G6)</f>
        <v>-80137.636666666513</v>
      </c>
      <c r="I6" t="s">
        <v>876</v>
      </c>
    </row>
    <row r="7" spans="2:16" x14ac:dyDescent="0.25">
      <c r="G7" t="s">
        <v>858</v>
      </c>
      <c r="H7" s="18">
        <f>+SUMIFS(L:L,D:D,G7)</f>
        <v>5561.6633333333302</v>
      </c>
      <c r="I7" t="s">
        <v>879</v>
      </c>
    </row>
    <row r="8" spans="2:16" x14ac:dyDescent="0.25">
      <c r="H8" s="18"/>
    </row>
    <row r="9" spans="2:16" x14ac:dyDescent="0.25">
      <c r="G9" t="s">
        <v>853</v>
      </c>
      <c r="H9" s="18">
        <f>+SUMIFS(L:L,D:D,G9)</f>
        <v>-14015.393333333337</v>
      </c>
    </row>
    <row r="10" spans="2:16" x14ac:dyDescent="0.25">
      <c r="G10" t="s">
        <v>837</v>
      </c>
      <c r="H10" s="18">
        <f>+SUMIFS(L:L,D:D,G10)</f>
        <v>1906.4266666666663</v>
      </c>
    </row>
    <row r="11" spans="2:16" x14ac:dyDescent="0.25">
      <c r="G11" t="s">
        <v>857</v>
      </c>
      <c r="H11" s="18">
        <f>+SUMIFS(L:L,D:D,G11)</f>
        <v>362659.95333333354</v>
      </c>
    </row>
    <row r="12" spans="2:16" x14ac:dyDescent="0.25">
      <c r="G12" t="s">
        <v>859</v>
      </c>
      <c r="H12" s="18">
        <f>+SUMIFS(L:L,D:D,G12)</f>
        <v>244924.49999999997</v>
      </c>
    </row>
    <row r="13" spans="2:16" x14ac:dyDescent="0.25">
      <c r="G13" t="s">
        <v>860</v>
      </c>
      <c r="H13" s="18">
        <f>+SUMIFS(L:L,D:D,G13)</f>
        <v>66454.706666666651</v>
      </c>
    </row>
    <row r="14" spans="2:16" x14ac:dyDescent="0.25">
      <c r="G14" t="s">
        <v>861</v>
      </c>
      <c r="H14" s="18">
        <f>+SUMIFS(L:L,D:D,G14)</f>
        <v>-34406</v>
      </c>
    </row>
    <row r="15" spans="2:16" x14ac:dyDescent="0.25">
      <c r="P15" s="18"/>
    </row>
    <row r="16" spans="2:16" x14ac:dyDescent="0.25">
      <c r="B16" s="28" t="s">
        <v>870</v>
      </c>
      <c r="C16" s="28" t="s">
        <v>871</v>
      </c>
      <c r="D16" s="28" t="s">
        <v>828</v>
      </c>
      <c r="E16" s="28" t="s">
        <v>872</v>
      </c>
      <c r="F16" s="35" t="s">
        <v>447</v>
      </c>
      <c r="G16" s="36" t="s">
        <v>448</v>
      </c>
      <c r="H16" s="36" t="s">
        <v>449</v>
      </c>
      <c r="I16" s="43" t="s">
        <v>866</v>
      </c>
      <c r="J16" s="19" t="s">
        <v>867</v>
      </c>
      <c r="K16" s="27" t="s">
        <v>868</v>
      </c>
      <c r="L16" s="19" t="s">
        <v>869</v>
      </c>
    </row>
    <row r="17" spans="2:12" hidden="1" x14ac:dyDescent="0.25">
      <c r="B17" t="s">
        <v>874</v>
      </c>
      <c r="C17" t="s">
        <v>865</v>
      </c>
      <c r="D17" t="s">
        <v>875</v>
      </c>
      <c r="E17">
        <v>800405</v>
      </c>
      <c r="F17" s="38" t="s">
        <v>792</v>
      </c>
      <c r="G17" s="37">
        <v>2131263.21</v>
      </c>
      <c r="H17" s="37"/>
      <c r="I17" s="41">
        <v>2131263.21</v>
      </c>
      <c r="J17" s="18">
        <v>2131263.21</v>
      </c>
      <c r="K17" s="14">
        <f>+J17/6*8</f>
        <v>2841684.28</v>
      </c>
      <c r="L17" s="18">
        <f>+K17-I17</f>
        <v>710421.06999999983</v>
      </c>
    </row>
    <row r="18" spans="2:12" hidden="1" x14ac:dyDescent="0.25">
      <c r="B18" t="s">
        <v>874</v>
      </c>
      <c r="C18" t="s">
        <v>865</v>
      </c>
      <c r="D18" t="s">
        <v>857</v>
      </c>
      <c r="E18">
        <v>760601</v>
      </c>
      <c r="F18" s="38" t="s">
        <v>774</v>
      </c>
      <c r="G18" s="37">
        <v>4362356.04</v>
      </c>
      <c r="H18" s="37"/>
      <c r="I18" s="41">
        <v>4362356.04</v>
      </c>
      <c r="J18" s="18">
        <v>3547370.98</v>
      </c>
      <c r="K18" s="14">
        <f>+J18/6*8</f>
        <v>4729827.9733333336</v>
      </c>
      <c r="L18" s="18">
        <f>+K18-I18</f>
        <v>367471.93333333358</v>
      </c>
    </row>
    <row r="19" spans="2:12" hidden="1" x14ac:dyDescent="0.25">
      <c r="B19" t="s">
        <v>874</v>
      </c>
      <c r="C19" t="s">
        <v>865</v>
      </c>
      <c r="D19" t="s">
        <v>854</v>
      </c>
      <c r="E19">
        <v>680201</v>
      </c>
      <c r="F19" s="38" t="s">
        <v>690</v>
      </c>
      <c r="G19" s="37">
        <v>7647933.29</v>
      </c>
      <c r="H19" s="37"/>
      <c r="I19" s="41">
        <v>7647933.29</v>
      </c>
      <c r="J19" s="18">
        <v>5934074.3700000001</v>
      </c>
      <c r="K19" s="14">
        <f>+J19/6*8</f>
        <v>7912099.1600000001</v>
      </c>
      <c r="L19" s="18">
        <f>+K19-I19</f>
        <v>264165.87000000011</v>
      </c>
    </row>
    <row r="20" spans="2:12" hidden="1" x14ac:dyDescent="0.25">
      <c r="B20" t="s">
        <v>874</v>
      </c>
      <c r="C20" t="s">
        <v>865</v>
      </c>
      <c r="D20" t="s">
        <v>859</v>
      </c>
      <c r="E20">
        <v>900201</v>
      </c>
      <c r="F20" s="38" t="s">
        <v>808</v>
      </c>
      <c r="G20" s="37"/>
      <c r="H20" s="37">
        <v>214475.36</v>
      </c>
      <c r="I20" s="41">
        <v>-214475.36</v>
      </c>
      <c r="J20" s="18">
        <v>16821.080000000002</v>
      </c>
      <c r="K20" s="14">
        <f>+J20/6*8</f>
        <v>22428.10666666667</v>
      </c>
      <c r="L20" s="18">
        <f>+K20-I20</f>
        <v>236903.46666666665</v>
      </c>
    </row>
    <row r="21" spans="2:12" hidden="1" x14ac:dyDescent="0.25">
      <c r="B21" t="s">
        <v>874</v>
      </c>
      <c r="C21" t="s">
        <v>865</v>
      </c>
      <c r="D21" t="s">
        <v>854</v>
      </c>
      <c r="E21">
        <v>700203</v>
      </c>
      <c r="F21" s="38" t="s">
        <v>696</v>
      </c>
      <c r="G21" s="37">
        <v>11105304.789999999</v>
      </c>
      <c r="H21" s="37"/>
      <c r="I21" s="41">
        <v>11105304.789999999</v>
      </c>
      <c r="J21" s="18">
        <v>8415918.3300000001</v>
      </c>
      <c r="K21" s="14">
        <f>+J21/6*8</f>
        <v>11221224.439999999</v>
      </c>
      <c r="L21" s="18">
        <f>+K21-I21</f>
        <v>115919.65000000037</v>
      </c>
    </row>
    <row r="22" spans="2:12" hidden="1" x14ac:dyDescent="0.25">
      <c r="B22" t="s">
        <v>874</v>
      </c>
      <c r="C22" t="s">
        <v>865</v>
      </c>
      <c r="D22" t="s">
        <v>855</v>
      </c>
      <c r="E22">
        <v>700407</v>
      </c>
      <c r="F22" s="38" t="s">
        <v>706</v>
      </c>
      <c r="G22" s="37">
        <v>1078802.76</v>
      </c>
      <c r="H22" s="37"/>
      <c r="I22" s="41">
        <v>1078802.76</v>
      </c>
      <c r="J22" s="18">
        <v>887136.03</v>
      </c>
      <c r="K22" s="14">
        <f>+J22/6*8</f>
        <v>1182848.04</v>
      </c>
      <c r="L22" s="18">
        <f>+K22-I22</f>
        <v>104045.28000000003</v>
      </c>
    </row>
    <row r="23" spans="2:12" hidden="1" x14ac:dyDescent="0.25">
      <c r="B23" t="s">
        <v>874</v>
      </c>
      <c r="C23" t="s">
        <v>865</v>
      </c>
      <c r="D23" t="s">
        <v>860</v>
      </c>
      <c r="E23">
        <v>920215</v>
      </c>
      <c r="F23" s="38" t="s">
        <v>813</v>
      </c>
      <c r="G23" s="37">
        <v>487688.42</v>
      </c>
      <c r="H23" s="37"/>
      <c r="I23" s="41">
        <v>487688.42</v>
      </c>
      <c r="J23" s="18">
        <v>418991.35</v>
      </c>
      <c r="K23" s="14">
        <f>+J23/6*8</f>
        <v>558655.1333333333</v>
      </c>
      <c r="L23" s="18">
        <f>+K23-I23</f>
        <v>70966.713333333319</v>
      </c>
    </row>
    <row r="24" spans="2:12" hidden="1" x14ac:dyDescent="0.25">
      <c r="B24" t="s">
        <v>874</v>
      </c>
      <c r="C24" t="s">
        <v>865</v>
      </c>
      <c r="D24" t="s">
        <v>855</v>
      </c>
      <c r="E24">
        <v>700409</v>
      </c>
      <c r="F24" s="38" t="s">
        <v>707</v>
      </c>
      <c r="G24" s="37">
        <v>403472.76</v>
      </c>
      <c r="H24" s="37"/>
      <c r="I24" s="41">
        <v>403472.76</v>
      </c>
      <c r="J24" s="18">
        <v>351421.82</v>
      </c>
      <c r="K24" s="14">
        <f>+J24/6*8</f>
        <v>468562.4266666667</v>
      </c>
      <c r="L24" s="18">
        <f>+K24-I24</f>
        <v>65089.666666666686</v>
      </c>
    </row>
    <row r="25" spans="2:12" hidden="1" x14ac:dyDescent="0.25">
      <c r="B25" t="s">
        <v>874</v>
      </c>
      <c r="C25" t="s">
        <v>865</v>
      </c>
      <c r="D25" t="s">
        <v>858</v>
      </c>
      <c r="E25">
        <v>880207</v>
      </c>
      <c r="F25" s="38" t="s">
        <v>802</v>
      </c>
      <c r="G25" s="37">
        <v>166401.98000000001</v>
      </c>
      <c r="H25" s="37"/>
      <c r="I25" s="41">
        <v>166401.98000000001</v>
      </c>
      <c r="J25" s="18">
        <v>165226.79</v>
      </c>
      <c r="K25" s="14">
        <f>+J25/6*8</f>
        <v>220302.38666666669</v>
      </c>
      <c r="L25" s="18">
        <f>+K25-I25</f>
        <v>53900.406666666677</v>
      </c>
    </row>
    <row r="26" spans="2:12" hidden="1" x14ac:dyDescent="0.25">
      <c r="B26" t="s">
        <v>874</v>
      </c>
      <c r="C26" t="s">
        <v>865</v>
      </c>
      <c r="D26" t="s">
        <v>855</v>
      </c>
      <c r="E26">
        <v>701607</v>
      </c>
      <c r="F26" s="38" t="s">
        <v>726</v>
      </c>
      <c r="G26" s="37">
        <v>161022.29999999999</v>
      </c>
      <c r="H26" s="37"/>
      <c r="I26" s="41">
        <v>161022.29999999999</v>
      </c>
      <c r="J26" s="18">
        <v>155751.20000000001</v>
      </c>
      <c r="K26" s="14">
        <f>+J26/6*8</f>
        <v>207668.26666666669</v>
      </c>
      <c r="L26" s="18">
        <f>+K26-I26</f>
        <v>46645.966666666704</v>
      </c>
    </row>
    <row r="27" spans="2:12" hidden="1" x14ac:dyDescent="0.25">
      <c r="B27" t="s">
        <v>874</v>
      </c>
      <c r="C27" t="s">
        <v>865</v>
      </c>
      <c r="D27" t="s">
        <v>856</v>
      </c>
      <c r="E27">
        <v>740609</v>
      </c>
      <c r="F27" s="38" t="s">
        <v>757</v>
      </c>
      <c r="G27" s="37">
        <v>336838.91</v>
      </c>
      <c r="H27" s="37"/>
      <c r="I27" s="41">
        <v>336838.91</v>
      </c>
      <c r="J27" s="18">
        <v>279271.38</v>
      </c>
      <c r="K27" s="14">
        <f>+J27/6*8</f>
        <v>372361.84</v>
      </c>
      <c r="L27" s="18">
        <f>+K27-I27</f>
        <v>35522.930000000051</v>
      </c>
    </row>
    <row r="28" spans="2:12" hidden="1" x14ac:dyDescent="0.25">
      <c r="B28" t="s">
        <v>874</v>
      </c>
      <c r="C28" t="s">
        <v>865</v>
      </c>
      <c r="D28" t="s">
        <v>856</v>
      </c>
      <c r="E28">
        <v>741201</v>
      </c>
      <c r="F28" s="38" t="s">
        <v>761</v>
      </c>
      <c r="G28" s="37">
        <v>140397.95000000001</v>
      </c>
      <c r="H28" s="37"/>
      <c r="I28" s="41">
        <v>140397.95000000001</v>
      </c>
      <c r="J28" s="18">
        <v>127457.54</v>
      </c>
      <c r="K28" s="14">
        <f>+J28/6*8</f>
        <v>169943.38666666666</v>
      </c>
      <c r="L28" s="18">
        <f>+K28-I28</f>
        <v>29545.436666666646</v>
      </c>
    </row>
    <row r="29" spans="2:12" hidden="1" x14ac:dyDescent="0.25">
      <c r="B29" t="s">
        <v>874</v>
      </c>
      <c r="C29" t="s">
        <v>865</v>
      </c>
      <c r="D29" t="s">
        <v>855</v>
      </c>
      <c r="E29">
        <v>700213</v>
      </c>
      <c r="F29" s="38" t="s">
        <v>701</v>
      </c>
      <c r="G29" s="37">
        <v>77150.23</v>
      </c>
      <c r="H29" s="37"/>
      <c r="I29" s="41">
        <v>77150.23</v>
      </c>
      <c r="J29" s="18">
        <v>77150.23</v>
      </c>
      <c r="K29" s="14">
        <f>+J29/6*8</f>
        <v>102866.97333333333</v>
      </c>
      <c r="L29" s="18">
        <f>+K29-I29</f>
        <v>25716.743333333332</v>
      </c>
    </row>
    <row r="30" spans="2:12" hidden="1" x14ac:dyDescent="0.25">
      <c r="B30" t="s">
        <v>874</v>
      </c>
      <c r="C30" t="s">
        <v>865</v>
      </c>
      <c r="D30" t="s">
        <v>855</v>
      </c>
      <c r="E30">
        <v>702411</v>
      </c>
      <c r="F30" s="38" t="s">
        <v>738</v>
      </c>
      <c r="G30" s="37">
        <v>191525.62</v>
      </c>
      <c r="H30" s="37"/>
      <c r="I30" s="41">
        <v>191525.62</v>
      </c>
      <c r="J30" s="18">
        <v>161362.35999999999</v>
      </c>
      <c r="K30" s="14">
        <f>+J30/6*8</f>
        <v>215149.81333333332</v>
      </c>
      <c r="L30" s="18">
        <f>+K30-I30</f>
        <v>23624.193333333329</v>
      </c>
    </row>
    <row r="31" spans="2:12" hidden="1" x14ac:dyDescent="0.25">
      <c r="B31" t="s">
        <v>874</v>
      </c>
      <c r="C31" t="s">
        <v>865</v>
      </c>
      <c r="D31" t="s">
        <v>856</v>
      </c>
      <c r="E31">
        <v>741607</v>
      </c>
      <c r="F31" s="38" t="s">
        <v>765</v>
      </c>
      <c r="G31" s="37">
        <v>97340.13</v>
      </c>
      <c r="H31" s="37"/>
      <c r="I31" s="41">
        <v>97340.13</v>
      </c>
      <c r="J31" s="18">
        <v>86889.27</v>
      </c>
      <c r="K31" s="14">
        <f>+J31/6*8</f>
        <v>115852.36</v>
      </c>
      <c r="L31" s="18">
        <f>+K31-I31</f>
        <v>18512.229999999996</v>
      </c>
    </row>
    <row r="32" spans="2:12" hidden="1" x14ac:dyDescent="0.25">
      <c r="B32" t="s">
        <v>874</v>
      </c>
      <c r="C32" t="s">
        <v>865</v>
      </c>
      <c r="D32" t="s">
        <v>855</v>
      </c>
      <c r="E32">
        <v>700801</v>
      </c>
      <c r="F32" s="38" t="s">
        <v>711</v>
      </c>
      <c r="G32" s="37">
        <v>80784.009999999995</v>
      </c>
      <c r="H32" s="37"/>
      <c r="I32" s="41">
        <v>80784.009999999995</v>
      </c>
      <c r="J32" s="18">
        <v>68487.55</v>
      </c>
      <c r="K32" s="14">
        <f>+J32/6*8</f>
        <v>91316.733333333337</v>
      </c>
      <c r="L32" s="18">
        <f>+K32-I32</f>
        <v>10532.723333333342</v>
      </c>
    </row>
    <row r="33" spans="2:12" hidden="1" x14ac:dyDescent="0.25">
      <c r="B33" t="s">
        <v>874</v>
      </c>
      <c r="C33" t="s">
        <v>865</v>
      </c>
      <c r="D33" t="s">
        <v>855</v>
      </c>
      <c r="E33">
        <v>701603</v>
      </c>
      <c r="F33" s="38" t="s">
        <v>724</v>
      </c>
      <c r="G33" s="37">
        <v>131797.70000000001</v>
      </c>
      <c r="H33" s="37"/>
      <c r="I33" s="41">
        <v>131797.70000000001</v>
      </c>
      <c r="J33" s="18">
        <v>106712.87</v>
      </c>
      <c r="K33" s="14">
        <f>+J33/6*8</f>
        <v>142283.82666666666</v>
      </c>
      <c r="L33" s="18">
        <f>+K33-I33</f>
        <v>10486.126666666649</v>
      </c>
    </row>
    <row r="34" spans="2:12" hidden="1" x14ac:dyDescent="0.25">
      <c r="B34" t="s">
        <v>874</v>
      </c>
      <c r="C34" t="s">
        <v>865</v>
      </c>
      <c r="D34" t="s">
        <v>855</v>
      </c>
      <c r="E34">
        <v>702401</v>
      </c>
      <c r="F34" s="38" t="s">
        <v>734</v>
      </c>
      <c r="G34" s="37">
        <v>222003.35</v>
      </c>
      <c r="H34" s="37"/>
      <c r="I34" s="41">
        <v>222003.35</v>
      </c>
      <c r="J34" s="18">
        <v>174240.13</v>
      </c>
      <c r="K34" s="14">
        <f>+J34/6*8</f>
        <v>232320.17333333334</v>
      </c>
      <c r="L34" s="18">
        <f>+K34-I34</f>
        <v>10316.823333333334</v>
      </c>
    </row>
    <row r="35" spans="2:12" hidden="1" x14ac:dyDescent="0.25">
      <c r="B35" t="s">
        <v>874</v>
      </c>
      <c r="C35" t="s">
        <v>865</v>
      </c>
      <c r="D35" t="s">
        <v>855</v>
      </c>
      <c r="E35">
        <v>741803</v>
      </c>
      <c r="F35" s="38" t="s">
        <v>767</v>
      </c>
      <c r="G35" s="37">
        <v>56090</v>
      </c>
      <c r="H35" s="37"/>
      <c r="I35" s="41">
        <v>56090</v>
      </c>
      <c r="J35" s="18">
        <v>49590</v>
      </c>
      <c r="K35" s="14">
        <f>+J35/6*8</f>
        <v>66120</v>
      </c>
      <c r="L35" s="18">
        <f>+K35-I35</f>
        <v>10030</v>
      </c>
    </row>
    <row r="36" spans="2:12" hidden="1" x14ac:dyDescent="0.25">
      <c r="B36" t="s">
        <v>874</v>
      </c>
      <c r="C36" t="s">
        <v>865</v>
      </c>
      <c r="D36" t="s">
        <v>855</v>
      </c>
      <c r="E36">
        <v>700807</v>
      </c>
      <c r="F36" s="38" t="s">
        <v>714</v>
      </c>
      <c r="G36" s="37">
        <v>31325.5</v>
      </c>
      <c r="H36" s="37"/>
      <c r="I36" s="41">
        <v>31325.5</v>
      </c>
      <c r="J36" s="18">
        <v>30751.94</v>
      </c>
      <c r="K36" s="14">
        <f>+J36/6*8</f>
        <v>41002.586666666662</v>
      </c>
      <c r="L36" s="18">
        <f>+K36-I36</f>
        <v>9677.0866666666625</v>
      </c>
    </row>
    <row r="37" spans="2:12" hidden="1" x14ac:dyDescent="0.25">
      <c r="B37" t="s">
        <v>874</v>
      </c>
      <c r="C37" t="s">
        <v>865</v>
      </c>
      <c r="D37" t="s">
        <v>855</v>
      </c>
      <c r="E37">
        <v>702405</v>
      </c>
      <c r="F37" s="38" t="s">
        <v>736</v>
      </c>
      <c r="G37" s="37">
        <v>30902.54</v>
      </c>
      <c r="H37" s="37"/>
      <c r="I37" s="41">
        <v>30902.54</v>
      </c>
      <c r="J37" s="18">
        <v>29972.01</v>
      </c>
      <c r="K37" s="14">
        <f>+J37/6*8</f>
        <v>39962.68</v>
      </c>
      <c r="L37" s="18">
        <f>+K37-I37</f>
        <v>9060.14</v>
      </c>
    </row>
    <row r="38" spans="2:12" hidden="1" x14ac:dyDescent="0.25">
      <c r="B38" t="s">
        <v>874</v>
      </c>
      <c r="C38" t="s">
        <v>863</v>
      </c>
      <c r="D38" t="s">
        <v>859</v>
      </c>
      <c r="E38">
        <v>900209</v>
      </c>
      <c r="F38" s="38" t="s">
        <v>809</v>
      </c>
      <c r="G38" s="37"/>
      <c r="H38" s="37">
        <v>19111.54</v>
      </c>
      <c r="I38" s="41">
        <v>-19111.54</v>
      </c>
      <c r="J38" s="18">
        <v>-8317.8799999999992</v>
      </c>
      <c r="K38" s="14">
        <f>+J38/6*8</f>
        <v>-11090.506666666666</v>
      </c>
      <c r="L38" s="18">
        <f>+K38-I38</f>
        <v>8021.0333333333347</v>
      </c>
    </row>
    <row r="39" spans="2:12" hidden="1" x14ac:dyDescent="0.25">
      <c r="B39" t="s">
        <v>874</v>
      </c>
      <c r="C39" t="s">
        <v>865</v>
      </c>
      <c r="D39" t="s">
        <v>855</v>
      </c>
      <c r="E39">
        <v>702201</v>
      </c>
      <c r="F39" s="38" t="s">
        <v>732</v>
      </c>
      <c r="G39" s="37">
        <v>70568.7</v>
      </c>
      <c r="H39" s="37"/>
      <c r="I39" s="41">
        <v>70568.7</v>
      </c>
      <c r="J39" s="18">
        <v>58085.49</v>
      </c>
      <c r="K39" s="14">
        <f>+J39/6*8</f>
        <v>77447.319999999992</v>
      </c>
      <c r="L39" s="18">
        <f>+K39-I39</f>
        <v>6878.6199999999953</v>
      </c>
    </row>
    <row r="40" spans="2:12" hidden="1" x14ac:dyDescent="0.25">
      <c r="B40" t="s">
        <v>874</v>
      </c>
      <c r="C40" t="s">
        <v>865</v>
      </c>
      <c r="D40" t="s">
        <v>855</v>
      </c>
      <c r="E40">
        <v>700209</v>
      </c>
      <c r="F40" s="38" t="s">
        <v>699</v>
      </c>
      <c r="G40" s="37">
        <v>58945.79</v>
      </c>
      <c r="H40" s="37"/>
      <c r="I40" s="41">
        <v>58945.79</v>
      </c>
      <c r="J40" s="18">
        <v>48624.7</v>
      </c>
      <c r="K40" s="14">
        <f>+J40/6*8</f>
        <v>64832.933333333327</v>
      </c>
      <c r="L40" s="18">
        <f>+K40-I40</f>
        <v>5887.1433333333262</v>
      </c>
    </row>
    <row r="41" spans="2:12" hidden="1" x14ac:dyDescent="0.25">
      <c r="B41" t="s">
        <v>874</v>
      </c>
      <c r="C41" t="s">
        <v>865</v>
      </c>
      <c r="D41" t="s">
        <v>855</v>
      </c>
      <c r="E41">
        <v>881001</v>
      </c>
      <c r="F41" s="38" t="s">
        <v>807</v>
      </c>
      <c r="G41" s="37">
        <v>24265</v>
      </c>
      <c r="H41" s="37"/>
      <c r="I41" s="41">
        <v>24265</v>
      </c>
      <c r="J41" s="18">
        <v>22265</v>
      </c>
      <c r="K41" s="14">
        <f>+J41/6*8</f>
        <v>29686.666666666668</v>
      </c>
      <c r="L41" s="18">
        <f>+K41-I41</f>
        <v>5421.6666666666679</v>
      </c>
    </row>
    <row r="42" spans="2:12" hidden="1" x14ac:dyDescent="0.25">
      <c r="B42" t="s">
        <v>874</v>
      </c>
      <c r="C42" t="s">
        <v>863</v>
      </c>
      <c r="D42" t="s">
        <v>853</v>
      </c>
      <c r="E42">
        <v>660407</v>
      </c>
      <c r="F42" s="38" t="s">
        <v>687</v>
      </c>
      <c r="G42" s="37"/>
      <c r="H42" s="37">
        <v>23438.42</v>
      </c>
      <c r="I42" s="41">
        <v>-23438.42</v>
      </c>
      <c r="J42" s="18">
        <v>-13766.53</v>
      </c>
      <c r="K42" s="14">
        <f>+J42/6*8</f>
        <v>-18355.373333333333</v>
      </c>
      <c r="L42" s="18">
        <f>+K42-I42</f>
        <v>5083.0466666666653</v>
      </c>
    </row>
    <row r="43" spans="2:12" hidden="1" x14ac:dyDescent="0.25">
      <c r="B43" t="s">
        <v>874</v>
      </c>
      <c r="C43" t="s">
        <v>865</v>
      </c>
      <c r="D43" t="s">
        <v>855</v>
      </c>
      <c r="E43">
        <v>700815</v>
      </c>
      <c r="F43" s="38" t="s">
        <v>718</v>
      </c>
      <c r="G43" s="37">
        <v>119529.99</v>
      </c>
      <c r="H43" s="37"/>
      <c r="I43" s="41">
        <v>119529.99</v>
      </c>
      <c r="J43" s="18">
        <v>93192.04</v>
      </c>
      <c r="K43" s="14">
        <f>+J43/6*8</f>
        <v>124256.05333333333</v>
      </c>
      <c r="L43" s="18">
        <f>+K43-I43</f>
        <v>4726.0633333333244</v>
      </c>
    </row>
    <row r="44" spans="2:12" hidden="1" x14ac:dyDescent="0.25">
      <c r="B44" t="s">
        <v>874</v>
      </c>
      <c r="C44" t="s">
        <v>865</v>
      </c>
      <c r="D44" t="s">
        <v>856</v>
      </c>
      <c r="E44">
        <v>740207</v>
      </c>
      <c r="F44" s="38" t="s">
        <v>748</v>
      </c>
      <c r="G44" s="37">
        <v>101489.14</v>
      </c>
      <c r="H44" s="37"/>
      <c r="I44" s="41">
        <v>101489.14</v>
      </c>
      <c r="J44" s="18">
        <v>79544.460000000006</v>
      </c>
      <c r="K44" s="14">
        <f>+J44/6*8</f>
        <v>106059.28000000001</v>
      </c>
      <c r="L44" s="18">
        <f>+K44-I44</f>
        <v>4570.140000000014</v>
      </c>
    </row>
    <row r="45" spans="2:12" hidden="1" x14ac:dyDescent="0.25">
      <c r="B45" t="s">
        <v>874</v>
      </c>
      <c r="C45" t="s">
        <v>865</v>
      </c>
      <c r="D45" t="s">
        <v>856</v>
      </c>
      <c r="E45">
        <v>700403</v>
      </c>
      <c r="F45" s="38" t="s">
        <v>704</v>
      </c>
      <c r="G45" s="37">
        <v>242668.54</v>
      </c>
      <c r="H45" s="37"/>
      <c r="I45" s="41">
        <v>242668.54</v>
      </c>
      <c r="J45" s="18">
        <v>184694.93</v>
      </c>
      <c r="K45" s="14">
        <f>+J45/6*8</f>
        <v>246259.90666666665</v>
      </c>
      <c r="L45" s="18">
        <f>+K45-I45</f>
        <v>3591.3666666666395</v>
      </c>
    </row>
    <row r="46" spans="2:12" hidden="1" x14ac:dyDescent="0.25">
      <c r="B46" t="s">
        <v>874</v>
      </c>
      <c r="C46" t="s">
        <v>863</v>
      </c>
      <c r="D46" t="s">
        <v>837</v>
      </c>
      <c r="E46">
        <v>660403</v>
      </c>
      <c r="F46" s="38" t="s">
        <v>686</v>
      </c>
      <c r="G46" s="37"/>
      <c r="H46" s="37">
        <v>3152.3</v>
      </c>
      <c r="I46" s="41">
        <v>-3152.3</v>
      </c>
      <c r="J46" s="18">
        <v>0</v>
      </c>
      <c r="K46" s="14">
        <f>+J46/6*8</f>
        <v>0</v>
      </c>
      <c r="L46" s="18">
        <f>+K46-I46</f>
        <v>3152.3</v>
      </c>
    </row>
    <row r="47" spans="2:12" hidden="1" x14ac:dyDescent="0.25">
      <c r="B47" t="s">
        <v>874</v>
      </c>
      <c r="C47" t="s">
        <v>865</v>
      </c>
      <c r="D47" t="s">
        <v>855</v>
      </c>
      <c r="E47">
        <v>702407</v>
      </c>
      <c r="F47" s="38" t="s">
        <v>737</v>
      </c>
      <c r="G47" s="37">
        <v>15259.39</v>
      </c>
      <c r="H47" s="37"/>
      <c r="I47" s="41">
        <v>15259.39</v>
      </c>
      <c r="J47" s="18">
        <v>13689.72</v>
      </c>
      <c r="K47" s="14">
        <f>+J47/6*8</f>
        <v>18252.96</v>
      </c>
      <c r="L47" s="18">
        <f>+K47-I47</f>
        <v>2993.5699999999997</v>
      </c>
    </row>
    <row r="48" spans="2:12" hidden="1" x14ac:dyDescent="0.25">
      <c r="B48" t="s">
        <v>874</v>
      </c>
      <c r="C48" t="s">
        <v>865</v>
      </c>
      <c r="D48" t="s">
        <v>855</v>
      </c>
      <c r="E48">
        <v>680601</v>
      </c>
      <c r="F48" s="38" t="s">
        <v>693</v>
      </c>
      <c r="G48" s="37">
        <v>79349.64</v>
      </c>
      <c r="H48" s="37"/>
      <c r="I48" s="41">
        <v>79349.64</v>
      </c>
      <c r="J48" s="18">
        <v>61385.36</v>
      </c>
      <c r="K48" s="14">
        <f>+J48/6*8</f>
        <v>81847.146666666667</v>
      </c>
      <c r="L48" s="18">
        <f>+K48-I48</f>
        <v>2497.506666666668</v>
      </c>
    </row>
    <row r="49" spans="2:12" hidden="1" x14ac:dyDescent="0.25">
      <c r="B49" t="s">
        <v>874</v>
      </c>
      <c r="C49" t="s">
        <v>865</v>
      </c>
      <c r="D49" t="s">
        <v>855</v>
      </c>
      <c r="E49">
        <v>701811</v>
      </c>
      <c r="F49" s="38" t="s">
        <v>729</v>
      </c>
      <c r="G49" s="37">
        <v>6820</v>
      </c>
      <c r="H49" s="37"/>
      <c r="I49" s="41">
        <v>6820</v>
      </c>
      <c r="J49" s="18">
        <v>6820</v>
      </c>
      <c r="K49" s="14">
        <f>+J49/6*8</f>
        <v>9093.3333333333339</v>
      </c>
      <c r="L49" s="18">
        <f>+K49-I49</f>
        <v>2273.3333333333339</v>
      </c>
    </row>
    <row r="50" spans="2:12" hidden="1" x14ac:dyDescent="0.25">
      <c r="B50" t="s">
        <v>874</v>
      </c>
      <c r="C50" t="s">
        <v>865</v>
      </c>
      <c r="D50" t="s">
        <v>856</v>
      </c>
      <c r="E50">
        <v>740201</v>
      </c>
      <c r="F50" s="38" t="s">
        <v>745</v>
      </c>
      <c r="G50" s="37">
        <v>822904.77</v>
      </c>
      <c r="H50" s="37"/>
      <c r="I50" s="41">
        <v>822904.77</v>
      </c>
      <c r="J50" s="18">
        <v>618703.69999999995</v>
      </c>
      <c r="K50" s="14">
        <f>+J50/6*8</f>
        <v>824938.2666666666</v>
      </c>
      <c r="L50" s="18">
        <f>+K50-I50</f>
        <v>2033.496666666586</v>
      </c>
    </row>
    <row r="51" spans="2:12" hidden="1" x14ac:dyDescent="0.25">
      <c r="B51" t="s">
        <v>874</v>
      </c>
      <c r="C51" t="s">
        <v>865</v>
      </c>
      <c r="D51" t="s">
        <v>856</v>
      </c>
      <c r="E51">
        <v>740205</v>
      </c>
      <c r="F51" s="38" t="s">
        <v>747</v>
      </c>
      <c r="G51" s="37">
        <v>842556.66</v>
      </c>
      <c r="H51" s="37"/>
      <c r="I51" s="41">
        <v>842556.66</v>
      </c>
      <c r="J51" s="18">
        <v>633333.35</v>
      </c>
      <c r="K51" s="14">
        <f>+J51/6*8</f>
        <v>844444.46666666667</v>
      </c>
      <c r="L51" s="18">
        <f>+K51-I51</f>
        <v>1887.8066666666418</v>
      </c>
    </row>
    <row r="52" spans="2:12" hidden="1" x14ac:dyDescent="0.25">
      <c r="B52" t="s">
        <v>874</v>
      </c>
      <c r="C52" t="s">
        <v>865</v>
      </c>
      <c r="D52" t="s">
        <v>855</v>
      </c>
      <c r="E52">
        <v>700211</v>
      </c>
      <c r="F52" s="38" t="s">
        <v>700</v>
      </c>
      <c r="G52" s="37">
        <v>5279.23</v>
      </c>
      <c r="H52" s="37"/>
      <c r="I52" s="41">
        <v>5279.23</v>
      </c>
      <c r="J52" s="18">
        <v>4874.22</v>
      </c>
      <c r="K52" s="14">
        <f>+J52/6*8</f>
        <v>6498.96</v>
      </c>
      <c r="L52" s="18">
        <f>+K52-I52</f>
        <v>1219.7300000000005</v>
      </c>
    </row>
    <row r="53" spans="2:12" hidden="1" x14ac:dyDescent="0.25">
      <c r="B53" t="s">
        <v>874</v>
      </c>
      <c r="C53" t="s">
        <v>865</v>
      </c>
      <c r="D53" t="s">
        <v>855</v>
      </c>
      <c r="E53">
        <v>880201</v>
      </c>
      <c r="F53" s="38" t="s">
        <v>799</v>
      </c>
      <c r="G53" s="37">
        <v>3109</v>
      </c>
      <c r="H53" s="37"/>
      <c r="I53" s="41">
        <v>3109</v>
      </c>
      <c r="J53" s="18">
        <v>3109</v>
      </c>
      <c r="K53" s="14">
        <f>+J53/6*8</f>
        <v>4145.333333333333</v>
      </c>
      <c r="L53" s="18">
        <f>+K53-I53</f>
        <v>1036.333333333333</v>
      </c>
    </row>
    <row r="54" spans="2:12" hidden="1" x14ac:dyDescent="0.25">
      <c r="B54" t="s">
        <v>874</v>
      </c>
      <c r="C54" t="s">
        <v>865</v>
      </c>
      <c r="D54" t="s">
        <v>855</v>
      </c>
      <c r="E54">
        <v>701605</v>
      </c>
      <c r="F54" s="38" t="s">
        <v>725</v>
      </c>
      <c r="G54" s="37">
        <v>6617.28</v>
      </c>
      <c r="H54" s="37"/>
      <c r="I54" s="41">
        <v>6617.28</v>
      </c>
      <c r="J54" s="18">
        <v>5731.17</v>
      </c>
      <c r="K54" s="14">
        <f>+J54/6*8</f>
        <v>7641.56</v>
      </c>
      <c r="L54" s="18">
        <f>+K54-I54</f>
        <v>1024.2800000000007</v>
      </c>
    </row>
    <row r="55" spans="2:12" hidden="1" x14ac:dyDescent="0.25">
      <c r="B55" t="s">
        <v>874</v>
      </c>
      <c r="C55" t="s">
        <v>863</v>
      </c>
      <c r="D55" t="s">
        <v>837</v>
      </c>
      <c r="E55">
        <v>660413</v>
      </c>
      <c r="F55" s="38" t="s">
        <v>689</v>
      </c>
      <c r="G55" s="37"/>
      <c r="H55" s="37">
        <v>18677.46</v>
      </c>
      <c r="I55" s="41">
        <v>-18677.46</v>
      </c>
      <c r="J55" s="18">
        <v>-13343.37</v>
      </c>
      <c r="K55" s="14">
        <f>+J55/6*8</f>
        <v>-17791.16</v>
      </c>
      <c r="L55" s="18">
        <f>+K55-I55</f>
        <v>886.29999999999927</v>
      </c>
    </row>
    <row r="56" spans="2:12" hidden="1" x14ac:dyDescent="0.25">
      <c r="B56" t="s">
        <v>874</v>
      </c>
      <c r="C56" t="s">
        <v>863</v>
      </c>
      <c r="D56" t="s">
        <v>837</v>
      </c>
      <c r="E56">
        <v>160203</v>
      </c>
      <c r="F56" s="38" t="s">
        <v>546</v>
      </c>
      <c r="G56" s="37"/>
      <c r="H56" s="37">
        <v>756.79</v>
      </c>
      <c r="I56" s="41">
        <v>-756.79</v>
      </c>
      <c r="J56" s="18">
        <v>34.6</v>
      </c>
      <c r="K56" s="14">
        <f>+J56/6*8</f>
        <v>46.133333333333333</v>
      </c>
      <c r="L56" s="18">
        <f>+K56-I56</f>
        <v>802.92333333333329</v>
      </c>
    </row>
    <row r="57" spans="2:12" hidden="1" x14ac:dyDescent="0.25">
      <c r="B57" t="s">
        <v>874</v>
      </c>
      <c r="C57" t="s">
        <v>865</v>
      </c>
      <c r="D57" t="s">
        <v>855</v>
      </c>
      <c r="E57">
        <v>880209</v>
      </c>
      <c r="F57" s="38" t="s">
        <v>803</v>
      </c>
      <c r="G57" s="37">
        <v>2375.6799999999998</v>
      </c>
      <c r="H57" s="37"/>
      <c r="I57" s="41">
        <v>2375.6799999999998</v>
      </c>
      <c r="J57" s="18">
        <v>2375.6799999999998</v>
      </c>
      <c r="K57" s="14">
        <f>+J57/6*8</f>
        <v>3167.5733333333333</v>
      </c>
      <c r="L57" s="18">
        <f>+K57-I57</f>
        <v>791.89333333333343</v>
      </c>
    </row>
    <row r="58" spans="2:12" hidden="1" x14ac:dyDescent="0.25">
      <c r="B58" t="s">
        <v>874</v>
      </c>
      <c r="C58" t="s">
        <v>865</v>
      </c>
      <c r="D58" t="s">
        <v>856</v>
      </c>
      <c r="E58">
        <v>700411</v>
      </c>
      <c r="F58" s="38" t="s">
        <v>708</v>
      </c>
      <c r="G58" s="37">
        <v>39190.76</v>
      </c>
      <c r="H58" s="37"/>
      <c r="I58" s="41">
        <v>39190.76</v>
      </c>
      <c r="J58" s="18">
        <v>29914.92</v>
      </c>
      <c r="K58" s="14">
        <f>+J58/6*8</f>
        <v>39886.559999999998</v>
      </c>
      <c r="L58" s="18">
        <f>+K58-I58</f>
        <v>695.79999999999563</v>
      </c>
    </row>
    <row r="59" spans="2:12" hidden="1" x14ac:dyDescent="0.25">
      <c r="B59" t="s">
        <v>874</v>
      </c>
      <c r="C59" t="s">
        <v>865</v>
      </c>
      <c r="D59" t="s">
        <v>855</v>
      </c>
      <c r="E59">
        <v>880203</v>
      </c>
      <c r="F59" s="38" t="s">
        <v>800</v>
      </c>
      <c r="G59" s="37">
        <v>3015.38</v>
      </c>
      <c r="H59" s="37"/>
      <c r="I59" s="41">
        <v>3015.38</v>
      </c>
      <c r="J59" s="18">
        <v>2714.86</v>
      </c>
      <c r="K59" s="14">
        <f>+J59/6*8</f>
        <v>3619.8133333333335</v>
      </c>
      <c r="L59" s="18">
        <f>+K59-I59</f>
        <v>604.43333333333339</v>
      </c>
    </row>
    <row r="60" spans="2:12" hidden="1" x14ac:dyDescent="0.25">
      <c r="B60" t="s">
        <v>874</v>
      </c>
      <c r="C60" t="s">
        <v>865</v>
      </c>
      <c r="D60" t="s">
        <v>856</v>
      </c>
      <c r="E60">
        <v>740209</v>
      </c>
      <c r="F60" s="38" t="s">
        <v>749</v>
      </c>
      <c r="G60" s="37">
        <v>79732.86</v>
      </c>
      <c r="H60" s="37"/>
      <c r="I60" s="41">
        <v>79732.86</v>
      </c>
      <c r="J60" s="18">
        <v>60124.32</v>
      </c>
      <c r="K60" s="14">
        <f>+J60/6*8</f>
        <v>80165.759999999995</v>
      </c>
      <c r="L60" s="18">
        <f>+K60-I60</f>
        <v>432.89999999999418</v>
      </c>
    </row>
    <row r="61" spans="2:12" hidden="1" x14ac:dyDescent="0.25">
      <c r="B61" t="s">
        <v>874</v>
      </c>
      <c r="C61" t="s">
        <v>865</v>
      </c>
      <c r="D61" t="s">
        <v>856</v>
      </c>
      <c r="E61">
        <v>701805</v>
      </c>
      <c r="F61" s="38" t="s">
        <v>727</v>
      </c>
      <c r="G61" s="37">
        <v>852.61</v>
      </c>
      <c r="H61" s="37"/>
      <c r="I61" s="41">
        <v>852.61</v>
      </c>
      <c r="J61" s="18">
        <v>852.61</v>
      </c>
      <c r="K61" s="14">
        <f>+J61/6*8</f>
        <v>1136.8133333333333</v>
      </c>
      <c r="L61" s="18">
        <f>+K61-I61</f>
        <v>284.20333333333326</v>
      </c>
    </row>
    <row r="62" spans="2:12" hidden="1" x14ac:dyDescent="0.25">
      <c r="B62" t="s">
        <v>874</v>
      </c>
      <c r="C62" t="s">
        <v>865</v>
      </c>
      <c r="D62" t="s">
        <v>855</v>
      </c>
      <c r="E62">
        <v>720403</v>
      </c>
      <c r="F62" s="38" t="s">
        <v>741</v>
      </c>
      <c r="G62" s="37">
        <v>47795.17</v>
      </c>
      <c r="H62" s="37"/>
      <c r="I62" s="41">
        <v>47795.17</v>
      </c>
      <c r="J62" s="18">
        <v>36032.629999999997</v>
      </c>
      <c r="K62" s="14">
        <f>+J62/6*8</f>
        <v>48043.506666666661</v>
      </c>
      <c r="L62" s="18">
        <f>+K62-I62</f>
        <v>248.3366666666625</v>
      </c>
    </row>
    <row r="63" spans="2:12" hidden="1" x14ac:dyDescent="0.25">
      <c r="B63" t="s">
        <v>874</v>
      </c>
      <c r="C63" t="s">
        <v>863</v>
      </c>
      <c r="D63" t="s">
        <v>837</v>
      </c>
      <c r="E63">
        <v>660201</v>
      </c>
      <c r="F63" s="38" t="s">
        <v>684</v>
      </c>
      <c r="G63" s="37"/>
      <c r="H63" s="37">
        <v>7206.23</v>
      </c>
      <c r="I63" s="41">
        <v>-7206.23</v>
      </c>
      <c r="J63" s="18">
        <v>-5231.37</v>
      </c>
      <c r="K63" s="14">
        <f>+J63/6*8</f>
        <v>-6975.16</v>
      </c>
      <c r="L63" s="18">
        <f>+K63-I63</f>
        <v>231.06999999999971</v>
      </c>
    </row>
    <row r="64" spans="2:12" hidden="1" x14ac:dyDescent="0.25">
      <c r="B64" t="s">
        <v>874</v>
      </c>
      <c r="C64" t="s">
        <v>865</v>
      </c>
      <c r="D64" t="s">
        <v>855</v>
      </c>
      <c r="E64">
        <v>840401</v>
      </c>
      <c r="F64" s="38" t="s">
        <v>794</v>
      </c>
      <c r="G64" s="37">
        <v>1104.5999999999999</v>
      </c>
      <c r="H64" s="37"/>
      <c r="I64" s="41">
        <v>1104.5999999999999</v>
      </c>
      <c r="J64" s="18">
        <v>1001.39</v>
      </c>
      <c r="K64" s="14">
        <f>+J64/6*8</f>
        <v>1335.1866666666667</v>
      </c>
      <c r="L64" s="18">
        <f>+K64-I64</f>
        <v>230.58666666666682</v>
      </c>
    </row>
    <row r="65" spans="2:12" hidden="1" x14ac:dyDescent="0.25">
      <c r="B65" t="s">
        <v>874</v>
      </c>
      <c r="C65" t="s">
        <v>865</v>
      </c>
      <c r="D65" t="s">
        <v>860</v>
      </c>
      <c r="E65">
        <v>920213</v>
      </c>
      <c r="F65" s="38" t="s">
        <v>812</v>
      </c>
      <c r="G65" s="37">
        <v>661.76</v>
      </c>
      <c r="H65" s="37"/>
      <c r="I65" s="41">
        <v>661.76</v>
      </c>
      <c r="J65" s="18">
        <v>615.73</v>
      </c>
      <c r="K65" s="14">
        <f>+J65/6*8</f>
        <v>820.97333333333336</v>
      </c>
      <c r="L65" s="18">
        <f>+K65-I65</f>
        <v>159.21333333333337</v>
      </c>
    </row>
    <row r="66" spans="2:12" hidden="1" x14ac:dyDescent="0.25">
      <c r="B66" t="s">
        <v>874</v>
      </c>
      <c r="C66" t="s">
        <v>865</v>
      </c>
      <c r="D66" t="s">
        <v>855</v>
      </c>
      <c r="E66">
        <v>700805</v>
      </c>
      <c r="F66" s="38" t="s">
        <v>713</v>
      </c>
      <c r="G66" s="37">
        <v>7274.19</v>
      </c>
      <c r="H66" s="37"/>
      <c r="I66" s="41">
        <v>7274.19</v>
      </c>
      <c r="J66" s="18">
        <v>5525.93</v>
      </c>
      <c r="K66" s="14">
        <f>+J66/6*8</f>
        <v>7367.9066666666668</v>
      </c>
      <c r="L66" s="18">
        <f>+K66-I66</f>
        <v>93.716666666667152</v>
      </c>
    </row>
    <row r="67" spans="2:12" hidden="1" x14ac:dyDescent="0.25">
      <c r="B67" t="s">
        <v>874</v>
      </c>
      <c r="C67" t="s">
        <v>865</v>
      </c>
      <c r="D67" t="s">
        <v>855</v>
      </c>
      <c r="E67">
        <v>680401</v>
      </c>
      <c r="F67" s="38" t="s">
        <v>692</v>
      </c>
      <c r="G67" s="37">
        <v>81.89</v>
      </c>
      <c r="H67" s="37"/>
      <c r="I67" s="41">
        <v>81.89</v>
      </c>
      <c r="J67" s="18">
        <v>81.89</v>
      </c>
      <c r="K67" s="14">
        <f>+J67/6*8</f>
        <v>109.18666666666667</v>
      </c>
      <c r="L67" s="18">
        <f>+K67-I67</f>
        <v>27.296666666666667</v>
      </c>
    </row>
    <row r="68" spans="2:12" hidden="1" x14ac:dyDescent="0.25">
      <c r="B68" t="s">
        <v>874</v>
      </c>
      <c r="C68" t="s">
        <v>865</v>
      </c>
      <c r="D68" t="s">
        <v>856</v>
      </c>
      <c r="E68">
        <v>740213</v>
      </c>
      <c r="F68" s="38" t="s">
        <v>751</v>
      </c>
      <c r="G68" s="37">
        <v>89304.81</v>
      </c>
      <c r="H68" s="37"/>
      <c r="I68" s="41">
        <v>89304.81</v>
      </c>
      <c r="J68" s="18">
        <v>66995</v>
      </c>
      <c r="K68" s="14">
        <f>+J68/6*8</f>
        <v>89326.666666666672</v>
      </c>
      <c r="L68" s="18">
        <f>+K68-I68</f>
        <v>21.856666666673846</v>
      </c>
    </row>
    <row r="69" spans="2:12" hidden="1" x14ac:dyDescent="0.25">
      <c r="B69" t="s">
        <v>874</v>
      </c>
      <c r="C69" t="s">
        <v>865</v>
      </c>
      <c r="D69" t="s">
        <v>857</v>
      </c>
      <c r="E69">
        <v>760401</v>
      </c>
      <c r="F69" s="38" t="s">
        <v>773</v>
      </c>
      <c r="G69" s="37">
        <v>1102</v>
      </c>
      <c r="H69" s="37"/>
      <c r="I69" s="41">
        <v>1102</v>
      </c>
      <c r="J69" s="18">
        <v>827</v>
      </c>
      <c r="K69" s="14">
        <f>+J69/6*8</f>
        <v>1102.6666666666667</v>
      </c>
      <c r="L69" s="18">
        <f>+K69-I69</f>
        <v>0.66666666666674246</v>
      </c>
    </row>
    <row r="70" spans="2:12" hidden="1" x14ac:dyDescent="0.25">
      <c r="B70" t="s">
        <v>874</v>
      </c>
      <c r="C70" t="s">
        <v>865</v>
      </c>
      <c r="D70" t="s">
        <v>857</v>
      </c>
      <c r="E70">
        <v>761001</v>
      </c>
      <c r="F70" s="38" t="s">
        <v>776</v>
      </c>
      <c r="G70" s="37">
        <v>29686.15</v>
      </c>
      <c r="H70" s="37"/>
      <c r="I70" s="41">
        <v>29686.15</v>
      </c>
      <c r="J70" s="18">
        <v>22265.11</v>
      </c>
      <c r="K70" s="14">
        <f>+J70/6*8</f>
        <v>29686.813333333335</v>
      </c>
      <c r="L70" s="18">
        <f>+K70-I70</f>
        <v>0.6633333333338669</v>
      </c>
    </row>
    <row r="71" spans="2:12" hidden="1" x14ac:dyDescent="0.25">
      <c r="B71" t="s">
        <v>874</v>
      </c>
      <c r="C71" t="s">
        <v>865</v>
      </c>
      <c r="D71" t="s">
        <v>857</v>
      </c>
      <c r="E71">
        <v>761601</v>
      </c>
      <c r="F71" s="38" t="s">
        <v>777</v>
      </c>
      <c r="G71" s="37">
        <v>1797</v>
      </c>
      <c r="H71" s="37"/>
      <c r="I71" s="41">
        <v>1797</v>
      </c>
      <c r="J71" s="18">
        <v>1348</v>
      </c>
      <c r="K71" s="14">
        <f>+J71/6*8</f>
        <v>1797.3333333333333</v>
      </c>
      <c r="L71" s="18">
        <f>+K71-I71</f>
        <v>0.33333333333325754</v>
      </c>
    </row>
    <row r="72" spans="2:12" hidden="1" x14ac:dyDescent="0.25">
      <c r="B72" t="s">
        <v>874</v>
      </c>
      <c r="C72" t="s">
        <v>865</v>
      </c>
      <c r="D72" t="s">
        <v>857</v>
      </c>
      <c r="E72">
        <v>782001</v>
      </c>
      <c r="F72" s="38" t="s">
        <v>788</v>
      </c>
      <c r="G72" s="37">
        <v>2941.77</v>
      </c>
      <c r="H72" s="37"/>
      <c r="I72" s="41">
        <v>2941.77</v>
      </c>
      <c r="J72" s="18">
        <v>2206.33</v>
      </c>
      <c r="K72" s="14">
        <f>+J72/6*8</f>
        <v>2941.7733333333331</v>
      </c>
      <c r="L72" s="18">
        <f>+K72-I72</f>
        <v>3.333333333102928E-3</v>
      </c>
    </row>
    <row r="73" spans="2:12" hidden="1" x14ac:dyDescent="0.25">
      <c r="B73" t="s">
        <v>874</v>
      </c>
      <c r="C73" t="s">
        <v>865</v>
      </c>
      <c r="D73" t="s">
        <v>857</v>
      </c>
      <c r="E73">
        <v>780203</v>
      </c>
      <c r="F73" s="38" t="s">
        <v>780</v>
      </c>
      <c r="G73" s="37">
        <v>10848.45</v>
      </c>
      <c r="H73" s="37"/>
      <c r="I73" s="41">
        <v>10848.45</v>
      </c>
      <c r="J73" s="18">
        <v>8136.34</v>
      </c>
      <c r="K73" s="14">
        <f>+J73/6*8</f>
        <v>10848.453333333333</v>
      </c>
      <c r="L73" s="18">
        <f>+K73-I73</f>
        <v>3.3333333321934333E-3</v>
      </c>
    </row>
    <row r="74" spans="2:12" hidden="1" x14ac:dyDescent="0.25">
      <c r="B74" t="s">
        <v>874</v>
      </c>
      <c r="C74" t="s">
        <v>865</v>
      </c>
      <c r="D74" t="s">
        <v>857</v>
      </c>
      <c r="E74">
        <v>781801</v>
      </c>
      <c r="F74" s="38" t="s">
        <v>787</v>
      </c>
      <c r="G74" s="37">
        <v>13040.61</v>
      </c>
      <c r="H74" s="37"/>
      <c r="I74" s="41">
        <v>13040.61</v>
      </c>
      <c r="J74" s="18">
        <v>9780.4599999999991</v>
      </c>
      <c r="K74" s="14">
        <f>+J74/6*8</f>
        <v>13040.613333333333</v>
      </c>
      <c r="L74" s="18">
        <f>+K74-I74</f>
        <v>3.3333333321934333E-3</v>
      </c>
    </row>
    <row r="75" spans="2:12" hidden="1" x14ac:dyDescent="0.25">
      <c r="B75" t="s">
        <v>874</v>
      </c>
      <c r="C75" t="s">
        <v>865</v>
      </c>
      <c r="D75" t="s">
        <v>857</v>
      </c>
      <c r="E75">
        <v>780201</v>
      </c>
      <c r="F75" s="38" t="s">
        <v>779</v>
      </c>
      <c r="G75" s="37">
        <v>20291.61</v>
      </c>
      <c r="H75" s="37"/>
      <c r="I75" s="41">
        <v>20291.61</v>
      </c>
      <c r="J75" s="18">
        <v>15218.71</v>
      </c>
      <c r="K75" s="14">
        <f>+J75/6*8</f>
        <v>20291.613333333331</v>
      </c>
      <c r="L75" s="18">
        <f>+K75-I75</f>
        <v>3.3333333303744439E-3</v>
      </c>
    </row>
    <row r="76" spans="2:12" hidden="1" x14ac:dyDescent="0.25">
      <c r="B76" t="s">
        <v>874</v>
      </c>
      <c r="C76" t="s">
        <v>865</v>
      </c>
      <c r="D76" t="s">
        <v>856</v>
      </c>
      <c r="E76">
        <v>741401</v>
      </c>
      <c r="F76" s="38" t="s">
        <v>762</v>
      </c>
      <c r="G76" s="37">
        <v>544000</v>
      </c>
      <c r="H76" s="37"/>
      <c r="I76" s="41">
        <v>544000</v>
      </c>
      <c r="J76" s="18">
        <v>408000</v>
      </c>
      <c r="K76" s="14">
        <f>+J76/6*8</f>
        <v>544000</v>
      </c>
      <c r="L76" s="18">
        <f>+K76-I76</f>
        <v>0</v>
      </c>
    </row>
    <row r="77" spans="2:12" hidden="1" x14ac:dyDescent="0.25">
      <c r="B77" t="s">
        <v>874</v>
      </c>
      <c r="C77" t="s">
        <v>865</v>
      </c>
      <c r="D77" t="s">
        <v>857</v>
      </c>
      <c r="E77">
        <v>761607</v>
      </c>
      <c r="F77" s="38" t="s">
        <v>778</v>
      </c>
      <c r="G77" s="37">
        <v>1149429.6000000001</v>
      </c>
      <c r="H77" s="37"/>
      <c r="I77" s="41">
        <v>1149429.6000000001</v>
      </c>
      <c r="J77" s="18">
        <v>862072.2</v>
      </c>
      <c r="K77" s="14">
        <f>+J77/6*8</f>
        <v>1149429.5999999999</v>
      </c>
      <c r="L77" s="18">
        <f>+K77-I77</f>
        <v>0</v>
      </c>
    </row>
    <row r="78" spans="2:12" hidden="1" x14ac:dyDescent="0.25">
      <c r="B78" t="s">
        <v>874</v>
      </c>
      <c r="C78" t="s">
        <v>865</v>
      </c>
      <c r="D78" t="s">
        <v>857</v>
      </c>
      <c r="E78">
        <v>780601</v>
      </c>
      <c r="F78" s="38" t="s">
        <v>782</v>
      </c>
      <c r="G78" s="37">
        <v>10599.88</v>
      </c>
      <c r="H78" s="37"/>
      <c r="I78" s="41">
        <v>10599.88</v>
      </c>
      <c r="J78" s="18">
        <v>7949.91</v>
      </c>
      <c r="K78" s="14">
        <f>+J78/6*8</f>
        <v>10599.88</v>
      </c>
      <c r="L78" s="18">
        <f>+K78-I78</f>
        <v>0</v>
      </c>
    </row>
    <row r="79" spans="2:12" hidden="1" x14ac:dyDescent="0.25">
      <c r="B79" t="s">
        <v>874</v>
      </c>
      <c r="C79" t="s">
        <v>865</v>
      </c>
      <c r="D79" t="s">
        <v>857</v>
      </c>
      <c r="E79">
        <v>782401</v>
      </c>
      <c r="F79" s="38" t="s">
        <v>789</v>
      </c>
      <c r="G79" s="37">
        <v>897.83</v>
      </c>
      <c r="H79" s="37"/>
      <c r="I79" s="41">
        <v>897.83</v>
      </c>
      <c r="J79" s="18">
        <v>673.37</v>
      </c>
      <c r="K79" s="14">
        <f>+J79/6*8</f>
        <v>897.82666666666671</v>
      </c>
      <c r="L79" s="18">
        <f>+K79-I79</f>
        <v>-3.3333333333303017E-3</v>
      </c>
    </row>
    <row r="80" spans="2:12" hidden="1" x14ac:dyDescent="0.25">
      <c r="B80" t="s">
        <v>874</v>
      </c>
      <c r="C80" t="s">
        <v>865</v>
      </c>
      <c r="D80" t="s">
        <v>857</v>
      </c>
      <c r="E80">
        <v>780603</v>
      </c>
      <c r="F80" s="38" t="s">
        <v>783</v>
      </c>
      <c r="G80" s="37">
        <v>22793.41</v>
      </c>
      <c r="H80" s="37"/>
      <c r="I80" s="41">
        <v>22793.41</v>
      </c>
      <c r="J80" s="18">
        <v>17095.05</v>
      </c>
      <c r="K80" s="14">
        <f>+J80/6*8</f>
        <v>22793.399999999998</v>
      </c>
      <c r="L80" s="18">
        <f>+K80-I80</f>
        <v>-1.0000000002037268E-2</v>
      </c>
    </row>
    <row r="81" spans="2:12" hidden="1" x14ac:dyDescent="0.25">
      <c r="B81" t="s">
        <v>874</v>
      </c>
      <c r="C81" t="s">
        <v>865</v>
      </c>
      <c r="D81" t="s">
        <v>857</v>
      </c>
      <c r="E81">
        <v>760801</v>
      </c>
      <c r="F81" s="38" t="s">
        <v>775</v>
      </c>
      <c r="G81" s="37">
        <v>1239</v>
      </c>
      <c r="H81" s="37"/>
      <c r="I81" s="41">
        <v>1239</v>
      </c>
      <c r="J81" s="18">
        <v>929</v>
      </c>
      <c r="K81" s="14">
        <f>+J81/6*8</f>
        <v>1238.6666666666667</v>
      </c>
      <c r="L81" s="18">
        <f>+K81-I81</f>
        <v>-0.33333333333325754</v>
      </c>
    </row>
    <row r="82" spans="2:12" hidden="1" x14ac:dyDescent="0.25">
      <c r="B82" t="s">
        <v>874</v>
      </c>
      <c r="C82" t="s">
        <v>865</v>
      </c>
      <c r="D82" t="s">
        <v>857</v>
      </c>
      <c r="E82">
        <v>782801</v>
      </c>
      <c r="F82" s="38" t="s">
        <v>790</v>
      </c>
      <c r="G82" s="37">
        <v>34.200000000000003</v>
      </c>
      <c r="H82" s="37"/>
      <c r="I82" s="41">
        <v>34.200000000000003</v>
      </c>
      <c r="J82" s="18">
        <v>20.65</v>
      </c>
      <c r="K82" s="14">
        <f>+J82/6*8</f>
        <v>27.533333333333331</v>
      </c>
      <c r="L82" s="18">
        <f>+K82-I82</f>
        <v>-6.6666666666666714</v>
      </c>
    </row>
    <row r="83" spans="2:12" hidden="1" x14ac:dyDescent="0.25">
      <c r="B83" t="s">
        <v>874</v>
      </c>
      <c r="C83" t="s">
        <v>865</v>
      </c>
      <c r="D83" t="s">
        <v>855</v>
      </c>
      <c r="E83">
        <v>700821</v>
      </c>
      <c r="F83" s="38" t="s">
        <v>720</v>
      </c>
      <c r="G83" s="37">
        <v>9.52</v>
      </c>
      <c r="H83" s="37"/>
      <c r="I83" s="41">
        <v>9.52</v>
      </c>
      <c r="J83" s="18">
        <v>0</v>
      </c>
      <c r="K83" s="14">
        <f>+J83/6*8</f>
        <v>0</v>
      </c>
      <c r="L83" s="18">
        <f>+K83-I83</f>
        <v>-9.52</v>
      </c>
    </row>
    <row r="84" spans="2:12" hidden="1" x14ac:dyDescent="0.25">
      <c r="B84" t="s">
        <v>874</v>
      </c>
      <c r="C84" t="s">
        <v>865</v>
      </c>
      <c r="D84" t="s">
        <v>860</v>
      </c>
      <c r="E84">
        <v>920211</v>
      </c>
      <c r="F84" s="38" t="s">
        <v>811</v>
      </c>
      <c r="G84" s="37">
        <v>14.09</v>
      </c>
      <c r="H84" s="37"/>
      <c r="I84" s="41">
        <v>14.09</v>
      </c>
      <c r="J84" s="18">
        <v>0</v>
      </c>
      <c r="K84" s="14">
        <f>+J84/6*8</f>
        <v>0</v>
      </c>
      <c r="L84" s="18">
        <f>+K84-I84</f>
        <v>-14.09</v>
      </c>
    </row>
    <row r="85" spans="2:12" hidden="1" x14ac:dyDescent="0.25">
      <c r="B85" t="s">
        <v>874</v>
      </c>
      <c r="C85" t="s">
        <v>865</v>
      </c>
      <c r="D85" t="s">
        <v>855</v>
      </c>
      <c r="E85">
        <v>880601</v>
      </c>
      <c r="F85" s="38" t="s">
        <v>805</v>
      </c>
      <c r="G85" s="37"/>
      <c r="H85" s="37">
        <v>112.46</v>
      </c>
      <c r="I85" s="41">
        <v>-112.46</v>
      </c>
      <c r="J85" s="18">
        <v>-114.67</v>
      </c>
      <c r="K85" s="14">
        <f>+J85/6*8</f>
        <v>-152.89333333333335</v>
      </c>
      <c r="L85" s="18">
        <f>+K85-I85</f>
        <v>-40.433333333333351</v>
      </c>
    </row>
    <row r="86" spans="2:12" hidden="1" x14ac:dyDescent="0.25">
      <c r="B86" t="s">
        <v>874</v>
      </c>
      <c r="C86" t="s">
        <v>865</v>
      </c>
      <c r="D86" t="s">
        <v>857</v>
      </c>
      <c r="E86">
        <v>780401</v>
      </c>
      <c r="F86" s="38" t="s">
        <v>781</v>
      </c>
      <c r="G86" s="37">
        <v>2477.7800000000002</v>
      </c>
      <c r="H86" s="37"/>
      <c r="I86" s="41">
        <v>2477.7800000000002</v>
      </c>
      <c r="J86" s="18">
        <v>1827.02</v>
      </c>
      <c r="K86" s="14">
        <f>+J86/6*8</f>
        <v>2436.0266666666666</v>
      </c>
      <c r="L86" s="18">
        <f>+K86-I86</f>
        <v>-41.753333333333558</v>
      </c>
    </row>
    <row r="87" spans="2:12" hidden="1" x14ac:dyDescent="0.25">
      <c r="B87" t="s">
        <v>874</v>
      </c>
      <c r="C87" t="s">
        <v>865</v>
      </c>
      <c r="D87" t="s">
        <v>855</v>
      </c>
      <c r="E87">
        <v>700811</v>
      </c>
      <c r="F87" s="38" t="s">
        <v>716</v>
      </c>
      <c r="G87" s="37">
        <v>69.900000000000006</v>
      </c>
      <c r="H87" s="37"/>
      <c r="I87" s="41">
        <v>69.900000000000006</v>
      </c>
      <c r="J87" s="18">
        <v>0</v>
      </c>
      <c r="K87" s="14">
        <f>+J87/6*8</f>
        <v>0</v>
      </c>
      <c r="L87" s="18">
        <f>+K87-I87</f>
        <v>-69.900000000000006</v>
      </c>
    </row>
    <row r="88" spans="2:12" hidden="1" x14ac:dyDescent="0.25">
      <c r="B88" t="s">
        <v>874</v>
      </c>
      <c r="C88" t="s">
        <v>863</v>
      </c>
      <c r="D88" t="s">
        <v>853</v>
      </c>
      <c r="E88">
        <v>660409</v>
      </c>
      <c r="F88" s="38" t="s">
        <v>688</v>
      </c>
      <c r="G88" s="37"/>
      <c r="H88" s="37">
        <v>1691.99</v>
      </c>
      <c r="I88" s="41">
        <v>-1691.99</v>
      </c>
      <c r="J88" s="18">
        <v>-1375.4</v>
      </c>
      <c r="K88" s="14">
        <f>+J88/6*8</f>
        <v>-1833.8666666666668</v>
      </c>
      <c r="L88" s="18">
        <f>+K88-I88</f>
        <v>-141.87666666666678</v>
      </c>
    </row>
    <row r="89" spans="2:12" hidden="1" x14ac:dyDescent="0.25">
      <c r="B89" t="s">
        <v>874</v>
      </c>
      <c r="C89" t="s">
        <v>865</v>
      </c>
      <c r="D89" t="s">
        <v>857</v>
      </c>
      <c r="E89">
        <v>781201</v>
      </c>
      <c r="F89" s="38" t="s">
        <v>785</v>
      </c>
      <c r="G89" s="37">
        <v>20604.490000000002</v>
      </c>
      <c r="H89" s="37"/>
      <c r="I89" s="41">
        <v>20604.490000000002</v>
      </c>
      <c r="J89" s="18">
        <v>15346.69</v>
      </c>
      <c r="K89" s="14">
        <f>+J89/6*8</f>
        <v>20462.253333333334</v>
      </c>
      <c r="L89" s="18">
        <f>+K89-I89</f>
        <v>-142.23666666666759</v>
      </c>
    </row>
    <row r="90" spans="2:12" hidden="1" x14ac:dyDescent="0.25">
      <c r="B90" t="s">
        <v>874</v>
      </c>
      <c r="C90" t="s">
        <v>865</v>
      </c>
      <c r="D90" t="s">
        <v>855</v>
      </c>
      <c r="E90">
        <v>860209</v>
      </c>
      <c r="F90" s="38" t="s">
        <v>798</v>
      </c>
      <c r="G90" s="37">
        <v>172.36</v>
      </c>
      <c r="H90" s="37"/>
      <c r="I90" s="41">
        <v>172.36</v>
      </c>
      <c r="J90" s="18">
        <v>0</v>
      </c>
      <c r="K90" s="14">
        <f>+J90/6*8</f>
        <v>0</v>
      </c>
      <c r="L90" s="18">
        <f>+K90-I90</f>
        <v>-172.36</v>
      </c>
    </row>
    <row r="91" spans="2:12" hidden="1" x14ac:dyDescent="0.25">
      <c r="B91" t="s">
        <v>874</v>
      </c>
      <c r="C91" t="s">
        <v>865</v>
      </c>
      <c r="D91" t="s">
        <v>856</v>
      </c>
      <c r="E91">
        <v>742001</v>
      </c>
      <c r="F91" s="38" t="s">
        <v>768</v>
      </c>
      <c r="G91" s="37">
        <v>5151.1899999999996</v>
      </c>
      <c r="H91" s="37"/>
      <c r="I91" s="41">
        <v>5151.1899999999996</v>
      </c>
      <c r="J91" s="18">
        <v>3642.03</v>
      </c>
      <c r="K91" s="14">
        <f>+J91/6*8</f>
        <v>4856.04</v>
      </c>
      <c r="L91" s="18">
        <f>+K91-I91</f>
        <v>-295.14999999999964</v>
      </c>
    </row>
    <row r="92" spans="2:12" hidden="1" x14ac:dyDescent="0.25">
      <c r="B92" t="s">
        <v>874</v>
      </c>
      <c r="C92" t="s">
        <v>865</v>
      </c>
      <c r="D92" t="s">
        <v>856</v>
      </c>
      <c r="E92">
        <v>740801</v>
      </c>
      <c r="F92" s="38" t="s">
        <v>759</v>
      </c>
      <c r="G92" s="37">
        <v>34694.67</v>
      </c>
      <c r="H92" s="37"/>
      <c r="I92" s="41">
        <v>34694.67</v>
      </c>
      <c r="J92" s="18">
        <v>25766.91</v>
      </c>
      <c r="K92" s="14">
        <f>+J92/6*8</f>
        <v>34355.879999999997</v>
      </c>
      <c r="L92" s="18">
        <f>+K92-I92</f>
        <v>-338.79000000000087</v>
      </c>
    </row>
    <row r="93" spans="2:12" hidden="1" x14ac:dyDescent="0.25">
      <c r="B93" t="s">
        <v>874</v>
      </c>
      <c r="C93" t="s">
        <v>865</v>
      </c>
      <c r="D93" t="s">
        <v>855</v>
      </c>
      <c r="E93">
        <v>840601</v>
      </c>
      <c r="F93" s="38" t="s">
        <v>796</v>
      </c>
      <c r="G93" s="37">
        <v>1910.05</v>
      </c>
      <c r="H93" s="37"/>
      <c r="I93" s="41">
        <v>1910.05</v>
      </c>
      <c r="J93" s="18">
        <v>1059.22</v>
      </c>
      <c r="K93" s="14">
        <f>+J93/6*8</f>
        <v>1412.2933333333333</v>
      </c>
      <c r="L93" s="18">
        <f>+K93-I93</f>
        <v>-497.75666666666666</v>
      </c>
    </row>
    <row r="94" spans="2:12" hidden="1" x14ac:dyDescent="0.25">
      <c r="B94" t="s">
        <v>874</v>
      </c>
      <c r="C94" t="s">
        <v>865</v>
      </c>
      <c r="D94" t="s">
        <v>856</v>
      </c>
      <c r="E94">
        <v>700823</v>
      </c>
      <c r="F94" s="38" t="s">
        <v>721</v>
      </c>
      <c r="G94" s="37">
        <v>7207.96</v>
      </c>
      <c r="H94" s="37"/>
      <c r="I94" s="41">
        <v>7207.96</v>
      </c>
      <c r="J94" s="18">
        <v>5007.96</v>
      </c>
      <c r="K94" s="14">
        <f>+J94/6*8</f>
        <v>6677.28</v>
      </c>
      <c r="L94" s="18">
        <f>+K94-I94</f>
        <v>-530.68000000000029</v>
      </c>
    </row>
    <row r="95" spans="2:12" hidden="1" x14ac:dyDescent="0.25">
      <c r="B95" t="s">
        <v>874</v>
      </c>
      <c r="C95" t="s">
        <v>865</v>
      </c>
      <c r="D95" t="s">
        <v>856</v>
      </c>
      <c r="E95">
        <v>740607</v>
      </c>
      <c r="F95" s="38" t="s">
        <v>756</v>
      </c>
      <c r="G95" s="37">
        <v>25573.24</v>
      </c>
      <c r="H95" s="37"/>
      <c r="I95" s="41">
        <v>25573.24</v>
      </c>
      <c r="J95" s="18">
        <v>18708.36</v>
      </c>
      <c r="K95" s="14">
        <f>+J95/6*8</f>
        <v>24944.48</v>
      </c>
      <c r="L95" s="18">
        <f>+K95-I95</f>
        <v>-628.76000000000204</v>
      </c>
    </row>
    <row r="96" spans="2:12" hidden="1" x14ac:dyDescent="0.25">
      <c r="B96" t="s">
        <v>874</v>
      </c>
      <c r="C96" t="s">
        <v>865</v>
      </c>
      <c r="D96" t="s">
        <v>855</v>
      </c>
      <c r="E96">
        <v>880803</v>
      </c>
      <c r="F96" s="38" t="s">
        <v>806</v>
      </c>
      <c r="G96" s="37">
        <v>5236.0200000000004</v>
      </c>
      <c r="H96" s="37"/>
      <c r="I96" s="41">
        <v>5236.0200000000004</v>
      </c>
      <c r="J96" s="18">
        <v>3352.25</v>
      </c>
      <c r="K96" s="14">
        <f>+J96/6*8</f>
        <v>4469.666666666667</v>
      </c>
      <c r="L96" s="18">
        <f>+K96-I96</f>
        <v>-766.35333333333347</v>
      </c>
    </row>
    <row r="97" spans="2:12" hidden="1" x14ac:dyDescent="0.25">
      <c r="B97" t="s">
        <v>874</v>
      </c>
      <c r="C97" t="s">
        <v>865</v>
      </c>
      <c r="D97" t="s">
        <v>857</v>
      </c>
      <c r="E97">
        <v>781401</v>
      </c>
      <c r="F97" s="38" t="s">
        <v>786</v>
      </c>
      <c r="G97" s="37">
        <v>22651.93</v>
      </c>
      <c r="H97" s="37"/>
      <c r="I97" s="41">
        <v>22651.93</v>
      </c>
      <c r="J97" s="18">
        <v>16185.59</v>
      </c>
      <c r="K97" s="14">
        <f>+J97/6*8</f>
        <v>21580.786666666667</v>
      </c>
      <c r="L97" s="18">
        <f>+K97-I97</f>
        <v>-1071.1433333333334</v>
      </c>
    </row>
    <row r="98" spans="2:12" hidden="1" x14ac:dyDescent="0.25">
      <c r="B98" t="s">
        <v>874</v>
      </c>
      <c r="C98" t="s">
        <v>865</v>
      </c>
      <c r="D98" t="s">
        <v>857</v>
      </c>
      <c r="E98">
        <v>781001</v>
      </c>
      <c r="F98" s="38" t="s">
        <v>784</v>
      </c>
      <c r="G98" s="37">
        <v>55735.82</v>
      </c>
      <c r="H98" s="37"/>
      <c r="I98" s="41">
        <v>55735.82</v>
      </c>
      <c r="J98" s="18">
        <v>40982.21</v>
      </c>
      <c r="K98" s="14">
        <f>+J98/6*8</f>
        <v>54642.946666666663</v>
      </c>
      <c r="L98" s="18">
        <f>+K98-I98</f>
        <v>-1092.8733333333366</v>
      </c>
    </row>
    <row r="99" spans="2:12" hidden="1" x14ac:dyDescent="0.25">
      <c r="B99" t="s">
        <v>874</v>
      </c>
      <c r="C99" t="s">
        <v>865</v>
      </c>
      <c r="D99" t="s">
        <v>856</v>
      </c>
      <c r="E99">
        <v>741001</v>
      </c>
      <c r="F99" s="38" t="s">
        <v>760</v>
      </c>
      <c r="G99" s="37">
        <v>130549.24</v>
      </c>
      <c r="H99" s="37"/>
      <c r="I99" s="41">
        <v>130549.24</v>
      </c>
      <c r="J99" s="18">
        <v>97064</v>
      </c>
      <c r="K99" s="14">
        <f>+J99/6*8</f>
        <v>129418.66666666667</v>
      </c>
      <c r="L99" s="18">
        <f>+K99-I99</f>
        <v>-1130.5733333333337</v>
      </c>
    </row>
    <row r="100" spans="2:12" hidden="1" x14ac:dyDescent="0.25">
      <c r="B100" t="s">
        <v>874</v>
      </c>
      <c r="C100" t="s">
        <v>865</v>
      </c>
      <c r="D100" t="s">
        <v>855</v>
      </c>
      <c r="E100">
        <v>701807</v>
      </c>
      <c r="F100" s="38" t="s">
        <v>728</v>
      </c>
      <c r="G100" s="37">
        <v>1300</v>
      </c>
      <c r="H100" s="37"/>
      <c r="I100" s="41">
        <v>1300</v>
      </c>
      <c r="J100" s="18">
        <v>0</v>
      </c>
      <c r="K100" s="14">
        <f>+J100/6*8</f>
        <v>0</v>
      </c>
      <c r="L100" s="18">
        <f>+K100-I100</f>
        <v>-1300</v>
      </c>
    </row>
    <row r="101" spans="2:12" hidden="1" x14ac:dyDescent="0.25">
      <c r="B101" t="s">
        <v>874</v>
      </c>
      <c r="C101" t="s">
        <v>865</v>
      </c>
      <c r="D101" t="s">
        <v>856</v>
      </c>
      <c r="E101">
        <v>742003</v>
      </c>
      <c r="F101" s="38" t="s">
        <v>769</v>
      </c>
      <c r="G101" s="37">
        <v>23760.71</v>
      </c>
      <c r="H101" s="37"/>
      <c r="I101" s="41">
        <v>23760.71</v>
      </c>
      <c r="J101" s="18">
        <v>16799.88</v>
      </c>
      <c r="K101" s="14">
        <f>+J101/6*8</f>
        <v>22399.84</v>
      </c>
      <c r="L101" s="18">
        <f>+K101-I101</f>
        <v>-1360.869999999999</v>
      </c>
    </row>
    <row r="102" spans="2:12" hidden="1" x14ac:dyDescent="0.25">
      <c r="B102" t="s">
        <v>874</v>
      </c>
      <c r="C102" t="s">
        <v>865</v>
      </c>
      <c r="D102" t="s">
        <v>856</v>
      </c>
      <c r="E102">
        <v>740601</v>
      </c>
      <c r="F102" s="38" t="s">
        <v>754</v>
      </c>
      <c r="G102" s="37">
        <v>235109.89</v>
      </c>
      <c r="H102" s="37"/>
      <c r="I102" s="41">
        <v>235109.89</v>
      </c>
      <c r="J102" s="18">
        <v>175172.22</v>
      </c>
      <c r="K102" s="14">
        <f>+J102/6*8</f>
        <v>233562.96</v>
      </c>
      <c r="L102" s="18">
        <f>+K102-I102</f>
        <v>-1546.9300000000221</v>
      </c>
    </row>
    <row r="103" spans="2:12" hidden="1" x14ac:dyDescent="0.25">
      <c r="B103" t="s">
        <v>874</v>
      </c>
      <c r="C103" t="s">
        <v>865</v>
      </c>
      <c r="D103" t="s">
        <v>856</v>
      </c>
      <c r="E103">
        <v>740401</v>
      </c>
      <c r="F103" s="38" t="s">
        <v>753</v>
      </c>
      <c r="G103" s="37">
        <v>477601.93</v>
      </c>
      <c r="H103" s="37"/>
      <c r="I103" s="41">
        <v>477601.93</v>
      </c>
      <c r="J103" s="18">
        <v>356946.4</v>
      </c>
      <c r="K103" s="14">
        <f>+J103/6*8</f>
        <v>475928.53333333338</v>
      </c>
      <c r="L103" s="18">
        <f>+K103-I103</f>
        <v>-1673.3966666666092</v>
      </c>
    </row>
    <row r="104" spans="2:12" hidden="1" x14ac:dyDescent="0.25">
      <c r="B104" t="s">
        <v>874</v>
      </c>
      <c r="C104" t="s">
        <v>865</v>
      </c>
      <c r="D104" t="s">
        <v>855</v>
      </c>
      <c r="E104">
        <v>720405</v>
      </c>
      <c r="F104" s="38" t="s">
        <v>742</v>
      </c>
      <c r="G104" s="37">
        <v>422809.09</v>
      </c>
      <c r="H104" s="37"/>
      <c r="I104" s="41">
        <v>422809.09</v>
      </c>
      <c r="J104" s="18">
        <v>315786.02</v>
      </c>
      <c r="K104" s="14">
        <f>+J104/6*8</f>
        <v>421048.02666666667</v>
      </c>
      <c r="L104" s="18">
        <f>+K104-I104</f>
        <v>-1761.0633333333535</v>
      </c>
    </row>
    <row r="105" spans="2:12" hidden="1" x14ac:dyDescent="0.25">
      <c r="B105" t="s">
        <v>874</v>
      </c>
      <c r="C105" t="s">
        <v>865</v>
      </c>
      <c r="D105" t="s">
        <v>855</v>
      </c>
      <c r="E105">
        <v>702001</v>
      </c>
      <c r="F105" s="38" t="s">
        <v>730</v>
      </c>
      <c r="G105" s="37">
        <v>1355538.96</v>
      </c>
      <c r="H105" s="37"/>
      <c r="I105" s="41">
        <v>1355538.96</v>
      </c>
      <c r="J105" s="18">
        <v>1014814.45</v>
      </c>
      <c r="K105" s="14">
        <f>+J105/6*8</f>
        <v>1353085.9333333333</v>
      </c>
      <c r="L105" s="18">
        <f>+K105-I105</f>
        <v>-2453.0266666666139</v>
      </c>
    </row>
    <row r="106" spans="2:12" hidden="1" x14ac:dyDescent="0.25">
      <c r="B106" t="s">
        <v>874</v>
      </c>
      <c r="C106" t="s">
        <v>865</v>
      </c>
      <c r="D106" t="s">
        <v>856</v>
      </c>
      <c r="E106">
        <v>742009</v>
      </c>
      <c r="F106" s="38" t="s">
        <v>771</v>
      </c>
      <c r="G106" s="37">
        <v>71459.19</v>
      </c>
      <c r="H106" s="37"/>
      <c r="I106" s="41">
        <v>71459.19</v>
      </c>
      <c r="J106" s="18">
        <v>51753.99</v>
      </c>
      <c r="K106" s="14">
        <f>+J106/6*8</f>
        <v>69005.319999999992</v>
      </c>
      <c r="L106" s="18">
        <f>+K106-I106</f>
        <v>-2453.8700000000099</v>
      </c>
    </row>
    <row r="107" spans="2:12" hidden="1" x14ac:dyDescent="0.25">
      <c r="B107" t="s">
        <v>874</v>
      </c>
      <c r="C107" t="s">
        <v>865</v>
      </c>
      <c r="D107" t="s">
        <v>857</v>
      </c>
      <c r="E107">
        <v>760201</v>
      </c>
      <c r="F107" s="38" t="s">
        <v>772</v>
      </c>
      <c r="G107" s="37">
        <v>627224.13</v>
      </c>
      <c r="H107" s="37"/>
      <c r="I107" s="41">
        <v>627224.13</v>
      </c>
      <c r="J107" s="18">
        <v>468574.12</v>
      </c>
      <c r="K107" s="14">
        <f>+J107/6*8</f>
        <v>624765.49333333329</v>
      </c>
      <c r="L107" s="18">
        <f>+K107-I107</f>
        <v>-2458.6366666667163</v>
      </c>
    </row>
    <row r="108" spans="2:12" hidden="1" x14ac:dyDescent="0.25">
      <c r="B108" t="s">
        <v>874</v>
      </c>
      <c r="C108" t="s">
        <v>865</v>
      </c>
      <c r="D108" t="s">
        <v>855</v>
      </c>
      <c r="E108">
        <v>702403</v>
      </c>
      <c r="F108" s="38" t="s">
        <v>735</v>
      </c>
      <c r="G108" s="37">
        <v>18339.95</v>
      </c>
      <c r="H108" s="37"/>
      <c r="I108" s="41">
        <v>18339.95</v>
      </c>
      <c r="J108" s="18">
        <v>11905.09</v>
      </c>
      <c r="K108" s="14">
        <f>+J108/6*8</f>
        <v>15873.453333333333</v>
      </c>
      <c r="L108" s="18">
        <f>+K108-I108</f>
        <v>-2466.4966666666678</v>
      </c>
    </row>
    <row r="109" spans="2:12" hidden="1" x14ac:dyDescent="0.25">
      <c r="B109" t="s">
        <v>874</v>
      </c>
      <c r="C109" t="s">
        <v>865</v>
      </c>
      <c r="D109" t="s">
        <v>854</v>
      </c>
      <c r="E109">
        <v>700207</v>
      </c>
      <c r="F109" s="38" t="s">
        <v>698</v>
      </c>
      <c r="G109" s="37">
        <v>8491.2900000000009</v>
      </c>
      <c r="H109" s="37"/>
      <c r="I109" s="41">
        <v>8491.2900000000009</v>
      </c>
      <c r="J109" s="18">
        <v>4312.1000000000004</v>
      </c>
      <c r="K109" s="14">
        <f>+J109/6*8</f>
        <v>5749.4666666666672</v>
      </c>
      <c r="L109" s="18">
        <f>+K109-I109</f>
        <v>-2741.8233333333337</v>
      </c>
    </row>
    <row r="110" spans="2:12" hidden="1" x14ac:dyDescent="0.25">
      <c r="B110" t="s">
        <v>874</v>
      </c>
      <c r="C110" t="s">
        <v>865</v>
      </c>
      <c r="D110" t="s">
        <v>856</v>
      </c>
      <c r="E110">
        <v>740605</v>
      </c>
      <c r="F110" s="38" t="s">
        <v>755</v>
      </c>
      <c r="G110" s="37">
        <v>20720</v>
      </c>
      <c r="H110" s="37"/>
      <c r="I110" s="41">
        <v>20720</v>
      </c>
      <c r="J110" s="18">
        <v>13450</v>
      </c>
      <c r="K110" s="14">
        <f>+J110/6*8</f>
        <v>17933.333333333332</v>
      </c>
      <c r="L110" s="18">
        <f>+K110-I110</f>
        <v>-2786.6666666666679</v>
      </c>
    </row>
    <row r="111" spans="2:12" hidden="1" x14ac:dyDescent="0.25">
      <c r="B111" t="s">
        <v>874</v>
      </c>
      <c r="C111" t="s">
        <v>865</v>
      </c>
      <c r="D111" t="s">
        <v>855</v>
      </c>
      <c r="E111">
        <v>700803</v>
      </c>
      <c r="F111" s="38" t="s">
        <v>712</v>
      </c>
      <c r="G111" s="37">
        <v>12047.23</v>
      </c>
      <c r="H111" s="37"/>
      <c r="I111" s="41">
        <v>12047.23</v>
      </c>
      <c r="J111" s="18">
        <v>6786.69</v>
      </c>
      <c r="K111" s="14">
        <f>+J111/6*8</f>
        <v>9048.92</v>
      </c>
      <c r="L111" s="18">
        <f>+K111-I111</f>
        <v>-2998.3099999999995</v>
      </c>
    </row>
    <row r="112" spans="2:12" hidden="1" x14ac:dyDescent="0.25">
      <c r="B112" t="s">
        <v>874</v>
      </c>
      <c r="C112" t="s">
        <v>865</v>
      </c>
      <c r="D112" t="s">
        <v>855</v>
      </c>
      <c r="E112">
        <v>880211</v>
      </c>
      <c r="F112" s="38" t="s">
        <v>804</v>
      </c>
      <c r="G112" s="37">
        <v>3568.16</v>
      </c>
      <c r="H112" s="37"/>
      <c r="I112" s="41">
        <v>3568.16</v>
      </c>
      <c r="J112" s="18">
        <v>367.42</v>
      </c>
      <c r="K112" s="14">
        <f>+J112/6*8</f>
        <v>489.89333333333337</v>
      </c>
      <c r="L112" s="18">
        <f>+K112-I112</f>
        <v>-3078.2666666666664</v>
      </c>
    </row>
    <row r="113" spans="2:12" hidden="1" x14ac:dyDescent="0.25">
      <c r="B113" t="s">
        <v>874</v>
      </c>
      <c r="C113" t="s">
        <v>863</v>
      </c>
      <c r="D113" t="s">
        <v>837</v>
      </c>
      <c r="E113">
        <v>660203</v>
      </c>
      <c r="F113" s="38" t="s">
        <v>685</v>
      </c>
      <c r="G113" s="37"/>
      <c r="H113" s="37">
        <v>9498.5</v>
      </c>
      <c r="I113" s="41">
        <v>-9498.5</v>
      </c>
      <c r="J113" s="18">
        <v>-9498.5</v>
      </c>
      <c r="K113" s="14">
        <f>+J113/6*8</f>
        <v>-12664.666666666666</v>
      </c>
      <c r="L113" s="18">
        <f>+K113-I113</f>
        <v>-3166.1666666666661</v>
      </c>
    </row>
    <row r="114" spans="2:12" hidden="1" x14ac:dyDescent="0.25">
      <c r="B114" t="s">
        <v>874</v>
      </c>
      <c r="C114" t="s">
        <v>865</v>
      </c>
      <c r="D114" t="s">
        <v>855</v>
      </c>
      <c r="E114">
        <v>720601</v>
      </c>
      <c r="F114" s="38" t="s">
        <v>743</v>
      </c>
      <c r="G114" s="37">
        <v>17675.22</v>
      </c>
      <c r="H114" s="37"/>
      <c r="I114" s="41">
        <v>17675.22</v>
      </c>
      <c r="J114" s="18">
        <v>10563.34</v>
      </c>
      <c r="K114" s="14">
        <f>+J114/6*8</f>
        <v>14084.453333333333</v>
      </c>
      <c r="L114" s="18">
        <f>+K114-I114</f>
        <v>-3590.7666666666682</v>
      </c>
    </row>
    <row r="115" spans="2:12" hidden="1" x14ac:dyDescent="0.25">
      <c r="B115" t="s">
        <v>874</v>
      </c>
      <c r="C115" t="s">
        <v>865</v>
      </c>
      <c r="D115" t="s">
        <v>855</v>
      </c>
      <c r="E115">
        <v>840403</v>
      </c>
      <c r="F115" s="38" t="s">
        <v>795</v>
      </c>
      <c r="G115" s="37">
        <v>11383.67</v>
      </c>
      <c r="H115" s="37"/>
      <c r="I115" s="41">
        <v>11383.67</v>
      </c>
      <c r="J115" s="18">
        <v>5454.1</v>
      </c>
      <c r="K115" s="14">
        <f>+J115/6*8</f>
        <v>7272.1333333333341</v>
      </c>
      <c r="L115" s="18">
        <f>+K115-I115</f>
        <v>-4111.536666666666</v>
      </c>
    </row>
    <row r="116" spans="2:12" hidden="1" x14ac:dyDescent="0.25">
      <c r="B116" t="s">
        <v>874</v>
      </c>
      <c r="C116" t="s">
        <v>865</v>
      </c>
      <c r="D116" t="s">
        <v>855</v>
      </c>
      <c r="E116">
        <v>700813</v>
      </c>
      <c r="F116" s="38" t="s">
        <v>717</v>
      </c>
      <c r="G116" s="37">
        <v>35087.269999999997</v>
      </c>
      <c r="H116" s="37"/>
      <c r="I116" s="41">
        <v>35087.269999999997</v>
      </c>
      <c r="J116" s="18">
        <v>23124.01</v>
      </c>
      <c r="K116" s="14">
        <f>+J116/6*8</f>
        <v>30832.013333333332</v>
      </c>
      <c r="L116" s="18">
        <f>+K116-I116</f>
        <v>-4255.2566666666644</v>
      </c>
    </row>
    <row r="117" spans="2:12" hidden="1" x14ac:dyDescent="0.25">
      <c r="B117" t="s">
        <v>874</v>
      </c>
      <c r="C117" t="s">
        <v>865</v>
      </c>
      <c r="D117" t="s">
        <v>860</v>
      </c>
      <c r="E117">
        <v>920207</v>
      </c>
      <c r="F117" s="38" t="s">
        <v>810</v>
      </c>
      <c r="G117" s="37">
        <v>83426.69</v>
      </c>
      <c r="H117" s="37"/>
      <c r="I117" s="41">
        <v>83426.69</v>
      </c>
      <c r="J117" s="18">
        <v>59077.17</v>
      </c>
      <c r="K117" s="14">
        <f>+J117/6*8</f>
        <v>78769.56</v>
      </c>
      <c r="L117" s="18">
        <f>+K117-I117</f>
        <v>-4657.1300000000047</v>
      </c>
    </row>
    <row r="118" spans="2:12" hidden="1" x14ac:dyDescent="0.25">
      <c r="B118" t="s">
        <v>874</v>
      </c>
      <c r="C118" t="s">
        <v>865</v>
      </c>
      <c r="D118" t="s">
        <v>861</v>
      </c>
      <c r="E118">
        <v>940201</v>
      </c>
      <c r="F118" s="38" t="s">
        <v>814</v>
      </c>
      <c r="G118" s="37">
        <v>4801</v>
      </c>
      <c r="H118" s="37"/>
      <c r="I118" s="41">
        <v>4801</v>
      </c>
      <c r="J118" s="18">
        <v>0</v>
      </c>
      <c r="K118" s="14">
        <f>+J118/6*8</f>
        <v>0</v>
      </c>
      <c r="L118" s="18">
        <f>+K118-I118</f>
        <v>-4801</v>
      </c>
    </row>
    <row r="119" spans="2:12" hidden="1" x14ac:dyDescent="0.25">
      <c r="B119" t="s">
        <v>874</v>
      </c>
      <c r="C119" t="s">
        <v>865</v>
      </c>
      <c r="D119" t="s">
        <v>855</v>
      </c>
      <c r="E119">
        <v>741605</v>
      </c>
      <c r="F119" s="38" t="s">
        <v>764</v>
      </c>
      <c r="G119" s="37">
        <v>38032.050000000003</v>
      </c>
      <c r="H119" s="37"/>
      <c r="I119" s="41">
        <v>38032.050000000003</v>
      </c>
      <c r="J119" s="18">
        <v>24883</v>
      </c>
      <c r="K119" s="14">
        <f>+J119/6*8</f>
        <v>33177.333333333336</v>
      </c>
      <c r="L119" s="18">
        <f>+K119-I119</f>
        <v>-4854.7166666666672</v>
      </c>
    </row>
    <row r="120" spans="2:12" hidden="1" x14ac:dyDescent="0.25">
      <c r="B120" t="s">
        <v>874</v>
      </c>
      <c r="C120" t="s">
        <v>865</v>
      </c>
      <c r="D120" t="s">
        <v>856</v>
      </c>
      <c r="E120">
        <v>741601</v>
      </c>
      <c r="F120" s="38" t="s">
        <v>763</v>
      </c>
      <c r="G120" s="37">
        <v>205217.04</v>
      </c>
      <c r="H120" s="37"/>
      <c r="I120" s="41">
        <v>205217.04</v>
      </c>
      <c r="J120" s="18">
        <v>149854.79999999999</v>
      </c>
      <c r="K120" s="14">
        <f>+J120/6*8</f>
        <v>199806.4</v>
      </c>
      <c r="L120" s="18">
        <f>+K120-I120</f>
        <v>-5410.640000000014</v>
      </c>
    </row>
    <row r="121" spans="2:12" hidden="1" x14ac:dyDescent="0.25">
      <c r="B121" t="s">
        <v>874</v>
      </c>
      <c r="C121" t="s">
        <v>865</v>
      </c>
      <c r="D121" t="s">
        <v>856</v>
      </c>
      <c r="E121">
        <v>740211</v>
      </c>
      <c r="F121" s="38" t="s">
        <v>750</v>
      </c>
      <c r="G121" s="37">
        <v>225607.77</v>
      </c>
      <c r="H121" s="37"/>
      <c r="I121" s="41">
        <v>225607.77</v>
      </c>
      <c r="J121" s="18">
        <v>165131.29999999999</v>
      </c>
      <c r="K121" s="14">
        <f>+J121/6*8</f>
        <v>220175.06666666665</v>
      </c>
      <c r="L121" s="18">
        <f>+K121-I121</f>
        <v>-5432.7033333333384</v>
      </c>
    </row>
    <row r="122" spans="2:12" hidden="1" x14ac:dyDescent="0.25">
      <c r="B122" t="s">
        <v>874</v>
      </c>
      <c r="C122" t="s">
        <v>865</v>
      </c>
      <c r="D122" t="s">
        <v>854</v>
      </c>
      <c r="E122">
        <v>700205</v>
      </c>
      <c r="F122" s="38" t="s">
        <v>697</v>
      </c>
      <c r="G122" s="37">
        <v>9061.2000000000007</v>
      </c>
      <c r="H122" s="37"/>
      <c r="I122" s="41">
        <v>9061.2000000000007</v>
      </c>
      <c r="J122" s="18">
        <v>2671.4</v>
      </c>
      <c r="K122" s="14">
        <f>+J122/6*8</f>
        <v>3561.8666666666668</v>
      </c>
      <c r="L122" s="18">
        <f>+K122-I122</f>
        <v>-5499.3333333333339</v>
      </c>
    </row>
    <row r="123" spans="2:12" hidden="1" x14ac:dyDescent="0.25">
      <c r="B123" t="s">
        <v>874</v>
      </c>
      <c r="C123" t="s">
        <v>865</v>
      </c>
      <c r="D123" t="s">
        <v>855</v>
      </c>
      <c r="E123">
        <v>702203</v>
      </c>
      <c r="F123" s="38" t="s">
        <v>733</v>
      </c>
      <c r="G123" s="37">
        <v>19464.099999999999</v>
      </c>
      <c r="H123" s="37"/>
      <c r="I123" s="41">
        <v>19464.099999999999</v>
      </c>
      <c r="J123" s="18">
        <v>10060.25</v>
      </c>
      <c r="K123" s="14">
        <f>+J123/6*8</f>
        <v>13413.666666666666</v>
      </c>
      <c r="L123" s="18">
        <f>+K123-I123</f>
        <v>-6050.4333333333325</v>
      </c>
    </row>
    <row r="124" spans="2:12" hidden="1" x14ac:dyDescent="0.25">
      <c r="B124" t="s">
        <v>874</v>
      </c>
      <c r="C124" t="s">
        <v>865</v>
      </c>
      <c r="D124" t="s">
        <v>855</v>
      </c>
      <c r="E124">
        <v>720605</v>
      </c>
      <c r="F124" s="38" t="s">
        <v>744</v>
      </c>
      <c r="G124" s="37">
        <v>6500</v>
      </c>
      <c r="H124" s="37"/>
      <c r="I124" s="41">
        <v>6500</v>
      </c>
      <c r="J124" s="18">
        <v>0</v>
      </c>
      <c r="K124" s="14">
        <f>+J124/6*8</f>
        <v>0</v>
      </c>
      <c r="L124" s="18">
        <f>+K124-I124</f>
        <v>-6500</v>
      </c>
    </row>
    <row r="125" spans="2:12" hidden="1" x14ac:dyDescent="0.25">
      <c r="B125" t="s">
        <v>874</v>
      </c>
      <c r="C125" t="s">
        <v>865</v>
      </c>
      <c r="D125" t="s">
        <v>856</v>
      </c>
      <c r="E125">
        <v>740611</v>
      </c>
      <c r="F125" s="38" t="s">
        <v>758</v>
      </c>
      <c r="G125" s="37">
        <v>664931.25</v>
      </c>
      <c r="H125" s="37"/>
      <c r="I125" s="41">
        <v>664931.25</v>
      </c>
      <c r="J125" s="18">
        <v>492524.59</v>
      </c>
      <c r="K125" s="14">
        <f>+J125/6*8</f>
        <v>656699.45333333337</v>
      </c>
      <c r="L125" s="18">
        <f>+K125-I125</f>
        <v>-8231.7966666666325</v>
      </c>
    </row>
    <row r="126" spans="2:12" hidden="1" x14ac:dyDescent="0.25">
      <c r="B126" t="s">
        <v>874</v>
      </c>
      <c r="C126" t="s">
        <v>865</v>
      </c>
      <c r="D126" t="s">
        <v>855</v>
      </c>
      <c r="E126">
        <v>700603</v>
      </c>
      <c r="F126" s="38" t="s">
        <v>710</v>
      </c>
      <c r="G126" s="37">
        <v>23936.02</v>
      </c>
      <c r="H126" s="37"/>
      <c r="I126" s="41">
        <v>23936.02</v>
      </c>
      <c r="J126" s="18">
        <v>11700.18</v>
      </c>
      <c r="K126" s="14">
        <f>+J126/6*8</f>
        <v>15600.24</v>
      </c>
      <c r="L126" s="18">
        <f>+K126-I126</f>
        <v>-8335.7800000000007</v>
      </c>
    </row>
    <row r="127" spans="2:12" hidden="1" x14ac:dyDescent="0.25">
      <c r="B127" t="s">
        <v>874</v>
      </c>
      <c r="C127" t="s">
        <v>865</v>
      </c>
      <c r="D127" t="s">
        <v>855</v>
      </c>
      <c r="E127">
        <v>720401</v>
      </c>
      <c r="F127" s="38" t="s">
        <v>740</v>
      </c>
      <c r="G127" s="37">
        <v>51694.26</v>
      </c>
      <c r="H127" s="37"/>
      <c r="I127" s="41">
        <v>51694.26</v>
      </c>
      <c r="J127" s="18">
        <v>32444.49</v>
      </c>
      <c r="K127" s="14">
        <f>+J127/6*8</f>
        <v>43259.32</v>
      </c>
      <c r="L127" s="18">
        <f>+K127-I127</f>
        <v>-8434.9400000000023</v>
      </c>
    </row>
    <row r="128" spans="2:12" x14ac:dyDescent="0.25">
      <c r="B128" t="s">
        <v>874</v>
      </c>
      <c r="C128" t="s">
        <v>863</v>
      </c>
      <c r="D128" t="s">
        <v>852</v>
      </c>
      <c r="E128">
        <v>700217</v>
      </c>
      <c r="F128" s="38" t="s">
        <v>702</v>
      </c>
      <c r="G128" s="37"/>
      <c r="H128" s="37">
        <v>5877412.6799999997</v>
      </c>
      <c r="I128" s="41">
        <v>-5877412.6799999997</v>
      </c>
      <c r="J128" s="18">
        <v>-4414506.26</v>
      </c>
      <c r="K128" s="14">
        <f>+J128/6*8</f>
        <v>-5886008.3466666667</v>
      </c>
      <c r="L128" s="18">
        <f>+K128-I128</f>
        <v>-8595.6666666669771</v>
      </c>
    </row>
    <row r="129" spans="2:12" hidden="1" x14ac:dyDescent="0.25">
      <c r="B129" t="s">
        <v>874</v>
      </c>
      <c r="C129" t="s">
        <v>865</v>
      </c>
      <c r="D129" t="s">
        <v>855</v>
      </c>
      <c r="E129">
        <v>702003</v>
      </c>
      <c r="F129" s="38" t="s">
        <v>731</v>
      </c>
      <c r="G129" s="37">
        <v>127915</v>
      </c>
      <c r="H129" s="37"/>
      <c r="I129" s="41">
        <v>127915</v>
      </c>
      <c r="J129" s="18">
        <v>89036.28</v>
      </c>
      <c r="K129" s="14">
        <f>+J129/6*8</f>
        <v>118715.04</v>
      </c>
      <c r="L129" s="18">
        <f>+K129-I129</f>
        <v>-9199.9600000000064</v>
      </c>
    </row>
    <row r="130" spans="2:12" x14ac:dyDescent="0.25">
      <c r="B130" t="s">
        <v>874</v>
      </c>
      <c r="C130" t="s">
        <v>863</v>
      </c>
      <c r="D130" t="s">
        <v>852</v>
      </c>
      <c r="E130">
        <v>640201</v>
      </c>
      <c r="F130" s="38" t="s">
        <v>683</v>
      </c>
      <c r="G130" s="37"/>
      <c r="H130" s="37">
        <v>2824723.56</v>
      </c>
      <c r="I130" s="41">
        <v>-2824723.56</v>
      </c>
      <c r="J130" s="18">
        <v>-2126354.77</v>
      </c>
      <c r="K130" s="14">
        <f>+J130/6*8</f>
        <v>-2835139.6933333334</v>
      </c>
      <c r="L130" s="18">
        <f>+K130-I130</f>
        <v>-10416.133333333302</v>
      </c>
    </row>
    <row r="131" spans="2:12" hidden="1" x14ac:dyDescent="0.25">
      <c r="B131" t="s">
        <v>874</v>
      </c>
      <c r="C131" t="s">
        <v>865</v>
      </c>
      <c r="D131" t="s">
        <v>854</v>
      </c>
      <c r="E131">
        <v>700201</v>
      </c>
      <c r="F131" s="38" t="s">
        <v>695</v>
      </c>
      <c r="G131" s="37">
        <v>13306.66</v>
      </c>
      <c r="H131" s="37"/>
      <c r="I131" s="41">
        <v>13306.66</v>
      </c>
      <c r="J131" s="18">
        <v>0</v>
      </c>
      <c r="K131" s="14">
        <f>+J131/6*8</f>
        <v>0</v>
      </c>
      <c r="L131" s="18">
        <f>+K131-I131</f>
        <v>-13306.66</v>
      </c>
    </row>
    <row r="132" spans="2:12" hidden="1" x14ac:dyDescent="0.25">
      <c r="B132" t="s">
        <v>874</v>
      </c>
      <c r="C132" t="s">
        <v>865</v>
      </c>
      <c r="D132" t="s">
        <v>855</v>
      </c>
      <c r="E132">
        <v>701201</v>
      </c>
      <c r="F132" s="38" t="s">
        <v>722</v>
      </c>
      <c r="G132" s="37">
        <v>60145.33</v>
      </c>
      <c r="H132" s="37"/>
      <c r="I132" s="41">
        <v>60145.33</v>
      </c>
      <c r="J132" s="18">
        <v>34235.21</v>
      </c>
      <c r="K132" s="14">
        <f>+J132/6*8</f>
        <v>45646.946666666663</v>
      </c>
      <c r="L132" s="18">
        <f>+K132-I132</f>
        <v>-14498.383333333339</v>
      </c>
    </row>
    <row r="133" spans="2:12" hidden="1" x14ac:dyDescent="0.25">
      <c r="B133" t="s">
        <v>874</v>
      </c>
      <c r="C133" t="s">
        <v>865</v>
      </c>
      <c r="D133" t="s">
        <v>855</v>
      </c>
      <c r="E133">
        <v>680603</v>
      </c>
      <c r="F133" s="38" t="s">
        <v>694</v>
      </c>
      <c r="G133" s="37">
        <v>173653.03</v>
      </c>
      <c r="H133" s="37"/>
      <c r="I133" s="41">
        <v>173653.03</v>
      </c>
      <c r="J133" s="18">
        <v>116700.52</v>
      </c>
      <c r="K133" s="14">
        <f>+J133/6*8</f>
        <v>155600.69333333333</v>
      </c>
      <c r="L133" s="18">
        <f>+K133-I133</f>
        <v>-18052.33666666667</v>
      </c>
    </row>
    <row r="134" spans="2:12" hidden="1" x14ac:dyDescent="0.25">
      <c r="B134" t="s">
        <v>874</v>
      </c>
      <c r="C134" t="s">
        <v>865</v>
      </c>
      <c r="D134" t="s">
        <v>853</v>
      </c>
      <c r="E134">
        <v>860207</v>
      </c>
      <c r="F134" s="38" t="s">
        <v>797</v>
      </c>
      <c r="G134" s="37">
        <v>22519.83</v>
      </c>
      <c r="H134" s="37"/>
      <c r="I134" s="41">
        <v>22519.83</v>
      </c>
      <c r="J134" s="18">
        <v>2672.45</v>
      </c>
      <c r="K134" s="14">
        <f>+J134/6*8</f>
        <v>3563.2666666666664</v>
      </c>
      <c r="L134" s="18">
        <f>+K134-I134</f>
        <v>-18956.563333333335</v>
      </c>
    </row>
    <row r="135" spans="2:12" hidden="1" x14ac:dyDescent="0.25">
      <c r="B135" t="s">
        <v>874</v>
      </c>
      <c r="C135" t="s">
        <v>865</v>
      </c>
      <c r="D135" t="s">
        <v>855</v>
      </c>
      <c r="E135">
        <v>700809</v>
      </c>
      <c r="F135" s="38" t="s">
        <v>715</v>
      </c>
      <c r="G135" s="37">
        <v>73216.83</v>
      </c>
      <c r="H135" s="37"/>
      <c r="I135" s="41">
        <v>73216.83</v>
      </c>
      <c r="J135" s="18">
        <v>37706.81</v>
      </c>
      <c r="K135" s="14">
        <f>+J135/6*8</f>
        <v>50275.746666666666</v>
      </c>
      <c r="L135" s="18">
        <f>+K135-I135</f>
        <v>-22941.083333333336</v>
      </c>
    </row>
    <row r="136" spans="2:12" hidden="1" x14ac:dyDescent="0.25">
      <c r="B136" t="s">
        <v>874</v>
      </c>
      <c r="C136" t="s">
        <v>865</v>
      </c>
      <c r="D136" t="s">
        <v>856</v>
      </c>
      <c r="E136">
        <v>742005</v>
      </c>
      <c r="F136" s="38" t="s">
        <v>770</v>
      </c>
      <c r="G136" s="37">
        <v>77938.91</v>
      </c>
      <c r="H136" s="37"/>
      <c r="I136" s="41">
        <v>77938.91</v>
      </c>
      <c r="J136" s="18">
        <v>40073.67</v>
      </c>
      <c r="K136" s="14">
        <f>+J136/6*8</f>
        <v>53431.56</v>
      </c>
      <c r="L136" s="18">
        <f>+K136-I136</f>
        <v>-24507.350000000006</v>
      </c>
    </row>
    <row r="137" spans="2:12" hidden="1" x14ac:dyDescent="0.25">
      <c r="B137" t="s">
        <v>874</v>
      </c>
      <c r="C137" t="s">
        <v>865</v>
      </c>
      <c r="D137" t="s">
        <v>855</v>
      </c>
      <c r="E137">
        <v>700401</v>
      </c>
      <c r="F137" s="38" t="s">
        <v>703</v>
      </c>
      <c r="G137" s="37">
        <v>25298.76</v>
      </c>
      <c r="H137" s="37"/>
      <c r="I137" s="41">
        <v>25298.76</v>
      </c>
      <c r="J137" s="18">
        <v>0</v>
      </c>
      <c r="K137" s="14">
        <f>+J137/6*8</f>
        <v>0</v>
      </c>
      <c r="L137" s="18">
        <f>+K137-I137</f>
        <v>-25298.76</v>
      </c>
    </row>
    <row r="138" spans="2:12" hidden="1" x14ac:dyDescent="0.25">
      <c r="B138" t="s">
        <v>874</v>
      </c>
      <c r="C138" t="s">
        <v>865</v>
      </c>
      <c r="D138" t="s">
        <v>855</v>
      </c>
      <c r="E138">
        <v>840201</v>
      </c>
      <c r="F138" s="38" t="s">
        <v>793</v>
      </c>
      <c r="G138" s="37">
        <v>27236.49</v>
      </c>
      <c r="H138" s="37"/>
      <c r="I138" s="41">
        <v>27236.49</v>
      </c>
      <c r="J138" s="18">
        <v>0</v>
      </c>
      <c r="K138" s="14">
        <f>+J138/6*8</f>
        <v>0</v>
      </c>
      <c r="L138" s="18">
        <f>+K138-I138</f>
        <v>-27236.49</v>
      </c>
    </row>
    <row r="139" spans="2:12" hidden="1" x14ac:dyDescent="0.25">
      <c r="B139" t="s">
        <v>874</v>
      </c>
      <c r="C139" t="s">
        <v>865</v>
      </c>
      <c r="D139" t="s">
        <v>861</v>
      </c>
      <c r="E139">
        <v>940209</v>
      </c>
      <c r="F139" s="38" t="s">
        <v>815</v>
      </c>
      <c r="G139" s="37">
        <v>29605</v>
      </c>
      <c r="H139" s="37"/>
      <c r="I139" s="41">
        <v>29605</v>
      </c>
      <c r="J139" s="18">
        <v>0</v>
      </c>
      <c r="K139" s="14">
        <f>+J139/6*8</f>
        <v>0</v>
      </c>
      <c r="L139" s="18">
        <f>+K139-I139</f>
        <v>-29605</v>
      </c>
    </row>
    <row r="140" spans="2:12" hidden="1" x14ac:dyDescent="0.25">
      <c r="B140" t="s">
        <v>874</v>
      </c>
      <c r="C140" t="s">
        <v>865</v>
      </c>
      <c r="D140" t="s">
        <v>856</v>
      </c>
      <c r="E140">
        <v>741801</v>
      </c>
      <c r="F140" s="38" t="s">
        <v>766</v>
      </c>
      <c r="G140" s="37">
        <v>57424.5</v>
      </c>
      <c r="H140" s="37"/>
      <c r="I140" s="41">
        <v>57424.5</v>
      </c>
      <c r="J140" s="18">
        <v>19492.5</v>
      </c>
      <c r="K140" s="14">
        <f>+J140/6*8</f>
        <v>25990</v>
      </c>
      <c r="L140" s="18">
        <f>+K140-I140</f>
        <v>-31434.5</v>
      </c>
    </row>
    <row r="141" spans="2:12" hidden="1" x14ac:dyDescent="0.25">
      <c r="B141" t="s">
        <v>874</v>
      </c>
      <c r="C141" t="s">
        <v>865</v>
      </c>
      <c r="D141" t="s">
        <v>855</v>
      </c>
      <c r="E141">
        <v>720201</v>
      </c>
      <c r="F141" s="38" t="s">
        <v>739</v>
      </c>
      <c r="G141" s="37">
        <v>264386.57</v>
      </c>
      <c r="H141" s="37"/>
      <c r="I141" s="41">
        <v>264386.57</v>
      </c>
      <c r="J141" s="18">
        <v>171046.3</v>
      </c>
      <c r="K141" s="14">
        <f>+J141/6*8</f>
        <v>228061.73333333331</v>
      </c>
      <c r="L141" s="18">
        <f>+K141-I141</f>
        <v>-36324.836666666699</v>
      </c>
    </row>
    <row r="142" spans="2:12" hidden="1" x14ac:dyDescent="0.25">
      <c r="B142" t="s">
        <v>874</v>
      </c>
      <c r="C142" t="s">
        <v>865</v>
      </c>
      <c r="D142" t="s">
        <v>855</v>
      </c>
      <c r="E142">
        <v>700819</v>
      </c>
      <c r="F142" s="38" t="s">
        <v>719</v>
      </c>
      <c r="G142" s="37">
        <v>54388.6</v>
      </c>
      <c r="H142" s="37"/>
      <c r="I142" s="41">
        <v>54388.6</v>
      </c>
      <c r="J142" s="18">
        <v>7191.24</v>
      </c>
      <c r="K142" s="14">
        <f>+J142/6*8</f>
        <v>9588.32</v>
      </c>
      <c r="L142" s="18">
        <f>+K142-I142</f>
        <v>-44800.28</v>
      </c>
    </row>
    <row r="143" spans="2:12" hidden="1" x14ac:dyDescent="0.25">
      <c r="B143" t="s">
        <v>874</v>
      </c>
      <c r="C143" t="s">
        <v>865</v>
      </c>
      <c r="D143" t="s">
        <v>854</v>
      </c>
      <c r="E143" t="s">
        <v>820</v>
      </c>
      <c r="F143" s="40" t="s">
        <v>821</v>
      </c>
      <c r="G143" s="37">
        <v>123959.8</v>
      </c>
      <c r="H143" s="37"/>
      <c r="I143" s="41">
        <v>123959.8</v>
      </c>
      <c r="J143" s="18">
        <v>56939.519999999997</v>
      </c>
      <c r="K143" s="14">
        <f>+J143/6*8</f>
        <v>75919.360000000001</v>
      </c>
      <c r="L143" s="18">
        <f>+K143-I143</f>
        <v>-48040.44</v>
      </c>
    </row>
    <row r="144" spans="2:12" hidden="1" x14ac:dyDescent="0.25">
      <c r="B144" t="s">
        <v>874</v>
      </c>
      <c r="C144" t="s">
        <v>865</v>
      </c>
      <c r="D144" t="s">
        <v>858</v>
      </c>
      <c r="E144">
        <v>880205</v>
      </c>
      <c r="F144" s="38" t="s">
        <v>801</v>
      </c>
      <c r="G144" s="37">
        <v>140731.57</v>
      </c>
      <c r="H144" s="37"/>
      <c r="I144" s="41">
        <v>140731.57</v>
      </c>
      <c r="J144" s="18">
        <v>69294.62</v>
      </c>
      <c r="K144" s="14">
        <f>+J144/6*8</f>
        <v>92392.82666666666</v>
      </c>
      <c r="L144" s="18">
        <f>+K144-I144</f>
        <v>-48338.743333333347</v>
      </c>
    </row>
    <row r="145" spans="2:12" hidden="1" x14ac:dyDescent="0.25">
      <c r="B145" t="s">
        <v>874</v>
      </c>
      <c r="C145" t="s">
        <v>864</v>
      </c>
      <c r="D145" t="s">
        <v>851</v>
      </c>
      <c r="E145">
        <v>620203</v>
      </c>
      <c r="F145" s="38" t="s">
        <v>682</v>
      </c>
      <c r="G145" s="37"/>
      <c r="H145" s="37">
        <v>789276.15</v>
      </c>
      <c r="I145" s="41">
        <v>-789276.15</v>
      </c>
      <c r="J145" s="18">
        <v>-648033.57999999996</v>
      </c>
      <c r="K145" s="14">
        <f>+J145/6*8</f>
        <v>-864044.77333333332</v>
      </c>
      <c r="L145" s="18">
        <f>+K145-I145</f>
        <v>-74768.623333333293</v>
      </c>
    </row>
    <row r="146" spans="2:12" hidden="1" x14ac:dyDescent="0.25">
      <c r="B146" t="s">
        <v>874</v>
      </c>
      <c r="C146" t="s">
        <v>865</v>
      </c>
      <c r="D146" t="s">
        <v>856</v>
      </c>
      <c r="E146">
        <v>740203</v>
      </c>
      <c r="F146" s="38" t="s">
        <v>746</v>
      </c>
      <c r="G146" s="37">
        <v>2095339.18</v>
      </c>
      <c r="H146" s="37"/>
      <c r="I146" s="41">
        <v>2095339.18</v>
      </c>
      <c r="J146" s="18">
        <v>1504399.54</v>
      </c>
      <c r="K146" s="14">
        <f>+J146/6*8</f>
        <v>2005866.0533333335</v>
      </c>
      <c r="L146" s="18">
        <f>+K146-I146</f>
        <v>-89473.126666666474</v>
      </c>
    </row>
    <row r="147" spans="2:12" hidden="1" x14ac:dyDescent="0.25">
      <c r="B147" t="s">
        <v>874</v>
      </c>
      <c r="C147" t="s">
        <v>865</v>
      </c>
      <c r="D147" t="s">
        <v>855</v>
      </c>
      <c r="E147">
        <v>701601</v>
      </c>
      <c r="F147" s="38" t="s">
        <v>723</v>
      </c>
      <c r="G147" s="37">
        <v>643268</v>
      </c>
      <c r="H147" s="37"/>
      <c r="I147" s="41">
        <v>643268</v>
      </c>
      <c r="J147" s="18">
        <v>400000</v>
      </c>
      <c r="K147" s="14">
        <f>+J147/6*8</f>
        <v>533333.33333333337</v>
      </c>
      <c r="L147" s="18">
        <f>+K147-I147</f>
        <v>-109934.66666666663</v>
      </c>
    </row>
    <row r="148" spans="2:12" hidden="1" x14ac:dyDescent="0.25">
      <c r="B148" t="s">
        <v>874</v>
      </c>
      <c r="C148" t="s">
        <v>865</v>
      </c>
      <c r="D148" t="s">
        <v>855</v>
      </c>
      <c r="E148">
        <v>700405</v>
      </c>
      <c r="F148" s="38" t="s">
        <v>705</v>
      </c>
      <c r="G148" s="37">
        <v>568887.39</v>
      </c>
      <c r="H148" s="37"/>
      <c r="I148" s="41">
        <v>568887.39</v>
      </c>
      <c r="J148" s="18">
        <v>334011.37</v>
      </c>
      <c r="K148" s="14">
        <f>+J148/6*8</f>
        <v>445348.49333333335</v>
      </c>
      <c r="L148" s="18">
        <f>+K148-I148</f>
        <v>-123538.89666666667</v>
      </c>
    </row>
    <row r="149" spans="2:12" x14ac:dyDescent="0.25">
      <c r="B149" t="s">
        <v>874</v>
      </c>
      <c r="C149" t="s">
        <v>863</v>
      </c>
      <c r="D149" t="s">
        <v>852</v>
      </c>
      <c r="E149">
        <v>740215</v>
      </c>
      <c r="F149" s="38" t="s">
        <v>752</v>
      </c>
      <c r="G149" s="37"/>
      <c r="H149" s="37">
        <v>2475534.92</v>
      </c>
      <c r="I149" s="41">
        <v>-2475534.92</v>
      </c>
      <c r="J149" s="18">
        <v>-1971649.52</v>
      </c>
      <c r="K149" s="14">
        <f>+J149/6*8</f>
        <v>-2628866.0266666668</v>
      </c>
      <c r="L149" s="18">
        <f>+K149-I149</f>
        <v>-153331.10666666692</v>
      </c>
    </row>
    <row r="150" spans="2:12" x14ac:dyDescent="0.25">
      <c r="B150" t="s">
        <v>874</v>
      </c>
      <c r="C150" t="s">
        <v>863</v>
      </c>
      <c r="D150" t="s">
        <v>852</v>
      </c>
      <c r="E150">
        <v>680209</v>
      </c>
      <c r="F150" s="38" t="s">
        <v>691</v>
      </c>
      <c r="G150" s="37"/>
      <c r="H150" s="37">
        <v>2001545.22</v>
      </c>
      <c r="I150" s="41">
        <v>-2001545.22</v>
      </c>
      <c r="J150" s="18">
        <v>-1767627.08</v>
      </c>
      <c r="K150" s="14">
        <f>+J150/6*8</f>
        <v>-2356836.1066666669</v>
      </c>
      <c r="L150" s="18">
        <f>+K150-I150</f>
        <v>-355290.88666666695</v>
      </c>
    </row>
    <row r="151" spans="2:12" hidden="1" x14ac:dyDescent="0.25">
      <c r="B151" t="s">
        <v>874</v>
      </c>
      <c r="C151" t="s">
        <v>865</v>
      </c>
      <c r="D151" t="s">
        <v>854</v>
      </c>
      <c r="E151">
        <v>700601</v>
      </c>
      <c r="F151" s="38" t="s">
        <v>709</v>
      </c>
      <c r="G151" s="37">
        <v>9600242.3800000008</v>
      </c>
      <c r="H151" s="37"/>
      <c r="I151" s="41">
        <v>9600242.3800000008</v>
      </c>
      <c r="J151" s="18">
        <v>6897386.9900000002</v>
      </c>
      <c r="K151" s="14">
        <f>+J151/6*8</f>
        <v>9196515.9866666663</v>
      </c>
      <c r="L151" s="18">
        <f>+K151-I151</f>
        <v>-403726.39333333448</v>
      </c>
    </row>
    <row r="152" spans="2:12" hidden="1" x14ac:dyDescent="0.25">
      <c r="B152" t="s">
        <v>874</v>
      </c>
      <c r="C152" t="s">
        <v>864</v>
      </c>
      <c r="D152" t="s">
        <v>851</v>
      </c>
      <c r="E152">
        <v>620201</v>
      </c>
      <c r="F152" s="38" t="s">
        <v>681</v>
      </c>
      <c r="G152" s="37"/>
      <c r="H152" s="37">
        <v>36911193.549999997</v>
      </c>
      <c r="I152" s="41">
        <v>-36911193.549999997</v>
      </c>
      <c r="J152" s="18">
        <v>-28611367.779999997</v>
      </c>
      <c r="K152" s="14">
        <f>+J152/6*8</f>
        <v>-38148490.373333327</v>
      </c>
      <c r="L152" s="18">
        <f>+K152-I152</f>
        <v>-1237296.8233333305</v>
      </c>
    </row>
    <row r="153" spans="2:12" hidden="1" x14ac:dyDescent="0.25">
      <c r="B153" t="s">
        <v>874</v>
      </c>
      <c r="C153" t="s">
        <v>865</v>
      </c>
      <c r="D153" t="s">
        <v>875</v>
      </c>
      <c r="E153">
        <v>800205</v>
      </c>
      <c r="F153" s="38" t="s">
        <v>791</v>
      </c>
      <c r="G153" s="37"/>
      <c r="H153" s="37">
        <v>5244545.07</v>
      </c>
      <c r="I153" s="41">
        <v>-5244545.07</v>
      </c>
      <c r="J153" s="18">
        <v>-5063325.13</v>
      </c>
      <c r="K153" s="14">
        <f>+J153/6*8</f>
        <v>-6751100.1733333329</v>
      </c>
      <c r="L153" s="18">
        <f>+K153-I153</f>
        <v>-1506555.1033333326</v>
      </c>
    </row>
  </sheetData>
  <autoFilter ref="B16:L153" xr:uid="{3B970744-E939-4EA6-9332-91407A553296}">
    <filterColumn colId="2">
      <filters>
        <filter val="Costruzioni Intern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567C-0468-4485-90E0-CF457B1BD4A0}">
  <sheetPr filterMode="1"/>
  <dimension ref="B1:M1032"/>
  <sheetViews>
    <sheetView showGridLines="0" topLeftCell="B1" workbookViewId="0">
      <selection activeCell="K328" sqref="K328"/>
    </sheetView>
  </sheetViews>
  <sheetFormatPr defaultRowHeight="15" x14ac:dyDescent="0.25"/>
  <cols>
    <col min="2" max="2" width="19.28515625" customWidth="1"/>
    <col min="5" max="5" width="14.140625" customWidth="1"/>
    <col min="6" max="6" width="25.28515625" bestFit="1" customWidth="1"/>
    <col min="7" max="7" width="16.28515625" customWidth="1"/>
    <col min="8" max="8" width="34.85546875" bestFit="1" customWidth="1"/>
    <col min="9" max="9" width="45.140625" bestFit="1" customWidth="1"/>
    <col min="10" max="10" width="9.5703125" bestFit="1" customWidth="1"/>
  </cols>
  <sheetData>
    <row r="1" spans="2:13" x14ac:dyDescent="0.25">
      <c r="J1" s="67">
        <f>+SUM(J3:J1032)</f>
        <v>27929.457879999998</v>
      </c>
      <c r="K1" s="67">
        <f>+SUM(K3:K1032)</f>
        <v>37239.277173333372</v>
      </c>
      <c r="L1" s="67">
        <f>+SUM(L3:L1032)</f>
        <v>38954.77716000002</v>
      </c>
    </row>
    <row r="2" spans="2:13" x14ac:dyDescent="0.25">
      <c r="B2" t="s">
        <v>2322</v>
      </c>
      <c r="C2" s="46" t="s">
        <v>880</v>
      </c>
      <c r="D2" s="47" t="s">
        <v>881</v>
      </c>
      <c r="E2" s="46" t="s">
        <v>882</v>
      </c>
      <c r="F2" s="46" t="s">
        <v>883</v>
      </c>
      <c r="G2" s="46" t="s">
        <v>884</v>
      </c>
      <c r="H2" s="48" t="s">
        <v>885</v>
      </c>
      <c r="I2" s="46" t="s">
        <v>886</v>
      </c>
      <c r="J2" s="46" t="s">
        <v>867</v>
      </c>
      <c r="K2" s="46" t="s">
        <v>2330</v>
      </c>
      <c r="L2" s="49" t="s">
        <v>866</v>
      </c>
      <c r="M2" s="49" t="s">
        <v>869</v>
      </c>
    </row>
    <row r="3" spans="2:13" hidden="1" x14ac:dyDescent="0.25">
      <c r="B3" t="str">
        <f>+I3&amp;H3</f>
        <v>Varazze</v>
      </c>
      <c r="C3" s="50" t="s">
        <v>826</v>
      </c>
      <c r="D3" s="51" t="s">
        <v>887</v>
      </c>
      <c r="E3" s="52" t="s">
        <v>888</v>
      </c>
      <c r="F3" s="50" t="s">
        <v>889</v>
      </c>
      <c r="G3" s="50" t="s">
        <v>890</v>
      </c>
      <c r="H3" s="53"/>
      <c r="I3" s="50" t="s">
        <v>891</v>
      </c>
      <c r="J3" s="18">
        <f>+_xlfn.XLOOKUP(B3,Sheet3!B:B,Sheet3!J:J,0)</f>
        <v>0</v>
      </c>
      <c r="K3">
        <f>+J3/6*8</f>
        <v>0</v>
      </c>
      <c r="L3" s="54">
        <v>0</v>
      </c>
      <c r="M3" s="67">
        <f>+L3-K3</f>
        <v>0</v>
      </c>
    </row>
    <row r="4" spans="2:13" hidden="1" x14ac:dyDescent="0.25">
      <c r="B4" t="str">
        <f t="shared" ref="B4:B67" si="0">+I4&amp;H4</f>
        <v>Lerici PL</v>
      </c>
      <c r="C4" s="50" t="s">
        <v>826</v>
      </c>
      <c r="D4" s="51" t="s">
        <v>887</v>
      </c>
      <c r="E4" s="52" t="s">
        <v>888</v>
      </c>
      <c r="F4" s="50" t="s">
        <v>889</v>
      </c>
      <c r="G4" s="50" t="s">
        <v>890</v>
      </c>
      <c r="H4" s="53"/>
      <c r="I4" s="50" t="s">
        <v>892</v>
      </c>
      <c r="J4" s="18">
        <f>+_xlfn.XLOOKUP(B4,Sheet3!B:B,Sheet3!J:J,0)</f>
        <v>0</v>
      </c>
      <c r="K4">
        <f t="shared" ref="K4:K67" si="1">+J4/6*8</f>
        <v>0</v>
      </c>
      <c r="L4" s="54">
        <v>0</v>
      </c>
      <c r="M4" s="67">
        <f t="shared" ref="M4:M67" si="2">+L4-K4</f>
        <v>0</v>
      </c>
    </row>
    <row r="5" spans="2:13" hidden="1" x14ac:dyDescent="0.25">
      <c r="B5" t="str">
        <f t="shared" si="0"/>
        <v>Levanto</v>
      </c>
      <c r="C5" s="50" t="s">
        <v>826</v>
      </c>
      <c r="D5" s="51" t="s">
        <v>887</v>
      </c>
      <c r="E5" s="52" t="s">
        <v>888</v>
      </c>
      <c r="F5" s="50" t="s">
        <v>889</v>
      </c>
      <c r="G5" s="50" t="s">
        <v>890</v>
      </c>
      <c r="H5" s="53"/>
      <c r="I5" s="50" t="s">
        <v>893</v>
      </c>
      <c r="J5" s="18">
        <f>+_xlfn.XLOOKUP(B5,Sheet3!B:B,Sheet3!J:J,0)</f>
        <v>0</v>
      </c>
      <c r="K5">
        <f t="shared" si="1"/>
        <v>0</v>
      </c>
      <c r="L5" s="54">
        <v>0</v>
      </c>
      <c r="M5" s="67">
        <f t="shared" si="2"/>
        <v>0</v>
      </c>
    </row>
    <row r="6" spans="2:13" hidden="1" x14ac:dyDescent="0.25">
      <c r="B6" t="str">
        <f t="shared" si="0"/>
        <v>SoriPPP-IPU-I852-01</v>
      </c>
      <c r="C6" s="50" t="s">
        <v>826</v>
      </c>
      <c r="D6" s="51" t="s">
        <v>887</v>
      </c>
      <c r="E6" s="52" t="s">
        <v>888</v>
      </c>
      <c r="F6" s="50" t="s">
        <v>889</v>
      </c>
      <c r="G6" s="50" t="s">
        <v>890</v>
      </c>
      <c r="H6" s="50" t="s">
        <v>894</v>
      </c>
      <c r="I6" s="50" t="s">
        <v>895</v>
      </c>
      <c r="J6" s="18">
        <f>+_xlfn.XLOOKUP(B6,Sheet3!B:B,Sheet3!J:J,0)</f>
        <v>0</v>
      </c>
      <c r="K6">
        <f t="shared" si="1"/>
        <v>0</v>
      </c>
      <c r="L6" s="54">
        <v>0</v>
      </c>
      <c r="M6" s="67">
        <f t="shared" si="2"/>
        <v>0</v>
      </c>
    </row>
    <row r="7" spans="2:13" hidden="1" x14ac:dyDescent="0.25">
      <c r="B7" t="str">
        <f t="shared" si="0"/>
        <v>Avezzano 3SEC-PHV-A515-01</v>
      </c>
      <c r="C7" s="50" t="s">
        <v>826</v>
      </c>
      <c r="D7" s="51" t="s">
        <v>887</v>
      </c>
      <c r="E7" s="50" t="s">
        <v>896</v>
      </c>
      <c r="F7" s="50" t="s">
        <v>897</v>
      </c>
      <c r="G7" s="50" t="s">
        <v>897</v>
      </c>
      <c r="H7" s="55" t="s">
        <v>898</v>
      </c>
      <c r="I7" s="50" t="s">
        <v>899</v>
      </c>
      <c r="J7" s="18">
        <f>+_xlfn.XLOOKUP(B7,Sheet3!B:B,Sheet3!J:J,0)</f>
        <v>0</v>
      </c>
      <c r="K7">
        <f t="shared" si="1"/>
        <v>0</v>
      </c>
      <c r="L7" s="54">
        <v>0</v>
      </c>
      <c r="M7" s="67">
        <f t="shared" si="2"/>
        <v>0</v>
      </c>
    </row>
    <row r="8" spans="2:13" hidden="1" x14ac:dyDescent="0.25">
      <c r="B8" t="str">
        <f t="shared" si="0"/>
        <v>Avezzano 4SEC-PHV-A515-02</v>
      </c>
      <c r="C8" s="50" t="s">
        <v>826</v>
      </c>
      <c r="D8" s="51" t="s">
        <v>887</v>
      </c>
      <c r="E8" s="50" t="s">
        <v>896</v>
      </c>
      <c r="F8" s="50" t="s">
        <v>897</v>
      </c>
      <c r="G8" s="50" t="s">
        <v>897</v>
      </c>
      <c r="H8" s="55" t="s">
        <v>900</v>
      </c>
      <c r="I8" s="50" t="s">
        <v>901</v>
      </c>
      <c r="J8" s="18">
        <f>+_xlfn.XLOOKUP(B8,Sheet3!B:B,Sheet3!J:J,0)</f>
        <v>0</v>
      </c>
      <c r="K8">
        <f t="shared" si="1"/>
        <v>0</v>
      </c>
      <c r="L8" s="54">
        <v>0</v>
      </c>
      <c r="M8" s="67">
        <f t="shared" si="2"/>
        <v>0</v>
      </c>
    </row>
    <row r="9" spans="2:13" hidden="1" x14ac:dyDescent="0.25">
      <c r="B9" t="str">
        <f t="shared" si="0"/>
        <v>GiulianovaSEC-PHV-E058-01</v>
      </c>
      <c r="C9" s="50" t="s">
        <v>826</v>
      </c>
      <c r="D9" s="51" t="s">
        <v>887</v>
      </c>
      <c r="E9" s="50" t="s">
        <v>896</v>
      </c>
      <c r="F9" s="50" t="s">
        <v>897</v>
      </c>
      <c r="G9" s="50" t="s">
        <v>897</v>
      </c>
      <c r="H9" s="56" t="s">
        <v>902</v>
      </c>
      <c r="I9" s="50" t="s">
        <v>903</v>
      </c>
      <c r="J9" s="18">
        <f>+_xlfn.XLOOKUP(B9,Sheet3!B:B,Sheet3!J:J,0)</f>
        <v>0</v>
      </c>
      <c r="K9">
        <f t="shared" si="1"/>
        <v>0</v>
      </c>
      <c r="L9" s="54">
        <v>0</v>
      </c>
      <c r="M9" s="67">
        <f t="shared" si="2"/>
        <v>0</v>
      </c>
    </row>
    <row r="10" spans="2:13" hidden="1" x14ac:dyDescent="0.25">
      <c r="B10" t="str">
        <f t="shared" si="0"/>
        <v>Montorio 1SEC-PHV-F690-01</v>
      </c>
      <c r="C10" s="50" t="s">
        <v>826</v>
      </c>
      <c r="D10" s="51" t="s">
        <v>887</v>
      </c>
      <c r="E10" s="50" t="s">
        <v>896</v>
      </c>
      <c r="F10" s="50" t="s">
        <v>897</v>
      </c>
      <c r="G10" s="50" t="s">
        <v>897</v>
      </c>
      <c r="H10" s="55" t="s">
        <v>904</v>
      </c>
      <c r="I10" s="50" t="s">
        <v>905</v>
      </c>
      <c r="J10" s="18">
        <f>+_xlfn.XLOOKUP(B10,Sheet3!B:B,Sheet3!J:J,0)</f>
        <v>0</v>
      </c>
      <c r="K10">
        <f t="shared" si="1"/>
        <v>0</v>
      </c>
      <c r="L10" s="54">
        <v>0</v>
      </c>
      <c r="M10" s="67">
        <f t="shared" si="2"/>
        <v>0</v>
      </c>
    </row>
    <row r="11" spans="2:13" hidden="1" x14ac:dyDescent="0.25">
      <c r="B11" t="str">
        <f t="shared" si="0"/>
        <v>Montorio 3SEC-PHV-F690-02</v>
      </c>
      <c r="C11" s="50" t="s">
        <v>826</v>
      </c>
      <c r="D11" s="51" t="s">
        <v>887</v>
      </c>
      <c r="E11" s="50" t="s">
        <v>896</v>
      </c>
      <c r="F11" s="50" t="s">
        <v>897</v>
      </c>
      <c r="G11" s="50" t="s">
        <v>897</v>
      </c>
      <c r="H11" s="55" t="s">
        <v>906</v>
      </c>
      <c r="I11" s="50" t="s">
        <v>907</v>
      </c>
      <c r="J11" s="18">
        <f>+_xlfn.XLOOKUP(B11,Sheet3!B:B,Sheet3!J:J,0)</f>
        <v>0</v>
      </c>
      <c r="K11">
        <f t="shared" si="1"/>
        <v>0</v>
      </c>
      <c r="L11" s="54">
        <v>0</v>
      </c>
      <c r="M11" s="67">
        <f t="shared" si="2"/>
        <v>0</v>
      </c>
    </row>
    <row r="12" spans="2:13" hidden="1" x14ac:dyDescent="0.25">
      <c r="B12" t="str">
        <f t="shared" si="0"/>
        <v>Montorio 4SEC-PHV-F690-03</v>
      </c>
      <c r="C12" s="50" t="s">
        <v>826</v>
      </c>
      <c r="D12" s="51" t="s">
        <v>887</v>
      </c>
      <c r="E12" s="50" t="s">
        <v>896</v>
      </c>
      <c r="F12" s="50" t="s">
        <v>897</v>
      </c>
      <c r="G12" s="50" t="s">
        <v>897</v>
      </c>
      <c r="H12" s="55" t="s">
        <v>908</v>
      </c>
      <c r="I12" s="50" t="s">
        <v>909</v>
      </c>
      <c r="J12" s="18">
        <f>+_xlfn.XLOOKUP(B12,Sheet3!B:B,Sheet3!J:J,0)</f>
        <v>0</v>
      </c>
      <c r="K12">
        <f t="shared" si="1"/>
        <v>0</v>
      </c>
      <c r="L12" s="54">
        <v>0</v>
      </c>
      <c r="M12" s="67">
        <f t="shared" si="2"/>
        <v>0</v>
      </c>
    </row>
    <row r="13" spans="2:13" hidden="1" x14ac:dyDescent="0.25">
      <c r="B13" t="str">
        <f t="shared" si="0"/>
        <v>Sant'Arpino</v>
      </c>
      <c r="C13" s="50" t="s">
        <v>826</v>
      </c>
      <c r="D13" s="51" t="s">
        <v>887</v>
      </c>
      <c r="E13" s="52" t="s">
        <v>910</v>
      </c>
      <c r="F13" s="50" t="s">
        <v>889</v>
      </c>
      <c r="G13" s="50" t="s">
        <v>890</v>
      </c>
      <c r="H13" s="53"/>
      <c r="I13" s="50" t="s">
        <v>911</v>
      </c>
      <c r="J13" s="18">
        <f>+_xlfn.XLOOKUP(B13,Sheet3!B:B,Sheet3!J:J,0)</f>
        <v>0</v>
      </c>
      <c r="K13">
        <f t="shared" si="1"/>
        <v>0</v>
      </c>
      <c r="L13" s="54">
        <v>0</v>
      </c>
      <c r="M13" s="67">
        <f t="shared" si="2"/>
        <v>0</v>
      </c>
    </row>
    <row r="14" spans="2:13" hidden="1" x14ac:dyDescent="0.25">
      <c r="B14" t="str">
        <f t="shared" si="0"/>
        <v>Avigliano Cemetery</v>
      </c>
      <c r="C14" s="50" t="s">
        <v>826</v>
      </c>
      <c r="D14" s="51" t="s">
        <v>887</v>
      </c>
      <c r="E14" s="52" t="s">
        <v>910</v>
      </c>
      <c r="F14" s="50" t="s">
        <v>912</v>
      </c>
      <c r="G14" s="50" t="s">
        <v>890</v>
      </c>
      <c r="H14" s="53"/>
      <c r="I14" s="50" t="s">
        <v>913</v>
      </c>
      <c r="J14" s="18">
        <f>+_xlfn.XLOOKUP(B14,Sheet3!B:B,Sheet3!J:J,0)</f>
        <v>0</v>
      </c>
      <c r="K14">
        <f t="shared" si="1"/>
        <v>0</v>
      </c>
      <c r="L14" s="54">
        <v>0</v>
      </c>
      <c r="M14" s="67">
        <f t="shared" si="2"/>
        <v>0</v>
      </c>
    </row>
    <row r="15" spans="2:13" hidden="1" x14ac:dyDescent="0.25">
      <c r="B15" t="str">
        <f t="shared" si="0"/>
        <v>Filiano Cemetery</v>
      </c>
      <c r="C15" s="50" t="s">
        <v>826</v>
      </c>
      <c r="D15" s="51" t="s">
        <v>887</v>
      </c>
      <c r="E15" s="52" t="s">
        <v>910</v>
      </c>
      <c r="F15" s="50" t="s">
        <v>912</v>
      </c>
      <c r="G15" s="50" t="s">
        <v>890</v>
      </c>
      <c r="H15" s="53"/>
      <c r="I15" s="50" t="s">
        <v>914</v>
      </c>
      <c r="J15" s="18">
        <f>+_xlfn.XLOOKUP(B15,Sheet3!B:B,Sheet3!J:J,0)</f>
        <v>0</v>
      </c>
      <c r="K15">
        <f t="shared" si="1"/>
        <v>0</v>
      </c>
      <c r="L15" s="54">
        <v>0</v>
      </c>
      <c r="M15" s="67">
        <f t="shared" si="2"/>
        <v>0</v>
      </c>
    </row>
    <row r="16" spans="2:13" hidden="1" x14ac:dyDescent="0.25">
      <c r="B16" t="str">
        <f t="shared" si="0"/>
        <v>San Marzano di San GiuseppePPP-IPU-I018-01</v>
      </c>
      <c r="C16" s="50" t="s">
        <v>826</v>
      </c>
      <c r="D16" s="51" t="s">
        <v>887</v>
      </c>
      <c r="E16" s="50" t="s">
        <v>910</v>
      </c>
      <c r="F16" s="50" t="s">
        <v>889</v>
      </c>
      <c r="G16" s="50" t="s">
        <v>890</v>
      </c>
      <c r="H16" s="57" t="s">
        <v>915</v>
      </c>
      <c r="I16" s="50" t="s">
        <v>916</v>
      </c>
      <c r="J16" s="18">
        <f>+_xlfn.XLOOKUP(B16,Sheet3!B:B,Sheet3!J:J,0)</f>
        <v>0</v>
      </c>
      <c r="K16">
        <f t="shared" si="1"/>
        <v>0</v>
      </c>
      <c r="L16" s="54">
        <v>0</v>
      </c>
      <c r="M16" s="67">
        <f t="shared" si="2"/>
        <v>0</v>
      </c>
    </row>
    <row r="17" spans="2:13" hidden="1" x14ac:dyDescent="0.25">
      <c r="B17" t="str">
        <f t="shared" si="0"/>
        <v>Frignano</v>
      </c>
      <c r="C17" s="50" t="s">
        <v>826</v>
      </c>
      <c r="D17" s="51" t="s">
        <v>887</v>
      </c>
      <c r="E17" s="52" t="s">
        <v>910</v>
      </c>
      <c r="F17" s="50" t="s">
        <v>889</v>
      </c>
      <c r="G17" s="50" t="s">
        <v>890</v>
      </c>
      <c r="H17" s="53"/>
      <c r="I17" s="50" t="s">
        <v>917</v>
      </c>
      <c r="J17" s="18">
        <f>+_xlfn.XLOOKUP(B17,Sheet3!B:B,Sheet3!J:J,0)</f>
        <v>0</v>
      </c>
      <c r="K17">
        <f t="shared" si="1"/>
        <v>0</v>
      </c>
      <c r="L17" s="54">
        <v>0</v>
      </c>
      <c r="M17" s="67">
        <f t="shared" si="2"/>
        <v>0</v>
      </c>
    </row>
    <row r="18" spans="2:13" hidden="1" x14ac:dyDescent="0.25">
      <c r="B18" t="str">
        <f t="shared" si="0"/>
        <v>Gricignano di Aversa</v>
      </c>
      <c r="C18" s="50" t="s">
        <v>826</v>
      </c>
      <c r="D18" s="51" t="s">
        <v>887</v>
      </c>
      <c r="E18" s="52" t="s">
        <v>910</v>
      </c>
      <c r="F18" s="50" t="s">
        <v>889</v>
      </c>
      <c r="G18" s="50" t="s">
        <v>890</v>
      </c>
      <c r="H18" s="53"/>
      <c r="I18" s="50" t="s">
        <v>918</v>
      </c>
      <c r="J18" s="18">
        <f>+_xlfn.XLOOKUP(B18,Sheet3!B:B,Sheet3!J:J,0)</f>
        <v>0</v>
      </c>
      <c r="K18">
        <f t="shared" si="1"/>
        <v>0</v>
      </c>
      <c r="L18" s="54">
        <v>0</v>
      </c>
      <c r="M18" s="67">
        <f t="shared" si="2"/>
        <v>0</v>
      </c>
    </row>
    <row r="19" spans="2:13" hidden="1" x14ac:dyDescent="0.25">
      <c r="B19" t="str">
        <f t="shared" si="0"/>
        <v>Torano Castello</v>
      </c>
      <c r="C19" s="50" t="s">
        <v>826</v>
      </c>
      <c r="D19" s="51" t="s">
        <v>887</v>
      </c>
      <c r="E19" s="52" t="s">
        <v>910</v>
      </c>
      <c r="F19" s="50" t="s">
        <v>889</v>
      </c>
      <c r="G19" s="50" t="s">
        <v>890</v>
      </c>
      <c r="H19" s="53"/>
      <c r="I19" s="50" t="s">
        <v>919</v>
      </c>
      <c r="J19" s="18">
        <f>+_xlfn.XLOOKUP(B19,Sheet3!B:B,Sheet3!J:J,0)</f>
        <v>0</v>
      </c>
      <c r="K19">
        <f t="shared" si="1"/>
        <v>0</v>
      </c>
      <c r="L19" s="54">
        <v>0</v>
      </c>
      <c r="M19" s="67">
        <f t="shared" si="2"/>
        <v>0</v>
      </c>
    </row>
    <row r="20" spans="2:13" hidden="1" x14ac:dyDescent="0.25">
      <c r="B20" t="str">
        <f t="shared" si="0"/>
        <v>Piano di SorrentoPPP-IPU-G568-01</v>
      </c>
      <c r="C20" s="50" t="s">
        <v>826</v>
      </c>
      <c r="D20" s="51" t="s">
        <v>887</v>
      </c>
      <c r="E20" s="50" t="s">
        <v>910</v>
      </c>
      <c r="F20" s="50" t="s">
        <v>889</v>
      </c>
      <c r="G20" s="50" t="s">
        <v>890</v>
      </c>
      <c r="H20" s="57" t="s">
        <v>920</v>
      </c>
      <c r="I20" s="50" t="s">
        <v>921</v>
      </c>
      <c r="J20" s="18">
        <f>+_xlfn.XLOOKUP(B20,Sheet3!B:B,Sheet3!J:J,0)</f>
        <v>0</v>
      </c>
      <c r="K20">
        <f t="shared" si="1"/>
        <v>0</v>
      </c>
      <c r="L20" s="54">
        <v>0</v>
      </c>
      <c r="M20" s="67">
        <f t="shared" si="2"/>
        <v>0</v>
      </c>
    </row>
    <row r="21" spans="2:13" hidden="1" x14ac:dyDescent="0.25">
      <c r="B21" t="str">
        <f t="shared" si="0"/>
        <v>Giardini-Naxos</v>
      </c>
      <c r="C21" s="50" t="s">
        <v>826</v>
      </c>
      <c r="D21" s="51" t="s">
        <v>887</v>
      </c>
      <c r="E21" s="52" t="s">
        <v>910</v>
      </c>
      <c r="F21" s="50" t="s">
        <v>889</v>
      </c>
      <c r="G21" s="50" t="s">
        <v>890</v>
      </c>
      <c r="H21" s="53"/>
      <c r="I21" s="50" t="s">
        <v>922</v>
      </c>
      <c r="J21" s="18">
        <f>+_xlfn.XLOOKUP(B21,Sheet3!B:B,Sheet3!J:J,0)</f>
        <v>0</v>
      </c>
      <c r="K21">
        <f t="shared" si="1"/>
        <v>0</v>
      </c>
      <c r="L21" s="54">
        <v>0</v>
      </c>
      <c r="M21" s="67">
        <f t="shared" si="2"/>
        <v>0</v>
      </c>
    </row>
    <row r="22" spans="2:13" hidden="1" x14ac:dyDescent="0.25">
      <c r="B22" t="str">
        <f t="shared" si="0"/>
        <v>Copertino 1SEC-PHV-C978-01</v>
      </c>
      <c r="C22" s="50" t="s">
        <v>826</v>
      </c>
      <c r="D22" s="51" t="s">
        <v>887</v>
      </c>
      <c r="E22" s="50" t="s">
        <v>910</v>
      </c>
      <c r="F22" s="50" t="s">
        <v>897</v>
      </c>
      <c r="G22" s="50" t="s">
        <v>897</v>
      </c>
      <c r="H22" s="57" t="s">
        <v>923</v>
      </c>
      <c r="I22" s="50" t="s">
        <v>924</v>
      </c>
      <c r="J22" s="18">
        <f>+_xlfn.XLOOKUP(B22,Sheet3!B:B,Sheet3!J:J,0)</f>
        <v>0</v>
      </c>
      <c r="K22">
        <f t="shared" si="1"/>
        <v>0</v>
      </c>
      <c r="L22" s="54">
        <v>0</v>
      </c>
      <c r="M22" s="67">
        <f t="shared" si="2"/>
        <v>0</v>
      </c>
    </row>
    <row r="23" spans="2:13" hidden="1" x14ac:dyDescent="0.25">
      <c r="B23" t="str">
        <f t="shared" si="0"/>
        <v>Copertino 2SEC-PHV-C978-02</v>
      </c>
      <c r="C23" s="50" t="s">
        <v>826</v>
      </c>
      <c r="D23" s="51" t="s">
        <v>887</v>
      </c>
      <c r="E23" s="50" t="s">
        <v>910</v>
      </c>
      <c r="F23" s="50" t="s">
        <v>897</v>
      </c>
      <c r="G23" s="50" t="s">
        <v>897</v>
      </c>
      <c r="H23" s="57" t="s">
        <v>925</v>
      </c>
      <c r="I23" s="50" t="s">
        <v>926</v>
      </c>
      <c r="J23" s="18">
        <f>+_xlfn.XLOOKUP(B23,Sheet3!B:B,Sheet3!J:J,0)</f>
        <v>0</v>
      </c>
      <c r="K23">
        <f t="shared" si="1"/>
        <v>0</v>
      </c>
      <c r="L23" s="54">
        <v>0</v>
      </c>
      <c r="M23" s="67">
        <f t="shared" si="2"/>
        <v>0</v>
      </c>
    </row>
    <row r="24" spans="2:13" hidden="1" x14ac:dyDescent="0.25">
      <c r="B24" t="str">
        <f t="shared" si="0"/>
        <v>Campi 1</v>
      </c>
      <c r="C24" s="50" t="s">
        <v>826</v>
      </c>
      <c r="D24" s="51" t="s">
        <v>887</v>
      </c>
      <c r="E24" s="52" t="s">
        <v>910</v>
      </c>
      <c r="F24" s="50" t="s">
        <v>897</v>
      </c>
      <c r="G24" s="50" t="s">
        <v>897</v>
      </c>
      <c r="H24" s="53"/>
      <c r="I24" s="50" t="s">
        <v>927</v>
      </c>
      <c r="J24" s="18">
        <f>+_xlfn.XLOOKUP(B24,Sheet3!B:B,Sheet3!J:J,0)</f>
        <v>0</v>
      </c>
      <c r="K24">
        <f t="shared" si="1"/>
        <v>0</v>
      </c>
      <c r="L24" s="54">
        <v>0</v>
      </c>
      <c r="M24" s="67">
        <f t="shared" si="2"/>
        <v>0</v>
      </c>
    </row>
    <row r="25" spans="2:13" hidden="1" x14ac:dyDescent="0.25">
      <c r="B25" t="str">
        <f t="shared" si="0"/>
        <v>Belvedere Marittimo</v>
      </c>
      <c r="C25" s="50" t="s">
        <v>826</v>
      </c>
      <c r="D25" s="51" t="s">
        <v>928</v>
      </c>
      <c r="E25" s="52" t="s">
        <v>910</v>
      </c>
      <c r="F25" s="50" t="s">
        <v>889</v>
      </c>
      <c r="G25" s="50" t="s">
        <v>890</v>
      </c>
      <c r="H25" s="53"/>
      <c r="I25" s="50" t="s">
        <v>929</v>
      </c>
      <c r="J25" s="18">
        <f>+_xlfn.XLOOKUP(B25,Sheet3!B:B,Sheet3!J:J,0)</f>
        <v>0</v>
      </c>
      <c r="K25">
        <f t="shared" si="1"/>
        <v>0</v>
      </c>
      <c r="L25" s="54">
        <v>0</v>
      </c>
      <c r="M25" s="67">
        <f t="shared" si="2"/>
        <v>0</v>
      </c>
    </row>
    <row r="26" spans="2:13" hidden="1" x14ac:dyDescent="0.25">
      <c r="B26" t="str">
        <f t="shared" si="0"/>
        <v>Roccamonfina</v>
      </c>
      <c r="C26" s="50" t="s">
        <v>826</v>
      </c>
      <c r="D26" s="51" t="s">
        <v>928</v>
      </c>
      <c r="E26" s="52" t="s">
        <v>910</v>
      </c>
      <c r="F26" s="50" t="s">
        <v>889</v>
      </c>
      <c r="G26" s="50" t="s">
        <v>890</v>
      </c>
      <c r="H26" s="53"/>
      <c r="I26" s="50" t="s">
        <v>930</v>
      </c>
      <c r="J26" s="18">
        <f>+_xlfn.XLOOKUP(B26,Sheet3!B:B,Sheet3!J:J,0)</f>
        <v>0</v>
      </c>
      <c r="K26">
        <f t="shared" si="1"/>
        <v>0</v>
      </c>
      <c r="L26" s="54">
        <v>0</v>
      </c>
      <c r="M26" s="67">
        <f t="shared" si="2"/>
        <v>0</v>
      </c>
    </row>
    <row r="27" spans="2:13" hidden="1" x14ac:dyDescent="0.25">
      <c r="B27" t="str">
        <f t="shared" si="0"/>
        <v>Sesto Campano</v>
      </c>
      <c r="C27" s="50" t="s">
        <v>826</v>
      </c>
      <c r="D27" s="51" t="s">
        <v>928</v>
      </c>
      <c r="E27" s="52" t="s">
        <v>896</v>
      </c>
      <c r="F27" s="50" t="s">
        <v>889</v>
      </c>
      <c r="G27" s="50" t="s">
        <v>890</v>
      </c>
      <c r="H27" s="53"/>
      <c r="I27" s="50" t="s">
        <v>931</v>
      </c>
      <c r="J27" s="18">
        <f>+_xlfn.XLOOKUP(B27,Sheet3!B:B,Sheet3!J:J,0)</f>
        <v>0</v>
      </c>
      <c r="K27">
        <f t="shared" si="1"/>
        <v>0</v>
      </c>
      <c r="L27" s="54">
        <v>0</v>
      </c>
      <c r="M27" s="67">
        <f t="shared" si="2"/>
        <v>0</v>
      </c>
    </row>
    <row r="28" spans="2:13" hidden="1" x14ac:dyDescent="0.25">
      <c r="B28" t="str">
        <f t="shared" si="0"/>
        <v>RivarossaPPP-IPU-H344-01</v>
      </c>
      <c r="C28" s="50" t="s">
        <v>826</v>
      </c>
      <c r="D28" s="51" t="s">
        <v>932</v>
      </c>
      <c r="E28" s="52" t="s">
        <v>888</v>
      </c>
      <c r="F28" s="50" t="s">
        <v>889</v>
      </c>
      <c r="G28" s="50" t="s">
        <v>890</v>
      </c>
      <c r="H28" s="50" t="s">
        <v>933</v>
      </c>
      <c r="I28" s="50" t="s">
        <v>934</v>
      </c>
      <c r="J28" s="18">
        <f>+_xlfn.XLOOKUP(B28,Sheet3!B:B,Sheet3!J:J,0)</f>
        <v>0</v>
      </c>
      <c r="K28">
        <f t="shared" si="1"/>
        <v>0</v>
      </c>
      <c r="L28" s="58">
        <v>0</v>
      </c>
      <c r="M28" s="67">
        <f t="shared" si="2"/>
        <v>0</v>
      </c>
    </row>
    <row r="29" spans="2:13" hidden="1" x14ac:dyDescent="0.25">
      <c r="B29" t="str">
        <f t="shared" si="0"/>
        <v>Torre D'IsolaPPP-IPU-L269-01</v>
      </c>
      <c r="C29" s="50" t="s">
        <v>826</v>
      </c>
      <c r="D29" s="51" t="s">
        <v>932</v>
      </c>
      <c r="E29" s="52" t="s">
        <v>888</v>
      </c>
      <c r="F29" s="50" t="s">
        <v>889</v>
      </c>
      <c r="G29" s="50" t="s">
        <v>890</v>
      </c>
      <c r="H29" s="50" t="s">
        <v>935</v>
      </c>
      <c r="I29" s="50" t="s">
        <v>936</v>
      </c>
      <c r="J29" s="18">
        <f>+_xlfn.XLOOKUP(B29,Sheet3!B:B,Sheet3!J:J,0)</f>
        <v>0</v>
      </c>
      <c r="K29">
        <f t="shared" si="1"/>
        <v>0</v>
      </c>
      <c r="L29" s="54">
        <v>0</v>
      </c>
      <c r="M29" s="67">
        <f t="shared" si="2"/>
        <v>0</v>
      </c>
    </row>
    <row r="30" spans="2:13" hidden="1" x14ac:dyDescent="0.25">
      <c r="B30" t="str">
        <f t="shared" si="0"/>
        <v>Santo Stefano LodigianoPPP-IPU-I362-01</v>
      </c>
      <c r="C30" s="50" t="s">
        <v>826</v>
      </c>
      <c r="D30" s="51" t="s">
        <v>932</v>
      </c>
      <c r="E30" s="52" t="s">
        <v>888</v>
      </c>
      <c r="F30" s="50" t="s">
        <v>889</v>
      </c>
      <c r="G30" s="50" t="s">
        <v>890</v>
      </c>
      <c r="H30" s="50" t="s">
        <v>937</v>
      </c>
      <c r="I30" s="50" t="s">
        <v>938</v>
      </c>
      <c r="J30" s="18">
        <f>+_xlfn.XLOOKUP(B30,Sheet3!B:B,Sheet3!J:J,0)</f>
        <v>0</v>
      </c>
      <c r="K30">
        <f t="shared" si="1"/>
        <v>0</v>
      </c>
      <c r="L30" s="54">
        <v>0</v>
      </c>
      <c r="M30" s="67">
        <f t="shared" si="2"/>
        <v>0</v>
      </c>
    </row>
    <row r="31" spans="2:13" hidden="1" x14ac:dyDescent="0.25">
      <c r="B31" t="str">
        <f t="shared" si="0"/>
        <v>SecugnagoPPP-IPU-I561-01</v>
      </c>
      <c r="C31" s="50" t="s">
        <v>826</v>
      </c>
      <c r="D31" s="51" t="s">
        <v>932</v>
      </c>
      <c r="E31" s="52" t="s">
        <v>888</v>
      </c>
      <c r="F31" s="50" t="s">
        <v>889</v>
      </c>
      <c r="G31" s="50" t="s">
        <v>890</v>
      </c>
      <c r="H31" s="50" t="s">
        <v>939</v>
      </c>
      <c r="I31" s="50" t="s">
        <v>940</v>
      </c>
      <c r="J31" s="18">
        <f>+_xlfn.XLOOKUP(B31,Sheet3!B:B,Sheet3!J:J,0)</f>
        <v>0</v>
      </c>
      <c r="K31">
        <f t="shared" si="1"/>
        <v>0</v>
      </c>
      <c r="L31" s="54">
        <v>0</v>
      </c>
      <c r="M31" s="67">
        <f t="shared" si="2"/>
        <v>0</v>
      </c>
    </row>
    <row r="32" spans="2:13" hidden="1" x14ac:dyDescent="0.25">
      <c r="B32" t="str">
        <f t="shared" si="0"/>
        <v>Loro CiuffennaPPP-IPU-E693-01</v>
      </c>
      <c r="C32" s="50" t="s">
        <v>826</v>
      </c>
      <c r="D32" s="51" t="s">
        <v>932</v>
      </c>
      <c r="E32" s="52" t="s">
        <v>896</v>
      </c>
      <c r="F32" s="50" t="s">
        <v>889</v>
      </c>
      <c r="G32" s="50" t="s">
        <v>890</v>
      </c>
      <c r="H32" s="50" t="s">
        <v>941</v>
      </c>
      <c r="I32" s="50" t="s">
        <v>942</v>
      </c>
      <c r="J32" s="18">
        <f>+_xlfn.XLOOKUP(B32,Sheet3!B:B,Sheet3!J:J,0)</f>
        <v>0</v>
      </c>
      <c r="K32">
        <f t="shared" si="1"/>
        <v>0</v>
      </c>
      <c r="L32" s="54">
        <v>0</v>
      </c>
      <c r="M32" s="67">
        <f t="shared" si="2"/>
        <v>0</v>
      </c>
    </row>
    <row r="33" spans="2:13" hidden="1" x14ac:dyDescent="0.25">
      <c r="B33" t="str">
        <f t="shared" si="0"/>
        <v>Ricigliano</v>
      </c>
      <c r="C33" s="50" t="s">
        <v>826</v>
      </c>
      <c r="D33" s="51" t="s">
        <v>943</v>
      </c>
      <c r="E33" s="52" t="s">
        <v>910</v>
      </c>
      <c r="F33" s="50" t="s">
        <v>889</v>
      </c>
      <c r="G33" s="50" t="s">
        <v>890</v>
      </c>
      <c r="H33" s="53"/>
      <c r="I33" s="50" t="s">
        <v>944</v>
      </c>
      <c r="J33" s="18">
        <f>+_xlfn.XLOOKUP(B33,Sheet3!B:B,Sheet3!J:J,0)</f>
        <v>0</v>
      </c>
      <c r="K33">
        <f t="shared" si="1"/>
        <v>0</v>
      </c>
      <c r="L33" s="54">
        <v>0</v>
      </c>
      <c r="M33" s="67">
        <f t="shared" si="2"/>
        <v>0</v>
      </c>
    </row>
    <row r="34" spans="2:13" hidden="1" x14ac:dyDescent="0.25">
      <c r="B34" t="str">
        <f t="shared" si="0"/>
        <v>Serino</v>
      </c>
      <c r="C34" s="50" t="s">
        <v>826</v>
      </c>
      <c r="D34" s="51" t="s">
        <v>943</v>
      </c>
      <c r="E34" s="52" t="s">
        <v>910</v>
      </c>
      <c r="F34" s="50" t="s">
        <v>889</v>
      </c>
      <c r="G34" s="50" t="s">
        <v>890</v>
      </c>
      <c r="H34" s="53"/>
      <c r="I34" s="50" t="s">
        <v>945</v>
      </c>
      <c r="J34" s="18">
        <f>+_xlfn.XLOOKUP(B34,Sheet3!B:B,Sheet3!J:J,0)</f>
        <v>0</v>
      </c>
      <c r="K34">
        <f t="shared" si="1"/>
        <v>0</v>
      </c>
      <c r="L34" s="54">
        <v>0</v>
      </c>
      <c r="M34" s="67">
        <f t="shared" si="2"/>
        <v>0</v>
      </c>
    </row>
    <row r="35" spans="2:13" hidden="1" x14ac:dyDescent="0.25">
      <c r="B35" t="str">
        <f t="shared" si="0"/>
        <v>San Cipriano PicentinoPPP-IPU-H800-01</v>
      </c>
      <c r="C35" s="50" t="s">
        <v>826</v>
      </c>
      <c r="D35" s="51" t="s">
        <v>943</v>
      </c>
      <c r="E35" s="50" t="s">
        <v>910</v>
      </c>
      <c r="F35" s="50" t="s">
        <v>889</v>
      </c>
      <c r="G35" s="50" t="s">
        <v>890</v>
      </c>
      <c r="H35" s="57" t="s">
        <v>946</v>
      </c>
      <c r="I35" s="50" t="s">
        <v>947</v>
      </c>
      <c r="J35" s="18">
        <f>+_xlfn.XLOOKUP(B35,Sheet3!B:B,Sheet3!J:J,0)</f>
        <v>0</v>
      </c>
      <c r="K35">
        <f t="shared" si="1"/>
        <v>0</v>
      </c>
      <c r="L35" s="54">
        <v>0</v>
      </c>
      <c r="M35" s="67">
        <f t="shared" si="2"/>
        <v>0</v>
      </c>
    </row>
    <row r="36" spans="2:13" hidden="1" x14ac:dyDescent="0.25">
      <c r="B36" t="str">
        <f t="shared" si="0"/>
        <v>Vietri sul Mare</v>
      </c>
      <c r="C36" s="50" t="s">
        <v>826</v>
      </c>
      <c r="D36" s="51" t="s">
        <v>943</v>
      </c>
      <c r="E36" s="52" t="s">
        <v>910</v>
      </c>
      <c r="F36" s="50" t="s">
        <v>889</v>
      </c>
      <c r="G36" s="50" t="s">
        <v>890</v>
      </c>
      <c r="H36" s="53"/>
      <c r="I36" s="50" t="s">
        <v>948</v>
      </c>
      <c r="J36" s="18">
        <f>+_xlfn.XLOOKUP(B36,Sheet3!B:B,Sheet3!J:J,0)</f>
        <v>0</v>
      </c>
      <c r="K36">
        <f t="shared" si="1"/>
        <v>0</v>
      </c>
      <c r="L36" s="54">
        <v>0</v>
      </c>
      <c r="M36" s="67">
        <f t="shared" si="2"/>
        <v>0</v>
      </c>
    </row>
    <row r="37" spans="2:13" hidden="1" x14ac:dyDescent="0.25">
      <c r="B37" t="str">
        <f t="shared" si="0"/>
        <v>Umbertide</v>
      </c>
      <c r="C37" s="50" t="s">
        <v>826</v>
      </c>
      <c r="D37" s="51" t="s">
        <v>949</v>
      </c>
      <c r="E37" s="52" t="s">
        <v>896</v>
      </c>
      <c r="F37" s="50" t="s">
        <v>889</v>
      </c>
      <c r="G37" s="50" t="s">
        <v>890</v>
      </c>
      <c r="H37" s="53"/>
      <c r="I37" s="50" t="s">
        <v>950</v>
      </c>
      <c r="J37" s="18">
        <f>+_xlfn.XLOOKUP(B37,Sheet3!B:B,Sheet3!J:J,0)</f>
        <v>0</v>
      </c>
      <c r="K37">
        <f t="shared" si="1"/>
        <v>0</v>
      </c>
      <c r="L37" s="54">
        <v>0</v>
      </c>
      <c r="M37" s="67">
        <f t="shared" si="2"/>
        <v>0</v>
      </c>
    </row>
    <row r="38" spans="2:13" hidden="1" x14ac:dyDescent="0.25">
      <c r="B38" t="str">
        <f t="shared" si="0"/>
        <v>Lizzanello</v>
      </c>
      <c r="C38" s="50" t="s">
        <v>826</v>
      </c>
      <c r="D38" s="51" t="s">
        <v>951</v>
      </c>
      <c r="E38" s="52" t="s">
        <v>910</v>
      </c>
      <c r="F38" s="50" t="s">
        <v>889</v>
      </c>
      <c r="G38" s="50" t="s">
        <v>890</v>
      </c>
      <c r="H38" s="53"/>
      <c r="I38" s="50" t="s">
        <v>952</v>
      </c>
      <c r="J38" s="18">
        <f>+_xlfn.XLOOKUP(B38,Sheet3!B:B,Sheet3!J:J,0)</f>
        <v>0</v>
      </c>
      <c r="K38">
        <f t="shared" si="1"/>
        <v>0</v>
      </c>
      <c r="L38" s="54">
        <v>0</v>
      </c>
      <c r="M38" s="67">
        <f t="shared" si="2"/>
        <v>0</v>
      </c>
    </row>
    <row r="39" spans="2:13" hidden="1" x14ac:dyDescent="0.25">
      <c r="B39" t="str">
        <f t="shared" si="0"/>
        <v>San Donato Milanese</v>
      </c>
      <c r="C39" s="50" t="s">
        <v>826</v>
      </c>
      <c r="D39" s="51" t="s">
        <v>951</v>
      </c>
      <c r="E39" s="52" t="s">
        <v>910</v>
      </c>
      <c r="F39" s="50" t="s">
        <v>889</v>
      </c>
      <c r="G39" s="50" t="s">
        <v>890</v>
      </c>
      <c r="H39" s="53"/>
      <c r="I39" s="50" t="s">
        <v>953</v>
      </c>
      <c r="J39" s="18">
        <f>+_xlfn.XLOOKUP(B39,Sheet3!B:B,Sheet3!J:J,0)</f>
        <v>0</v>
      </c>
      <c r="K39">
        <f t="shared" si="1"/>
        <v>0</v>
      </c>
      <c r="L39" s="54">
        <v>0</v>
      </c>
      <c r="M39" s="67">
        <f t="shared" si="2"/>
        <v>0</v>
      </c>
    </row>
    <row r="40" spans="2:13" hidden="1" x14ac:dyDescent="0.25">
      <c r="B40" t="str">
        <f t="shared" si="0"/>
        <v>Altro Not identified (Sud) 1</v>
      </c>
      <c r="C40" s="50" t="s">
        <v>826</v>
      </c>
      <c r="D40" s="51" t="s">
        <v>954</v>
      </c>
      <c r="E40" s="52" t="s">
        <v>910</v>
      </c>
      <c r="F40" s="50" t="s">
        <v>889</v>
      </c>
      <c r="G40" s="50" t="s">
        <v>890</v>
      </c>
      <c r="H40" s="53"/>
      <c r="I40" s="50" t="s">
        <v>955</v>
      </c>
      <c r="J40" s="18">
        <f>+_xlfn.XLOOKUP(B40,Sheet3!B:B,Sheet3!J:J,0)</f>
        <v>0</v>
      </c>
      <c r="K40">
        <f t="shared" si="1"/>
        <v>0</v>
      </c>
      <c r="L40" s="54">
        <v>0</v>
      </c>
      <c r="M40" s="67">
        <f t="shared" si="2"/>
        <v>0</v>
      </c>
    </row>
    <row r="41" spans="2:13" hidden="1" x14ac:dyDescent="0.25">
      <c r="B41" t="str">
        <f t="shared" si="0"/>
        <v>Altro Not identified (Centre)</v>
      </c>
      <c r="C41" s="50" t="s">
        <v>826</v>
      </c>
      <c r="D41" s="51" t="s">
        <v>954</v>
      </c>
      <c r="E41" s="52" t="s">
        <v>896</v>
      </c>
      <c r="F41" s="50" t="s">
        <v>889</v>
      </c>
      <c r="G41" s="50" t="s">
        <v>890</v>
      </c>
      <c r="H41" s="53"/>
      <c r="I41" s="50" t="s">
        <v>956</v>
      </c>
      <c r="J41" s="18">
        <f>+_xlfn.XLOOKUP(B41,Sheet3!B:B,Sheet3!J:J,0)</f>
        <v>0</v>
      </c>
      <c r="K41">
        <f t="shared" si="1"/>
        <v>0</v>
      </c>
      <c r="L41" s="54">
        <v>0</v>
      </c>
      <c r="M41" s="67">
        <f t="shared" si="2"/>
        <v>0</v>
      </c>
    </row>
    <row r="42" spans="2:13" hidden="1" x14ac:dyDescent="0.25">
      <c r="B42" t="str">
        <f t="shared" si="0"/>
        <v>Altro Not identified (North West)</v>
      </c>
      <c r="C42" s="50" t="s">
        <v>826</v>
      </c>
      <c r="D42" s="51" t="s">
        <v>954</v>
      </c>
      <c r="E42" s="52" t="s">
        <v>888</v>
      </c>
      <c r="F42" s="50" t="s">
        <v>889</v>
      </c>
      <c r="G42" s="50" t="s">
        <v>890</v>
      </c>
      <c r="H42" s="53"/>
      <c r="I42" s="50" t="s">
        <v>957</v>
      </c>
      <c r="J42" s="18">
        <f>+_xlfn.XLOOKUP(B42,Sheet3!B:B,Sheet3!J:J,0)</f>
        <v>0</v>
      </c>
      <c r="K42">
        <f t="shared" si="1"/>
        <v>0</v>
      </c>
      <c r="L42" s="54">
        <v>0</v>
      </c>
      <c r="M42" s="67">
        <f t="shared" si="2"/>
        <v>0</v>
      </c>
    </row>
    <row r="43" spans="2:13" hidden="1" x14ac:dyDescent="0.25">
      <c r="B43" t="str">
        <f t="shared" si="0"/>
        <v>Altro Not identified (North East)</v>
      </c>
      <c r="C43" s="50" t="s">
        <v>958</v>
      </c>
      <c r="D43" s="51" t="s">
        <v>954</v>
      </c>
      <c r="E43" s="52" t="s">
        <v>959</v>
      </c>
      <c r="F43" s="50" t="s">
        <v>889</v>
      </c>
      <c r="G43" s="50" t="s">
        <v>890</v>
      </c>
      <c r="H43" s="53"/>
      <c r="I43" s="50" t="s">
        <v>960</v>
      </c>
      <c r="J43" s="18">
        <f>+_xlfn.XLOOKUP(B43,Sheet3!B:B,Sheet3!J:J,0)</f>
        <v>0</v>
      </c>
      <c r="K43">
        <f t="shared" si="1"/>
        <v>0</v>
      </c>
      <c r="L43" s="54">
        <v>0</v>
      </c>
      <c r="M43" s="67">
        <f t="shared" si="2"/>
        <v>0</v>
      </c>
    </row>
    <row r="44" spans="2:13" hidden="1" x14ac:dyDescent="0.25">
      <c r="B44" t="str">
        <f t="shared" si="0"/>
        <v>AQ1 not yet iidentified (NW)</v>
      </c>
      <c r="C44" s="50" t="s">
        <v>958</v>
      </c>
      <c r="D44" s="51" t="s">
        <v>887</v>
      </c>
      <c r="E44" s="52" t="s">
        <v>888</v>
      </c>
      <c r="F44" s="50" t="s">
        <v>889</v>
      </c>
      <c r="G44" s="50" t="s">
        <v>961</v>
      </c>
      <c r="H44" s="53"/>
      <c r="I44" s="50" t="s">
        <v>962</v>
      </c>
      <c r="J44" s="18">
        <f>+_xlfn.XLOOKUP(B44,Sheet3!B:B,Sheet3!J:J,0)</f>
        <v>0</v>
      </c>
      <c r="K44">
        <f t="shared" si="1"/>
        <v>0</v>
      </c>
      <c r="L44" s="54">
        <v>0</v>
      </c>
      <c r="M44" s="67">
        <f t="shared" si="2"/>
        <v>0</v>
      </c>
    </row>
    <row r="45" spans="2:13" hidden="1" x14ac:dyDescent="0.25">
      <c r="B45" t="str">
        <f t="shared" si="0"/>
        <v>AQ1 not identified (NE)</v>
      </c>
      <c r="C45" s="50" t="s">
        <v>958</v>
      </c>
      <c r="D45" s="51" t="s">
        <v>887</v>
      </c>
      <c r="E45" s="52" t="s">
        <v>959</v>
      </c>
      <c r="F45" s="50" t="s">
        <v>889</v>
      </c>
      <c r="G45" s="50" t="s">
        <v>961</v>
      </c>
      <c r="H45" s="53"/>
      <c r="I45" s="50" t="s">
        <v>963</v>
      </c>
      <c r="J45" s="18">
        <f>+_xlfn.XLOOKUP(B45,Sheet3!B:B,Sheet3!J:J,0)</f>
        <v>0</v>
      </c>
      <c r="K45">
        <f t="shared" si="1"/>
        <v>0</v>
      </c>
      <c r="L45" s="54">
        <v>0</v>
      </c>
      <c r="M45" s="67">
        <f t="shared" si="2"/>
        <v>0</v>
      </c>
    </row>
    <row r="46" spans="2:13" hidden="1" x14ac:dyDescent="0.25">
      <c r="B46" t="str">
        <f t="shared" si="0"/>
        <v>AQ1 not identified (CE)</v>
      </c>
      <c r="C46" s="50" t="s">
        <v>958</v>
      </c>
      <c r="D46" s="51" t="s">
        <v>887</v>
      </c>
      <c r="E46" s="52" t="s">
        <v>896</v>
      </c>
      <c r="F46" s="50" t="s">
        <v>889</v>
      </c>
      <c r="G46" s="50" t="s">
        <v>961</v>
      </c>
      <c r="H46" s="53"/>
      <c r="I46" s="50" t="s">
        <v>964</v>
      </c>
      <c r="J46" s="18">
        <f>+_xlfn.XLOOKUP(B46,Sheet3!B:B,Sheet3!J:J,0)</f>
        <v>0</v>
      </c>
      <c r="K46">
        <f t="shared" si="1"/>
        <v>0</v>
      </c>
      <c r="L46" s="54">
        <v>0</v>
      </c>
      <c r="M46" s="67">
        <f t="shared" si="2"/>
        <v>0</v>
      </c>
    </row>
    <row r="47" spans="2:13" hidden="1" x14ac:dyDescent="0.25">
      <c r="B47" t="str">
        <f t="shared" si="0"/>
        <v>Buildings not identified (NE)</v>
      </c>
      <c r="C47" s="50" t="s">
        <v>958</v>
      </c>
      <c r="D47" s="51" t="s">
        <v>887</v>
      </c>
      <c r="E47" s="52" t="s">
        <v>959</v>
      </c>
      <c r="F47" s="50" t="s">
        <v>965</v>
      </c>
      <c r="G47" s="50" t="s">
        <v>965</v>
      </c>
      <c r="H47" s="53"/>
      <c r="I47" s="50" t="s">
        <v>966</v>
      </c>
      <c r="J47" s="18">
        <f>+_xlfn.XLOOKUP(B47,Sheet3!B:B,Sheet3!J:J,0)</f>
        <v>0</v>
      </c>
      <c r="K47">
        <f t="shared" si="1"/>
        <v>0</v>
      </c>
      <c r="L47" s="54">
        <v>0</v>
      </c>
      <c r="M47" s="67">
        <f t="shared" si="2"/>
        <v>0</v>
      </c>
    </row>
    <row r="48" spans="2:13" hidden="1" x14ac:dyDescent="0.25">
      <c r="B48" t="str">
        <f t="shared" si="0"/>
        <v>PV to be identified (SO)</v>
      </c>
      <c r="C48" s="50" t="s">
        <v>826</v>
      </c>
      <c r="D48" s="51" t="s">
        <v>887</v>
      </c>
      <c r="E48" s="52" t="s">
        <v>910</v>
      </c>
      <c r="F48" s="50" t="s">
        <v>897</v>
      </c>
      <c r="G48" s="50" t="s">
        <v>897</v>
      </c>
      <c r="H48" s="53"/>
      <c r="I48" s="50" t="s">
        <v>967</v>
      </c>
      <c r="J48" s="18">
        <f>+_xlfn.XLOOKUP(B48,Sheet3!B:B,Sheet3!J:J,0)</f>
        <v>0</v>
      </c>
      <c r="K48">
        <f t="shared" si="1"/>
        <v>0</v>
      </c>
      <c r="L48" s="54">
        <v>0</v>
      </c>
      <c r="M48" s="67">
        <f t="shared" si="2"/>
        <v>0</v>
      </c>
    </row>
    <row r="49" spans="2:13" hidden="1" x14ac:dyDescent="0.25">
      <c r="B49" t="str">
        <f t="shared" si="0"/>
        <v>PV to be identified (CE)</v>
      </c>
      <c r="C49" s="50" t="s">
        <v>826</v>
      </c>
      <c r="D49" s="51" t="s">
        <v>887</v>
      </c>
      <c r="E49" s="52" t="s">
        <v>896</v>
      </c>
      <c r="F49" s="50" t="s">
        <v>897</v>
      </c>
      <c r="G49" s="50" t="s">
        <v>897</v>
      </c>
      <c r="H49" s="53"/>
      <c r="I49" s="50" t="s">
        <v>968</v>
      </c>
      <c r="J49" s="18">
        <f>+_xlfn.XLOOKUP(B49,Sheet3!B:B,Sheet3!J:J,0)</f>
        <v>0</v>
      </c>
      <c r="K49">
        <f t="shared" si="1"/>
        <v>0</v>
      </c>
      <c r="L49" s="54">
        <v>0</v>
      </c>
      <c r="M49" s="67">
        <f t="shared" si="2"/>
        <v>0</v>
      </c>
    </row>
    <row r="50" spans="2:13" hidden="1" x14ac:dyDescent="0.25">
      <c r="B50" t="str">
        <f t="shared" si="0"/>
        <v>Altro Not identified (Sud) 2</v>
      </c>
      <c r="C50" s="50" t="s">
        <v>826</v>
      </c>
      <c r="D50" s="51" t="s">
        <v>954</v>
      </c>
      <c r="E50" s="52" t="s">
        <v>910</v>
      </c>
      <c r="F50" s="50" t="s">
        <v>889</v>
      </c>
      <c r="G50" s="50" t="s">
        <v>890</v>
      </c>
      <c r="H50" s="53"/>
      <c r="I50" s="50" t="s">
        <v>969</v>
      </c>
      <c r="J50" s="18">
        <f>+_xlfn.XLOOKUP(B50,Sheet3!B:B,Sheet3!J:J,0)</f>
        <v>0</v>
      </c>
      <c r="K50">
        <f t="shared" si="1"/>
        <v>0</v>
      </c>
      <c r="L50" s="54">
        <v>0</v>
      </c>
      <c r="M50" s="67">
        <f t="shared" si="2"/>
        <v>0</v>
      </c>
    </row>
    <row r="51" spans="2:13" hidden="1" x14ac:dyDescent="0.25">
      <c r="B51" t="str">
        <f t="shared" si="0"/>
        <v>San Mango Piemonte</v>
      </c>
      <c r="C51" s="50" t="s">
        <v>826</v>
      </c>
      <c r="D51" s="51" t="s">
        <v>928</v>
      </c>
      <c r="E51" s="52" t="s">
        <v>910</v>
      </c>
      <c r="F51" s="50" t="s">
        <v>889</v>
      </c>
      <c r="G51" s="50" t="s">
        <v>890</v>
      </c>
      <c r="H51" s="53"/>
      <c r="I51" s="50" t="s">
        <v>970</v>
      </c>
      <c r="J51" s="18">
        <f>+_xlfn.XLOOKUP(B51,Sheet3!B:B,Sheet3!J:J,0)</f>
        <v>0</v>
      </c>
      <c r="K51">
        <f t="shared" si="1"/>
        <v>0</v>
      </c>
      <c r="L51" s="54">
        <v>0</v>
      </c>
      <c r="M51" s="67">
        <f t="shared" si="2"/>
        <v>0</v>
      </c>
    </row>
    <row r="52" spans="2:13" hidden="1" x14ac:dyDescent="0.25">
      <c r="B52" t="str">
        <f t="shared" si="0"/>
        <v>Romagnano SesiaPPP-IPU-H502-01</v>
      </c>
      <c r="C52" s="50" t="s">
        <v>826</v>
      </c>
      <c r="D52" s="51" t="s">
        <v>932</v>
      </c>
      <c r="E52" s="52" t="s">
        <v>888</v>
      </c>
      <c r="F52" s="50" t="s">
        <v>889</v>
      </c>
      <c r="G52" s="50" t="s">
        <v>890</v>
      </c>
      <c r="H52" s="50" t="s">
        <v>971</v>
      </c>
      <c r="I52" s="50" t="s">
        <v>972</v>
      </c>
      <c r="J52" s="18">
        <f>+_xlfn.XLOOKUP(B52,Sheet3!B:B,Sheet3!J:J,0)</f>
        <v>0</v>
      </c>
      <c r="K52">
        <f t="shared" si="1"/>
        <v>0</v>
      </c>
      <c r="L52" s="54">
        <v>164.41113999999999</v>
      </c>
      <c r="M52" s="67">
        <f t="shared" si="2"/>
        <v>164.41113999999999</v>
      </c>
    </row>
    <row r="53" spans="2:13" hidden="1" x14ac:dyDescent="0.25">
      <c r="B53" t="str">
        <f t="shared" si="0"/>
        <v>MassalengoPPP-IPU-F028-01</v>
      </c>
      <c r="C53" s="50" t="s">
        <v>826</v>
      </c>
      <c r="D53" s="51" t="s">
        <v>932</v>
      </c>
      <c r="E53" s="52" t="s">
        <v>888</v>
      </c>
      <c r="F53" s="50" t="s">
        <v>889</v>
      </c>
      <c r="G53" s="50" t="s">
        <v>890</v>
      </c>
      <c r="H53" s="59" t="s">
        <v>973</v>
      </c>
      <c r="I53" s="50" t="s">
        <v>974</v>
      </c>
      <c r="J53" s="18">
        <f>+_xlfn.XLOOKUP(B53,Sheet3!B:B,Sheet3!J:J,0)</f>
        <v>0</v>
      </c>
      <c r="K53">
        <f t="shared" si="1"/>
        <v>0</v>
      </c>
      <c r="L53" s="54">
        <v>0</v>
      </c>
      <c r="M53" s="67">
        <f t="shared" si="2"/>
        <v>0</v>
      </c>
    </row>
    <row r="54" spans="2:13" hidden="1" x14ac:dyDescent="0.25">
      <c r="B54" t="str">
        <f t="shared" si="0"/>
        <v>Maiori</v>
      </c>
      <c r="C54" s="50" t="s">
        <v>826</v>
      </c>
      <c r="D54" s="51" t="s">
        <v>943</v>
      </c>
      <c r="E54" s="52" t="s">
        <v>910</v>
      </c>
      <c r="F54" s="50" t="s">
        <v>889</v>
      </c>
      <c r="G54" s="50" t="s">
        <v>890</v>
      </c>
      <c r="H54" s="53"/>
      <c r="I54" s="50" t="s">
        <v>975</v>
      </c>
      <c r="J54" s="18">
        <f>+_xlfn.XLOOKUP(B54,Sheet3!B:B,Sheet3!J:J,0)</f>
        <v>0</v>
      </c>
      <c r="K54">
        <f t="shared" si="1"/>
        <v>0</v>
      </c>
      <c r="L54" s="54">
        <v>0</v>
      </c>
      <c r="M54" s="67">
        <f t="shared" si="2"/>
        <v>0</v>
      </c>
    </row>
    <row r="55" spans="2:13" hidden="1" x14ac:dyDescent="0.25">
      <c r="B55" t="str">
        <f t="shared" si="0"/>
        <v>Minori</v>
      </c>
      <c r="C55" s="50" t="s">
        <v>826</v>
      </c>
      <c r="D55" s="51" t="s">
        <v>943</v>
      </c>
      <c r="E55" s="52" t="s">
        <v>910</v>
      </c>
      <c r="F55" s="50" t="s">
        <v>889</v>
      </c>
      <c r="G55" s="50" t="s">
        <v>890</v>
      </c>
      <c r="H55" s="53"/>
      <c r="I55" s="50" t="s">
        <v>976</v>
      </c>
      <c r="J55" s="18">
        <f>+_xlfn.XLOOKUP(B55,Sheet3!B:B,Sheet3!J:J,0)</f>
        <v>0</v>
      </c>
      <c r="K55">
        <f t="shared" si="1"/>
        <v>0</v>
      </c>
      <c r="L55" s="54">
        <v>0</v>
      </c>
      <c r="M55" s="67">
        <f t="shared" si="2"/>
        <v>0</v>
      </c>
    </row>
    <row r="56" spans="2:13" hidden="1" x14ac:dyDescent="0.25">
      <c r="B56" t="str">
        <f t="shared" si="0"/>
        <v>Castel San Giorgio</v>
      </c>
      <c r="C56" s="50" t="s">
        <v>826</v>
      </c>
      <c r="D56" s="51" t="s">
        <v>943</v>
      </c>
      <c r="E56" s="52" t="s">
        <v>910</v>
      </c>
      <c r="F56" s="50" t="s">
        <v>889</v>
      </c>
      <c r="G56" s="50" t="s">
        <v>890</v>
      </c>
      <c r="H56" s="53"/>
      <c r="I56" s="50" t="s">
        <v>977</v>
      </c>
      <c r="J56" s="18">
        <f>+_xlfn.XLOOKUP(B56,Sheet3!B:B,Sheet3!J:J,0)</f>
        <v>0</v>
      </c>
      <c r="K56">
        <f t="shared" si="1"/>
        <v>0</v>
      </c>
      <c r="L56" s="54">
        <v>0</v>
      </c>
      <c r="M56" s="67">
        <f t="shared" si="2"/>
        <v>0</v>
      </c>
    </row>
    <row r="57" spans="2:13" hidden="1" x14ac:dyDescent="0.25">
      <c r="B57" t="str">
        <f t="shared" si="0"/>
        <v>Ischia</v>
      </c>
      <c r="C57" s="50" t="s">
        <v>826</v>
      </c>
      <c r="D57" s="51" t="s">
        <v>943</v>
      </c>
      <c r="E57" s="52" t="s">
        <v>910</v>
      </c>
      <c r="F57" s="50" t="s">
        <v>889</v>
      </c>
      <c r="G57" s="50" t="s">
        <v>890</v>
      </c>
      <c r="H57" s="53"/>
      <c r="I57" s="50" t="s">
        <v>978</v>
      </c>
      <c r="J57" s="18">
        <f>+_xlfn.XLOOKUP(B57,Sheet3!B:B,Sheet3!J:J,0)</f>
        <v>0</v>
      </c>
      <c r="K57">
        <f t="shared" si="1"/>
        <v>0</v>
      </c>
      <c r="L57" s="54">
        <v>0</v>
      </c>
      <c r="M57" s="67">
        <f t="shared" si="2"/>
        <v>0</v>
      </c>
    </row>
    <row r="58" spans="2:13" hidden="1" x14ac:dyDescent="0.25">
      <c r="B58" t="str">
        <f t="shared" si="0"/>
        <v>Somma Vesuviana</v>
      </c>
      <c r="C58" s="50" t="s">
        <v>826</v>
      </c>
      <c r="D58" s="51" t="s">
        <v>943</v>
      </c>
      <c r="E58" s="52" t="s">
        <v>910</v>
      </c>
      <c r="F58" s="50" t="s">
        <v>889</v>
      </c>
      <c r="G58" s="50" t="s">
        <v>890</v>
      </c>
      <c r="H58" s="53"/>
      <c r="I58" s="50" t="s">
        <v>979</v>
      </c>
      <c r="J58" s="18">
        <f>+_xlfn.XLOOKUP(B58,Sheet3!B:B,Sheet3!J:J,0)</f>
        <v>0</v>
      </c>
      <c r="K58">
        <f t="shared" si="1"/>
        <v>0</v>
      </c>
      <c r="L58" s="54">
        <v>0</v>
      </c>
      <c r="M58" s="67">
        <f t="shared" si="2"/>
        <v>0</v>
      </c>
    </row>
    <row r="59" spans="2:13" hidden="1" x14ac:dyDescent="0.25">
      <c r="B59" t="str">
        <f t="shared" si="0"/>
        <v>Dolo</v>
      </c>
      <c r="C59" s="50" t="s">
        <v>826</v>
      </c>
      <c r="D59" s="51" t="s">
        <v>980</v>
      </c>
      <c r="E59" s="52" t="s">
        <v>959</v>
      </c>
      <c r="F59" s="50" t="s">
        <v>889</v>
      </c>
      <c r="G59" s="50" t="s">
        <v>890</v>
      </c>
      <c r="H59" s="53"/>
      <c r="I59" s="50" t="s">
        <v>981</v>
      </c>
      <c r="J59" s="18">
        <f>+_xlfn.XLOOKUP(B59,Sheet3!B:B,Sheet3!J:J,0)</f>
        <v>0</v>
      </c>
      <c r="K59">
        <f t="shared" si="1"/>
        <v>0</v>
      </c>
      <c r="L59" s="54">
        <v>0</v>
      </c>
      <c r="M59" s="67">
        <f t="shared" si="2"/>
        <v>0</v>
      </c>
    </row>
    <row r="60" spans="2:13" hidden="1" x14ac:dyDescent="0.25">
      <c r="B60" t="str">
        <f t="shared" si="0"/>
        <v>Vicari</v>
      </c>
      <c r="C60" s="50" t="s">
        <v>826</v>
      </c>
      <c r="D60" s="51" t="s">
        <v>980</v>
      </c>
      <c r="E60" s="52" t="s">
        <v>910</v>
      </c>
      <c r="F60" s="50" t="s">
        <v>889</v>
      </c>
      <c r="G60" s="50" t="s">
        <v>890</v>
      </c>
      <c r="H60" s="53"/>
      <c r="I60" s="50" t="s">
        <v>982</v>
      </c>
      <c r="J60" s="18">
        <f>+_xlfn.XLOOKUP(B60,Sheet3!B:B,Sheet3!J:J,0)</f>
        <v>0</v>
      </c>
      <c r="K60">
        <f t="shared" si="1"/>
        <v>0</v>
      </c>
      <c r="L60" s="54">
        <v>0</v>
      </c>
      <c r="M60" s="67">
        <f t="shared" si="2"/>
        <v>0</v>
      </c>
    </row>
    <row r="61" spans="2:13" hidden="1" x14ac:dyDescent="0.25">
      <c r="B61" t="str">
        <f t="shared" si="0"/>
        <v>Marsciano</v>
      </c>
      <c r="C61" s="50" t="s">
        <v>826</v>
      </c>
      <c r="D61" s="51" t="s">
        <v>949</v>
      </c>
      <c r="E61" s="52" t="s">
        <v>896</v>
      </c>
      <c r="F61" s="50" t="s">
        <v>889</v>
      </c>
      <c r="G61" s="50" t="s">
        <v>890</v>
      </c>
      <c r="H61" s="53"/>
      <c r="I61" s="50" t="s">
        <v>983</v>
      </c>
      <c r="J61" s="18">
        <f>+_xlfn.XLOOKUP(B61,Sheet3!B:B,Sheet3!J:J,0)</f>
        <v>0</v>
      </c>
      <c r="K61">
        <f t="shared" si="1"/>
        <v>0</v>
      </c>
      <c r="L61" s="54">
        <v>0</v>
      </c>
      <c r="M61" s="67">
        <f t="shared" si="2"/>
        <v>0</v>
      </c>
    </row>
    <row r="62" spans="2:13" hidden="1" x14ac:dyDescent="0.25">
      <c r="B62" t="str">
        <f t="shared" si="0"/>
        <v>Savona ComunePPP-IPU-I480-02</v>
      </c>
      <c r="C62" s="50" t="s">
        <v>826</v>
      </c>
      <c r="D62" s="51" t="s">
        <v>887</v>
      </c>
      <c r="E62" s="50" t="s">
        <v>888</v>
      </c>
      <c r="F62" s="50" t="s">
        <v>889</v>
      </c>
      <c r="G62" s="50" t="s">
        <v>890</v>
      </c>
      <c r="H62" s="57" t="s">
        <v>984</v>
      </c>
      <c r="I62" s="50" t="s">
        <v>985</v>
      </c>
      <c r="J62" s="18">
        <f>+_xlfn.XLOOKUP(B62,Sheet3!B:B,Sheet3!J:J,0)</f>
        <v>509.2645</v>
      </c>
      <c r="K62">
        <f t="shared" si="1"/>
        <v>679.01933333333329</v>
      </c>
      <c r="L62" s="54">
        <v>679.01932999999997</v>
      </c>
      <c r="M62" s="67">
        <f t="shared" si="2"/>
        <v>-3.3333333249174757E-6</v>
      </c>
    </row>
    <row r="63" spans="2:13" hidden="1" x14ac:dyDescent="0.25">
      <c r="B63" t="str">
        <f t="shared" si="0"/>
        <v>Finale Ligure (Sav Prov)PPP-IPU-D600-01</v>
      </c>
      <c r="C63" s="50" t="s">
        <v>826</v>
      </c>
      <c r="D63" s="51" t="s">
        <v>887</v>
      </c>
      <c r="E63" s="50" t="s">
        <v>888</v>
      </c>
      <c r="F63" s="50" t="s">
        <v>889</v>
      </c>
      <c r="G63" s="50" t="s">
        <v>890</v>
      </c>
      <c r="H63" s="57" t="s">
        <v>986</v>
      </c>
      <c r="I63" s="50" t="s">
        <v>987</v>
      </c>
      <c r="J63" s="18">
        <f>+_xlfn.XLOOKUP(B63,Sheet3!B:B,Sheet3!J:J,0)</f>
        <v>0</v>
      </c>
      <c r="K63">
        <f t="shared" si="1"/>
        <v>0</v>
      </c>
      <c r="L63" s="54">
        <v>0</v>
      </c>
      <c r="M63" s="67">
        <f t="shared" si="2"/>
        <v>0</v>
      </c>
    </row>
    <row r="64" spans="2:13" hidden="1" x14ac:dyDescent="0.25">
      <c r="B64" t="str">
        <f t="shared" si="0"/>
        <v>Borghetto Santo Spirito (Sav Prov)PPP-IPU-A999-01</v>
      </c>
      <c r="C64" s="50" t="s">
        <v>826</v>
      </c>
      <c r="D64" s="51" t="s">
        <v>887</v>
      </c>
      <c r="E64" s="50" t="s">
        <v>888</v>
      </c>
      <c r="F64" s="50" t="s">
        <v>889</v>
      </c>
      <c r="G64" s="50" t="s">
        <v>890</v>
      </c>
      <c r="H64" s="57" t="s">
        <v>988</v>
      </c>
      <c r="I64" s="50" t="s">
        <v>989</v>
      </c>
      <c r="J64" s="18">
        <f>+_xlfn.XLOOKUP(B64,Sheet3!B:B,Sheet3!J:J,0)</f>
        <v>0</v>
      </c>
      <c r="K64">
        <f t="shared" si="1"/>
        <v>0</v>
      </c>
      <c r="L64" s="54">
        <v>0</v>
      </c>
      <c r="M64" s="67">
        <f t="shared" si="2"/>
        <v>0</v>
      </c>
    </row>
    <row r="65" spans="2:13" hidden="1" x14ac:dyDescent="0.25">
      <c r="B65" t="str">
        <f t="shared" si="0"/>
        <v>Spotorno (Sav Prov)PPP-IPU-I926-01</v>
      </c>
      <c r="C65" s="50" t="s">
        <v>826</v>
      </c>
      <c r="D65" s="51" t="s">
        <v>887</v>
      </c>
      <c r="E65" s="50" t="s">
        <v>888</v>
      </c>
      <c r="F65" s="50" t="s">
        <v>889</v>
      </c>
      <c r="G65" s="50" t="s">
        <v>890</v>
      </c>
      <c r="H65" s="57" t="s">
        <v>990</v>
      </c>
      <c r="I65" s="50" t="s">
        <v>991</v>
      </c>
      <c r="J65" s="18">
        <f>+_xlfn.XLOOKUP(B65,Sheet3!B:B,Sheet3!J:J,0)</f>
        <v>0</v>
      </c>
      <c r="K65">
        <f t="shared" si="1"/>
        <v>0</v>
      </c>
      <c r="L65" s="54">
        <v>0.75075000000000003</v>
      </c>
      <c r="M65" s="67">
        <f t="shared" si="2"/>
        <v>0.75075000000000003</v>
      </c>
    </row>
    <row r="66" spans="2:13" hidden="1" x14ac:dyDescent="0.25">
      <c r="B66" t="str">
        <f t="shared" si="0"/>
        <v>Pontirolo NuovoPPP-IPU-G867-01</v>
      </c>
      <c r="C66" s="50" t="s">
        <v>826</v>
      </c>
      <c r="D66" s="51" t="s">
        <v>887</v>
      </c>
      <c r="E66" s="50" t="s">
        <v>888</v>
      </c>
      <c r="F66" s="50" t="s">
        <v>889</v>
      </c>
      <c r="G66" s="50" t="s">
        <v>890</v>
      </c>
      <c r="H66" s="57" t="s">
        <v>992</v>
      </c>
      <c r="I66" s="50" t="s">
        <v>993</v>
      </c>
      <c r="J66" s="18">
        <f>+_xlfn.XLOOKUP(B66,Sheet3!B:B,Sheet3!J:J,0)</f>
        <v>50.922239999999995</v>
      </c>
      <c r="K66">
        <f t="shared" si="1"/>
        <v>67.896319999999989</v>
      </c>
      <c r="L66" s="54">
        <v>67.896320000000003</v>
      </c>
      <c r="M66" s="67">
        <f t="shared" si="2"/>
        <v>0</v>
      </c>
    </row>
    <row r="67" spans="2:13" hidden="1" x14ac:dyDescent="0.25">
      <c r="B67" t="str">
        <f t="shared" si="0"/>
        <v>Vedano OlonaAQ1-IPU-L703-01</v>
      </c>
      <c r="C67" s="50" t="s">
        <v>958</v>
      </c>
      <c r="D67" s="51" t="s">
        <v>887</v>
      </c>
      <c r="E67" s="50" t="s">
        <v>888</v>
      </c>
      <c r="F67" s="50" t="s">
        <v>889</v>
      </c>
      <c r="G67" s="50" t="s">
        <v>961</v>
      </c>
      <c r="H67" s="57" t="s">
        <v>994</v>
      </c>
      <c r="I67" s="50" t="s">
        <v>995</v>
      </c>
      <c r="J67" s="18">
        <f>+_xlfn.XLOOKUP(B67,Sheet3!B:B,Sheet3!J:J,0)</f>
        <v>0</v>
      </c>
      <c r="K67">
        <f t="shared" si="1"/>
        <v>0</v>
      </c>
      <c r="L67" s="54">
        <v>0</v>
      </c>
      <c r="M67" s="67">
        <f t="shared" si="2"/>
        <v>0</v>
      </c>
    </row>
    <row r="68" spans="2:13" hidden="1" x14ac:dyDescent="0.25">
      <c r="B68" t="str">
        <f t="shared" ref="B68:B131" si="3">+I68&amp;H68</f>
        <v>Savona Gallerie (Sav Prov)PPP-IPU-I480-03</v>
      </c>
      <c r="C68" s="50" t="s">
        <v>826</v>
      </c>
      <c r="D68" s="51" t="s">
        <v>887</v>
      </c>
      <c r="E68" s="50" t="s">
        <v>888</v>
      </c>
      <c r="F68" s="50" t="s">
        <v>889</v>
      </c>
      <c r="G68" s="50" t="s">
        <v>890</v>
      </c>
      <c r="H68" s="57" t="s">
        <v>996</v>
      </c>
      <c r="I68" s="50" t="s">
        <v>997</v>
      </c>
      <c r="J68" s="18">
        <f>+_xlfn.XLOOKUP(B68,Sheet3!B:B,Sheet3!J:J,0)</f>
        <v>0</v>
      </c>
      <c r="K68">
        <f t="shared" ref="K68:K131" si="4">+J68/6*8</f>
        <v>0</v>
      </c>
      <c r="L68" s="54">
        <v>0</v>
      </c>
      <c r="M68" s="67">
        <f t="shared" ref="M68:M131" si="5">+L68-K68</f>
        <v>0</v>
      </c>
    </row>
    <row r="69" spans="2:13" hidden="1" x14ac:dyDescent="0.25">
      <c r="B69" t="str">
        <f t="shared" si="3"/>
        <v>MezzagoPPP-IPU-F165-01</v>
      </c>
      <c r="C69" s="50" t="s">
        <v>826</v>
      </c>
      <c r="D69" s="51" t="s">
        <v>887</v>
      </c>
      <c r="E69" s="50" t="s">
        <v>888</v>
      </c>
      <c r="F69" s="50" t="s">
        <v>889</v>
      </c>
      <c r="G69" s="50" t="s">
        <v>890</v>
      </c>
      <c r="H69" s="57" t="s">
        <v>998</v>
      </c>
      <c r="I69" s="50" t="s">
        <v>999</v>
      </c>
      <c r="J69" s="18">
        <f>+_xlfn.XLOOKUP(B69,Sheet3!B:B,Sheet3!J:J,0)</f>
        <v>30.518999999999998</v>
      </c>
      <c r="K69">
        <f t="shared" si="4"/>
        <v>40.692</v>
      </c>
      <c r="L69" s="54">
        <v>40.692</v>
      </c>
      <c r="M69" s="67">
        <f t="shared" si="5"/>
        <v>0</v>
      </c>
    </row>
    <row r="70" spans="2:13" hidden="1" x14ac:dyDescent="0.25">
      <c r="B70" t="str">
        <f t="shared" si="3"/>
        <v>Stella (Sav Prov)PPP-IPU-I946-01</v>
      </c>
      <c r="C70" s="50" t="s">
        <v>826</v>
      </c>
      <c r="D70" s="51" t="s">
        <v>887</v>
      </c>
      <c r="E70" s="50" t="s">
        <v>888</v>
      </c>
      <c r="F70" s="50" t="s">
        <v>889</v>
      </c>
      <c r="G70" s="50" t="s">
        <v>890</v>
      </c>
      <c r="H70" s="57" t="s">
        <v>1000</v>
      </c>
      <c r="I70" s="50" t="s">
        <v>1001</v>
      </c>
      <c r="J70" s="18">
        <f>+_xlfn.XLOOKUP(B70,Sheet3!B:B,Sheet3!J:J,0)</f>
        <v>0</v>
      </c>
      <c r="K70">
        <f t="shared" si="4"/>
        <v>0</v>
      </c>
      <c r="L70" s="54">
        <v>0</v>
      </c>
      <c r="M70" s="67">
        <f t="shared" si="5"/>
        <v>0</v>
      </c>
    </row>
    <row r="71" spans="2:13" hidden="1" x14ac:dyDescent="0.25">
      <c r="B71" t="str">
        <f t="shared" si="3"/>
        <v>Settimo TorinesePPP-IPU-I703-01</v>
      </c>
      <c r="C71" s="50" t="s">
        <v>826</v>
      </c>
      <c r="D71" s="51" t="s">
        <v>887</v>
      </c>
      <c r="E71" s="50" t="s">
        <v>888</v>
      </c>
      <c r="F71" s="50" t="s">
        <v>889</v>
      </c>
      <c r="G71" s="50" t="s">
        <v>890</v>
      </c>
      <c r="H71" s="57" t="s">
        <v>1002</v>
      </c>
      <c r="I71" s="50" t="s">
        <v>1003</v>
      </c>
      <c r="J71" s="18">
        <f>+_xlfn.XLOOKUP(B71,Sheet3!B:B,Sheet3!J:J,0)</f>
        <v>0</v>
      </c>
      <c r="K71">
        <f t="shared" si="4"/>
        <v>0</v>
      </c>
      <c r="L71" s="54">
        <v>0</v>
      </c>
      <c r="M71" s="67">
        <f t="shared" si="5"/>
        <v>0</v>
      </c>
    </row>
    <row r="72" spans="2:13" hidden="1" x14ac:dyDescent="0.25">
      <c r="B72" t="str">
        <f t="shared" si="3"/>
        <v>GavirateAQ1-IPU-D946-01</v>
      </c>
      <c r="C72" s="50" t="s">
        <v>958</v>
      </c>
      <c r="D72" s="51" t="s">
        <v>887</v>
      </c>
      <c r="E72" s="50" t="s">
        <v>888</v>
      </c>
      <c r="F72" s="50" t="s">
        <v>889</v>
      </c>
      <c r="G72" s="50" t="s">
        <v>961</v>
      </c>
      <c r="H72" s="57" t="s">
        <v>1004</v>
      </c>
      <c r="I72" s="50" t="s">
        <v>1005</v>
      </c>
      <c r="J72" s="18">
        <f>+_xlfn.XLOOKUP(B72,Sheet3!B:B,Sheet3!J:J,0)</f>
        <v>41.693220000000004</v>
      </c>
      <c r="K72">
        <f t="shared" si="4"/>
        <v>55.590960000000003</v>
      </c>
      <c r="L72" s="54">
        <v>55.590960000000003</v>
      </c>
      <c r="M72" s="67">
        <f t="shared" si="5"/>
        <v>0</v>
      </c>
    </row>
    <row r="73" spans="2:13" hidden="1" x14ac:dyDescent="0.25">
      <c r="B73" t="str">
        <f t="shared" si="3"/>
        <v>CantalupaATI-IPU-B628-01</v>
      </c>
      <c r="C73" s="50" t="s">
        <v>826</v>
      </c>
      <c r="D73" s="51" t="s">
        <v>887</v>
      </c>
      <c r="E73" s="50" t="s">
        <v>888</v>
      </c>
      <c r="F73" s="50" t="s">
        <v>889</v>
      </c>
      <c r="G73" s="50" t="s">
        <v>890</v>
      </c>
      <c r="H73" s="57" t="s">
        <v>1006</v>
      </c>
      <c r="I73" s="50" t="s">
        <v>1007</v>
      </c>
      <c r="J73" s="18">
        <f>+_xlfn.XLOOKUP(B73,Sheet3!B:B,Sheet3!J:J,0)</f>
        <v>15.13641</v>
      </c>
      <c r="K73">
        <f t="shared" si="4"/>
        <v>20.18188</v>
      </c>
      <c r="L73" s="54">
        <v>20.18188</v>
      </c>
      <c r="M73" s="67">
        <f t="shared" si="5"/>
        <v>0</v>
      </c>
    </row>
    <row r="74" spans="2:13" hidden="1" x14ac:dyDescent="0.25">
      <c r="B74" t="str">
        <f t="shared" si="3"/>
        <v>FrossascoATI-IPU-D812-01</v>
      </c>
      <c r="C74" s="50" t="s">
        <v>826</v>
      </c>
      <c r="D74" s="51" t="s">
        <v>887</v>
      </c>
      <c r="E74" s="50" t="s">
        <v>888</v>
      </c>
      <c r="F74" s="50" t="s">
        <v>889</v>
      </c>
      <c r="G74" s="50" t="s">
        <v>890</v>
      </c>
      <c r="H74" s="57" t="s">
        <v>1008</v>
      </c>
      <c r="I74" s="50" t="s">
        <v>1009</v>
      </c>
      <c r="J74" s="18">
        <f>+_xlfn.XLOOKUP(B74,Sheet3!B:B,Sheet3!J:J,0)</f>
        <v>33.362070000000003</v>
      </c>
      <c r="K74">
        <f t="shared" si="4"/>
        <v>44.482760000000006</v>
      </c>
      <c r="L74" s="54">
        <v>44.482759999999999</v>
      </c>
      <c r="M74" s="67">
        <f t="shared" si="5"/>
        <v>0</v>
      </c>
    </row>
    <row r="75" spans="2:13" hidden="1" x14ac:dyDescent="0.25">
      <c r="B75" t="str">
        <f t="shared" si="3"/>
        <v>PineroloATI-IPU-G674-01</v>
      </c>
      <c r="C75" s="50" t="s">
        <v>826</v>
      </c>
      <c r="D75" s="51" t="s">
        <v>887</v>
      </c>
      <c r="E75" s="50" t="s">
        <v>888</v>
      </c>
      <c r="F75" s="50" t="s">
        <v>889</v>
      </c>
      <c r="G75" s="50" t="s">
        <v>890</v>
      </c>
      <c r="H75" s="57" t="s">
        <v>1010</v>
      </c>
      <c r="I75" s="50" t="s">
        <v>1011</v>
      </c>
      <c r="J75" s="18">
        <f>+_xlfn.XLOOKUP(B75,Sheet3!B:B,Sheet3!J:J,0)</f>
        <v>223.15293</v>
      </c>
      <c r="K75">
        <f t="shared" si="4"/>
        <v>297.53724</v>
      </c>
      <c r="L75" s="54">
        <v>297.53724</v>
      </c>
      <c r="M75" s="67">
        <f t="shared" si="5"/>
        <v>0</v>
      </c>
    </row>
    <row r="76" spans="2:13" hidden="1" x14ac:dyDescent="0.25">
      <c r="B76" t="str">
        <f t="shared" si="3"/>
        <v>RolettoATI-IPU-H498-01</v>
      </c>
      <c r="C76" s="50" t="s">
        <v>826</v>
      </c>
      <c r="D76" s="51" t="s">
        <v>887</v>
      </c>
      <c r="E76" s="50" t="s">
        <v>888</v>
      </c>
      <c r="F76" s="50" t="s">
        <v>889</v>
      </c>
      <c r="G76" s="50" t="s">
        <v>890</v>
      </c>
      <c r="H76" s="57" t="s">
        <v>1012</v>
      </c>
      <c r="I76" s="50" t="s">
        <v>1013</v>
      </c>
      <c r="J76" s="18">
        <f>+_xlfn.XLOOKUP(B76,Sheet3!B:B,Sheet3!J:J,0)</f>
        <v>20.101950000000002</v>
      </c>
      <c r="K76">
        <f t="shared" si="4"/>
        <v>26.802600000000002</v>
      </c>
      <c r="L76" s="54">
        <v>26.802599999999998</v>
      </c>
      <c r="M76" s="67">
        <f t="shared" si="5"/>
        <v>0</v>
      </c>
    </row>
    <row r="77" spans="2:13" hidden="1" x14ac:dyDescent="0.25">
      <c r="B77" t="str">
        <f t="shared" si="3"/>
        <v>VolpianoATI-IPU-M122-01</v>
      </c>
      <c r="C77" s="50" t="s">
        <v>826</v>
      </c>
      <c r="D77" s="51" t="s">
        <v>887</v>
      </c>
      <c r="E77" s="50" t="s">
        <v>888</v>
      </c>
      <c r="F77" s="50" t="s">
        <v>889</v>
      </c>
      <c r="G77" s="50" t="s">
        <v>890</v>
      </c>
      <c r="H77" s="57" t="s">
        <v>1014</v>
      </c>
      <c r="I77" s="50" t="s">
        <v>1015</v>
      </c>
      <c r="J77" s="18">
        <f>+_xlfn.XLOOKUP(B77,Sheet3!B:B,Sheet3!J:J,0)</f>
        <v>30.46602</v>
      </c>
      <c r="K77">
        <f t="shared" si="4"/>
        <v>40.621360000000003</v>
      </c>
      <c r="L77" s="54">
        <v>40.621360000000003</v>
      </c>
      <c r="M77" s="67">
        <f t="shared" si="5"/>
        <v>0</v>
      </c>
    </row>
    <row r="78" spans="2:13" hidden="1" x14ac:dyDescent="0.25">
      <c r="B78" t="str">
        <f t="shared" si="3"/>
        <v>Arcisate ConsipCL3-IPU-A371-01</v>
      </c>
      <c r="C78" s="50" t="s">
        <v>958</v>
      </c>
      <c r="D78" s="51" t="s">
        <v>887</v>
      </c>
      <c r="E78" s="50" t="s">
        <v>888</v>
      </c>
      <c r="F78" s="50" t="s">
        <v>889</v>
      </c>
      <c r="G78" s="50" t="s">
        <v>1016</v>
      </c>
      <c r="H78" s="57" t="s">
        <v>1017</v>
      </c>
      <c r="I78" s="50" t="s">
        <v>1018</v>
      </c>
      <c r="J78" s="18">
        <f>+_xlfn.XLOOKUP(B78,Sheet3!B:B,Sheet3!J:J,0)</f>
        <v>86.601320000000001</v>
      </c>
      <c r="K78">
        <f t="shared" si="4"/>
        <v>115.46842666666667</v>
      </c>
      <c r="L78" s="54">
        <v>117.6576</v>
      </c>
      <c r="M78" s="67">
        <f t="shared" si="5"/>
        <v>2.1891733333333292</v>
      </c>
    </row>
    <row r="79" spans="2:13" hidden="1" x14ac:dyDescent="0.25">
      <c r="B79" t="str">
        <f t="shared" si="3"/>
        <v>ArlunoCL3-IPU-A413-01</v>
      </c>
      <c r="C79" s="50" t="s">
        <v>958</v>
      </c>
      <c r="D79" s="51" t="s">
        <v>887</v>
      </c>
      <c r="E79" s="50" t="s">
        <v>888</v>
      </c>
      <c r="F79" s="50" t="s">
        <v>889</v>
      </c>
      <c r="G79" s="50" t="s">
        <v>1016</v>
      </c>
      <c r="H79" s="57" t="s">
        <v>1019</v>
      </c>
      <c r="I79" s="50" t="s">
        <v>1020</v>
      </c>
      <c r="J79" s="18">
        <f>+_xlfn.XLOOKUP(B79,Sheet3!B:B,Sheet3!J:J,0)</f>
        <v>166.17148</v>
      </c>
      <c r="K79">
        <f t="shared" si="4"/>
        <v>221.56197333333333</v>
      </c>
      <c r="L79" s="54">
        <v>226.99893</v>
      </c>
      <c r="M79" s="67">
        <f t="shared" si="5"/>
        <v>5.4369566666666742</v>
      </c>
    </row>
    <row r="80" spans="2:13" hidden="1" x14ac:dyDescent="0.25">
      <c r="B80" t="str">
        <f t="shared" si="3"/>
        <v>Barzago ConsipCL3-IPU-A683-01</v>
      </c>
      <c r="C80" s="50" t="s">
        <v>958</v>
      </c>
      <c r="D80" s="51" t="s">
        <v>887</v>
      </c>
      <c r="E80" s="50" t="s">
        <v>888</v>
      </c>
      <c r="F80" s="50" t="s">
        <v>889</v>
      </c>
      <c r="G80" s="50" t="s">
        <v>1016</v>
      </c>
      <c r="H80" s="57" t="s">
        <v>1021</v>
      </c>
      <c r="I80" s="50" t="s">
        <v>1022</v>
      </c>
      <c r="J80" s="18">
        <f>+_xlfn.XLOOKUP(B80,Sheet3!B:B,Sheet3!J:J,0)</f>
        <v>56.15325</v>
      </c>
      <c r="K80">
        <f t="shared" si="4"/>
        <v>74.870999999999995</v>
      </c>
      <c r="L80" s="54">
        <v>76.568759999999997</v>
      </c>
      <c r="M80" s="67">
        <f t="shared" si="5"/>
        <v>1.6977600000000024</v>
      </c>
    </row>
    <row r="81" spans="2:13" hidden="1" x14ac:dyDescent="0.25">
      <c r="B81" t="str">
        <f t="shared" si="3"/>
        <v>Bresso ConsipCL3-IPU-B162-01</v>
      </c>
      <c r="C81" s="50" t="s">
        <v>958</v>
      </c>
      <c r="D81" s="51" t="s">
        <v>887</v>
      </c>
      <c r="E81" s="50" t="s">
        <v>888</v>
      </c>
      <c r="F81" s="50" t="s">
        <v>889</v>
      </c>
      <c r="G81" s="50" t="s">
        <v>1016</v>
      </c>
      <c r="H81" s="57" t="s">
        <v>1023</v>
      </c>
      <c r="I81" s="50" t="s">
        <v>1024</v>
      </c>
      <c r="J81" s="18">
        <f>+_xlfn.XLOOKUP(B81,Sheet3!B:B,Sheet3!J:J,0)</f>
        <v>128.02271000000002</v>
      </c>
      <c r="K81">
        <f t="shared" si="4"/>
        <v>170.69694666666669</v>
      </c>
      <c r="L81" s="54">
        <v>175.57616000000002</v>
      </c>
      <c r="M81" s="67">
        <f t="shared" si="5"/>
        <v>4.8792133333333254</v>
      </c>
    </row>
    <row r="82" spans="2:13" hidden="1" x14ac:dyDescent="0.25">
      <c r="B82" t="str">
        <f t="shared" si="3"/>
        <v>Canegrate ConsipCL3-IPU-B593-01</v>
      </c>
      <c r="C82" s="50" t="s">
        <v>958</v>
      </c>
      <c r="D82" s="51" t="s">
        <v>887</v>
      </c>
      <c r="E82" s="50" t="s">
        <v>888</v>
      </c>
      <c r="F82" s="50" t="s">
        <v>889</v>
      </c>
      <c r="G82" s="50" t="s">
        <v>1016</v>
      </c>
      <c r="H82" s="57" t="s">
        <v>1025</v>
      </c>
      <c r="I82" s="50" t="s">
        <v>1026</v>
      </c>
      <c r="J82" s="18">
        <f>+_xlfn.XLOOKUP(B82,Sheet3!B:B,Sheet3!J:J,0)</f>
        <v>167.35017000000002</v>
      </c>
      <c r="K82">
        <f t="shared" si="4"/>
        <v>223.13356000000002</v>
      </c>
      <c r="L82" s="54">
        <v>230.83682000000002</v>
      </c>
      <c r="M82" s="67">
        <f t="shared" si="5"/>
        <v>7.7032600000000002</v>
      </c>
    </row>
    <row r="83" spans="2:13" hidden="1" x14ac:dyDescent="0.25">
      <c r="B83" t="str">
        <f t="shared" si="3"/>
        <v>CaponagoCL3-IPU-B671-01</v>
      </c>
      <c r="C83" s="50" t="s">
        <v>958</v>
      </c>
      <c r="D83" s="51" t="s">
        <v>887</v>
      </c>
      <c r="E83" s="50" t="s">
        <v>888</v>
      </c>
      <c r="F83" s="50" t="s">
        <v>889</v>
      </c>
      <c r="G83" s="50" t="s">
        <v>1016</v>
      </c>
      <c r="H83" s="57" t="s">
        <v>1027</v>
      </c>
      <c r="I83" s="50" t="s">
        <v>1028</v>
      </c>
      <c r="J83" s="18">
        <f>+_xlfn.XLOOKUP(B83,Sheet3!B:B,Sheet3!J:J,0)</f>
        <v>69.855220000000003</v>
      </c>
      <c r="K83">
        <f t="shared" si="4"/>
        <v>93.140293333333332</v>
      </c>
      <c r="L83" s="54">
        <v>94.77413</v>
      </c>
      <c r="M83" s="67">
        <f t="shared" si="5"/>
        <v>1.6338366666666673</v>
      </c>
    </row>
    <row r="84" spans="2:13" hidden="1" x14ac:dyDescent="0.25">
      <c r="B84" t="str">
        <f t="shared" si="3"/>
        <v>CaravaggioCL3-IPU-B731-01</v>
      </c>
      <c r="C84" s="50" t="s">
        <v>958</v>
      </c>
      <c r="D84" s="51" t="s">
        <v>887</v>
      </c>
      <c r="E84" s="50" t="s">
        <v>888</v>
      </c>
      <c r="F84" s="50" t="s">
        <v>889</v>
      </c>
      <c r="G84" s="50" t="s">
        <v>1016</v>
      </c>
      <c r="H84" s="57" t="s">
        <v>1029</v>
      </c>
      <c r="I84" s="50" t="s">
        <v>1030</v>
      </c>
      <c r="J84" s="18">
        <f>+_xlfn.XLOOKUP(B84,Sheet3!B:B,Sheet3!J:J,0)</f>
        <v>221.51248000000001</v>
      </c>
      <c r="K84">
        <f t="shared" si="4"/>
        <v>295.34997333333337</v>
      </c>
      <c r="L84" s="54">
        <v>297.71040999999997</v>
      </c>
      <c r="M84" s="67">
        <f t="shared" si="5"/>
        <v>2.360436666666601</v>
      </c>
    </row>
    <row r="85" spans="2:13" hidden="1" x14ac:dyDescent="0.25">
      <c r="B85" t="str">
        <f t="shared" si="3"/>
        <v>Cardano al Campo ConsipCL3-IPU-B754-01</v>
      </c>
      <c r="C85" s="50" t="s">
        <v>958</v>
      </c>
      <c r="D85" s="51" t="s">
        <v>887</v>
      </c>
      <c r="E85" s="50" t="s">
        <v>888</v>
      </c>
      <c r="F85" s="50" t="s">
        <v>889</v>
      </c>
      <c r="G85" s="50" t="s">
        <v>1016</v>
      </c>
      <c r="H85" s="57" t="s">
        <v>1031</v>
      </c>
      <c r="I85" s="50" t="s">
        <v>1032</v>
      </c>
      <c r="J85" s="18">
        <f>+_xlfn.XLOOKUP(B85,Sheet3!B:B,Sheet3!J:J,0)</f>
        <v>130.29605000000001</v>
      </c>
      <c r="K85">
        <f t="shared" si="4"/>
        <v>173.72806666666668</v>
      </c>
      <c r="L85" s="54">
        <v>177.65798999999998</v>
      </c>
      <c r="M85" s="67">
        <f t="shared" si="5"/>
        <v>3.9299233333333063</v>
      </c>
    </row>
    <row r="86" spans="2:13" hidden="1" x14ac:dyDescent="0.25">
      <c r="B86" t="str">
        <f t="shared" si="3"/>
        <v>Civate ConsipCL3-IPU-C752-01</v>
      </c>
      <c r="C86" s="50" t="s">
        <v>958</v>
      </c>
      <c r="D86" s="51" t="s">
        <v>887</v>
      </c>
      <c r="E86" s="50" t="s">
        <v>888</v>
      </c>
      <c r="F86" s="50" t="s">
        <v>889</v>
      </c>
      <c r="G86" s="50" t="s">
        <v>1016</v>
      </c>
      <c r="H86" s="57" t="s">
        <v>1033</v>
      </c>
      <c r="I86" s="50" t="s">
        <v>1034</v>
      </c>
      <c r="J86" s="18">
        <f>+_xlfn.XLOOKUP(B86,Sheet3!B:B,Sheet3!J:J,0)</f>
        <v>65.046679999999995</v>
      </c>
      <c r="K86">
        <f t="shared" si="4"/>
        <v>86.72890666666666</v>
      </c>
      <c r="L86" s="54">
        <v>89.283960000000008</v>
      </c>
      <c r="M86" s="67">
        <f t="shared" si="5"/>
        <v>2.5550533333333476</v>
      </c>
    </row>
    <row r="87" spans="2:13" hidden="1" x14ac:dyDescent="0.25">
      <c r="B87" t="str">
        <f t="shared" si="3"/>
        <v>Gallarate ConsipCL3-IPU-D869-01</v>
      </c>
      <c r="C87" s="50" t="s">
        <v>958</v>
      </c>
      <c r="D87" s="51" t="s">
        <v>887</v>
      </c>
      <c r="E87" s="50" t="s">
        <v>888</v>
      </c>
      <c r="F87" s="50" t="s">
        <v>889</v>
      </c>
      <c r="G87" s="50" t="s">
        <v>1016</v>
      </c>
      <c r="H87" s="57" t="s">
        <v>1035</v>
      </c>
      <c r="I87" s="50" t="s">
        <v>1036</v>
      </c>
      <c r="J87" s="18">
        <f>+_xlfn.XLOOKUP(B87,Sheet3!B:B,Sheet3!J:J,0)</f>
        <v>413.66032000000001</v>
      </c>
      <c r="K87">
        <f t="shared" si="4"/>
        <v>551.54709333333335</v>
      </c>
      <c r="L87" s="54">
        <v>566.70551999999998</v>
      </c>
      <c r="M87" s="67">
        <f t="shared" si="5"/>
        <v>15.158426666666628</v>
      </c>
    </row>
    <row r="88" spans="2:13" hidden="1" x14ac:dyDescent="0.25">
      <c r="B88" t="str">
        <f t="shared" si="3"/>
        <v>Mariano ComenseCL3-IPU-E951-01</v>
      </c>
      <c r="C88" s="50" t="s">
        <v>958</v>
      </c>
      <c r="D88" s="51" t="s">
        <v>887</v>
      </c>
      <c r="E88" s="50" t="s">
        <v>888</v>
      </c>
      <c r="F88" s="50" t="s">
        <v>889</v>
      </c>
      <c r="G88" s="50" t="s">
        <v>1016</v>
      </c>
      <c r="H88" s="57" t="s">
        <v>1037</v>
      </c>
      <c r="I88" s="50" t="s">
        <v>1038</v>
      </c>
      <c r="J88" s="18">
        <f>+_xlfn.XLOOKUP(B88,Sheet3!B:B,Sheet3!J:J,0)</f>
        <v>261.60899999999998</v>
      </c>
      <c r="K88">
        <f t="shared" si="4"/>
        <v>348.81199999999995</v>
      </c>
      <c r="L88" s="54">
        <v>356.19835999999998</v>
      </c>
      <c r="M88" s="67">
        <f t="shared" si="5"/>
        <v>7.3863600000000247</v>
      </c>
    </row>
    <row r="89" spans="2:13" hidden="1" x14ac:dyDescent="0.25">
      <c r="B89" t="str">
        <f t="shared" si="3"/>
        <v>MornagoCL3-IPU-F736-01</v>
      </c>
      <c r="C89" s="50" t="s">
        <v>958</v>
      </c>
      <c r="D89" s="51" t="s">
        <v>887</v>
      </c>
      <c r="E89" s="50" t="s">
        <v>888</v>
      </c>
      <c r="F89" s="50" t="s">
        <v>889</v>
      </c>
      <c r="G89" s="50" t="s">
        <v>1016</v>
      </c>
      <c r="H89" s="57" t="s">
        <v>1039</v>
      </c>
      <c r="I89" s="50" t="s">
        <v>1040</v>
      </c>
      <c r="J89" s="18">
        <f>+_xlfn.XLOOKUP(B89,Sheet3!B:B,Sheet3!J:J,0)</f>
        <v>75.27955</v>
      </c>
      <c r="K89">
        <f t="shared" si="4"/>
        <v>100.37273333333333</v>
      </c>
      <c r="L89" s="54">
        <v>101.42344</v>
      </c>
      <c r="M89" s="67">
        <f t="shared" si="5"/>
        <v>1.0507066666666702</v>
      </c>
    </row>
    <row r="90" spans="2:13" hidden="1" x14ac:dyDescent="0.25">
      <c r="B90" t="str">
        <f t="shared" si="3"/>
        <v>Novara ConsipCL3-IPU-F952-01</v>
      </c>
      <c r="C90" s="50" t="s">
        <v>958</v>
      </c>
      <c r="D90" s="51" t="s">
        <v>887</v>
      </c>
      <c r="E90" s="50" t="s">
        <v>888</v>
      </c>
      <c r="F90" s="50" t="s">
        <v>889</v>
      </c>
      <c r="G90" s="50" t="s">
        <v>1016</v>
      </c>
      <c r="H90" s="57" t="s">
        <v>1041</v>
      </c>
      <c r="I90" s="50" t="s">
        <v>1042</v>
      </c>
      <c r="J90" s="18">
        <f>+_xlfn.XLOOKUP(B90,Sheet3!B:B,Sheet3!J:J,0)</f>
        <v>921.25926000000004</v>
      </c>
      <c r="K90">
        <f t="shared" si="4"/>
        <v>1228.3456800000001</v>
      </c>
      <c r="L90" s="54">
        <v>1255.9235700000002</v>
      </c>
      <c r="M90" s="67">
        <f t="shared" si="5"/>
        <v>27.577890000000025</v>
      </c>
    </row>
    <row r="91" spans="2:13" hidden="1" x14ac:dyDescent="0.25">
      <c r="B91" t="str">
        <f t="shared" si="3"/>
        <v>OriggioCL3-IPU-G103-01</v>
      </c>
      <c r="C91" s="50" t="s">
        <v>958</v>
      </c>
      <c r="D91" s="51" t="s">
        <v>887</v>
      </c>
      <c r="E91" s="50" t="s">
        <v>888</v>
      </c>
      <c r="F91" s="50" t="s">
        <v>889</v>
      </c>
      <c r="G91" s="50" t="s">
        <v>1016</v>
      </c>
      <c r="H91" s="57" t="s">
        <v>1043</v>
      </c>
      <c r="I91" s="50" t="s">
        <v>1044</v>
      </c>
      <c r="J91" s="18">
        <f>+_xlfn.XLOOKUP(B91,Sheet3!B:B,Sheet3!J:J,0)</f>
        <v>90.934089999999998</v>
      </c>
      <c r="K91">
        <f t="shared" si="4"/>
        <v>121.24545333333333</v>
      </c>
      <c r="L91" s="54">
        <v>124.38114999999999</v>
      </c>
      <c r="M91" s="67">
        <f t="shared" si="5"/>
        <v>3.1356966666666608</v>
      </c>
    </row>
    <row r="92" spans="2:13" hidden="1" x14ac:dyDescent="0.25">
      <c r="B92" t="str">
        <f t="shared" si="3"/>
        <v>RescaldinaCL3-IPU-H240-01</v>
      </c>
      <c r="C92" s="50" t="s">
        <v>958</v>
      </c>
      <c r="D92" s="51" t="s">
        <v>887</v>
      </c>
      <c r="E92" s="50" t="s">
        <v>888</v>
      </c>
      <c r="F92" s="50" t="s">
        <v>889</v>
      </c>
      <c r="G92" s="50" t="s">
        <v>1016</v>
      </c>
      <c r="H92" s="57" t="s">
        <v>1045</v>
      </c>
      <c r="I92" s="50" t="s">
        <v>1046</v>
      </c>
      <c r="J92" s="18">
        <f>+_xlfn.XLOOKUP(B92,Sheet3!B:B,Sheet3!J:J,0)</f>
        <v>337.89385999999996</v>
      </c>
      <c r="K92">
        <f t="shared" si="4"/>
        <v>450.52514666666661</v>
      </c>
      <c r="L92" s="54">
        <v>459.86676</v>
      </c>
      <c r="M92" s="67">
        <f t="shared" si="5"/>
        <v>9.3416133333333846</v>
      </c>
    </row>
    <row r="93" spans="2:13" hidden="1" x14ac:dyDescent="0.25">
      <c r="B93" t="str">
        <f t="shared" si="3"/>
        <v>Rovellasca ConsipCL3-IPU-H601-01</v>
      </c>
      <c r="C93" s="50" t="s">
        <v>958</v>
      </c>
      <c r="D93" s="51" t="s">
        <v>887</v>
      </c>
      <c r="E93" s="50" t="s">
        <v>888</v>
      </c>
      <c r="F93" s="50" t="s">
        <v>889</v>
      </c>
      <c r="G93" s="50" t="s">
        <v>1016</v>
      </c>
      <c r="H93" s="57" t="s">
        <v>1047</v>
      </c>
      <c r="I93" s="50" t="s">
        <v>1048</v>
      </c>
      <c r="J93" s="18">
        <f>+_xlfn.XLOOKUP(B93,Sheet3!B:B,Sheet3!J:J,0)</f>
        <v>89.396410000000003</v>
      </c>
      <c r="K93">
        <f t="shared" si="4"/>
        <v>119.19521333333334</v>
      </c>
      <c r="L93" s="54">
        <v>122.64480999999999</v>
      </c>
      <c r="M93" s="67">
        <f t="shared" si="5"/>
        <v>3.4495966666666504</v>
      </c>
    </row>
    <row r="94" spans="2:13" hidden="1" x14ac:dyDescent="0.25">
      <c r="B94" t="str">
        <f t="shared" si="3"/>
        <v>Rovello PorroCL3-IPU-H602-01</v>
      </c>
      <c r="C94" s="50" t="s">
        <v>958</v>
      </c>
      <c r="D94" s="51" t="s">
        <v>887</v>
      </c>
      <c r="E94" s="50" t="s">
        <v>888</v>
      </c>
      <c r="F94" s="50" t="s">
        <v>889</v>
      </c>
      <c r="G94" s="50" t="s">
        <v>1016</v>
      </c>
      <c r="H94" s="57" t="s">
        <v>1049</v>
      </c>
      <c r="I94" s="50" t="s">
        <v>1050</v>
      </c>
      <c r="J94" s="18">
        <f>+_xlfn.XLOOKUP(B94,Sheet3!B:B,Sheet3!J:J,0)</f>
        <v>90.142939999999996</v>
      </c>
      <c r="K94">
        <f t="shared" si="4"/>
        <v>120.19058666666666</v>
      </c>
      <c r="L94" s="54">
        <v>123.24297</v>
      </c>
      <c r="M94" s="67">
        <f t="shared" si="5"/>
        <v>3.0523833333333386</v>
      </c>
    </row>
    <row r="95" spans="2:13" hidden="1" x14ac:dyDescent="0.25">
      <c r="B95" t="str">
        <f t="shared" si="3"/>
        <v>San Giuliano Milanese ConsipCL3-IPU-H930-01</v>
      </c>
      <c r="C95" s="50" t="s">
        <v>958</v>
      </c>
      <c r="D95" s="51" t="s">
        <v>887</v>
      </c>
      <c r="E95" s="50" t="s">
        <v>888</v>
      </c>
      <c r="F95" s="50" t="s">
        <v>889</v>
      </c>
      <c r="G95" s="50" t="s">
        <v>1016</v>
      </c>
      <c r="H95" s="57" t="s">
        <v>1051</v>
      </c>
      <c r="I95" s="50" t="s">
        <v>1052</v>
      </c>
      <c r="J95" s="18">
        <f>+_xlfn.XLOOKUP(B95,Sheet3!B:B,Sheet3!J:J,0)</f>
        <v>377.89312000000001</v>
      </c>
      <c r="K95">
        <f t="shared" si="4"/>
        <v>503.85749333333337</v>
      </c>
      <c r="L95" s="54">
        <v>516.33159999999998</v>
      </c>
      <c r="M95" s="67">
        <f t="shared" si="5"/>
        <v>12.474106666666614</v>
      </c>
    </row>
    <row r="96" spans="2:13" hidden="1" x14ac:dyDescent="0.25">
      <c r="B96" t="str">
        <f t="shared" si="3"/>
        <v>Saronno proroga tecnicaCL3-IPU-I441-02</v>
      </c>
      <c r="C96" s="50" t="s">
        <v>958</v>
      </c>
      <c r="D96" s="51" t="s">
        <v>887</v>
      </c>
      <c r="E96" s="50" t="s">
        <v>888</v>
      </c>
      <c r="F96" s="50" t="s">
        <v>889</v>
      </c>
      <c r="G96" s="50" t="s">
        <v>1016</v>
      </c>
      <c r="H96" s="57" t="s">
        <v>1053</v>
      </c>
      <c r="I96" s="50" t="s">
        <v>1054</v>
      </c>
      <c r="J96" s="18">
        <f>+_xlfn.XLOOKUP(B96,Sheet3!B:B,Sheet3!J:J,0)</f>
        <v>0</v>
      </c>
      <c r="K96">
        <f t="shared" si="4"/>
        <v>0</v>
      </c>
      <c r="L96" s="54">
        <v>0</v>
      </c>
      <c r="M96" s="67">
        <f t="shared" si="5"/>
        <v>0</v>
      </c>
    </row>
    <row r="97" spans="2:13" hidden="1" x14ac:dyDescent="0.25">
      <c r="B97" t="str">
        <f t="shared" si="3"/>
        <v>SettalaCL3-IPU-I696-01</v>
      </c>
      <c r="C97" s="50" t="s">
        <v>958</v>
      </c>
      <c r="D97" s="51" t="s">
        <v>887</v>
      </c>
      <c r="E97" s="50" t="s">
        <v>888</v>
      </c>
      <c r="F97" s="50" t="s">
        <v>889</v>
      </c>
      <c r="G97" s="50" t="s">
        <v>1016</v>
      </c>
      <c r="H97" s="57" t="s">
        <v>1055</v>
      </c>
      <c r="I97" s="50" t="s">
        <v>1056</v>
      </c>
      <c r="J97" s="18">
        <f>+_xlfn.XLOOKUP(B97,Sheet3!B:B,Sheet3!J:J,0)</f>
        <v>77.989429999999999</v>
      </c>
      <c r="K97">
        <f t="shared" si="4"/>
        <v>103.98590666666666</v>
      </c>
      <c r="L97" s="54">
        <v>105.67931</v>
      </c>
      <c r="M97" s="67">
        <f t="shared" si="5"/>
        <v>1.693403333333336</v>
      </c>
    </row>
    <row r="98" spans="2:13" hidden="1" x14ac:dyDescent="0.25">
      <c r="B98" t="str">
        <f t="shared" si="3"/>
        <v>Tribiano proroga tecnicaCL3-IPU-L415-02</v>
      </c>
      <c r="C98" s="50" t="s">
        <v>958</v>
      </c>
      <c r="D98" s="51" t="s">
        <v>887</v>
      </c>
      <c r="E98" s="50" t="s">
        <v>888</v>
      </c>
      <c r="F98" s="50" t="s">
        <v>889</v>
      </c>
      <c r="G98" s="50" t="s">
        <v>1016</v>
      </c>
      <c r="H98" s="57" t="s">
        <v>1057</v>
      </c>
      <c r="I98" s="50" t="s">
        <v>1058</v>
      </c>
      <c r="J98" s="18">
        <f>+_xlfn.XLOOKUP(B98,Sheet3!B:B,Sheet3!J:J,0)</f>
        <v>0</v>
      </c>
      <c r="K98">
        <f t="shared" si="4"/>
        <v>0</v>
      </c>
      <c r="L98" s="54">
        <v>0</v>
      </c>
      <c r="M98" s="67">
        <f t="shared" si="5"/>
        <v>0</v>
      </c>
    </row>
    <row r="99" spans="2:13" hidden="1" x14ac:dyDescent="0.25">
      <c r="B99" t="str">
        <f t="shared" si="3"/>
        <v>Cassano d'AddaPPP-GTE-C003-01</v>
      </c>
      <c r="C99" s="50" t="s">
        <v>826</v>
      </c>
      <c r="D99" s="51" t="s">
        <v>887</v>
      </c>
      <c r="E99" s="50" t="s">
        <v>888</v>
      </c>
      <c r="F99" s="50" t="s">
        <v>965</v>
      </c>
      <c r="G99" s="50" t="s">
        <v>965</v>
      </c>
      <c r="H99" s="57" t="s">
        <v>1059</v>
      </c>
      <c r="I99" s="50" t="s">
        <v>1060</v>
      </c>
      <c r="J99" s="18">
        <f>+_xlfn.XLOOKUP(B99,Sheet3!B:B,Sheet3!J:J,0)</f>
        <v>60.14777999999999</v>
      </c>
      <c r="K99">
        <f t="shared" si="4"/>
        <v>80.197039999999987</v>
      </c>
      <c r="L99" s="60">
        <v>80.197039999999987</v>
      </c>
      <c r="M99" s="67">
        <f t="shared" si="5"/>
        <v>0</v>
      </c>
    </row>
    <row r="100" spans="2:13" hidden="1" x14ac:dyDescent="0.25">
      <c r="B100" t="str">
        <f t="shared" si="3"/>
        <v>BasianoPPP-IPU-A697-01</v>
      </c>
      <c r="C100" s="50" t="s">
        <v>826</v>
      </c>
      <c r="D100" s="51" t="s">
        <v>887</v>
      </c>
      <c r="E100" s="50" t="s">
        <v>888</v>
      </c>
      <c r="F100" s="50" t="s">
        <v>889</v>
      </c>
      <c r="G100" s="50" t="s">
        <v>890</v>
      </c>
      <c r="H100" s="57" t="s">
        <v>1061</v>
      </c>
      <c r="I100" s="50" t="s">
        <v>1062</v>
      </c>
      <c r="J100" s="18">
        <f>+_xlfn.XLOOKUP(B100,Sheet3!B:B,Sheet3!J:J,0)</f>
        <v>97.294392751001979</v>
      </c>
      <c r="K100">
        <f t="shared" si="4"/>
        <v>129.72585700133598</v>
      </c>
      <c r="L100" s="60">
        <v>132.06405134440689</v>
      </c>
      <c r="M100" s="67">
        <f t="shared" si="5"/>
        <v>2.33819434307091</v>
      </c>
    </row>
    <row r="101" spans="2:13" hidden="1" x14ac:dyDescent="0.25">
      <c r="B101" t="str">
        <f t="shared" si="3"/>
        <v>BruinoPPP-IPU-B216-01</v>
      </c>
      <c r="C101" s="50" t="s">
        <v>826</v>
      </c>
      <c r="D101" s="51" t="s">
        <v>887</v>
      </c>
      <c r="E101" s="50" t="s">
        <v>888</v>
      </c>
      <c r="F101" s="50" t="s">
        <v>889</v>
      </c>
      <c r="G101" s="50" t="s">
        <v>890</v>
      </c>
      <c r="H101" s="57" t="s">
        <v>1063</v>
      </c>
      <c r="I101" s="50" t="s">
        <v>1064</v>
      </c>
      <c r="J101" s="18">
        <f>+_xlfn.XLOOKUP(B101,Sheet3!B:B,Sheet3!J:J,0)</f>
        <v>93.247167558935203</v>
      </c>
      <c r="K101">
        <f t="shared" si="4"/>
        <v>124.32955674524693</v>
      </c>
      <c r="L101" s="60">
        <v>129.12246023382119</v>
      </c>
      <c r="M101" s="67">
        <f t="shared" si="5"/>
        <v>4.7929034885742539</v>
      </c>
    </row>
    <row r="102" spans="2:13" hidden="1" x14ac:dyDescent="0.25">
      <c r="B102" t="str">
        <f t="shared" si="3"/>
        <v>CourmayeurPPP-IPU-D012-01</v>
      </c>
      <c r="C102" s="50" t="s">
        <v>826</v>
      </c>
      <c r="D102" s="51" t="s">
        <v>887</v>
      </c>
      <c r="E102" s="50" t="s">
        <v>888</v>
      </c>
      <c r="F102" s="50" t="s">
        <v>889</v>
      </c>
      <c r="G102" s="50" t="s">
        <v>890</v>
      </c>
      <c r="H102" s="57" t="s">
        <v>1065</v>
      </c>
      <c r="I102" s="50" t="s">
        <v>1066</v>
      </c>
      <c r="J102" s="18">
        <f>+_xlfn.XLOOKUP(B102,Sheet3!B:B,Sheet3!J:J,0)</f>
        <v>71.619020000000006</v>
      </c>
      <c r="K102">
        <f t="shared" si="4"/>
        <v>95.492026666666675</v>
      </c>
      <c r="L102" s="54">
        <v>71.619020000000006</v>
      </c>
      <c r="M102" s="67">
        <f t="shared" si="5"/>
        <v>-23.873006666666669</v>
      </c>
    </row>
    <row r="103" spans="2:13" hidden="1" x14ac:dyDescent="0.25">
      <c r="B103" t="str">
        <f t="shared" si="3"/>
        <v>Gravellona LomellinaPPP-IPU-E152-01</v>
      </c>
      <c r="C103" s="50" t="s">
        <v>826</v>
      </c>
      <c r="D103" s="51" t="s">
        <v>887</v>
      </c>
      <c r="E103" s="50" t="s">
        <v>888</v>
      </c>
      <c r="F103" s="50" t="s">
        <v>889</v>
      </c>
      <c r="G103" s="50" t="s">
        <v>890</v>
      </c>
      <c r="H103" s="57" t="s">
        <v>1067</v>
      </c>
      <c r="I103" s="50" t="s">
        <v>1068</v>
      </c>
      <c r="J103" s="18">
        <f>+_xlfn.XLOOKUP(B103,Sheet3!B:B,Sheet3!J:J,0)</f>
        <v>9.0703500000000012</v>
      </c>
      <c r="K103">
        <f t="shared" si="4"/>
        <v>12.093800000000002</v>
      </c>
      <c r="L103" s="54">
        <v>12.0938</v>
      </c>
      <c r="M103" s="67">
        <f t="shared" si="5"/>
        <v>0</v>
      </c>
    </row>
    <row r="104" spans="2:13" hidden="1" x14ac:dyDescent="0.25">
      <c r="B104" t="str">
        <f t="shared" si="3"/>
        <v>LezzenoPPP-IPU-E569-01</v>
      </c>
      <c r="C104" s="50" t="s">
        <v>826</v>
      </c>
      <c r="D104" s="51" t="s">
        <v>887</v>
      </c>
      <c r="E104" s="50" t="s">
        <v>888</v>
      </c>
      <c r="F104" s="50" t="s">
        <v>889</v>
      </c>
      <c r="G104" s="50" t="s">
        <v>890</v>
      </c>
      <c r="H104" s="57" t="s">
        <v>1069</v>
      </c>
      <c r="I104" s="50" t="s">
        <v>1070</v>
      </c>
      <c r="J104" s="18">
        <f>+_xlfn.XLOOKUP(B104,Sheet3!B:B,Sheet3!J:J,0)</f>
        <v>25.311900000000001</v>
      </c>
      <c r="K104">
        <f t="shared" si="4"/>
        <v>33.749200000000002</v>
      </c>
      <c r="L104" s="54">
        <v>35.749199999999995</v>
      </c>
      <c r="M104" s="67">
        <f t="shared" si="5"/>
        <v>1.9999999999999929</v>
      </c>
    </row>
    <row r="105" spans="2:13" x14ac:dyDescent="0.25">
      <c r="B105" t="str">
        <f t="shared" si="3"/>
        <v>NervianoPPP-IPU-F874-01</v>
      </c>
      <c r="C105" s="50" t="s">
        <v>826</v>
      </c>
      <c r="D105" s="51" t="s">
        <v>887</v>
      </c>
      <c r="E105" s="50" t="s">
        <v>888</v>
      </c>
      <c r="F105" s="50" t="s">
        <v>889</v>
      </c>
      <c r="G105" s="50" t="s">
        <v>890</v>
      </c>
      <c r="H105" s="57" t="s">
        <v>1071</v>
      </c>
      <c r="I105" s="50" t="s">
        <v>1072</v>
      </c>
      <c r="J105" s="18">
        <f>+_xlfn.XLOOKUP(B105,Sheet3!B:B,Sheet3!J:J,0)</f>
        <v>106.06182000000001</v>
      </c>
      <c r="K105">
        <f t="shared" si="4"/>
        <v>141.41576000000001</v>
      </c>
      <c r="L105" s="54">
        <v>-10.18824</v>
      </c>
      <c r="M105" s="67">
        <f t="shared" si="5"/>
        <v>-151.60400000000001</v>
      </c>
    </row>
    <row r="106" spans="2:13" hidden="1" x14ac:dyDescent="0.25">
      <c r="B106" t="str">
        <f t="shared" si="3"/>
        <v>Torrevecchia PiaPPP-IPU-L285-01</v>
      </c>
      <c r="C106" s="50" t="s">
        <v>826</v>
      </c>
      <c r="D106" s="51" t="s">
        <v>887</v>
      </c>
      <c r="E106" s="50" t="s">
        <v>888</v>
      </c>
      <c r="F106" s="50" t="s">
        <v>889</v>
      </c>
      <c r="G106" s="50" t="s">
        <v>890</v>
      </c>
      <c r="H106" s="57" t="s">
        <v>1073</v>
      </c>
      <c r="I106" s="50" t="s">
        <v>1074</v>
      </c>
      <c r="J106" s="18">
        <f>+_xlfn.XLOOKUP(B106,Sheet3!B:B,Sheet3!J:J,0)</f>
        <v>34.209480000000006</v>
      </c>
      <c r="K106">
        <f t="shared" si="4"/>
        <v>45.612640000000006</v>
      </c>
      <c r="L106" s="54">
        <v>45.612639999999999</v>
      </c>
      <c r="M106" s="67">
        <f t="shared" si="5"/>
        <v>0</v>
      </c>
    </row>
    <row r="107" spans="2:13" hidden="1" x14ac:dyDescent="0.25">
      <c r="B107" t="str">
        <f t="shared" si="3"/>
        <v>TrecatePPP-IPU-L356-01</v>
      </c>
      <c r="C107" s="50" t="s">
        <v>826</v>
      </c>
      <c r="D107" s="51" t="s">
        <v>887</v>
      </c>
      <c r="E107" s="50" t="s">
        <v>888</v>
      </c>
      <c r="F107" s="50" t="s">
        <v>889</v>
      </c>
      <c r="G107" s="50" t="s">
        <v>890</v>
      </c>
      <c r="H107" s="57" t="s">
        <v>1075</v>
      </c>
      <c r="I107" s="50" t="s">
        <v>1076</v>
      </c>
      <c r="J107" s="18">
        <f>+_xlfn.XLOOKUP(B107,Sheet3!B:B,Sheet3!J:J,0)</f>
        <v>315.03402</v>
      </c>
      <c r="K107">
        <f t="shared" si="4"/>
        <v>420.04536000000002</v>
      </c>
      <c r="L107" s="54">
        <v>414.63026000000002</v>
      </c>
      <c r="M107" s="67">
        <f t="shared" si="5"/>
        <v>-5.4150999999999954</v>
      </c>
    </row>
    <row r="108" spans="2:13" hidden="1" x14ac:dyDescent="0.25">
      <c r="B108" t="str">
        <f t="shared" si="3"/>
        <v>Vinovo PL proroga tecnicaPPP-IPU-M060-02</v>
      </c>
      <c r="C108" s="50" t="s">
        <v>826</v>
      </c>
      <c r="D108" s="51" t="s">
        <v>887</v>
      </c>
      <c r="E108" s="50" t="s">
        <v>888</v>
      </c>
      <c r="F108" s="50" t="s">
        <v>889</v>
      </c>
      <c r="G108" s="50" t="s">
        <v>890</v>
      </c>
      <c r="H108" s="57" t="s">
        <v>1077</v>
      </c>
      <c r="I108" s="50" t="s">
        <v>1078</v>
      </c>
      <c r="J108" s="18">
        <f>+_xlfn.XLOOKUP(B108,Sheet3!B:B,Sheet3!J:J,0)</f>
        <v>0</v>
      </c>
      <c r="K108">
        <f t="shared" si="4"/>
        <v>0</v>
      </c>
      <c r="L108" s="54">
        <v>0</v>
      </c>
      <c r="M108" s="67">
        <f t="shared" si="5"/>
        <v>0</v>
      </c>
    </row>
    <row r="109" spans="2:13" hidden="1" x14ac:dyDescent="0.25">
      <c r="B109" t="str">
        <f t="shared" si="3"/>
        <v>Sport Club Nuova Casale A.S.DSEC-IPU-B885-01</v>
      </c>
      <c r="C109" s="50" t="s">
        <v>826</v>
      </c>
      <c r="D109" s="51" t="s">
        <v>887</v>
      </c>
      <c r="E109" s="50" t="s">
        <v>888</v>
      </c>
      <c r="F109" s="50" t="s">
        <v>1079</v>
      </c>
      <c r="G109" s="50" t="s">
        <v>1079</v>
      </c>
      <c r="H109" s="57" t="s">
        <v>1080</v>
      </c>
      <c r="I109" s="50" t="s">
        <v>1081</v>
      </c>
      <c r="J109" s="18">
        <f>+_xlfn.XLOOKUP(B109,Sheet3!B:B,Sheet3!J:J,0)</f>
        <v>3.48</v>
      </c>
      <c r="K109">
        <f t="shared" si="4"/>
        <v>4.6399999999999997</v>
      </c>
      <c r="L109" s="54">
        <v>4.6399999999999997</v>
      </c>
      <c r="M109" s="67">
        <f t="shared" si="5"/>
        <v>0</v>
      </c>
    </row>
    <row r="110" spans="2:13" hidden="1" x14ac:dyDescent="0.25">
      <c r="B110" t="str">
        <f t="shared" si="3"/>
        <v>BiandronnoAQ1-IPU-A845-01</v>
      </c>
      <c r="C110" s="50" t="s">
        <v>958</v>
      </c>
      <c r="D110" s="51" t="s">
        <v>887</v>
      </c>
      <c r="E110" s="50" t="s">
        <v>888</v>
      </c>
      <c r="F110" s="50" t="s">
        <v>889</v>
      </c>
      <c r="G110" s="50" t="s">
        <v>961</v>
      </c>
      <c r="H110" s="57" t="s">
        <v>1082</v>
      </c>
      <c r="I110" s="50" t="s">
        <v>1083</v>
      </c>
      <c r="J110" s="18">
        <f>+_xlfn.XLOOKUP(B110,Sheet3!B:B,Sheet3!J:J,0)</f>
        <v>10.960840000000001</v>
      </c>
      <c r="K110">
        <f t="shared" si="4"/>
        <v>14.614453333333335</v>
      </c>
      <c r="L110" s="54">
        <v>14.61444</v>
      </c>
      <c r="M110" s="67">
        <f t="shared" si="5"/>
        <v>-1.333333333519704E-5</v>
      </c>
    </row>
    <row r="111" spans="2:13" hidden="1" x14ac:dyDescent="0.25">
      <c r="B111" t="str">
        <f t="shared" si="3"/>
        <v>Arcisate proroga tecnicaPPP-IPU-A371-02</v>
      </c>
      <c r="C111" s="50" t="s">
        <v>958</v>
      </c>
      <c r="D111" s="51" t="s">
        <v>887</v>
      </c>
      <c r="E111" s="50" t="s">
        <v>888</v>
      </c>
      <c r="F111" s="50" t="s">
        <v>889</v>
      </c>
      <c r="G111" s="50" t="s">
        <v>1016</v>
      </c>
      <c r="H111" s="57" t="s">
        <v>1084</v>
      </c>
      <c r="I111" s="50" t="s">
        <v>1085</v>
      </c>
      <c r="J111" s="18">
        <f>+_xlfn.XLOOKUP(B111,Sheet3!B:B,Sheet3!J:J,0)</f>
        <v>0</v>
      </c>
      <c r="K111">
        <f t="shared" si="4"/>
        <v>0</v>
      </c>
      <c r="L111" s="54">
        <v>0</v>
      </c>
      <c r="M111" s="67">
        <f t="shared" si="5"/>
        <v>0</v>
      </c>
    </row>
    <row r="112" spans="2:13" hidden="1" x14ac:dyDescent="0.25">
      <c r="B112" t="str">
        <f t="shared" si="3"/>
        <v>Canegrate proroga tecnicaCL3-IPU-B593-02</v>
      </c>
      <c r="C112" s="50" t="s">
        <v>958</v>
      </c>
      <c r="D112" s="51" t="s">
        <v>887</v>
      </c>
      <c r="E112" s="50" t="s">
        <v>888</v>
      </c>
      <c r="F112" s="50" t="s">
        <v>889</v>
      </c>
      <c r="G112" s="50" t="s">
        <v>1016</v>
      </c>
      <c r="H112" s="57" t="s">
        <v>1086</v>
      </c>
      <c r="I112" s="50" t="s">
        <v>1087</v>
      </c>
      <c r="J112" s="18">
        <f>+_xlfn.XLOOKUP(B112,Sheet3!B:B,Sheet3!J:J,0)</f>
        <v>0</v>
      </c>
      <c r="K112">
        <f t="shared" si="4"/>
        <v>0</v>
      </c>
      <c r="L112" s="54">
        <v>0</v>
      </c>
      <c r="M112" s="67">
        <f t="shared" si="5"/>
        <v>0</v>
      </c>
    </row>
    <row r="113" spans="2:13" hidden="1" x14ac:dyDescent="0.25">
      <c r="B113" t="str">
        <f t="shared" si="3"/>
        <v>Civate proroga tecnicaCL3-IPU-C752-02</v>
      </c>
      <c r="C113" s="50" t="s">
        <v>958</v>
      </c>
      <c r="D113" s="51" t="s">
        <v>887</v>
      </c>
      <c r="E113" s="50" t="s">
        <v>888</v>
      </c>
      <c r="F113" s="50" t="s">
        <v>889</v>
      </c>
      <c r="G113" s="50" t="s">
        <v>1016</v>
      </c>
      <c r="H113" s="57" t="s">
        <v>1088</v>
      </c>
      <c r="I113" s="50" t="s">
        <v>1089</v>
      </c>
      <c r="J113" s="18">
        <f>+_xlfn.XLOOKUP(B113,Sheet3!B:B,Sheet3!J:J,0)</f>
        <v>0</v>
      </c>
      <c r="K113">
        <f t="shared" si="4"/>
        <v>0</v>
      </c>
      <c r="L113" s="54">
        <v>0</v>
      </c>
      <c r="M113" s="67">
        <f t="shared" si="5"/>
        <v>0</v>
      </c>
    </row>
    <row r="114" spans="2:13" hidden="1" x14ac:dyDescent="0.25">
      <c r="B114" t="str">
        <f t="shared" si="3"/>
        <v>Saronno ConsipCL3-IPU-I441-01</v>
      </c>
      <c r="C114" s="50" t="s">
        <v>958</v>
      </c>
      <c r="D114" s="51" t="s">
        <v>887</v>
      </c>
      <c r="E114" s="50" t="s">
        <v>888</v>
      </c>
      <c r="F114" s="50" t="s">
        <v>889</v>
      </c>
      <c r="G114" s="50" t="s">
        <v>1016</v>
      </c>
      <c r="H114" s="57" t="s">
        <v>1090</v>
      </c>
      <c r="I114" s="50" t="s">
        <v>1091</v>
      </c>
      <c r="J114" s="18">
        <f>+_xlfn.XLOOKUP(B114,Sheet3!B:B,Sheet3!J:J,0)</f>
        <v>386.34846999999996</v>
      </c>
      <c r="K114">
        <f t="shared" si="4"/>
        <v>515.13129333333325</v>
      </c>
      <c r="L114" s="54">
        <v>517.22330999999997</v>
      </c>
      <c r="M114" s="67">
        <f t="shared" si="5"/>
        <v>2.0920166666667228</v>
      </c>
    </row>
    <row r="115" spans="2:13" hidden="1" x14ac:dyDescent="0.25">
      <c r="B115" t="str">
        <f t="shared" si="3"/>
        <v>Tribiano ConsipCL3-IPU-L415-01</v>
      </c>
      <c r="C115" s="50" t="s">
        <v>958</v>
      </c>
      <c r="D115" s="51" t="s">
        <v>887</v>
      </c>
      <c r="E115" s="50" t="s">
        <v>888</v>
      </c>
      <c r="F115" s="50" t="s">
        <v>889</v>
      </c>
      <c r="G115" s="50" t="s">
        <v>1016</v>
      </c>
      <c r="H115" s="57" t="s">
        <v>1092</v>
      </c>
      <c r="I115" s="50" t="s">
        <v>1093</v>
      </c>
      <c r="J115" s="18">
        <f>+_xlfn.XLOOKUP(B115,Sheet3!B:B,Sheet3!J:J,0)</f>
        <v>52.514849999999996</v>
      </c>
      <c r="K115">
        <f t="shared" si="4"/>
        <v>70.019799999999989</v>
      </c>
      <c r="L115" s="54">
        <v>71.034929999999989</v>
      </c>
      <c r="M115" s="67">
        <f t="shared" si="5"/>
        <v>1.0151299999999992</v>
      </c>
    </row>
    <row r="116" spans="2:13" hidden="1" x14ac:dyDescent="0.25">
      <c r="B116" t="str">
        <f t="shared" si="3"/>
        <v>Vinovo PLPPP-IPU-M060-01</v>
      </c>
      <c r="C116" s="50" t="s">
        <v>826</v>
      </c>
      <c r="D116" s="51" t="s">
        <v>887</v>
      </c>
      <c r="E116" s="50" t="s">
        <v>888</v>
      </c>
      <c r="F116" s="50" t="s">
        <v>889</v>
      </c>
      <c r="G116" s="50" t="s">
        <v>890</v>
      </c>
      <c r="H116" s="57" t="s">
        <v>1094</v>
      </c>
      <c r="I116" s="50" t="s">
        <v>1095</v>
      </c>
      <c r="J116" s="18">
        <f>+_xlfn.XLOOKUP(B116,Sheet3!B:B,Sheet3!J:J,0)</f>
        <v>55.398879999999998</v>
      </c>
      <c r="K116">
        <f t="shared" si="4"/>
        <v>73.865173333333331</v>
      </c>
      <c r="L116" s="54">
        <v>71.634799999999998</v>
      </c>
      <c r="M116" s="67">
        <f t="shared" si="5"/>
        <v>-2.2303733333333327</v>
      </c>
    </row>
    <row r="117" spans="2:13" hidden="1" x14ac:dyDescent="0.25">
      <c r="B117" t="str">
        <f t="shared" si="3"/>
        <v>GavoiPPP-IPU-D947-01</v>
      </c>
      <c r="C117" s="50" t="s">
        <v>826</v>
      </c>
      <c r="D117" s="51" t="s">
        <v>887</v>
      </c>
      <c r="E117" s="50" t="s">
        <v>896</v>
      </c>
      <c r="F117" s="50" t="s">
        <v>889</v>
      </c>
      <c r="G117" s="50" t="s">
        <v>890</v>
      </c>
      <c r="H117" s="57" t="s">
        <v>1096</v>
      </c>
      <c r="I117" s="50" t="s">
        <v>1097</v>
      </c>
      <c r="J117" s="18">
        <f>+_xlfn.XLOOKUP(B117,Sheet3!B:B,Sheet3!J:J,0)</f>
        <v>67.162379999999999</v>
      </c>
      <c r="K117">
        <f t="shared" si="4"/>
        <v>89.549840000000003</v>
      </c>
      <c r="L117" s="54">
        <v>89.549840000000003</v>
      </c>
      <c r="M117" s="67">
        <f t="shared" si="5"/>
        <v>0</v>
      </c>
    </row>
    <row r="118" spans="2:13" hidden="1" x14ac:dyDescent="0.25">
      <c r="B118" t="str">
        <f t="shared" si="3"/>
        <v>OnifaiPPP-IPU-G070-01</v>
      </c>
      <c r="C118" s="50" t="s">
        <v>826</v>
      </c>
      <c r="D118" s="51" t="s">
        <v>887</v>
      </c>
      <c r="E118" s="50" t="s">
        <v>896</v>
      </c>
      <c r="F118" s="50" t="s">
        <v>889</v>
      </c>
      <c r="G118" s="50" t="s">
        <v>890</v>
      </c>
      <c r="H118" s="57" t="s">
        <v>1098</v>
      </c>
      <c r="I118" s="50" t="s">
        <v>1099</v>
      </c>
      <c r="J118" s="18">
        <f>+_xlfn.XLOOKUP(B118,Sheet3!B:B,Sheet3!J:J,0)</f>
        <v>26.36694</v>
      </c>
      <c r="K118">
        <f t="shared" si="4"/>
        <v>35.155920000000002</v>
      </c>
      <c r="L118" s="54">
        <v>35.155919999999995</v>
      </c>
      <c r="M118" s="67">
        <f t="shared" si="5"/>
        <v>0</v>
      </c>
    </row>
    <row r="119" spans="2:13" hidden="1" x14ac:dyDescent="0.25">
      <c r="B119" t="str">
        <f t="shared" si="3"/>
        <v>MamoiadaPPP-GTE-E874-01</v>
      </c>
      <c r="C119" s="50" t="s">
        <v>826</v>
      </c>
      <c r="D119" s="51" t="s">
        <v>887</v>
      </c>
      <c r="E119" s="50" t="s">
        <v>896</v>
      </c>
      <c r="F119" s="50" t="s">
        <v>965</v>
      </c>
      <c r="G119" s="50" t="s">
        <v>965</v>
      </c>
      <c r="H119" s="57" t="s">
        <v>1100</v>
      </c>
      <c r="I119" s="50" t="s">
        <v>1101</v>
      </c>
      <c r="J119" s="18">
        <f>+_xlfn.XLOOKUP(B119,Sheet3!B:B,Sheet3!J:J,0)</f>
        <v>0</v>
      </c>
      <c r="K119">
        <f t="shared" si="4"/>
        <v>0</v>
      </c>
      <c r="L119" s="54">
        <v>0</v>
      </c>
      <c r="M119" s="67">
        <f t="shared" si="5"/>
        <v>0</v>
      </c>
    </row>
    <row r="120" spans="2:13" hidden="1" x14ac:dyDescent="0.25">
      <c r="B120" t="str">
        <f t="shared" si="3"/>
        <v>Francavilla al MarePPP-IPU-D763-01</v>
      </c>
      <c r="C120" s="50" t="s">
        <v>826</v>
      </c>
      <c r="D120" s="51" t="s">
        <v>887</v>
      </c>
      <c r="E120" s="50" t="s">
        <v>896</v>
      </c>
      <c r="F120" s="50" t="s">
        <v>889</v>
      </c>
      <c r="G120" s="50" t="s">
        <v>890</v>
      </c>
      <c r="H120" s="57" t="s">
        <v>1102</v>
      </c>
      <c r="I120" s="50" t="s">
        <v>1103</v>
      </c>
      <c r="J120" s="18">
        <f>+_xlfn.XLOOKUP(B120,Sheet3!B:B,Sheet3!J:J,0)</f>
        <v>0</v>
      </c>
      <c r="K120">
        <f t="shared" si="4"/>
        <v>0</v>
      </c>
      <c r="L120" s="54">
        <v>76.843699999999998</v>
      </c>
      <c r="M120" s="67">
        <f t="shared" si="5"/>
        <v>76.843699999999998</v>
      </c>
    </row>
    <row r="121" spans="2:13" hidden="1" x14ac:dyDescent="0.25">
      <c r="B121" t="str">
        <f t="shared" si="3"/>
        <v>FabrianoPPP-IPU-D451-01</v>
      </c>
      <c r="C121" s="50" t="s">
        <v>826</v>
      </c>
      <c r="D121" s="51" t="s">
        <v>887</v>
      </c>
      <c r="E121" s="50" t="s">
        <v>896</v>
      </c>
      <c r="F121" s="50" t="s">
        <v>889</v>
      </c>
      <c r="G121" s="50" t="s">
        <v>890</v>
      </c>
      <c r="H121" s="57" t="s">
        <v>1104</v>
      </c>
      <c r="I121" s="50" t="s">
        <v>1105</v>
      </c>
      <c r="J121" s="18">
        <f>+_xlfn.XLOOKUP(B121,Sheet3!B:B,Sheet3!J:J,0)</f>
        <v>0</v>
      </c>
      <c r="K121">
        <f t="shared" si="4"/>
        <v>0</v>
      </c>
      <c r="L121" s="54">
        <v>0</v>
      </c>
      <c r="M121" s="67">
        <f t="shared" si="5"/>
        <v>0</v>
      </c>
    </row>
    <row r="122" spans="2:13" hidden="1" x14ac:dyDescent="0.25">
      <c r="B122" t="str">
        <f t="shared" si="3"/>
        <v>Colle di Val d'ElsaPPP-IPU-C847-01</v>
      </c>
      <c r="C122" s="50" t="s">
        <v>826</v>
      </c>
      <c r="D122" s="51" t="s">
        <v>887</v>
      </c>
      <c r="E122" s="50" t="s">
        <v>896</v>
      </c>
      <c r="F122" s="50" t="s">
        <v>889</v>
      </c>
      <c r="G122" s="50" t="s">
        <v>890</v>
      </c>
      <c r="H122" s="57" t="s">
        <v>1106</v>
      </c>
      <c r="I122" s="50" t="s">
        <v>1107</v>
      </c>
      <c r="J122" s="18">
        <f>+_xlfn.XLOOKUP(B122,Sheet3!B:B,Sheet3!J:J,0)</f>
        <v>0</v>
      </c>
      <c r="K122">
        <f t="shared" si="4"/>
        <v>0</v>
      </c>
      <c r="L122" s="54">
        <v>0</v>
      </c>
      <c r="M122" s="67">
        <f t="shared" si="5"/>
        <v>0</v>
      </c>
    </row>
    <row r="123" spans="2:13" hidden="1" x14ac:dyDescent="0.25">
      <c r="B123" t="str">
        <f t="shared" si="3"/>
        <v>ColornoPPP-IPU-C904-01</v>
      </c>
      <c r="C123" s="50" t="s">
        <v>826</v>
      </c>
      <c r="D123" s="51" t="s">
        <v>887</v>
      </c>
      <c r="E123" s="50" t="s">
        <v>896</v>
      </c>
      <c r="F123" s="50" t="s">
        <v>889</v>
      </c>
      <c r="G123" s="50" t="s">
        <v>890</v>
      </c>
      <c r="H123" s="57" t="s">
        <v>1108</v>
      </c>
      <c r="I123" s="50" t="s">
        <v>1109</v>
      </c>
      <c r="J123" s="18">
        <f>+_xlfn.XLOOKUP(B123,Sheet3!B:B,Sheet3!J:J,0)</f>
        <v>0</v>
      </c>
      <c r="K123">
        <f t="shared" si="4"/>
        <v>0</v>
      </c>
      <c r="L123" s="54">
        <v>0</v>
      </c>
      <c r="M123" s="67">
        <f t="shared" si="5"/>
        <v>0</v>
      </c>
    </row>
    <row r="124" spans="2:13" hidden="1" x14ac:dyDescent="0.25">
      <c r="B124" t="str">
        <f t="shared" si="3"/>
        <v>Acquasanta TermePPP-IPU-A044-01</v>
      </c>
      <c r="C124" s="50" t="s">
        <v>826</v>
      </c>
      <c r="D124" s="51" t="s">
        <v>887</v>
      </c>
      <c r="E124" s="50" t="s">
        <v>896</v>
      </c>
      <c r="F124" s="50" t="s">
        <v>889</v>
      </c>
      <c r="G124" s="50" t="s">
        <v>890</v>
      </c>
      <c r="H124" s="57" t="s">
        <v>1110</v>
      </c>
      <c r="I124" s="50" t="s">
        <v>1111</v>
      </c>
      <c r="J124" s="18">
        <f>+_xlfn.XLOOKUP(B124,Sheet3!B:B,Sheet3!J:J,0)</f>
        <v>0</v>
      </c>
      <c r="K124">
        <f t="shared" si="4"/>
        <v>0</v>
      </c>
      <c r="L124" s="54">
        <v>0</v>
      </c>
      <c r="M124" s="67">
        <f t="shared" si="5"/>
        <v>0</v>
      </c>
    </row>
    <row r="125" spans="2:13" hidden="1" x14ac:dyDescent="0.25">
      <c r="B125" t="str">
        <f t="shared" si="3"/>
        <v>Terre RovereschePPP-IPU-M379-01</v>
      </c>
      <c r="C125" s="50" t="s">
        <v>826</v>
      </c>
      <c r="D125" s="51" t="s">
        <v>887</v>
      </c>
      <c r="E125" s="50" t="s">
        <v>896</v>
      </c>
      <c r="F125" s="50" t="s">
        <v>889</v>
      </c>
      <c r="G125" s="50" t="s">
        <v>890</v>
      </c>
      <c r="H125" s="57" t="s">
        <v>1112</v>
      </c>
      <c r="I125" s="50" t="s">
        <v>1113</v>
      </c>
      <c r="J125" s="18">
        <f>+_xlfn.XLOOKUP(B125,Sheet3!B:B,Sheet3!J:J,0)</f>
        <v>0</v>
      </c>
      <c r="K125">
        <f t="shared" si="4"/>
        <v>0</v>
      </c>
      <c r="L125" s="54">
        <v>0</v>
      </c>
      <c r="M125" s="67">
        <f t="shared" si="5"/>
        <v>0</v>
      </c>
    </row>
    <row r="126" spans="2:13" hidden="1" x14ac:dyDescent="0.25">
      <c r="B126" t="str">
        <f t="shared" si="3"/>
        <v>FossacesiaPPP-IPU-D738-01</v>
      </c>
      <c r="C126" s="50" t="s">
        <v>826</v>
      </c>
      <c r="D126" s="51" t="s">
        <v>887</v>
      </c>
      <c r="E126" s="50" t="s">
        <v>896</v>
      </c>
      <c r="F126" s="50" t="s">
        <v>889</v>
      </c>
      <c r="G126" s="50" t="s">
        <v>890</v>
      </c>
      <c r="H126" s="57" t="s">
        <v>1114</v>
      </c>
      <c r="I126" s="50" t="s">
        <v>1115</v>
      </c>
      <c r="J126" s="18">
        <f>+_xlfn.XLOOKUP(B126,Sheet3!B:B,Sheet3!J:J,0)</f>
        <v>0</v>
      </c>
      <c r="K126">
        <f t="shared" si="4"/>
        <v>0</v>
      </c>
      <c r="L126" s="54">
        <v>0</v>
      </c>
      <c r="M126" s="67">
        <f t="shared" si="5"/>
        <v>0</v>
      </c>
    </row>
    <row r="127" spans="2:13" hidden="1" x14ac:dyDescent="0.25">
      <c r="B127" t="str">
        <f t="shared" si="3"/>
        <v>CastellaltoPPP-IPU-C128-01</v>
      </c>
      <c r="C127" s="50" t="s">
        <v>826</v>
      </c>
      <c r="D127" s="51" t="s">
        <v>887</v>
      </c>
      <c r="E127" s="50" t="s">
        <v>896</v>
      </c>
      <c r="F127" s="50" t="s">
        <v>889</v>
      </c>
      <c r="G127" s="50" t="s">
        <v>890</v>
      </c>
      <c r="H127" s="57" t="s">
        <v>1116</v>
      </c>
      <c r="I127" s="50" t="s">
        <v>1117</v>
      </c>
      <c r="J127" s="18">
        <f>+_xlfn.XLOOKUP(B127,Sheet3!B:B,Sheet3!J:J,0)</f>
        <v>0</v>
      </c>
      <c r="K127">
        <f t="shared" si="4"/>
        <v>0</v>
      </c>
      <c r="L127" s="54">
        <v>0</v>
      </c>
      <c r="M127" s="67">
        <f t="shared" si="5"/>
        <v>0</v>
      </c>
    </row>
    <row r="128" spans="2:13" hidden="1" x14ac:dyDescent="0.25">
      <c r="B128" t="str">
        <f t="shared" si="3"/>
        <v>Luco dei MarsiPPP-IPU-E723-01</v>
      </c>
      <c r="C128" s="50" t="s">
        <v>826</v>
      </c>
      <c r="D128" s="51" t="s">
        <v>887</v>
      </c>
      <c r="E128" s="50" t="s">
        <v>896</v>
      </c>
      <c r="F128" s="50" t="s">
        <v>889</v>
      </c>
      <c r="G128" s="50" t="s">
        <v>890</v>
      </c>
      <c r="H128" s="57" t="s">
        <v>1118</v>
      </c>
      <c r="I128" s="50" t="s">
        <v>1119</v>
      </c>
      <c r="J128" s="18">
        <f>+_xlfn.XLOOKUP(B128,Sheet3!B:B,Sheet3!J:J,0)</f>
        <v>0</v>
      </c>
      <c r="K128">
        <f t="shared" si="4"/>
        <v>0</v>
      </c>
      <c r="L128" s="54">
        <v>0</v>
      </c>
      <c r="M128" s="67">
        <f t="shared" si="5"/>
        <v>0</v>
      </c>
    </row>
    <row r="129" spans="2:13" hidden="1" x14ac:dyDescent="0.25">
      <c r="B129" t="str">
        <f t="shared" si="3"/>
        <v>GairoPPP-IPU-D859-01</v>
      </c>
      <c r="C129" s="50" t="s">
        <v>826</v>
      </c>
      <c r="D129" s="51" t="s">
        <v>887</v>
      </c>
      <c r="E129" s="50" t="s">
        <v>896</v>
      </c>
      <c r="F129" s="50" t="s">
        <v>889</v>
      </c>
      <c r="G129" s="50" t="s">
        <v>890</v>
      </c>
      <c r="H129" s="57" t="s">
        <v>1120</v>
      </c>
      <c r="I129" s="50" t="s">
        <v>1121</v>
      </c>
      <c r="J129" s="18">
        <f>+_xlfn.XLOOKUP(B129,Sheet3!B:B,Sheet3!J:J,0)</f>
        <v>0</v>
      </c>
      <c r="K129">
        <f t="shared" si="4"/>
        <v>0</v>
      </c>
      <c r="L129" s="54">
        <v>0</v>
      </c>
      <c r="M129" s="67">
        <f t="shared" si="5"/>
        <v>0</v>
      </c>
    </row>
    <row r="130" spans="2:13" hidden="1" x14ac:dyDescent="0.25">
      <c r="B130" t="str">
        <f t="shared" si="3"/>
        <v>Multiss (Sassari-Olbia-Tempio)PPP-GTE-I452-01</v>
      </c>
      <c r="C130" s="50" t="s">
        <v>826</v>
      </c>
      <c r="D130" s="51" t="s">
        <v>887</v>
      </c>
      <c r="E130" s="50" t="s">
        <v>896</v>
      </c>
      <c r="F130" s="50" t="s">
        <v>965</v>
      </c>
      <c r="G130" s="50" t="s">
        <v>965</v>
      </c>
      <c r="H130" s="57" t="s">
        <v>1122</v>
      </c>
      <c r="I130" s="50" t="s">
        <v>1123</v>
      </c>
      <c r="J130" s="18">
        <f>+_xlfn.XLOOKUP(B130,Sheet3!B:B,Sheet3!J:J,0)</f>
        <v>0</v>
      </c>
      <c r="K130">
        <f t="shared" si="4"/>
        <v>0</v>
      </c>
      <c r="L130" s="54">
        <v>0</v>
      </c>
      <c r="M130" s="67">
        <f t="shared" si="5"/>
        <v>0</v>
      </c>
    </row>
    <row r="131" spans="2:13" hidden="1" x14ac:dyDescent="0.25">
      <c r="B131" t="str">
        <f t="shared" si="3"/>
        <v>Santu Lussurgiu PLPPP-IPU-I374-01</v>
      </c>
      <c r="C131" s="50" t="s">
        <v>826</v>
      </c>
      <c r="D131" s="51" t="s">
        <v>887</v>
      </c>
      <c r="E131" s="50" t="s">
        <v>896</v>
      </c>
      <c r="F131" s="50" t="s">
        <v>889</v>
      </c>
      <c r="G131" s="50" t="s">
        <v>890</v>
      </c>
      <c r="H131" s="57" t="s">
        <v>1124</v>
      </c>
      <c r="I131" s="50" t="s">
        <v>1125</v>
      </c>
      <c r="J131" s="18">
        <f>+_xlfn.XLOOKUP(B131,Sheet3!B:B,Sheet3!J:J,0)</f>
        <v>0</v>
      </c>
      <c r="K131">
        <f t="shared" si="4"/>
        <v>0</v>
      </c>
      <c r="L131" s="54">
        <v>0</v>
      </c>
      <c r="M131" s="67">
        <f t="shared" si="5"/>
        <v>0</v>
      </c>
    </row>
    <row r="132" spans="2:13" hidden="1" x14ac:dyDescent="0.25">
      <c r="B132" t="str">
        <f t="shared" ref="B132:B195" si="6">+I132&amp;H132</f>
        <v>FermignanoAQ1-IPU-D541-01</v>
      </c>
      <c r="C132" s="50" t="s">
        <v>958</v>
      </c>
      <c r="D132" s="51" t="s">
        <v>887</v>
      </c>
      <c r="E132" s="50" t="s">
        <v>896</v>
      </c>
      <c r="F132" s="50" t="s">
        <v>889</v>
      </c>
      <c r="G132" s="50" t="s">
        <v>961</v>
      </c>
      <c r="H132" s="57" t="s">
        <v>1126</v>
      </c>
      <c r="I132" s="50" t="s">
        <v>1127</v>
      </c>
      <c r="J132" s="18">
        <f>+_xlfn.XLOOKUP(B132,Sheet3!B:B,Sheet3!J:J,0)</f>
        <v>8.6540099999999995</v>
      </c>
      <c r="K132">
        <f t="shared" ref="K132:K195" si="7">+J132/6*8</f>
        <v>11.538679999999999</v>
      </c>
      <c r="L132" s="54">
        <v>17.308019999999999</v>
      </c>
      <c r="M132" s="67">
        <f t="shared" ref="M132:M195" si="8">+L132-K132</f>
        <v>5.7693399999999997</v>
      </c>
    </row>
    <row r="133" spans="2:13" hidden="1" x14ac:dyDescent="0.25">
      <c r="B133" t="str">
        <f t="shared" si="6"/>
        <v>FolignanoCL3-IPU-D652-01</v>
      </c>
      <c r="C133" s="50" t="s">
        <v>958</v>
      </c>
      <c r="D133" s="51" t="s">
        <v>887</v>
      </c>
      <c r="E133" s="50" t="s">
        <v>896</v>
      </c>
      <c r="F133" s="50" t="s">
        <v>889</v>
      </c>
      <c r="G133" s="50" t="s">
        <v>890</v>
      </c>
      <c r="H133" s="57" t="s">
        <v>1128</v>
      </c>
      <c r="I133" s="50" t="s">
        <v>1129</v>
      </c>
      <c r="J133" s="18">
        <f>+_xlfn.XLOOKUP(B133,Sheet3!B:B,Sheet3!J:J,0)</f>
        <v>0</v>
      </c>
      <c r="K133">
        <f t="shared" si="7"/>
        <v>0</v>
      </c>
      <c r="L133" s="54">
        <v>0</v>
      </c>
      <c r="M133" s="67">
        <f t="shared" si="8"/>
        <v>0</v>
      </c>
    </row>
    <row r="134" spans="2:13" hidden="1" x14ac:dyDescent="0.25">
      <c r="B134" t="str">
        <f t="shared" si="6"/>
        <v>StintinoPPP-IPU-M290-01</v>
      </c>
      <c r="C134" s="50" t="s">
        <v>826</v>
      </c>
      <c r="D134" s="51" t="s">
        <v>887</v>
      </c>
      <c r="E134" s="50" t="s">
        <v>896</v>
      </c>
      <c r="F134" s="50" t="s">
        <v>889</v>
      </c>
      <c r="G134" s="50" t="s">
        <v>890</v>
      </c>
      <c r="H134" s="57" t="s">
        <v>1130</v>
      </c>
      <c r="I134" s="50" t="s">
        <v>1131</v>
      </c>
      <c r="J134" s="18">
        <f>+_xlfn.XLOOKUP(B134,Sheet3!B:B,Sheet3!J:J,0)</f>
        <v>0</v>
      </c>
      <c r="K134">
        <f t="shared" si="7"/>
        <v>0</v>
      </c>
      <c r="L134" s="54">
        <v>0</v>
      </c>
      <c r="M134" s="67">
        <f t="shared" si="8"/>
        <v>0</v>
      </c>
    </row>
    <row r="135" spans="2:13" hidden="1" x14ac:dyDescent="0.25">
      <c r="B135" t="str">
        <f t="shared" si="6"/>
        <v>TolentinoAQ1-IPU-L191-01</v>
      </c>
      <c r="C135" s="50" t="s">
        <v>958</v>
      </c>
      <c r="D135" s="51" t="s">
        <v>887</v>
      </c>
      <c r="E135" s="50" t="s">
        <v>896</v>
      </c>
      <c r="F135" s="50" t="s">
        <v>889</v>
      </c>
      <c r="G135" s="50" t="s">
        <v>961</v>
      </c>
      <c r="H135" s="57" t="s">
        <v>1132</v>
      </c>
      <c r="I135" s="50" t="s">
        <v>1133</v>
      </c>
      <c r="J135" s="18">
        <f>+_xlfn.XLOOKUP(B135,Sheet3!B:B,Sheet3!J:J,0)</f>
        <v>131.98428000000001</v>
      </c>
      <c r="K135">
        <f t="shared" si="7"/>
        <v>175.97904000000003</v>
      </c>
      <c r="L135" s="54">
        <v>175.97904</v>
      </c>
      <c r="M135" s="67">
        <f t="shared" si="8"/>
        <v>0</v>
      </c>
    </row>
    <row r="136" spans="2:13" hidden="1" x14ac:dyDescent="0.25">
      <c r="B136" t="str">
        <f t="shared" si="6"/>
        <v>Albinea ConsipCL3-IPU-A162-01</v>
      </c>
      <c r="C136" s="50" t="s">
        <v>958</v>
      </c>
      <c r="D136" s="51" t="s">
        <v>887</v>
      </c>
      <c r="E136" s="50" t="s">
        <v>896</v>
      </c>
      <c r="F136" s="50" t="s">
        <v>889</v>
      </c>
      <c r="G136" s="50" t="s">
        <v>1016</v>
      </c>
      <c r="H136" s="57" t="s">
        <v>1134</v>
      </c>
      <c r="I136" s="50" t="s">
        <v>1135</v>
      </c>
      <c r="J136" s="18">
        <f>+_xlfn.XLOOKUP(B136,Sheet3!B:B,Sheet3!J:J,0)</f>
        <v>163.96620000000001</v>
      </c>
      <c r="K136">
        <f t="shared" si="7"/>
        <v>218.62160000000003</v>
      </c>
      <c r="L136" s="54">
        <v>225.11498999999998</v>
      </c>
      <c r="M136" s="67">
        <f t="shared" si="8"/>
        <v>6.4933899999999483</v>
      </c>
    </row>
    <row r="137" spans="2:13" hidden="1" x14ac:dyDescent="0.25">
      <c r="B137" t="str">
        <f t="shared" si="6"/>
        <v>Albinea PPPPPP-IPU-A162-01</v>
      </c>
      <c r="C137" s="50" t="s">
        <v>826</v>
      </c>
      <c r="D137" s="51" t="s">
        <v>887</v>
      </c>
      <c r="E137" s="50" t="s">
        <v>896</v>
      </c>
      <c r="F137" s="50" t="s">
        <v>889</v>
      </c>
      <c r="G137" s="50" t="s">
        <v>890</v>
      </c>
      <c r="H137" s="57" t="s">
        <v>1136</v>
      </c>
      <c r="I137" s="50" t="s">
        <v>1137</v>
      </c>
      <c r="J137" s="18">
        <f>+_xlfn.XLOOKUP(B137,Sheet3!B:B,Sheet3!J:J,0)</f>
        <v>0</v>
      </c>
      <c r="K137">
        <f t="shared" si="7"/>
        <v>0</v>
      </c>
      <c r="L137" s="54">
        <v>0</v>
      </c>
      <c r="M137" s="67">
        <f t="shared" si="8"/>
        <v>0</v>
      </c>
    </row>
    <row r="138" spans="2:13" hidden="1" x14ac:dyDescent="0.25">
      <c r="B138" t="str">
        <f t="shared" si="6"/>
        <v>Faenza ConsipCL3-IPU-D458-01</v>
      </c>
      <c r="C138" s="50" t="s">
        <v>958</v>
      </c>
      <c r="D138" s="51" t="s">
        <v>887</v>
      </c>
      <c r="E138" s="50" t="s">
        <v>896</v>
      </c>
      <c r="F138" s="50" t="s">
        <v>889</v>
      </c>
      <c r="G138" s="50" t="s">
        <v>1016</v>
      </c>
      <c r="H138" s="57" t="s">
        <v>1138</v>
      </c>
      <c r="I138" s="50" t="s">
        <v>1139</v>
      </c>
      <c r="J138" s="18">
        <f>+_xlfn.XLOOKUP(B138,Sheet3!B:B,Sheet3!J:J,0)</f>
        <v>510.71571999999998</v>
      </c>
      <c r="K138">
        <f t="shared" si="7"/>
        <v>680.95429333333334</v>
      </c>
      <c r="L138" s="54">
        <v>726.22509000000002</v>
      </c>
      <c r="M138" s="67">
        <f t="shared" si="8"/>
        <v>45.270796666666683</v>
      </c>
    </row>
    <row r="139" spans="2:13" hidden="1" x14ac:dyDescent="0.25">
      <c r="B139" t="str">
        <f t="shared" si="6"/>
        <v>Falconara Marittima ConsipCL3-IPU-D472-01</v>
      </c>
      <c r="C139" s="50" t="s">
        <v>958</v>
      </c>
      <c r="D139" s="51" t="s">
        <v>887</v>
      </c>
      <c r="E139" s="50" t="s">
        <v>896</v>
      </c>
      <c r="F139" s="50" t="s">
        <v>889</v>
      </c>
      <c r="G139" s="50" t="s">
        <v>1016</v>
      </c>
      <c r="H139" s="57" t="s">
        <v>1140</v>
      </c>
      <c r="I139" s="50" t="s">
        <v>1141</v>
      </c>
      <c r="J139" s="18">
        <f>+_xlfn.XLOOKUP(B139,Sheet3!B:B,Sheet3!J:J,0)</f>
        <v>322.74203</v>
      </c>
      <c r="K139">
        <f t="shared" si="7"/>
        <v>430.32270666666665</v>
      </c>
      <c r="L139" s="54">
        <v>400.99441999999999</v>
      </c>
      <c r="M139" s="67">
        <f t="shared" si="8"/>
        <v>-29.328286666666656</v>
      </c>
    </row>
    <row r="140" spans="2:13" hidden="1" x14ac:dyDescent="0.25">
      <c r="B140" t="str">
        <f t="shared" si="6"/>
        <v>Falconara Marittima PPPPPP-IPU-D472-01</v>
      </c>
      <c r="C140" s="50" t="s">
        <v>826</v>
      </c>
      <c r="D140" s="51" t="s">
        <v>887</v>
      </c>
      <c r="E140" s="50" t="s">
        <v>896</v>
      </c>
      <c r="F140" s="50" t="s">
        <v>889</v>
      </c>
      <c r="G140" s="50" t="s">
        <v>890</v>
      </c>
      <c r="H140" s="57" t="s">
        <v>1142</v>
      </c>
      <c r="I140" s="50" t="s">
        <v>1143</v>
      </c>
      <c r="J140" s="18">
        <f>+_xlfn.XLOOKUP(B140,Sheet3!B:B,Sheet3!J:J,0)</f>
        <v>0</v>
      </c>
      <c r="K140">
        <f t="shared" si="7"/>
        <v>0</v>
      </c>
      <c r="L140" s="54">
        <v>0</v>
      </c>
      <c r="M140" s="67">
        <f t="shared" si="8"/>
        <v>0</v>
      </c>
    </row>
    <row r="141" spans="2:13" hidden="1" x14ac:dyDescent="0.25">
      <c r="B141" t="str">
        <f t="shared" si="6"/>
        <v>Fermo ConsipCL3-IPU-D542-01</v>
      </c>
      <c r="C141" s="50" t="s">
        <v>958</v>
      </c>
      <c r="D141" s="51" t="s">
        <v>887</v>
      </c>
      <c r="E141" s="50" t="s">
        <v>896</v>
      </c>
      <c r="F141" s="50" t="s">
        <v>889</v>
      </c>
      <c r="G141" s="50" t="s">
        <v>1016</v>
      </c>
      <c r="H141" s="57" t="s">
        <v>1144</v>
      </c>
      <c r="I141" s="50" t="s">
        <v>1145</v>
      </c>
      <c r="J141" s="18">
        <f>+_xlfn.XLOOKUP(B141,Sheet3!B:B,Sheet3!J:J,0)</f>
        <v>465.00453999999996</v>
      </c>
      <c r="K141">
        <f t="shared" si="7"/>
        <v>620.00605333333328</v>
      </c>
      <c r="L141" s="54">
        <v>559.21534999999994</v>
      </c>
      <c r="M141" s="67">
        <f t="shared" si="8"/>
        <v>-60.79070333333334</v>
      </c>
    </row>
    <row r="142" spans="2:13" hidden="1" x14ac:dyDescent="0.25">
      <c r="B142" t="str">
        <f t="shared" si="6"/>
        <v>Fermo PPPPPP-IPU-D542-01</v>
      </c>
      <c r="C142" s="50" t="s">
        <v>826</v>
      </c>
      <c r="D142" s="51" t="s">
        <v>887</v>
      </c>
      <c r="E142" s="50" t="s">
        <v>896</v>
      </c>
      <c r="F142" s="50" t="s">
        <v>889</v>
      </c>
      <c r="G142" s="50" t="s">
        <v>890</v>
      </c>
      <c r="H142" s="57" t="s">
        <v>1146</v>
      </c>
      <c r="I142" s="50" t="s">
        <v>1147</v>
      </c>
      <c r="J142" s="18">
        <f>+_xlfn.XLOOKUP(B142,Sheet3!B:B,Sheet3!J:J,0)</f>
        <v>0</v>
      </c>
      <c r="K142">
        <f t="shared" si="7"/>
        <v>0</v>
      </c>
      <c r="L142" s="54">
        <v>0</v>
      </c>
      <c r="M142" s="67">
        <f t="shared" si="8"/>
        <v>0</v>
      </c>
    </row>
    <row r="143" spans="2:13" hidden="1" x14ac:dyDescent="0.25">
      <c r="B143" t="str">
        <f t="shared" si="6"/>
        <v>Macerata Proroga TecnicaCL3-IPU-E783-01</v>
      </c>
      <c r="C143" s="50" t="s">
        <v>958</v>
      </c>
      <c r="D143" s="51" t="s">
        <v>887</v>
      </c>
      <c r="E143" s="50" t="s">
        <v>896</v>
      </c>
      <c r="F143" s="50" t="s">
        <v>889</v>
      </c>
      <c r="G143" s="50" t="s">
        <v>1016</v>
      </c>
      <c r="H143" s="57" t="s">
        <v>1148</v>
      </c>
      <c r="I143" s="50" t="s">
        <v>1149</v>
      </c>
      <c r="J143" s="18">
        <f>+_xlfn.XLOOKUP(B143,Sheet3!B:B,Sheet3!J:J,0)</f>
        <v>-82.457350000000005</v>
      </c>
      <c r="K143">
        <f t="shared" si="7"/>
        <v>-109.94313333333334</v>
      </c>
      <c r="L143" s="54">
        <v>-82.457350000000005</v>
      </c>
      <c r="M143" s="67">
        <f t="shared" si="8"/>
        <v>27.48578333333333</v>
      </c>
    </row>
    <row r="144" spans="2:13" hidden="1" x14ac:dyDescent="0.25">
      <c r="B144" t="str">
        <f t="shared" si="6"/>
        <v>Montegranaro ConsipCL3-IPU-F522-01</v>
      </c>
      <c r="C144" s="50" t="s">
        <v>958</v>
      </c>
      <c r="D144" s="51" t="s">
        <v>887</v>
      </c>
      <c r="E144" s="50" t="s">
        <v>896</v>
      </c>
      <c r="F144" s="50" t="s">
        <v>889</v>
      </c>
      <c r="G144" s="50" t="s">
        <v>1016</v>
      </c>
      <c r="H144" s="57" t="s">
        <v>1150</v>
      </c>
      <c r="I144" s="50" t="s">
        <v>1151</v>
      </c>
      <c r="J144" s="18">
        <f>+_xlfn.XLOOKUP(B144,Sheet3!B:B,Sheet3!J:J,0)</f>
        <v>160.38192000000001</v>
      </c>
      <c r="K144">
        <f t="shared" si="7"/>
        <v>213.84256000000002</v>
      </c>
      <c r="L144" s="54">
        <v>227.73393999999999</v>
      </c>
      <c r="M144" s="67">
        <f t="shared" si="8"/>
        <v>13.89137999999997</v>
      </c>
    </row>
    <row r="145" spans="2:13" hidden="1" x14ac:dyDescent="0.25">
      <c r="B145" t="str">
        <f t="shared" si="6"/>
        <v>Pioraco ConsipCL3-IPU-G690-01</v>
      </c>
      <c r="C145" s="50" t="s">
        <v>958</v>
      </c>
      <c r="D145" s="51" t="s">
        <v>887</v>
      </c>
      <c r="E145" s="50" t="s">
        <v>896</v>
      </c>
      <c r="F145" s="50" t="s">
        <v>889</v>
      </c>
      <c r="G145" s="50" t="s">
        <v>1016</v>
      </c>
      <c r="H145" s="57" t="s">
        <v>1152</v>
      </c>
      <c r="I145" s="50" t="s">
        <v>1153</v>
      </c>
      <c r="J145" s="18">
        <f>+_xlfn.XLOOKUP(B145,Sheet3!B:B,Sheet3!J:J,0)</f>
        <v>5.4398500000000007</v>
      </c>
      <c r="K145">
        <f t="shared" si="7"/>
        <v>7.2531333333333343</v>
      </c>
      <c r="L145" s="54">
        <v>9.8354300000000006</v>
      </c>
      <c r="M145" s="67">
        <f t="shared" si="8"/>
        <v>2.5822966666666662</v>
      </c>
    </row>
    <row r="146" spans="2:13" hidden="1" x14ac:dyDescent="0.25">
      <c r="B146" t="str">
        <f t="shared" si="6"/>
        <v>Pioraco Proroga TecnicaCL3-IPU-G690-02</v>
      </c>
      <c r="C146" s="50" t="s">
        <v>958</v>
      </c>
      <c r="D146" s="51" t="s">
        <v>887</v>
      </c>
      <c r="E146" s="50" t="s">
        <v>896</v>
      </c>
      <c r="F146" s="50" t="s">
        <v>889</v>
      </c>
      <c r="G146" s="50" t="s">
        <v>1016</v>
      </c>
      <c r="H146" s="57" t="s">
        <v>1154</v>
      </c>
      <c r="I146" s="50" t="s">
        <v>1155</v>
      </c>
      <c r="J146" s="18">
        <f>+_xlfn.XLOOKUP(B146,Sheet3!B:B,Sheet3!J:J,0)</f>
        <v>0</v>
      </c>
      <c r="K146">
        <f t="shared" si="7"/>
        <v>0</v>
      </c>
      <c r="L146" s="54">
        <v>0</v>
      </c>
      <c r="M146" s="67">
        <f t="shared" si="8"/>
        <v>0</v>
      </c>
    </row>
    <row r="147" spans="2:13" hidden="1" x14ac:dyDescent="0.25">
      <c r="B147" t="str">
        <f t="shared" si="6"/>
        <v>Scheggia e Pascelupo ConsipCL3-IPU-I522-01</v>
      </c>
      <c r="C147" s="50" t="s">
        <v>958</v>
      </c>
      <c r="D147" s="51" t="s">
        <v>887</v>
      </c>
      <c r="E147" s="50" t="s">
        <v>896</v>
      </c>
      <c r="F147" s="50" t="s">
        <v>889</v>
      </c>
      <c r="G147" s="50" t="s">
        <v>1016</v>
      </c>
      <c r="H147" s="57" t="s">
        <v>1156</v>
      </c>
      <c r="I147" s="50" t="s">
        <v>1157</v>
      </c>
      <c r="J147" s="18">
        <f>+_xlfn.XLOOKUP(B147,Sheet3!B:B,Sheet3!J:J,0)</f>
        <v>36.154830000000004</v>
      </c>
      <c r="K147">
        <f t="shared" si="7"/>
        <v>48.206440000000008</v>
      </c>
      <c r="L147" s="54">
        <v>34.988759999999999</v>
      </c>
      <c r="M147" s="67">
        <f t="shared" si="8"/>
        <v>-13.217680000000009</v>
      </c>
    </row>
    <row r="148" spans="2:13" hidden="1" x14ac:dyDescent="0.25">
      <c r="B148" t="str">
        <f t="shared" si="6"/>
        <v>Scheggia e Pascelupo PPPPPP-IPU-I522-01</v>
      </c>
      <c r="C148" s="50" t="s">
        <v>826</v>
      </c>
      <c r="D148" s="51" t="s">
        <v>887</v>
      </c>
      <c r="E148" s="50" t="s">
        <v>896</v>
      </c>
      <c r="F148" s="50" t="s">
        <v>889</v>
      </c>
      <c r="G148" s="50" t="s">
        <v>890</v>
      </c>
      <c r="H148" s="57" t="s">
        <v>1158</v>
      </c>
      <c r="I148" s="50" t="s">
        <v>1159</v>
      </c>
      <c r="J148" s="18">
        <f>+_xlfn.XLOOKUP(B148,Sheet3!B:B,Sheet3!J:J,0)</f>
        <v>0</v>
      </c>
      <c r="K148">
        <f t="shared" si="7"/>
        <v>0</v>
      </c>
      <c r="L148" s="54">
        <v>0</v>
      </c>
      <c r="M148" s="67">
        <f t="shared" si="8"/>
        <v>0</v>
      </c>
    </row>
    <row r="149" spans="2:13" hidden="1" x14ac:dyDescent="0.25">
      <c r="B149" t="str">
        <f t="shared" si="6"/>
        <v>Senigallia PLPPP-IPU-I608-01</v>
      </c>
      <c r="C149" s="50" t="s">
        <v>826</v>
      </c>
      <c r="D149" s="51" t="s">
        <v>887</v>
      </c>
      <c r="E149" s="50" t="s">
        <v>896</v>
      </c>
      <c r="F149" s="50" t="s">
        <v>889</v>
      </c>
      <c r="G149" s="50" t="s">
        <v>890</v>
      </c>
      <c r="H149" s="57" t="s">
        <v>1160</v>
      </c>
      <c r="I149" s="50" t="s">
        <v>1161</v>
      </c>
      <c r="J149" s="18">
        <f>+_xlfn.XLOOKUP(B149,Sheet3!B:B,Sheet3!J:J,0)</f>
        <v>633.01632999999993</v>
      </c>
      <c r="K149">
        <f t="shared" si="7"/>
        <v>844.02177333333327</v>
      </c>
      <c r="L149" s="54">
        <v>835.09282999999994</v>
      </c>
      <c r="M149" s="67">
        <f t="shared" si="8"/>
        <v>-8.9289433333333363</v>
      </c>
    </row>
    <row r="150" spans="2:13" hidden="1" x14ac:dyDescent="0.25">
      <c r="B150" t="str">
        <f t="shared" si="6"/>
        <v xml:space="preserve">Roma Servizi per la Mobilità S.r.l. </v>
      </c>
      <c r="C150" s="50" t="s">
        <v>958</v>
      </c>
      <c r="D150" s="51" t="s">
        <v>887</v>
      </c>
      <c r="E150" s="52" t="s">
        <v>896</v>
      </c>
      <c r="F150" s="50" t="s">
        <v>837</v>
      </c>
      <c r="G150" s="50" t="s">
        <v>890</v>
      </c>
      <c r="H150" s="53"/>
      <c r="I150" s="50" t="s">
        <v>1162</v>
      </c>
      <c r="J150" s="18">
        <f>+_xlfn.XLOOKUP(B150,Sheet3!B:B,Sheet3!J:J,0)</f>
        <v>0</v>
      </c>
      <c r="K150">
        <f t="shared" si="7"/>
        <v>0</v>
      </c>
      <c r="L150" s="54">
        <v>0</v>
      </c>
      <c r="M150" s="67">
        <f t="shared" si="8"/>
        <v>0</v>
      </c>
    </row>
    <row r="151" spans="2:13" hidden="1" x14ac:dyDescent="0.25">
      <c r="B151" t="str">
        <f t="shared" si="6"/>
        <v>Bussi sul Tirino HMPPP-EEE-B294-03</v>
      </c>
      <c r="C151" s="50" t="s">
        <v>826</v>
      </c>
      <c r="D151" s="51" t="s">
        <v>887</v>
      </c>
      <c r="E151" s="50" t="s">
        <v>896</v>
      </c>
      <c r="F151" s="50" t="s">
        <v>965</v>
      </c>
      <c r="G151" s="50" t="s">
        <v>965</v>
      </c>
      <c r="H151" s="57" t="s">
        <v>1163</v>
      </c>
      <c r="I151" s="50" t="s">
        <v>1164</v>
      </c>
      <c r="J151" s="18">
        <f>+_xlfn.XLOOKUP(B151,Sheet3!B:B,Sheet3!J:J,0)</f>
        <v>142.51805999999999</v>
      </c>
      <c r="K151">
        <f t="shared" si="7"/>
        <v>190.02408</v>
      </c>
      <c r="L151" s="54">
        <v>190.02408</v>
      </c>
      <c r="M151" s="67">
        <f t="shared" si="8"/>
        <v>0</v>
      </c>
    </row>
    <row r="152" spans="2:13" hidden="1" x14ac:dyDescent="0.25">
      <c r="B152" t="str">
        <f t="shared" si="6"/>
        <v>Acquaviva PicenaPPP-IPU-A047-01</v>
      </c>
      <c r="C152" s="50" t="s">
        <v>826</v>
      </c>
      <c r="D152" s="51" t="s">
        <v>887</v>
      </c>
      <c r="E152" s="50" t="s">
        <v>896</v>
      </c>
      <c r="F152" s="50" t="s">
        <v>889</v>
      </c>
      <c r="G152" s="50" t="s">
        <v>890</v>
      </c>
      <c r="H152" s="57" t="s">
        <v>1165</v>
      </c>
      <c r="I152" s="50" t="s">
        <v>1166</v>
      </c>
      <c r="J152" s="18">
        <f>+_xlfn.XLOOKUP(B152,Sheet3!B:B,Sheet3!J:J,0)</f>
        <v>77.59572</v>
      </c>
      <c r="K152">
        <f t="shared" si="7"/>
        <v>103.46096</v>
      </c>
      <c r="L152" s="54">
        <v>103.89204000000001</v>
      </c>
      <c r="M152" s="67">
        <f t="shared" si="8"/>
        <v>0.43108000000000857</v>
      </c>
    </row>
    <row r="153" spans="2:13" hidden="1" x14ac:dyDescent="0.25">
      <c r="B153" t="str">
        <f t="shared" si="6"/>
        <v>Piceno Consorzio ind.PPP-IPU-A462-01</v>
      </c>
      <c r="C153" s="50" t="s">
        <v>826</v>
      </c>
      <c r="D153" s="51" t="s">
        <v>887</v>
      </c>
      <c r="E153" s="50" t="s">
        <v>896</v>
      </c>
      <c r="F153" s="50" t="s">
        <v>889</v>
      </c>
      <c r="G153" s="50" t="s">
        <v>890</v>
      </c>
      <c r="H153" s="57" t="s">
        <v>1167</v>
      </c>
      <c r="I153" s="50" t="s">
        <v>1168</v>
      </c>
      <c r="J153" s="18">
        <f>+_xlfn.XLOOKUP(B153,Sheet3!B:B,Sheet3!J:J,0)</f>
        <v>86.193100000000001</v>
      </c>
      <c r="K153">
        <f t="shared" si="7"/>
        <v>114.92413333333333</v>
      </c>
      <c r="L153" s="54">
        <v>126.41590000000001</v>
      </c>
      <c r="M153" s="67">
        <f t="shared" si="8"/>
        <v>11.491766666666678</v>
      </c>
    </row>
    <row r="154" spans="2:13" hidden="1" x14ac:dyDescent="0.25">
      <c r="B154" t="str">
        <f t="shared" si="6"/>
        <v>AtriPPP-IPU-A488-01</v>
      </c>
      <c r="C154" s="50" t="s">
        <v>826</v>
      </c>
      <c r="D154" s="51" t="s">
        <v>887</v>
      </c>
      <c r="E154" s="50" t="s">
        <v>896</v>
      </c>
      <c r="F154" s="50" t="s">
        <v>889</v>
      </c>
      <c r="G154" s="50" t="s">
        <v>890</v>
      </c>
      <c r="H154" s="57" t="s">
        <v>1169</v>
      </c>
      <c r="I154" s="50" t="s">
        <v>1170</v>
      </c>
      <c r="J154" s="18">
        <f>+_xlfn.XLOOKUP(B154,Sheet3!B:B,Sheet3!J:J,0)</f>
        <v>336.48346000000004</v>
      </c>
      <c r="K154">
        <f t="shared" si="7"/>
        <v>448.64461333333338</v>
      </c>
      <c r="L154" s="54">
        <v>430.19312000000002</v>
      </c>
      <c r="M154" s="67">
        <f t="shared" si="8"/>
        <v>-18.45149333333336</v>
      </c>
    </row>
    <row r="155" spans="2:13" hidden="1" x14ac:dyDescent="0.25">
      <c r="B155" t="str">
        <f t="shared" si="6"/>
        <v>Bussi sul Tirino PLPPP-IPU-B294-01</v>
      </c>
      <c r="C155" s="50" t="s">
        <v>826</v>
      </c>
      <c r="D155" s="51" t="s">
        <v>887</v>
      </c>
      <c r="E155" s="50" t="s">
        <v>896</v>
      </c>
      <c r="F155" s="50" t="s">
        <v>889</v>
      </c>
      <c r="G155" s="50" t="s">
        <v>890</v>
      </c>
      <c r="H155" s="57" t="s">
        <v>1171</v>
      </c>
      <c r="I155" s="50" t="s">
        <v>1172</v>
      </c>
      <c r="J155" s="18">
        <f>+_xlfn.XLOOKUP(B155,Sheet3!B:B,Sheet3!J:J,0)</f>
        <v>79.007059999999996</v>
      </c>
      <c r="K155">
        <f t="shared" si="7"/>
        <v>105.34274666666666</v>
      </c>
      <c r="L155" s="54">
        <v>105.37948999999999</v>
      </c>
      <c r="M155" s="67">
        <f t="shared" si="8"/>
        <v>3.6743333333333794E-2</v>
      </c>
    </row>
    <row r="156" spans="2:13" hidden="1" x14ac:dyDescent="0.25">
      <c r="B156" t="str">
        <f t="shared" si="6"/>
        <v>Carpineto SinelloPPP-IPU-B826-01</v>
      </c>
      <c r="C156" s="50" t="s">
        <v>826</v>
      </c>
      <c r="D156" s="51" t="s">
        <v>887</v>
      </c>
      <c r="E156" s="50" t="s">
        <v>896</v>
      </c>
      <c r="F156" s="50" t="s">
        <v>889</v>
      </c>
      <c r="G156" s="50" t="s">
        <v>890</v>
      </c>
      <c r="H156" s="57" t="s">
        <v>1173</v>
      </c>
      <c r="I156" s="50" t="s">
        <v>1174</v>
      </c>
      <c r="J156" s="18">
        <f>+_xlfn.XLOOKUP(B156,Sheet3!B:B,Sheet3!J:J,0)</f>
        <v>30.516259999999999</v>
      </c>
      <c r="K156">
        <f t="shared" si="7"/>
        <v>40.688346666666668</v>
      </c>
      <c r="L156" s="54">
        <v>38.751529999999995</v>
      </c>
      <c r="M156" s="67">
        <f t="shared" si="8"/>
        <v>-1.9368166666666724</v>
      </c>
    </row>
    <row r="157" spans="2:13" hidden="1" x14ac:dyDescent="0.25">
      <c r="B157" t="str">
        <f t="shared" si="6"/>
        <v>CerchioPPP-IPU-C492-01</v>
      </c>
      <c r="C157" s="50" t="s">
        <v>826</v>
      </c>
      <c r="D157" s="51" t="s">
        <v>887</v>
      </c>
      <c r="E157" s="50" t="s">
        <v>896</v>
      </c>
      <c r="F157" s="50" t="s">
        <v>889</v>
      </c>
      <c r="G157" s="50" t="s">
        <v>890</v>
      </c>
      <c r="H157" s="57" t="s">
        <v>1175</v>
      </c>
      <c r="I157" s="50" t="s">
        <v>1176</v>
      </c>
      <c r="J157" s="18">
        <f>+_xlfn.XLOOKUP(B157,Sheet3!B:B,Sheet3!J:J,0)</f>
        <v>35.478250000000003</v>
      </c>
      <c r="K157">
        <f t="shared" si="7"/>
        <v>47.304333333333339</v>
      </c>
      <c r="L157" s="54">
        <v>45.389429999999997</v>
      </c>
      <c r="M157" s="67">
        <f t="shared" si="8"/>
        <v>-1.9149033333333421</v>
      </c>
    </row>
    <row r="158" spans="2:13" hidden="1" x14ac:dyDescent="0.25">
      <c r="B158" t="str">
        <f t="shared" si="6"/>
        <v>LanuvioPPP-IPU-C767-01</v>
      </c>
      <c r="C158" s="50" t="s">
        <v>826</v>
      </c>
      <c r="D158" s="51" t="s">
        <v>887</v>
      </c>
      <c r="E158" s="50" t="s">
        <v>896</v>
      </c>
      <c r="F158" s="50" t="s">
        <v>889</v>
      </c>
      <c r="G158" s="50" t="s">
        <v>890</v>
      </c>
      <c r="H158" s="57" t="s">
        <v>1177</v>
      </c>
      <c r="I158" s="50" t="s">
        <v>1178</v>
      </c>
      <c r="J158" s="18">
        <f>+_xlfn.XLOOKUP(B158,Sheet3!B:B,Sheet3!J:J,0)</f>
        <v>62.477370000000001</v>
      </c>
      <c r="K158">
        <f t="shared" si="7"/>
        <v>83.303160000000005</v>
      </c>
      <c r="L158" s="54">
        <v>106.87797</v>
      </c>
      <c r="M158" s="67">
        <f t="shared" si="8"/>
        <v>23.574809999999999</v>
      </c>
    </row>
    <row r="159" spans="2:13" hidden="1" x14ac:dyDescent="0.25">
      <c r="B159" t="str">
        <f t="shared" si="6"/>
        <v>LettomanoppelloPPP-IPU-E558-01</v>
      </c>
      <c r="C159" s="50" t="s">
        <v>826</v>
      </c>
      <c r="D159" s="51" t="s">
        <v>887</v>
      </c>
      <c r="E159" s="50" t="s">
        <v>896</v>
      </c>
      <c r="F159" s="50" t="s">
        <v>889</v>
      </c>
      <c r="G159" s="50" t="s">
        <v>890</v>
      </c>
      <c r="H159" s="57" t="s">
        <v>1179</v>
      </c>
      <c r="I159" s="50" t="s">
        <v>1180</v>
      </c>
      <c r="J159" s="18">
        <f>+_xlfn.XLOOKUP(B159,Sheet3!B:B,Sheet3!J:J,0)</f>
        <v>73.157960000000003</v>
      </c>
      <c r="K159">
        <f t="shared" si="7"/>
        <v>97.54394666666667</v>
      </c>
      <c r="L159" s="54">
        <v>95.304960000000008</v>
      </c>
      <c r="M159" s="67">
        <f t="shared" si="8"/>
        <v>-2.238986666666662</v>
      </c>
    </row>
    <row r="160" spans="2:13" hidden="1" x14ac:dyDescent="0.25">
      <c r="B160" t="str">
        <f t="shared" si="6"/>
        <v>MonteodorisioPPP-IPU-F582-01</v>
      </c>
      <c r="C160" s="50" t="s">
        <v>826</v>
      </c>
      <c r="D160" s="51" t="s">
        <v>887</v>
      </c>
      <c r="E160" s="50" t="s">
        <v>896</v>
      </c>
      <c r="F160" s="50" t="s">
        <v>889</v>
      </c>
      <c r="G160" s="50" t="s">
        <v>890</v>
      </c>
      <c r="H160" s="57" t="s">
        <v>1181</v>
      </c>
      <c r="I160" s="50" t="s">
        <v>1182</v>
      </c>
      <c r="J160" s="18">
        <f>+_xlfn.XLOOKUP(B160,Sheet3!B:B,Sheet3!J:J,0)</f>
        <v>45.19932</v>
      </c>
      <c r="K160">
        <f t="shared" si="7"/>
        <v>60.26576</v>
      </c>
      <c r="L160" s="54">
        <v>60.26576</v>
      </c>
      <c r="M160" s="67">
        <f t="shared" si="8"/>
        <v>0</v>
      </c>
    </row>
    <row r="161" spans="2:13" hidden="1" x14ac:dyDescent="0.25">
      <c r="B161" t="str">
        <f t="shared" si="6"/>
        <v>Morro d'Oro PLPPP-IPU-F747-01</v>
      </c>
      <c r="C161" s="50" t="s">
        <v>826</v>
      </c>
      <c r="D161" s="51" t="s">
        <v>887</v>
      </c>
      <c r="E161" s="50" t="s">
        <v>896</v>
      </c>
      <c r="F161" s="50" t="s">
        <v>889</v>
      </c>
      <c r="G161" s="50" t="s">
        <v>890</v>
      </c>
      <c r="H161" s="57" t="s">
        <v>1183</v>
      </c>
      <c r="I161" s="50" t="s">
        <v>1184</v>
      </c>
      <c r="J161" s="18">
        <f>+_xlfn.XLOOKUP(B161,Sheet3!B:B,Sheet3!J:J,0)</f>
        <v>51.251410000000007</v>
      </c>
      <c r="K161">
        <f t="shared" si="7"/>
        <v>68.335213333333343</v>
      </c>
      <c r="L161" s="54">
        <v>67.376429999999999</v>
      </c>
      <c r="M161" s="67">
        <f t="shared" si="8"/>
        <v>-0.95878333333334353</v>
      </c>
    </row>
    <row r="162" spans="2:13" hidden="1" x14ac:dyDescent="0.25">
      <c r="B162" t="str">
        <f t="shared" si="6"/>
        <v>Palombara SabinaPPP-IPU-G293-01</v>
      </c>
      <c r="C162" s="50" t="s">
        <v>826</v>
      </c>
      <c r="D162" s="51" t="s">
        <v>887</v>
      </c>
      <c r="E162" s="50" t="s">
        <v>896</v>
      </c>
      <c r="F162" s="50" t="s">
        <v>889</v>
      </c>
      <c r="G162" s="50" t="s">
        <v>890</v>
      </c>
      <c r="H162" s="57" t="s">
        <v>1185</v>
      </c>
      <c r="I162" s="50" t="s">
        <v>1186</v>
      </c>
      <c r="J162" s="18">
        <f>+_xlfn.XLOOKUP(B162,Sheet3!B:B,Sheet3!J:J,0)</f>
        <v>140.54867999999999</v>
      </c>
      <c r="K162">
        <f t="shared" si="7"/>
        <v>187.39823999999999</v>
      </c>
      <c r="L162" s="54">
        <v>189.11515</v>
      </c>
      <c r="M162" s="67">
        <f t="shared" si="8"/>
        <v>1.7169100000000128</v>
      </c>
    </row>
    <row r="163" spans="2:13" hidden="1" x14ac:dyDescent="0.25">
      <c r="B163" t="str">
        <f t="shared" si="6"/>
        <v>PiccianoPPP-IPU-G589-01</v>
      </c>
      <c r="C163" s="50" t="s">
        <v>826</v>
      </c>
      <c r="D163" s="51" t="s">
        <v>887</v>
      </c>
      <c r="E163" s="50" t="s">
        <v>896</v>
      </c>
      <c r="F163" s="50" t="s">
        <v>889</v>
      </c>
      <c r="G163" s="50" t="s">
        <v>890</v>
      </c>
      <c r="H163" s="57" t="s">
        <v>1187</v>
      </c>
      <c r="I163" s="50" t="s">
        <v>1188</v>
      </c>
      <c r="J163" s="18">
        <f>+_xlfn.XLOOKUP(B163,Sheet3!B:B,Sheet3!J:J,0)</f>
        <v>47.424879999999995</v>
      </c>
      <c r="K163">
        <f t="shared" si="7"/>
        <v>63.233173333333326</v>
      </c>
      <c r="L163" s="54">
        <v>60.903680000000001</v>
      </c>
      <c r="M163" s="67">
        <f t="shared" si="8"/>
        <v>-2.3294933333333248</v>
      </c>
    </row>
    <row r="164" spans="2:13" hidden="1" x14ac:dyDescent="0.25">
      <c r="B164" t="str">
        <f t="shared" si="6"/>
        <v>Pieve FoscianaPPP-IPU-G648-01</v>
      </c>
      <c r="C164" s="50" t="s">
        <v>826</v>
      </c>
      <c r="D164" s="51" t="s">
        <v>887</v>
      </c>
      <c r="E164" s="50" t="s">
        <v>896</v>
      </c>
      <c r="F164" s="50" t="s">
        <v>889</v>
      </c>
      <c r="G164" s="50" t="s">
        <v>890</v>
      </c>
      <c r="H164" s="57" t="s">
        <v>1189</v>
      </c>
      <c r="I164" s="50" t="s">
        <v>1190</v>
      </c>
      <c r="J164" s="18">
        <f>+_xlfn.XLOOKUP(B164,Sheet3!B:B,Sheet3!J:J,0)</f>
        <v>48.769030000000001</v>
      </c>
      <c r="K164">
        <f t="shared" si="7"/>
        <v>65.025373333333334</v>
      </c>
      <c r="L164" s="54">
        <v>64.97627</v>
      </c>
      <c r="M164" s="67">
        <f t="shared" si="8"/>
        <v>-4.9103333333334831E-2</v>
      </c>
    </row>
    <row r="165" spans="2:13" hidden="1" x14ac:dyDescent="0.25">
      <c r="B165" t="str">
        <f t="shared" si="6"/>
        <v>Popoli TermePPP-IPU-G878-01</v>
      </c>
      <c r="C165" s="50" t="s">
        <v>826</v>
      </c>
      <c r="D165" s="51" t="s">
        <v>887</v>
      </c>
      <c r="E165" s="50" t="s">
        <v>896</v>
      </c>
      <c r="F165" s="50" t="s">
        <v>889</v>
      </c>
      <c r="G165" s="50" t="s">
        <v>890</v>
      </c>
      <c r="H165" s="57" t="s">
        <v>1191</v>
      </c>
      <c r="I165" s="50" t="s">
        <v>1192</v>
      </c>
      <c r="J165" s="18">
        <f>+_xlfn.XLOOKUP(B165,Sheet3!B:B,Sheet3!J:J,0)</f>
        <v>181.73760000000001</v>
      </c>
      <c r="K165">
        <f t="shared" si="7"/>
        <v>242.31680000000003</v>
      </c>
      <c r="L165" s="54">
        <v>262.28591</v>
      </c>
      <c r="M165" s="67">
        <f t="shared" si="8"/>
        <v>19.969109999999972</v>
      </c>
    </row>
    <row r="166" spans="2:13" hidden="1" x14ac:dyDescent="0.25">
      <c r="B166" t="str">
        <f t="shared" si="6"/>
        <v>PortocannonePPP-IPU-G910-01</v>
      </c>
      <c r="C166" s="50" t="s">
        <v>826</v>
      </c>
      <c r="D166" s="51" t="s">
        <v>887</v>
      </c>
      <c r="E166" s="50" t="s">
        <v>896</v>
      </c>
      <c r="F166" s="50" t="s">
        <v>889</v>
      </c>
      <c r="G166" s="50" t="s">
        <v>890</v>
      </c>
      <c r="H166" s="57" t="s">
        <v>1193</v>
      </c>
      <c r="I166" s="50" t="s">
        <v>1194</v>
      </c>
      <c r="J166" s="18">
        <f>+_xlfn.XLOOKUP(B166,Sheet3!B:B,Sheet3!J:J,0)</f>
        <v>48.518339999999995</v>
      </c>
      <c r="K166">
        <f t="shared" si="7"/>
        <v>64.691119999999998</v>
      </c>
      <c r="L166" s="54">
        <v>64.691119999999998</v>
      </c>
      <c r="M166" s="67">
        <f t="shared" si="8"/>
        <v>0</v>
      </c>
    </row>
    <row r="167" spans="2:13" hidden="1" x14ac:dyDescent="0.25">
      <c r="B167" t="str">
        <f t="shared" si="6"/>
        <v>PretoroPPP-IPU-H052-01</v>
      </c>
      <c r="C167" s="50" t="s">
        <v>826</v>
      </c>
      <c r="D167" s="51" t="s">
        <v>887</v>
      </c>
      <c r="E167" s="50" t="s">
        <v>896</v>
      </c>
      <c r="F167" s="50" t="s">
        <v>889</v>
      </c>
      <c r="G167" s="50" t="s">
        <v>890</v>
      </c>
      <c r="H167" s="57" t="s">
        <v>1195</v>
      </c>
      <c r="I167" s="50" t="s">
        <v>1196</v>
      </c>
      <c r="J167" s="18">
        <f>+_xlfn.XLOOKUP(B167,Sheet3!B:B,Sheet3!J:J,0)</f>
        <v>47.214400000000005</v>
      </c>
      <c r="K167">
        <f t="shared" si="7"/>
        <v>62.952533333333342</v>
      </c>
      <c r="L167" s="54">
        <v>62.914840000000005</v>
      </c>
      <c r="M167" s="67">
        <f t="shared" si="8"/>
        <v>-3.7693333333336909E-2</v>
      </c>
    </row>
    <row r="168" spans="2:13" hidden="1" x14ac:dyDescent="0.25">
      <c r="B168" t="str">
        <f t="shared" si="6"/>
        <v>San Martino In PensilisPPP-IPU-H990-01</v>
      </c>
      <c r="C168" s="50" t="s">
        <v>826</v>
      </c>
      <c r="D168" s="51" t="s">
        <v>887</v>
      </c>
      <c r="E168" s="50" t="s">
        <v>896</v>
      </c>
      <c r="F168" s="50" t="s">
        <v>889</v>
      </c>
      <c r="G168" s="50" t="s">
        <v>890</v>
      </c>
      <c r="H168" s="57" t="s">
        <v>1197</v>
      </c>
      <c r="I168" s="50" t="s">
        <v>1198</v>
      </c>
      <c r="J168" s="18">
        <f>+_xlfn.XLOOKUP(B168,Sheet3!B:B,Sheet3!J:J,0)</f>
        <v>51.483179999999997</v>
      </c>
      <c r="K168">
        <f t="shared" si="7"/>
        <v>68.644239999999996</v>
      </c>
      <c r="L168" s="54">
        <v>68.644240000000011</v>
      </c>
      <c r="M168" s="67">
        <f t="shared" si="8"/>
        <v>0</v>
      </c>
    </row>
    <row r="169" spans="2:13" hidden="1" x14ac:dyDescent="0.25">
      <c r="B169" t="str">
        <f t="shared" si="6"/>
        <v>Sant'Eufemia a MaiellaPPP-IPU-I332-01</v>
      </c>
      <c r="C169" s="50" t="s">
        <v>826</v>
      </c>
      <c r="D169" s="51" t="s">
        <v>887</v>
      </c>
      <c r="E169" s="50" t="s">
        <v>896</v>
      </c>
      <c r="F169" s="50" t="s">
        <v>889</v>
      </c>
      <c r="G169" s="50" t="s">
        <v>890</v>
      </c>
      <c r="H169" s="57" t="s">
        <v>1199</v>
      </c>
      <c r="I169" s="50" t="s">
        <v>1200</v>
      </c>
      <c r="J169" s="18">
        <f>+_xlfn.XLOOKUP(B169,Sheet3!B:B,Sheet3!J:J,0)</f>
        <v>23.179020000000001</v>
      </c>
      <c r="K169">
        <f t="shared" si="7"/>
        <v>30.905360000000002</v>
      </c>
      <c r="L169" s="54">
        <v>30.905360000000002</v>
      </c>
      <c r="M169" s="67">
        <f t="shared" si="8"/>
        <v>0</v>
      </c>
    </row>
    <row r="170" spans="2:13" hidden="1" x14ac:dyDescent="0.25">
      <c r="B170" t="str">
        <f t="shared" si="6"/>
        <v>San Vito ChietinoPPP-IPU-I394-01</v>
      </c>
      <c r="C170" s="50" t="s">
        <v>826</v>
      </c>
      <c r="D170" s="51" t="s">
        <v>887</v>
      </c>
      <c r="E170" s="50" t="s">
        <v>896</v>
      </c>
      <c r="F170" s="50" t="s">
        <v>889</v>
      </c>
      <c r="G170" s="50" t="s">
        <v>890</v>
      </c>
      <c r="H170" s="57" t="s">
        <v>1201</v>
      </c>
      <c r="I170" s="50" t="s">
        <v>1202</v>
      </c>
      <c r="J170" s="18">
        <f>+_xlfn.XLOOKUP(B170,Sheet3!B:B,Sheet3!J:J,0)</f>
        <v>158.92779000000002</v>
      </c>
      <c r="K170">
        <f t="shared" si="7"/>
        <v>211.90372000000002</v>
      </c>
      <c r="L170" s="54">
        <v>208.61529000000002</v>
      </c>
      <c r="M170" s="67">
        <f t="shared" si="8"/>
        <v>-3.2884300000000053</v>
      </c>
    </row>
    <row r="171" spans="2:13" hidden="1" x14ac:dyDescent="0.25">
      <c r="B171" t="str">
        <f t="shared" si="6"/>
        <v>Scurcola MarsicanaPPP-IPU-I553-01</v>
      </c>
      <c r="C171" s="50" t="s">
        <v>826</v>
      </c>
      <c r="D171" s="51" t="s">
        <v>887</v>
      </c>
      <c r="E171" s="50" t="s">
        <v>896</v>
      </c>
      <c r="F171" s="50" t="s">
        <v>889</v>
      </c>
      <c r="G171" s="50" t="s">
        <v>890</v>
      </c>
      <c r="H171" s="57" t="s">
        <v>1203</v>
      </c>
      <c r="I171" s="50" t="s">
        <v>1204</v>
      </c>
      <c r="J171" s="18">
        <f>+_xlfn.XLOOKUP(B171,Sheet3!B:B,Sheet3!J:J,0)</f>
        <v>50.686260000000004</v>
      </c>
      <c r="K171">
        <f t="shared" si="7"/>
        <v>67.581680000000006</v>
      </c>
      <c r="L171" s="54">
        <v>67.581679999999992</v>
      </c>
      <c r="M171" s="67">
        <f t="shared" si="8"/>
        <v>0</v>
      </c>
    </row>
    <row r="172" spans="2:13" hidden="1" x14ac:dyDescent="0.25">
      <c r="B172" t="str">
        <f t="shared" si="6"/>
        <v>SupinoPPP-IPU-L009-01</v>
      </c>
      <c r="C172" s="50" t="s">
        <v>826</v>
      </c>
      <c r="D172" s="51" t="s">
        <v>887</v>
      </c>
      <c r="E172" s="50" t="s">
        <v>896</v>
      </c>
      <c r="F172" s="50" t="s">
        <v>889</v>
      </c>
      <c r="G172" s="50" t="s">
        <v>890</v>
      </c>
      <c r="H172" s="57" t="s">
        <v>1205</v>
      </c>
      <c r="I172" s="50" t="s">
        <v>1206</v>
      </c>
      <c r="J172" s="18">
        <f>+_xlfn.XLOOKUP(B172,Sheet3!B:B,Sheet3!J:J,0)</f>
        <v>76.69744</v>
      </c>
      <c r="K172">
        <f t="shared" si="7"/>
        <v>102.26325333333334</v>
      </c>
      <c r="L172" s="54">
        <v>101.56988</v>
      </c>
      <c r="M172" s="67">
        <f t="shared" si="8"/>
        <v>-0.69337333333334072</v>
      </c>
    </row>
    <row r="173" spans="2:13" hidden="1" x14ac:dyDescent="0.25">
      <c r="B173" t="str">
        <f t="shared" si="6"/>
        <v>UruriPPP-IPU-L505-01</v>
      </c>
      <c r="C173" s="50" t="s">
        <v>826</v>
      </c>
      <c r="D173" s="51" t="s">
        <v>887</v>
      </c>
      <c r="E173" s="50" t="s">
        <v>896</v>
      </c>
      <c r="F173" s="50" t="s">
        <v>889</v>
      </c>
      <c r="G173" s="50" t="s">
        <v>890</v>
      </c>
      <c r="H173" s="57" t="s">
        <v>1207</v>
      </c>
      <c r="I173" s="50" t="s">
        <v>1208</v>
      </c>
      <c r="J173" s="18">
        <f>+_xlfn.XLOOKUP(B173,Sheet3!B:B,Sheet3!J:J,0)</f>
        <v>68.652899999999988</v>
      </c>
      <c r="K173">
        <f t="shared" si="7"/>
        <v>91.537199999999984</v>
      </c>
      <c r="L173" s="54">
        <v>91.110500000000002</v>
      </c>
      <c r="M173" s="67">
        <f t="shared" si="8"/>
        <v>-0.42669999999998254</v>
      </c>
    </row>
    <row r="174" spans="2:13" hidden="1" x14ac:dyDescent="0.25">
      <c r="B174" t="str">
        <f t="shared" si="6"/>
        <v>VicopisanoPPP-IPU-L850-01</v>
      </c>
      <c r="C174" s="50" t="s">
        <v>826</v>
      </c>
      <c r="D174" s="51" t="s">
        <v>887</v>
      </c>
      <c r="E174" s="50" t="s">
        <v>896</v>
      </c>
      <c r="F174" s="50" t="s">
        <v>889</v>
      </c>
      <c r="G174" s="50" t="s">
        <v>890</v>
      </c>
      <c r="H174" s="57" t="s">
        <v>1209</v>
      </c>
      <c r="I174" s="50" t="s">
        <v>1210</v>
      </c>
      <c r="J174" s="18">
        <f>+_xlfn.XLOOKUP(B174,Sheet3!B:B,Sheet3!J:J,0)</f>
        <v>92.225920000000002</v>
      </c>
      <c r="K174">
        <f t="shared" si="7"/>
        <v>122.96789333333334</v>
      </c>
      <c r="L174" s="54">
        <v>123.18456</v>
      </c>
      <c r="M174" s="67">
        <f t="shared" si="8"/>
        <v>0.21666666666666856</v>
      </c>
    </row>
    <row r="175" spans="2:13" hidden="1" x14ac:dyDescent="0.25">
      <c r="B175" t="str">
        <f t="shared" si="6"/>
        <v>Polesine ZibelloPPP-IPU-M367-01</v>
      </c>
      <c r="C175" s="50" t="s">
        <v>826</v>
      </c>
      <c r="D175" s="51" t="s">
        <v>887</v>
      </c>
      <c r="E175" s="50" t="s">
        <v>896</v>
      </c>
      <c r="F175" s="50" t="s">
        <v>889</v>
      </c>
      <c r="G175" s="50" t="s">
        <v>890</v>
      </c>
      <c r="H175" s="57" t="s">
        <v>1211</v>
      </c>
      <c r="I175" s="50" t="s">
        <v>1212</v>
      </c>
      <c r="J175" s="18">
        <f>+_xlfn.XLOOKUP(B175,Sheet3!B:B,Sheet3!J:J,0)</f>
        <v>119.97575999999999</v>
      </c>
      <c r="K175">
        <f t="shared" si="7"/>
        <v>159.96768</v>
      </c>
      <c r="L175" s="54">
        <v>159.96768</v>
      </c>
      <c r="M175" s="67">
        <f t="shared" si="8"/>
        <v>0</v>
      </c>
    </row>
    <row r="176" spans="2:13" hidden="1" x14ac:dyDescent="0.25">
      <c r="B176" t="str">
        <f t="shared" si="6"/>
        <v>Città Sant'Angelo SECSEC-IPU-C750-01</v>
      </c>
      <c r="C176" s="50" t="s">
        <v>826</v>
      </c>
      <c r="D176" s="51" t="s">
        <v>887</v>
      </c>
      <c r="E176" s="50" t="s">
        <v>896</v>
      </c>
      <c r="F176" s="50" t="s">
        <v>1079</v>
      </c>
      <c r="G176" s="50" t="s">
        <v>1079</v>
      </c>
      <c r="H176" s="57" t="s">
        <v>1213</v>
      </c>
      <c r="I176" s="50" t="s">
        <v>1214</v>
      </c>
      <c r="J176" s="18">
        <f>+_xlfn.XLOOKUP(B176,Sheet3!B:B,Sheet3!J:J,0)</f>
        <v>2.85</v>
      </c>
      <c r="K176">
        <f t="shared" si="7"/>
        <v>3.8000000000000003</v>
      </c>
      <c r="L176" s="54">
        <v>3.8</v>
      </c>
      <c r="M176" s="67">
        <f t="shared" si="8"/>
        <v>0</v>
      </c>
    </row>
    <row r="177" spans="2:13" hidden="1" x14ac:dyDescent="0.25">
      <c r="B177" t="str">
        <f t="shared" si="6"/>
        <v>Bellante PLPPP-IPU-A746-01</v>
      </c>
      <c r="C177" s="50" t="s">
        <v>826</v>
      </c>
      <c r="D177" s="51" t="s">
        <v>887</v>
      </c>
      <c r="E177" s="50" t="s">
        <v>896</v>
      </c>
      <c r="F177" s="50" t="s">
        <v>889</v>
      </c>
      <c r="G177" s="50" t="s">
        <v>890</v>
      </c>
      <c r="H177" s="57" t="s">
        <v>1215</v>
      </c>
      <c r="I177" s="50" t="s">
        <v>1216</v>
      </c>
      <c r="J177" s="18">
        <f>+_xlfn.XLOOKUP(B177,Sheet3!B:B,Sheet3!J:J,0)</f>
        <v>81.75076</v>
      </c>
      <c r="K177">
        <f t="shared" si="7"/>
        <v>109.00101333333333</v>
      </c>
      <c r="L177" s="54">
        <v>106.28082000000001</v>
      </c>
      <c r="M177" s="67">
        <f t="shared" si="8"/>
        <v>-2.7201933333333272</v>
      </c>
    </row>
    <row r="178" spans="2:13" hidden="1" x14ac:dyDescent="0.25">
      <c r="B178" t="str">
        <f t="shared" si="6"/>
        <v>Mondolfo Proroga TecnicaCL3-IPU-F348-01</v>
      </c>
      <c r="C178" s="50" t="s">
        <v>958</v>
      </c>
      <c r="D178" s="51" t="s">
        <v>887</v>
      </c>
      <c r="E178" s="50" t="s">
        <v>896</v>
      </c>
      <c r="F178" s="50" t="s">
        <v>889</v>
      </c>
      <c r="G178" s="50" t="s">
        <v>1016</v>
      </c>
      <c r="H178" s="57" t="s">
        <v>1217</v>
      </c>
      <c r="I178" s="50" t="s">
        <v>1218</v>
      </c>
      <c r="J178" s="18">
        <f>+_xlfn.XLOOKUP(B178,Sheet3!B:B,Sheet3!J:J,0)</f>
        <v>204.72185999999999</v>
      </c>
      <c r="K178">
        <f t="shared" si="7"/>
        <v>272.96247999999997</v>
      </c>
      <c r="L178" s="54">
        <v>310.65116999999998</v>
      </c>
      <c r="M178" s="67">
        <f t="shared" si="8"/>
        <v>37.688690000000008</v>
      </c>
    </row>
    <row r="179" spans="2:13" hidden="1" x14ac:dyDescent="0.25">
      <c r="B179" t="str">
        <f t="shared" si="6"/>
        <v>Cagli Proroga TecnicaCL3-IPU-B352-02</v>
      </c>
      <c r="C179" s="50" t="s">
        <v>958</v>
      </c>
      <c r="D179" s="51" t="s">
        <v>887</v>
      </c>
      <c r="E179" s="50" t="s">
        <v>896</v>
      </c>
      <c r="F179" s="50" t="s">
        <v>889</v>
      </c>
      <c r="G179" s="50" t="s">
        <v>1016</v>
      </c>
      <c r="H179" s="57" t="s">
        <v>1219</v>
      </c>
      <c r="I179" s="50" t="s">
        <v>1220</v>
      </c>
      <c r="J179" s="18">
        <f>+_xlfn.XLOOKUP(B179,Sheet3!B:B,Sheet3!J:J,0)</f>
        <v>0</v>
      </c>
      <c r="K179">
        <f t="shared" si="7"/>
        <v>0</v>
      </c>
      <c r="L179" s="54">
        <v>0</v>
      </c>
      <c r="M179" s="67">
        <f t="shared" si="8"/>
        <v>0</v>
      </c>
    </row>
    <row r="180" spans="2:13" hidden="1" x14ac:dyDescent="0.25">
      <c r="B180" t="str">
        <f t="shared" si="6"/>
        <v>Petriano Proroga tecnicaCL3-IPU-G514-02</v>
      </c>
      <c r="C180" s="50" t="s">
        <v>958</v>
      </c>
      <c r="D180" s="51" t="s">
        <v>887</v>
      </c>
      <c r="E180" s="50" t="s">
        <v>896</v>
      </c>
      <c r="F180" s="50" t="s">
        <v>889</v>
      </c>
      <c r="G180" s="50" t="s">
        <v>1016</v>
      </c>
      <c r="H180" s="57" t="s">
        <v>1221</v>
      </c>
      <c r="I180" s="50" t="s">
        <v>1222</v>
      </c>
      <c r="J180" s="18">
        <f>+_xlfn.XLOOKUP(B180,Sheet3!B:B,Sheet3!J:J,0)</f>
        <v>0</v>
      </c>
      <c r="K180">
        <f t="shared" si="7"/>
        <v>0</v>
      </c>
      <c r="L180" s="54">
        <v>0</v>
      </c>
      <c r="M180" s="67">
        <f t="shared" si="8"/>
        <v>0</v>
      </c>
    </row>
    <row r="181" spans="2:13" hidden="1" x14ac:dyDescent="0.25">
      <c r="B181" t="str">
        <f t="shared" si="6"/>
        <v>Potenza Picena Proroga tecnica</v>
      </c>
      <c r="C181" s="50" t="s">
        <v>958</v>
      </c>
      <c r="D181" s="51" t="s">
        <v>887</v>
      </c>
      <c r="E181" s="50" t="s">
        <v>896</v>
      </c>
      <c r="F181" s="50" t="s">
        <v>889</v>
      </c>
      <c r="G181" s="50" t="s">
        <v>1016</v>
      </c>
      <c r="H181" s="53"/>
      <c r="I181" s="50" t="s">
        <v>1223</v>
      </c>
      <c r="J181" s="18">
        <f>+_xlfn.XLOOKUP(B181,Sheet3!B:B,Sheet3!J:J,0)</f>
        <v>0</v>
      </c>
      <c r="K181">
        <f t="shared" si="7"/>
        <v>0</v>
      </c>
      <c r="L181" s="54">
        <v>0</v>
      </c>
      <c r="M181" s="67">
        <f t="shared" si="8"/>
        <v>0</v>
      </c>
    </row>
    <row r="182" spans="2:13" hidden="1" x14ac:dyDescent="0.25">
      <c r="B182" t="str">
        <f t="shared" si="6"/>
        <v>Potenza Picena PPPPPP-IPU-F632-01</v>
      </c>
      <c r="C182" s="50" t="s">
        <v>826</v>
      </c>
      <c r="D182" s="51" t="s">
        <v>887</v>
      </c>
      <c r="E182" s="50" t="s">
        <v>896</v>
      </c>
      <c r="F182" s="50" t="s">
        <v>889</v>
      </c>
      <c r="G182" s="50" t="s">
        <v>890</v>
      </c>
      <c r="H182" s="57" t="s">
        <v>1224</v>
      </c>
      <c r="I182" s="50" t="s">
        <v>1225</v>
      </c>
      <c r="J182" s="18">
        <f>+_xlfn.XLOOKUP(B182,Sheet3!B:B,Sheet3!J:J,0)</f>
        <v>0</v>
      </c>
      <c r="K182">
        <f t="shared" si="7"/>
        <v>0</v>
      </c>
      <c r="L182" s="54">
        <v>0</v>
      </c>
      <c r="M182" s="67">
        <f t="shared" si="8"/>
        <v>0</v>
      </c>
    </row>
    <row r="183" spans="2:13" hidden="1" x14ac:dyDescent="0.25">
      <c r="B183" t="str">
        <f t="shared" si="6"/>
        <v>Macerata PPPPPP-IPU-E783-01</v>
      </c>
      <c r="C183" s="50" t="s">
        <v>826</v>
      </c>
      <c r="D183" s="51" t="s">
        <v>887</v>
      </c>
      <c r="E183" s="50" t="s">
        <v>896</v>
      </c>
      <c r="F183" s="50" t="s">
        <v>889</v>
      </c>
      <c r="G183" s="50" t="s">
        <v>890</v>
      </c>
      <c r="H183" s="57" t="s">
        <v>1226</v>
      </c>
      <c r="I183" s="50" t="s">
        <v>1227</v>
      </c>
      <c r="J183" s="18">
        <f>+_xlfn.XLOOKUP(B183,Sheet3!B:B,Sheet3!J:J,0)</f>
        <v>0</v>
      </c>
      <c r="K183">
        <f t="shared" si="7"/>
        <v>0</v>
      </c>
      <c r="L183" s="54">
        <v>0</v>
      </c>
      <c r="M183" s="67">
        <f t="shared" si="8"/>
        <v>0</v>
      </c>
    </row>
    <row r="184" spans="2:13" hidden="1" x14ac:dyDescent="0.25">
      <c r="B184" t="str">
        <f t="shared" si="6"/>
        <v>Pioraco PPPPPP-IPU-G690-01</v>
      </c>
      <c r="C184" s="50" t="s">
        <v>826</v>
      </c>
      <c r="D184" s="51" t="s">
        <v>887</v>
      </c>
      <c r="E184" s="50" t="s">
        <v>896</v>
      </c>
      <c r="F184" s="50" t="s">
        <v>889</v>
      </c>
      <c r="G184" s="50" t="s">
        <v>890</v>
      </c>
      <c r="H184" s="57" t="s">
        <v>1228</v>
      </c>
      <c r="I184" s="50" t="s">
        <v>1229</v>
      </c>
      <c r="J184" s="18">
        <f>+_xlfn.XLOOKUP(B184,Sheet3!B:B,Sheet3!J:J,0)</f>
        <v>0</v>
      </c>
      <c r="K184">
        <f t="shared" si="7"/>
        <v>0</v>
      </c>
      <c r="L184" s="54">
        <v>0</v>
      </c>
      <c r="M184" s="67">
        <f t="shared" si="8"/>
        <v>0</v>
      </c>
    </row>
    <row r="185" spans="2:13" hidden="1" x14ac:dyDescent="0.25">
      <c r="B185" t="str">
        <f t="shared" si="6"/>
        <v>Mondolfo PPPPPP-IPU-F348-01</v>
      </c>
      <c r="C185" s="50" t="s">
        <v>826</v>
      </c>
      <c r="D185" s="51" t="s">
        <v>887</v>
      </c>
      <c r="E185" s="50" t="s">
        <v>896</v>
      </c>
      <c r="F185" s="50" t="s">
        <v>889</v>
      </c>
      <c r="G185" s="50" t="s">
        <v>890</v>
      </c>
      <c r="H185" s="57" t="s">
        <v>1230</v>
      </c>
      <c r="I185" s="50" t="s">
        <v>1231</v>
      </c>
      <c r="J185" s="18">
        <f>+_xlfn.XLOOKUP(B185,Sheet3!B:B,Sheet3!J:J,0)</f>
        <v>0</v>
      </c>
      <c r="K185">
        <f t="shared" si="7"/>
        <v>0</v>
      </c>
      <c r="L185" s="54">
        <v>0</v>
      </c>
      <c r="M185" s="67">
        <f t="shared" si="8"/>
        <v>0</v>
      </c>
    </row>
    <row r="186" spans="2:13" hidden="1" x14ac:dyDescent="0.25">
      <c r="B186" t="str">
        <f t="shared" si="6"/>
        <v>Roma Servizi per la Mobilità S.r.l. PPP-IPU-H501-02</v>
      </c>
      <c r="C186" s="50" t="s">
        <v>958</v>
      </c>
      <c r="D186" s="51" t="s">
        <v>887</v>
      </c>
      <c r="E186" s="50" t="s">
        <v>896</v>
      </c>
      <c r="F186" s="50" t="s">
        <v>1079</v>
      </c>
      <c r="G186" s="50" t="s">
        <v>890</v>
      </c>
      <c r="H186" s="57" t="s">
        <v>1232</v>
      </c>
      <c r="I186" s="50" t="s">
        <v>1162</v>
      </c>
      <c r="J186" s="18">
        <f>+_xlfn.XLOOKUP(B186,Sheet3!B:B,Sheet3!J:J,0)</f>
        <v>20.882060000000003</v>
      </c>
      <c r="K186">
        <f t="shared" si="7"/>
        <v>27.84274666666667</v>
      </c>
      <c r="L186" s="54">
        <v>20.882069999999999</v>
      </c>
      <c r="M186" s="67">
        <f t="shared" si="8"/>
        <v>-6.9606766666666715</v>
      </c>
    </row>
    <row r="187" spans="2:13" hidden="1" x14ac:dyDescent="0.25">
      <c r="B187" t="str">
        <f t="shared" si="6"/>
        <v>Santa Maria di SalaPPP-IPU-I242-01</v>
      </c>
      <c r="C187" s="50" t="s">
        <v>826</v>
      </c>
      <c r="D187" s="51" t="s">
        <v>887</v>
      </c>
      <c r="E187" s="50" t="s">
        <v>959</v>
      </c>
      <c r="F187" s="50" t="s">
        <v>889</v>
      </c>
      <c r="G187" s="50" t="s">
        <v>890</v>
      </c>
      <c r="H187" s="57" t="s">
        <v>1233</v>
      </c>
      <c r="I187" s="50" t="s">
        <v>1234</v>
      </c>
      <c r="J187" s="18">
        <f>+_xlfn.XLOOKUP(B187,Sheet3!B:B,Sheet3!J:J,0)</f>
        <v>0</v>
      </c>
      <c r="K187">
        <f t="shared" si="7"/>
        <v>0</v>
      </c>
      <c r="L187" s="54">
        <v>8.6999999999999993</v>
      </c>
      <c r="M187" s="67">
        <f t="shared" si="8"/>
        <v>8.6999999999999993</v>
      </c>
    </row>
    <row r="188" spans="2:13" hidden="1" x14ac:dyDescent="0.25">
      <c r="B188" t="str">
        <f t="shared" si="6"/>
        <v>Vier Scarl (Eco + Eco)SEC-PHV-L736-01</v>
      </c>
      <c r="C188" s="50" t="s">
        <v>958</v>
      </c>
      <c r="D188" s="51" t="s">
        <v>887</v>
      </c>
      <c r="E188" s="50" t="s">
        <v>959</v>
      </c>
      <c r="F188" s="50" t="s">
        <v>897</v>
      </c>
      <c r="G188" s="50" t="s">
        <v>897</v>
      </c>
      <c r="H188" s="57" t="s">
        <v>1235</v>
      </c>
      <c r="I188" s="50" t="s">
        <v>1236</v>
      </c>
      <c r="J188" s="18">
        <f>+_xlfn.XLOOKUP(B188,Sheet3!B:B,Sheet3!J:J,0)</f>
        <v>39.473620000000004</v>
      </c>
      <c r="K188">
        <f t="shared" si="7"/>
        <v>52.631493333333339</v>
      </c>
      <c r="L188" s="54">
        <v>106.31280000000001</v>
      </c>
      <c r="M188" s="67">
        <f t="shared" si="8"/>
        <v>53.681306666666671</v>
      </c>
    </row>
    <row r="189" spans="2:13" hidden="1" x14ac:dyDescent="0.25">
      <c r="B189" t="str">
        <f t="shared" si="6"/>
        <v>Venezia HMPPP-EEE-L736-01</v>
      </c>
      <c r="C189" s="50" t="s">
        <v>958</v>
      </c>
      <c r="D189" s="51" t="s">
        <v>887</v>
      </c>
      <c r="E189" s="50" t="s">
        <v>959</v>
      </c>
      <c r="F189" s="50" t="s">
        <v>965</v>
      </c>
      <c r="G189" s="50" t="s">
        <v>965</v>
      </c>
      <c r="H189" s="57" t="s">
        <v>1237</v>
      </c>
      <c r="I189" s="50" t="s">
        <v>1238</v>
      </c>
      <c r="J189" s="18">
        <f>+_xlfn.XLOOKUP(B189,Sheet3!B:B,Sheet3!J:J,0)</f>
        <v>584.34706999999992</v>
      </c>
      <c r="K189">
        <f t="shared" si="7"/>
        <v>779.12942666666652</v>
      </c>
      <c r="L189" s="54">
        <v>801.04226000000006</v>
      </c>
      <c r="M189" s="67">
        <f t="shared" si="8"/>
        <v>21.912833333333538</v>
      </c>
    </row>
    <row r="190" spans="2:13" hidden="1" x14ac:dyDescent="0.25">
      <c r="B190" t="str">
        <f t="shared" si="6"/>
        <v>Fiesso d'ArticoPPP-IPU-D578-01</v>
      </c>
      <c r="C190" s="50" t="s">
        <v>826</v>
      </c>
      <c r="D190" s="51" t="s">
        <v>887</v>
      </c>
      <c r="E190" s="50" t="s">
        <v>959</v>
      </c>
      <c r="F190" s="50" t="s">
        <v>889</v>
      </c>
      <c r="G190" s="50" t="s">
        <v>890</v>
      </c>
      <c r="H190" s="57" t="s">
        <v>1239</v>
      </c>
      <c r="I190" s="50" t="s">
        <v>1240</v>
      </c>
      <c r="J190" s="18">
        <f>+_xlfn.XLOOKUP(B190,Sheet3!B:B,Sheet3!J:J,0)</f>
        <v>2.7290399999999999</v>
      </c>
      <c r="K190">
        <f t="shared" si="7"/>
        <v>3.6387199999999997</v>
      </c>
      <c r="L190" s="54">
        <v>3.6387199999999997</v>
      </c>
      <c r="M190" s="67">
        <f t="shared" si="8"/>
        <v>0</v>
      </c>
    </row>
    <row r="191" spans="2:13" hidden="1" x14ac:dyDescent="0.25">
      <c r="B191" t="str">
        <f t="shared" si="6"/>
        <v>FossòPPP-IPU-D748-01</v>
      </c>
      <c r="C191" s="50" t="s">
        <v>826</v>
      </c>
      <c r="D191" s="51" t="s">
        <v>887</v>
      </c>
      <c r="E191" s="50" t="s">
        <v>959</v>
      </c>
      <c r="F191" s="50" t="s">
        <v>889</v>
      </c>
      <c r="G191" s="50" t="s">
        <v>890</v>
      </c>
      <c r="H191" s="57" t="s">
        <v>1241</v>
      </c>
      <c r="I191" s="50" t="s">
        <v>1242</v>
      </c>
      <c r="J191" s="18">
        <f>+_xlfn.XLOOKUP(B191,Sheet3!B:B,Sheet3!J:J,0)</f>
        <v>18.570419999999999</v>
      </c>
      <c r="K191">
        <f t="shared" si="7"/>
        <v>24.760559999999998</v>
      </c>
      <c r="L191" s="54">
        <v>24.760560000000002</v>
      </c>
      <c r="M191" s="67">
        <f t="shared" si="8"/>
        <v>0</v>
      </c>
    </row>
    <row r="192" spans="2:13" hidden="1" x14ac:dyDescent="0.25">
      <c r="B192" t="str">
        <f t="shared" si="6"/>
        <v>MiraPPP-IPU-F229-01</v>
      </c>
      <c r="C192" s="50" t="s">
        <v>826</v>
      </c>
      <c r="D192" s="51" t="s">
        <v>887</v>
      </c>
      <c r="E192" s="50" t="s">
        <v>959</v>
      </c>
      <c r="F192" s="50" t="s">
        <v>889</v>
      </c>
      <c r="G192" s="50" t="s">
        <v>890</v>
      </c>
      <c r="H192" s="57" t="s">
        <v>1243</v>
      </c>
      <c r="I192" s="50" t="s">
        <v>1244</v>
      </c>
      <c r="J192" s="18">
        <f>+_xlfn.XLOOKUP(B192,Sheet3!B:B,Sheet3!J:J,0)</f>
        <v>112.28669000000001</v>
      </c>
      <c r="K192">
        <f t="shared" si="7"/>
        <v>149.71558666666667</v>
      </c>
      <c r="L192" s="54">
        <v>149.71558999999999</v>
      </c>
      <c r="M192" s="67">
        <f t="shared" si="8"/>
        <v>3.3333333249174757E-6</v>
      </c>
    </row>
    <row r="193" spans="2:13" hidden="1" x14ac:dyDescent="0.25">
      <c r="B193" t="str">
        <f t="shared" si="6"/>
        <v>MiranoPPP-IPU-F241-01</v>
      </c>
      <c r="C193" s="50" t="s">
        <v>826</v>
      </c>
      <c r="D193" s="51" t="s">
        <v>887</v>
      </c>
      <c r="E193" s="50" t="s">
        <v>959</v>
      </c>
      <c r="F193" s="50" t="s">
        <v>889</v>
      </c>
      <c r="G193" s="50" t="s">
        <v>890</v>
      </c>
      <c r="H193" s="57" t="s">
        <v>1245</v>
      </c>
      <c r="I193" s="50" t="s">
        <v>1246</v>
      </c>
      <c r="J193" s="18">
        <f>+_xlfn.XLOOKUP(B193,Sheet3!B:B,Sheet3!J:J,0)</f>
        <v>56.994959999999999</v>
      </c>
      <c r="K193">
        <f t="shared" si="7"/>
        <v>75.993279999999999</v>
      </c>
      <c r="L193" s="54">
        <v>75.994959999999992</v>
      </c>
      <c r="M193" s="67">
        <f t="shared" si="8"/>
        <v>1.6799999999932425E-3</v>
      </c>
    </row>
    <row r="194" spans="2:13" hidden="1" x14ac:dyDescent="0.25">
      <c r="B194" t="str">
        <f t="shared" si="6"/>
        <v>PozzoleonePPP-IPU-G957-01</v>
      </c>
      <c r="C194" s="50" t="s">
        <v>826</v>
      </c>
      <c r="D194" s="51" t="s">
        <v>887</v>
      </c>
      <c r="E194" s="50" t="s">
        <v>959</v>
      </c>
      <c r="F194" s="50" t="s">
        <v>889</v>
      </c>
      <c r="G194" s="50" t="s">
        <v>890</v>
      </c>
      <c r="H194" s="57" t="s">
        <v>1247</v>
      </c>
      <c r="I194" s="50" t="s">
        <v>1248</v>
      </c>
      <c r="J194" s="18">
        <f>+_xlfn.XLOOKUP(B194,Sheet3!B:B,Sheet3!J:J,0)</f>
        <v>46.137219999999999</v>
      </c>
      <c r="K194">
        <f t="shared" si="7"/>
        <v>61.51629333333333</v>
      </c>
      <c r="L194" s="54">
        <v>95.06917</v>
      </c>
      <c r="M194" s="67">
        <f t="shared" si="8"/>
        <v>33.55287666666667</v>
      </c>
    </row>
    <row r="195" spans="2:13" hidden="1" x14ac:dyDescent="0.25">
      <c r="B195" t="str">
        <f t="shared" si="6"/>
        <v>SolesinoPPP-IPU-I799-01</v>
      </c>
      <c r="C195" s="50" t="s">
        <v>958</v>
      </c>
      <c r="D195" s="51" t="s">
        <v>887</v>
      </c>
      <c r="E195" s="50" t="s">
        <v>959</v>
      </c>
      <c r="F195" s="50" t="s">
        <v>889</v>
      </c>
      <c r="G195" s="50" t="s">
        <v>890</v>
      </c>
      <c r="H195" s="57" t="s">
        <v>1249</v>
      </c>
      <c r="I195" s="50" t="s">
        <v>1250</v>
      </c>
      <c r="J195" s="18">
        <f>+_xlfn.XLOOKUP(B195,Sheet3!B:B,Sheet3!J:J,0)</f>
        <v>85.228740000000002</v>
      </c>
      <c r="K195">
        <f t="shared" si="7"/>
        <v>113.63832000000001</v>
      </c>
      <c r="L195" s="54">
        <v>113.63832000000001</v>
      </c>
      <c r="M195" s="67">
        <f t="shared" si="8"/>
        <v>0</v>
      </c>
    </row>
    <row r="196" spans="2:13" hidden="1" x14ac:dyDescent="0.25">
      <c r="B196" t="str">
        <f t="shared" ref="B196:B259" si="9">+I196&amp;H196</f>
        <v>StraPPP-IPU-I965-01</v>
      </c>
      <c r="C196" s="50" t="s">
        <v>826</v>
      </c>
      <c r="D196" s="51" t="s">
        <v>887</v>
      </c>
      <c r="E196" s="50" t="s">
        <v>959</v>
      </c>
      <c r="F196" s="50" t="s">
        <v>889</v>
      </c>
      <c r="G196" s="50" t="s">
        <v>890</v>
      </c>
      <c r="H196" s="57" t="s">
        <v>1251</v>
      </c>
      <c r="I196" s="50" t="s">
        <v>1252</v>
      </c>
      <c r="J196" s="18">
        <f>+_xlfn.XLOOKUP(B196,Sheet3!B:B,Sheet3!J:J,0)</f>
        <v>29.923400000000001</v>
      </c>
      <c r="K196">
        <f t="shared" ref="K196:K259" si="10">+J196/6*8</f>
        <v>39.897866666666665</v>
      </c>
      <c r="L196" s="54">
        <v>39.897860000000001</v>
      </c>
      <c r="M196" s="67">
        <f t="shared" ref="M196:M259" si="11">+L196-K196</f>
        <v>-6.6666666640458061E-6</v>
      </c>
    </row>
    <row r="197" spans="2:13" x14ac:dyDescent="0.25">
      <c r="B197" t="str">
        <f t="shared" si="9"/>
        <v>Venezia PLPPP-IPU-L736-02</v>
      </c>
      <c r="C197" s="50" t="s">
        <v>958</v>
      </c>
      <c r="D197" s="51" t="s">
        <v>887</v>
      </c>
      <c r="E197" s="50" t="s">
        <v>959</v>
      </c>
      <c r="F197" s="50" t="s">
        <v>889</v>
      </c>
      <c r="G197" s="50" t="s">
        <v>890</v>
      </c>
      <c r="H197" s="57" t="s">
        <v>1253</v>
      </c>
      <c r="I197" s="50" t="s">
        <v>1254</v>
      </c>
      <c r="J197" s="18">
        <f>+_xlfn.XLOOKUP(B197,Sheet3!B:B,Sheet3!J:J,0)</f>
        <v>1177.09851</v>
      </c>
      <c r="K197">
        <f t="shared" si="10"/>
        <v>1569.46468</v>
      </c>
      <c r="L197" s="54">
        <v>1473.5630000000001</v>
      </c>
      <c r="M197" s="67">
        <f t="shared" si="11"/>
        <v>-95.901679999999942</v>
      </c>
    </row>
    <row r="198" spans="2:13" hidden="1" x14ac:dyDescent="0.25">
      <c r="B198" t="str">
        <f t="shared" si="9"/>
        <v>Chioggia BuildingPPP-EEE-C638-01</v>
      </c>
      <c r="C198" s="50" t="s">
        <v>958</v>
      </c>
      <c r="D198" s="51" t="s">
        <v>887</v>
      </c>
      <c r="E198" s="50" t="s">
        <v>959</v>
      </c>
      <c r="F198" s="50" t="s">
        <v>965</v>
      </c>
      <c r="G198" s="50" t="s">
        <v>965</v>
      </c>
      <c r="H198" s="57" t="s">
        <v>1255</v>
      </c>
      <c r="I198" s="50" t="s">
        <v>1256</v>
      </c>
      <c r="J198" s="18">
        <f>+_xlfn.XLOOKUP(B198,Sheet3!B:B,Sheet3!J:J,0)</f>
        <v>0</v>
      </c>
      <c r="K198">
        <f t="shared" si="10"/>
        <v>0</v>
      </c>
      <c r="L198" s="54">
        <v>0</v>
      </c>
      <c r="M198" s="67">
        <f t="shared" si="11"/>
        <v>0</v>
      </c>
    </row>
    <row r="199" spans="2:13" hidden="1" x14ac:dyDescent="0.25">
      <c r="B199" t="str">
        <f t="shared" si="9"/>
        <v>ChioggiaPPP-IPU-C638-01</v>
      </c>
      <c r="C199" s="50" t="s">
        <v>958</v>
      </c>
      <c r="D199" s="51" t="s">
        <v>887</v>
      </c>
      <c r="E199" s="50" t="s">
        <v>959</v>
      </c>
      <c r="F199" s="50" t="s">
        <v>889</v>
      </c>
      <c r="G199" s="50" t="s">
        <v>890</v>
      </c>
      <c r="H199" s="57" t="s">
        <v>1257</v>
      </c>
      <c r="I199" s="50" t="s">
        <v>1258</v>
      </c>
      <c r="J199" s="18">
        <f>+_xlfn.XLOOKUP(B199,Sheet3!B:B,Sheet3!J:J,0)</f>
        <v>199.34567999999999</v>
      </c>
      <c r="K199">
        <f t="shared" si="10"/>
        <v>265.79424</v>
      </c>
      <c r="L199" s="54">
        <v>247.59752</v>
      </c>
      <c r="M199" s="67">
        <f t="shared" si="11"/>
        <v>-18.196719999999999</v>
      </c>
    </row>
    <row r="200" spans="2:13" hidden="1" x14ac:dyDescent="0.25">
      <c r="B200" t="str">
        <f t="shared" si="9"/>
        <v>TriestePPP-IPU-L424-01</v>
      </c>
      <c r="C200" s="50" t="s">
        <v>958</v>
      </c>
      <c r="D200" s="51" t="s">
        <v>887</v>
      </c>
      <c r="E200" s="50" t="s">
        <v>959</v>
      </c>
      <c r="F200" s="50" t="s">
        <v>889</v>
      </c>
      <c r="G200" s="50" t="s">
        <v>890</v>
      </c>
      <c r="H200" s="57" t="s">
        <v>1259</v>
      </c>
      <c r="I200" s="50" t="s">
        <v>1260</v>
      </c>
      <c r="J200" s="18">
        <f>+_xlfn.XLOOKUP(B200,Sheet3!B:B,Sheet3!J:J,0)</f>
        <v>649.37378000000001</v>
      </c>
      <c r="K200">
        <f t="shared" si="10"/>
        <v>865.83170666666672</v>
      </c>
      <c r="L200" s="54">
        <v>865.83176000000003</v>
      </c>
      <c r="M200" s="67">
        <f t="shared" si="11"/>
        <v>5.3333333312366449E-5</v>
      </c>
    </row>
    <row r="201" spans="2:13" hidden="1" x14ac:dyDescent="0.25">
      <c r="B201" t="str">
        <f t="shared" si="9"/>
        <v>Payanini Center RugbySEC-IPU-L781-01</v>
      </c>
      <c r="C201" s="50" t="s">
        <v>826</v>
      </c>
      <c r="D201" s="51" t="s">
        <v>887</v>
      </c>
      <c r="E201" s="50" t="s">
        <v>959</v>
      </c>
      <c r="F201" s="50" t="s">
        <v>1079</v>
      </c>
      <c r="G201" s="50" t="s">
        <v>1079</v>
      </c>
      <c r="H201" s="57" t="s">
        <v>1261</v>
      </c>
      <c r="I201" s="50" t="s">
        <v>1262</v>
      </c>
      <c r="J201" s="18">
        <f>+_xlfn.XLOOKUP(B201,Sheet3!B:B,Sheet3!J:J,0)</f>
        <v>10.08</v>
      </c>
      <c r="K201">
        <f t="shared" si="10"/>
        <v>13.44</v>
      </c>
      <c r="L201" s="54">
        <v>13.44</v>
      </c>
      <c r="M201" s="67">
        <f t="shared" si="11"/>
        <v>0</v>
      </c>
    </row>
    <row r="202" spans="2:13" hidden="1" x14ac:dyDescent="0.25">
      <c r="B202" t="str">
        <f t="shared" si="9"/>
        <v>Caselle in PittariPPP-IPU-B959-01</v>
      </c>
      <c r="C202" s="50" t="s">
        <v>826</v>
      </c>
      <c r="D202" s="51" t="s">
        <v>887</v>
      </c>
      <c r="E202" s="50" t="s">
        <v>910</v>
      </c>
      <c r="F202" s="50" t="s">
        <v>889</v>
      </c>
      <c r="G202" s="50" t="s">
        <v>890</v>
      </c>
      <c r="H202" s="57" t="s">
        <v>1263</v>
      </c>
      <c r="I202" s="50" t="s">
        <v>1264</v>
      </c>
      <c r="J202" s="18">
        <f>+_xlfn.XLOOKUP(B202,Sheet3!B:B,Sheet3!J:J,0)</f>
        <v>17.043220000000002</v>
      </c>
      <c r="K202">
        <f t="shared" si="10"/>
        <v>22.724293333333335</v>
      </c>
      <c r="L202" s="54">
        <v>29.95514</v>
      </c>
      <c r="M202" s="67">
        <f t="shared" si="11"/>
        <v>7.2308466666666646</v>
      </c>
    </row>
    <row r="203" spans="2:13" hidden="1" x14ac:dyDescent="0.25">
      <c r="B203" t="str">
        <f t="shared" si="9"/>
        <v>San Felice a CancelloPPP-IPU-H834-01</v>
      </c>
      <c r="C203" s="50" t="s">
        <v>826</v>
      </c>
      <c r="D203" s="51" t="s">
        <v>887</v>
      </c>
      <c r="E203" s="50" t="s">
        <v>910</v>
      </c>
      <c r="F203" s="50" t="s">
        <v>889</v>
      </c>
      <c r="G203" s="50" t="s">
        <v>890</v>
      </c>
      <c r="H203" s="57" t="s">
        <v>1265</v>
      </c>
      <c r="I203" s="50" t="s">
        <v>1266</v>
      </c>
      <c r="J203" s="18">
        <f>+_xlfn.XLOOKUP(B203,Sheet3!B:B,Sheet3!J:J,0)</f>
        <v>0</v>
      </c>
      <c r="K203">
        <f t="shared" si="10"/>
        <v>0</v>
      </c>
      <c r="L203" s="54">
        <v>0</v>
      </c>
      <c r="M203" s="67">
        <f t="shared" si="11"/>
        <v>0</v>
      </c>
    </row>
    <row r="204" spans="2:13" hidden="1" x14ac:dyDescent="0.25">
      <c r="B204" t="str">
        <f t="shared" si="9"/>
        <v>Presicce-AcquaricaPPP-IPU-M428-01</v>
      </c>
      <c r="C204" s="50" t="s">
        <v>826</v>
      </c>
      <c r="D204" s="51" t="s">
        <v>887</v>
      </c>
      <c r="E204" s="50" t="s">
        <v>910</v>
      </c>
      <c r="F204" s="50" t="s">
        <v>889</v>
      </c>
      <c r="G204" s="50" t="s">
        <v>890</v>
      </c>
      <c r="H204" s="57" t="s">
        <v>1267</v>
      </c>
      <c r="I204" s="50" t="s">
        <v>1268</v>
      </c>
      <c r="J204" s="18">
        <f>+_xlfn.XLOOKUP(B204,Sheet3!B:B,Sheet3!J:J,0)</f>
        <v>0</v>
      </c>
      <c r="K204">
        <f t="shared" si="10"/>
        <v>0</v>
      </c>
      <c r="L204" s="54">
        <v>0</v>
      </c>
      <c r="M204" s="67">
        <f t="shared" si="11"/>
        <v>0</v>
      </c>
    </row>
    <row r="205" spans="2:13" hidden="1" x14ac:dyDescent="0.25">
      <c r="B205" t="str">
        <f t="shared" si="9"/>
        <v>Sessa CilentoPPP-IPU-I677-01</v>
      </c>
      <c r="C205" s="50" t="s">
        <v>826</v>
      </c>
      <c r="D205" s="51" t="s">
        <v>887</v>
      </c>
      <c r="E205" s="50" t="s">
        <v>910</v>
      </c>
      <c r="F205" s="50" t="s">
        <v>889</v>
      </c>
      <c r="G205" s="50" t="s">
        <v>890</v>
      </c>
      <c r="H205" s="57" t="s">
        <v>1269</v>
      </c>
      <c r="I205" s="50" t="s">
        <v>1270</v>
      </c>
      <c r="J205" s="18">
        <f>+_xlfn.XLOOKUP(B205,Sheet3!B:B,Sheet3!J:J,0)</f>
        <v>0</v>
      </c>
      <c r="K205">
        <f t="shared" si="10"/>
        <v>0</v>
      </c>
      <c r="L205" s="54">
        <v>0</v>
      </c>
      <c r="M205" s="67">
        <f t="shared" si="11"/>
        <v>0</v>
      </c>
    </row>
    <row r="206" spans="2:13" hidden="1" x14ac:dyDescent="0.25">
      <c r="B206" t="str">
        <f t="shared" si="9"/>
        <v>NocigliaPPP-IPU-F916-01</v>
      </c>
      <c r="C206" s="50" t="s">
        <v>826</v>
      </c>
      <c r="D206" s="51" t="s">
        <v>887</v>
      </c>
      <c r="E206" s="50" t="s">
        <v>910</v>
      </c>
      <c r="F206" s="50" t="s">
        <v>889</v>
      </c>
      <c r="G206" s="50" t="s">
        <v>890</v>
      </c>
      <c r="H206" s="57" t="s">
        <v>1271</v>
      </c>
      <c r="I206" s="50" t="s">
        <v>1272</v>
      </c>
      <c r="J206" s="18">
        <f>+_xlfn.XLOOKUP(B206,Sheet3!B:B,Sheet3!J:J,0)</f>
        <v>36.017980000000001</v>
      </c>
      <c r="K206">
        <f t="shared" si="10"/>
        <v>48.023973333333338</v>
      </c>
      <c r="L206" s="54">
        <v>55.234639999999999</v>
      </c>
      <c r="M206" s="67">
        <f t="shared" si="11"/>
        <v>7.2106666666666612</v>
      </c>
    </row>
    <row r="207" spans="2:13" hidden="1" x14ac:dyDescent="0.25">
      <c r="B207" t="str">
        <f t="shared" si="9"/>
        <v>San Nicola ArcellaATI-IPU-I060-01</v>
      </c>
      <c r="C207" s="50" t="s">
        <v>826</v>
      </c>
      <c r="D207" s="51" t="s">
        <v>887</v>
      </c>
      <c r="E207" s="50" t="s">
        <v>910</v>
      </c>
      <c r="F207" s="50" t="s">
        <v>889</v>
      </c>
      <c r="G207" s="50" t="s">
        <v>890</v>
      </c>
      <c r="H207" s="57" t="s">
        <v>1273</v>
      </c>
      <c r="I207" s="50" t="s">
        <v>1274</v>
      </c>
      <c r="J207" s="18">
        <f>+_xlfn.XLOOKUP(B207,Sheet3!B:B,Sheet3!J:J,0)</f>
        <v>0</v>
      </c>
      <c r="K207">
        <f t="shared" si="10"/>
        <v>0</v>
      </c>
      <c r="L207" s="54">
        <v>0</v>
      </c>
      <c r="M207" s="67">
        <f t="shared" si="11"/>
        <v>0</v>
      </c>
    </row>
    <row r="208" spans="2:13" hidden="1" x14ac:dyDescent="0.25">
      <c r="B208" t="str">
        <f t="shared" si="9"/>
        <v>CalvanicoPPP-IPU-B437-01</v>
      </c>
      <c r="C208" s="50" t="s">
        <v>826</v>
      </c>
      <c r="D208" s="51" t="s">
        <v>887</v>
      </c>
      <c r="E208" s="50" t="s">
        <v>910</v>
      </c>
      <c r="F208" s="50" t="s">
        <v>889</v>
      </c>
      <c r="G208" s="50" t="s">
        <v>890</v>
      </c>
      <c r="H208" s="57" t="s">
        <v>1275</v>
      </c>
      <c r="I208" s="50" t="s">
        <v>1276</v>
      </c>
      <c r="J208" s="18">
        <f>+_xlfn.XLOOKUP(B208,Sheet3!B:B,Sheet3!J:J,0)</f>
        <v>0</v>
      </c>
      <c r="K208">
        <f t="shared" si="10"/>
        <v>0</v>
      </c>
      <c r="L208" s="54">
        <v>0</v>
      </c>
      <c r="M208" s="67">
        <f t="shared" si="11"/>
        <v>0</v>
      </c>
    </row>
    <row r="209" spans="2:13" hidden="1" x14ac:dyDescent="0.25">
      <c r="B209" t="str">
        <f t="shared" si="9"/>
        <v>Casal di PrincipePPP-IPU-B872-01</v>
      </c>
      <c r="C209" s="50" t="s">
        <v>826</v>
      </c>
      <c r="D209" s="51" t="s">
        <v>887</v>
      </c>
      <c r="E209" s="50" t="s">
        <v>910</v>
      </c>
      <c r="F209" s="50" t="s">
        <v>889</v>
      </c>
      <c r="G209" s="50" t="s">
        <v>890</v>
      </c>
      <c r="H209" s="57" t="s">
        <v>1277</v>
      </c>
      <c r="I209" s="50" t="s">
        <v>1278</v>
      </c>
      <c r="J209" s="18">
        <f>+_xlfn.XLOOKUP(B209,Sheet3!B:B,Sheet3!J:J,0)</f>
        <v>0</v>
      </c>
      <c r="K209">
        <f t="shared" si="10"/>
        <v>0</v>
      </c>
      <c r="L209" s="54">
        <v>0</v>
      </c>
      <c r="M209" s="67">
        <f t="shared" si="11"/>
        <v>0</v>
      </c>
    </row>
    <row r="210" spans="2:13" hidden="1" x14ac:dyDescent="0.25">
      <c r="B210" t="str">
        <f t="shared" si="9"/>
        <v>PignolaPPP-IPU-G663-01</v>
      </c>
      <c r="C210" s="50" t="s">
        <v>826</v>
      </c>
      <c r="D210" s="51" t="s">
        <v>887</v>
      </c>
      <c r="E210" s="50" t="s">
        <v>910</v>
      </c>
      <c r="F210" s="50" t="s">
        <v>889</v>
      </c>
      <c r="G210" s="50" t="s">
        <v>890</v>
      </c>
      <c r="H210" s="57" t="s">
        <v>1279</v>
      </c>
      <c r="I210" s="50" t="s">
        <v>1280</v>
      </c>
      <c r="J210" s="18">
        <f>+_xlfn.XLOOKUP(B210,Sheet3!B:B,Sheet3!J:J,0)</f>
        <v>0</v>
      </c>
      <c r="K210">
        <f t="shared" si="10"/>
        <v>0</v>
      </c>
      <c r="L210" s="54">
        <v>0</v>
      </c>
      <c r="M210" s="67">
        <f t="shared" si="11"/>
        <v>0</v>
      </c>
    </row>
    <row r="211" spans="2:13" hidden="1" x14ac:dyDescent="0.25">
      <c r="B211" t="str">
        <f t="shared" si="9"/>
        <v>GuagnanoPPP-IPU-E227-01</v>
      </c>
      <c r="C211" s="50" t="s">
        <v>826</v>
      </c>
      <c r="D211" s="51" t="s">
        <v>887</v>
      </c>
      <c r="E211" s="50" t="s">
        <v>910</v>
      </c>
      <c r="F211" s="50" t="s">
        <v>889</v>
      </c>
      <c r="G211" s="50" t="s">
        <v>890</v>
      </c>
      <c r="H211" s="57" t="s">
        <v>1281</v>
      </c>
      <c r="I211" s="50" t="s">
        <v>1282</v>
      </c>
      <c r="J211" s="18">
        <f>+_xlfn.XLOOKUP(B211,Sheet3!B:B,Sheet3!J:J,0)</f>
        <v>0</v>
      </c>
      <c r="K211">
        <f t="shared" si="10"/>
        <v>0</v>
      </c>
      <c r="L211" s="54">
        <v>0</v>
      </c>
      <c r="M211" s="67">
        <f t="shared" si="11"/>
        <v>0</v>
      </c>
    </row>
    <row r="212" spans="2:13" hidden="1" x14ac:dyDescent="0.25">
      <c r="B212" t="str">
        <f t="shared" si="9"/>
        <v>PaternoPPP-IPU-M269-01</v>
      </c>
      <c r="C212" s="50" t="s">
        <v>826</v>
      </c>
      <c r="D212" s="51" t="s">
        <v>887</v>
      </c>
      <c r="E212" s="50" t="s">
        <v>910</v>
      </c>
      <c r="F212" s="50" t="s">
        <v>889</v>
      </c>
      <c r="G212" s="50" t="s">
        <v>890</v>
      </c>
      <c r="H212" s="57" t="s">
        <v>1283</v>
      </c>
      <c r="I212" s="50" t="s">
        <v>1284</v>
      </c>
      <c r="J212" s="18">
        <f>+_xlfn.XLOOKUP(B212,Sheet3!B:B,Sheet3!J:J,0)</f>
        <v>0</v>
      </c>
      <c r="K212">
        <f t="shared" si="10"/>
        <v>0</v>
      </c>
      <c r="L212" s="54">
        <v>0</v>
      </c>
      <c r="M212" s="67">
        <f t="shared" si="11"/>
        <v>0</v>
      </c>
    </row>
    <row r="213" spans="2:13" hidden="1" x14ac:dyDescent="0.25">
      <c r="B213" t="str">
        <f t="shared" si="9"/>
        <v>Campobello di MazaraPPP-IPU-B521-01</v>
      </c>
      <c r="C213" s="50" t="s">
        <v>826</v>
      </c>
      <c r="D213" s="51" t="s">
        <v>887</v>
      </c>
      <c r="E213" s="50" t="s">
        <v>910</v>
      </c>
      <c r="F213" s="50" t="s">
        <v>889</v>
      </c>
      <c r="G213" s="50" t="s">
        <v>890</v>
      </c>
      <c r="H213" s="57" t="s">
        <v>1285</v>
      </c>
      <c r="I213" s="50" t="s">
        <v>1286</v>
      </c>
      <c r="J213" s="18">
        <f>+_xlfn.XLOOKUP(B213,Sheet3!B:B,Sheet3!J:J,0)</f>
        <v>0</v>
      </c>
      <c r="K213">
        <f t="shared" si="10"/>
        <v>0</v>
      </c>
      <c r="L213" s="54">
        <v>0</v>
      </c>
      <c r="M213" s="67">
        <f t="shared" si="11"/>
        <v>0</v>
      </c>
    </row>
    <row r="214" spans="2:13" hidden="1" x14ac:dyDescent="0.25">
      <c r="B214" t="str">
        <f t="shared" si="9"/>
        <v>BisignanoATI-IPU-A887-01</v>
      </c>
      <c r="C214" s="50" t="s">
        <v>826</v>
      </c>
      <c r="D214" s="51" t="s">
        <v>887</v>
      </c>
      <c r="E214" s="50" t="s">
        <v>910</v>
      </c>
      <c r="F214" s="50" t="s">
        <v>889</v>
      </c>
      <c r="G214" s="50" t="s">
        <v>890</v>
      </c>
      <c r="H214" s="57" t="s">
        <v>1287</v>
      </c>
      <c r="I214" s="50" t="s">
        <v>1288</v>
      </c>
      <c r="J214" s="18">
        <f>+_xlfn.XLOOKUP(B214,Sheet3!B:B,Sheet3!J:J,0)</f>
        <v>30.391919999999999</v>
      </c>
      <c r="K214">
        <f t="shared" si="10"/>
        <v>40.522559999999999</v>
      </c>
      <c r="L214" s="54">
        <v>40.484559999999995</v>
      </c>
      <c r="M214" s="67">
        <f t="shared" si="11"/>
        <v>-3.8000000000003809E-2</v>
      </c>
    </row>
    <row r="215" spans="2:13" hidden="1" x14ac:dyDescent="0.25">
      <c r="B215" t="str">
        <f t="shared" si="9"/>
        <v>MelissanoATI-IPU-F109-01</v>
      </c>
      <c r="C215" s="50" t="s">
        <v>826</v>
      </c>
      <c r="D215" s="51" t="s">
        <v>887</v>
      </c>
      <c r="E215" s="50" t="s">
        <v>910</v>
      </c>
      <c r="F215" s="50" t="s">
        <v>889</v>
      </c>
      <c r="G215" s="50" t="s">
        <v>890</v>
      </c>
      <c r="H215" s="57" t="s">
        <v>1289</v>
      </c>
      <c r="I215" s="50" t="s">
        <v>1290</v>
      </c>
      <c r="J215" s="18">
        <f>+_xlfn.XLOOKUP(B215,Sheet3!B:B,Sheet3!J:J,0)</f>
        <v>15.33672</v>
      </c>
      <c r="K215">
        <f t="shared" si="10"/>
        <v>20.44896</v>
      </c>
      <c r="L215" s="54">
        <v>20.44896</v>
      </c>
      <c r="M215" s="67">
        <f t="shared" si="11"/>
        <v>0</v>
      </c>
    </row>
    <row r="216" spans="2:13" hidden="1" x14ac:dyDescent="0.25">
      <c r="B216" t="str">
        <f t="shared" si="9"/>
        <v>Montecorvino RovellaATI-IPU-F481-01</v>
      </c>
      <c r="C216" s="50" t="s">
        <v>826</v>
      </c>
      <c r="D216" s="51" t="s">
        <v>887</v>
      </c>
      <c r="E216" s="50" t="s">
        <v>910</v>
      </c>
      <c r="F216" s="50" t="s">
        <v>889</v>
      </c>
      <c r="G216" s="50" t="s">
        <v>890</v>
      </c>
      <c r="H216" s="57" t="s">
        <v>1291</v>
      </c>
      <c r="I216" s="50" t="s">
        <v>1292</v>
      </c>
      <c r="J216" s="18">
        <f>+_xlfn.XLOOKUP(B216,Sheet3!B:B,Sheet3!J:J,0)</f>
        <v>19.143419999999999</v>
      </c>
      <c r="K216">
        <f t="shared" si="10"/>
        <v>25.524559999999997</v>
      </c>
      <c r="L216" s="54">
        <v>25.524559999999997</v>
      </c>
      <c r="M216" s="67">
        <f t="shared" si="11"/>
        <v>0</v>
      </c>
    </row>
    <row r="217" spans="2:13" hidden="1" x14ac:dyDescent="0.25">
      <c r="B217" t="str">
        <f t="shared" si="9"/>
        <v>ParabitaATI-IPU-G325-01</v>
      </c>
      <c r="C217" s="50" t="s">
        <v>826</v>
      </c>
      <c r="D217" s="51" t="s">
        <v>887</v>
      </c>
      <c r="E217" s="50" t="s">
        <v>910</v>
      </c>
      <c r="F217" s="50" t="s">
        <v>889</v>
      </c>
      <c r="G217" s="50" t="s">
        <v>890</v>
      </c>
      <c r="H217" s="57" t="s">
        <v>1293</v>
      </c>
      <c r="I217" s="50" t="s">
        <v>1294</v>
      </c>
      <c r="J217" s="18">
        <f>+_xlfn.XLOOKUP(B217,Sheet3!B:B,Sheet3!J:J,0)</f>
        <v>23.583659999999998</v>
      </c>
      <c r="K217">
        <f t="shared" si="10"/>
        <v>31.444879999999998</v>
      </c>
      <c r="L217" s="54">
        <v>31.384880000000003</v>
      </c>
      <c r="M217" s="67">
        <f t="shared" si="11"/>
        <v>-5.9999999999995168E-2</v>
      </c>
    </row>
    <row r="218" spans="2:13" hidden="1" x14ac:dyDescent="0.25">
      <c r="B218" t="str">
        <f t="shared" si="9"/>
        <v>PietragallaATI-IPU-G616-01</v>
      </c>
      <c r="C218" s="50" t="s">
        <v>826</v>
      </c>
      <c r="D218" s="51" t="s">
        <v>887</v>
      </c>
      <c r="E218" s="50" t="s">
        <v>910</v>
      </c>
      <c r="F218" s="50" t="s">
        <v>889</v>
      </c>
      <c r="G218" s="50" t="s">
        <v>890</v>
      </c>
      <c r="H218" s="57" t="s">
        <v>1295</v>
      </c>
      <c r="I218" s="50" t="s">
        <v>1296</v>
      </c>
      <c r="J218" s="18">
        <f>+_xlfn.XLOOKUP(B218,Sheet3!B:B,Sheet3!J:J,0)</f>
        <v>41.784870000000005</v>
      </c>
      <c r="K218">
        <f t="shared" si="10"/>
        <v>55.713160000000009</v>
      </c>
      <c r="L218" s="54">
        <v>54.694029999999998</v>
      </c>
      <c r="M218" s="67">
        <f t="shared" si="11"/>
        <v>-1.0191300000000112</v>
      </c>
    </row>
    <row r="219" spans="2:13" hidden="1" x14ac:dyDescent="0.25">
      <c r="B219" t="str">
        <f t="shared" si="9"/>
        <v>San Gregorio MagnoATI-IPU-H943-01</v>
      </c>
      <c r="C219" s="50" t="s">
        <v>826</v>
      </c>
      <c r="D219" s="51" t="s">
        <v>887</v>
      </c>
      <c r="E219" s="50" t="s">
        <v>910</v>
      </c>
      <c r="F219" s="50" t="s">
        <v>889</v>
      </c>
      <c r="G219" s="50" t="s">
        <v>890</v>
      </c>
      <c r="H219" s="57" t="s">
        <v>1297</v>
      </c>
      <c r="I219" s="50" t="s">
        <v>1298</v>
      </c>
      <c r="J219" s="18">
        <f>+_xlfn.XLOOKUP(B219,Sheet3!B:B,Sheet3!J:J,0)</f>
        <v>34.911900000000003</v>
      </c>
      <c r="K219">
        <f t="shared" si="10"/>
        <v>46.549200000000006</v>
      </c>
      <c r="L219" s="54">
        <v>46.549200000000006</v>
      </c>
      <c r="M219" s="67">
        <f t="shared" si="11"/>
        <v>0</v>
      </c>
    </row>
    <row r="220" spans="2:13" hidden="1" x14ac:dyDescent="0.25">
      <c r="B220" t="str">
        <f t="shared" si="9"/>
        <v>Sant'ArsenioATI-IPU-I307-01</v>
      </c>
      <c r="C220" s="50" t="s">
        <v>826</v>
      </c>
      <c r="D220" s="51" t="s">
        <v>887</v>
      </c>
      <c r="E220" s="50" t="s">
        <v>910</v>
      </c>
      <c r="F220" s="50" t="s">
        <v>889</v>
      </c>
      <c r="G220" s="50" t="s">
        <v>890</v>
      </c>
      <c r="H220" s="57" t="s">
        <v>1299</v>
      </c>
      <c r="I220" s="50" t="s">
        <v>1300</v>
      </c>
      <c r="J220" s="18">
        <f>+_xlfn.XLOOKUP(B220,Sheet3!B:B,Sheet3!J:J,0)</f>
        <v>10.279260000000001</v>
      </c>
      <c r="K220">
        <f t="shared" si="10"/>
        <v>13.705680000000001</v>
      </c>
      <c r="L220" s="54">
        <v>13.705680000000001</v>
      </c>
      <c r="M220" s="67">
        <f t="shared" si="11"/>
        <v>0</v>
      </c>
    </row>
    <row r="221" spans="2:13" hidden="1" x14ac:dyDescent="0.25">
      <c r="B221" t="str">
        <f t="shared" si="9"/>
        <v>AcerraCL4-IPU-A024-01</v>
      </c>
      <c r="C221" s="50" t="s">
        <v>958</v>
      </c>
      <c r="D221" s="51" t="s">
        <v>887</v>
      </c>
      <c r="E221" s="50" t="s">
        <v>910</v>
      </c>
      <c r="F221" s="50" t="s">
        <v>889</v>
      </c>
      <c r="G221" s="50" t="s">
        <v>1301</v>
      </c>
      <c r="H221" s="57" t="s">
        <v>1302</v>
      </c>
      <c r="I221" s="50" t="s">
        <v>1303</v>
      </c>
      <c r="J221" s="18">
        <f>+_xlfn.XLOOKUP(B221,Sheet3!B:B,Sheet3!J:J,0)</f>
        <v>42.353089999999995</v>
      </c>
      <c r="K221">
        <f t="shared" si="10"/>
        <v>56.470786666666662</v>
      </c>
      <c r="L221" s="54">
        <v>54.842140000000001</v>
      </c>
      <c r="M221" s="67">
        <f t="shared" si="11"/>
        <v>-1.6286466666666612</v>
      </c>
    </row>
    <row r="222" spans="2:13" hidden="1" x14ac:dyDescent="0.25">
      <c r="B222" t="str">
        <f t="shared" si="9"/>
        <v>CasandrinoCL4-IPU-B925-01</v>
      </c>
      <c r="C222" s="50" t="s">
        <v>958</v>
      </c>
      <c r="D222" s="51" t="s">
        <v>887</v>
      </c>
      <c r="E222" s="50" t="s">
        <v>910</v>
      </c>
      <c r="F222" s="50" t="s">
        <v>889</v>
      </c>
      <c r="G222" s="50" t="s">
        <v>1301</v>
      </c>
      <c r="H222" s="57" t="s">
        <v>1304</v>
      </c>
      <c r="I222" s="50" t="s">
        <v>1305</v>
      </c>
      <c r="J222" s="18">
        <f>+_xlfn.XLOOKUP(B222,Sheet3!B:B,Sheet3!J:J,0)</f>
        <v>12.212540000000001</v>
      </c>
      <c r="K222">
        <f t="shared" si="10"/>
        <v>16.283386666666669</v>
      </c>
      <c r="L222" s="54">
        <v>16.24438</v>
      </c>
      <c r="M222" s="67">
        <f t="shared" si="11"/>
        <v>-3.9006666666669076E-2</v>
      </c>
    </row>
    <row r="223" spans="2:13" hidden="1" x14ac:dyDescent="0.25">
      <c r="B223" t="str">
        <f t="shared" si="9"/>
        <v>CasavatoreCL4-IPU-B946-01</v>
      </c>
      <c r="C223" s="50" t="s">
        <v>958</v>
      </c>
      <c r="D223" s="51" t="s">
        <v>887</v>
      </c>
      <c r="E223" s="50" t="s">
        <v>910</v>
      </c>
      <c r="F223" s="50" t="s">
        <v>889</v>
      </c>
      <c r="G223" s="50" t="s">
        <v>1301</v>
      </c>
      <c r="H223" s="57" t="s">
        <v>1306</v>
      </c>
      <c r="I223" s="50" t="s">
        <v>1307</v>
      </c>
      <c r="J223" s="18">
        <f>+_xlfn.XLOOKUP(B223,Sheet3!B:B,Sheet3!J:J,0)</f>
        <v>11.01252</v>
      </c>
      <c r="K223">
        <f t="shared" si="10"/>
        <v>14.68336</v>
      </c>
      <c r="L223" s="54">
        <v>14.522870000000001</v>
      </c>
      <c r="M223" s="67">
        <f t="shared" si="11"/>
        <v>-0.16048999999999936</v>
      </c>
    </row>
    <row r="224" spans="2:13" hidden="1" x14ac:dyDescent="0.25">
      <c r="B224" t="str">
        <f t="shared" si="9"/>
        <v>CrispanoCL4-IPU-D170-01</v>
      </c>
      <c r="C224" s="50" t="s">
        <v>958</v>
      </c>
      <c r="D224" s="51" t="s">
        <v>887</v>
      </c>
      <c r="E224" s="50" t="s">
        <v>910</v>
      </c>
      <c r="F224" s="50" t="s">
        <v>889</v>
      </c>
      <c r="G224" s="50" t="s">
        <v>1301</v>
      </c>
      <c r="H224" s="57" t="s">
        <v>1308</v>
      </c>
      <c r="I224" s="50" t="s">
        <v>1309</v>
      </c>
      <c r="J224" s="18">
        <f>+_xlfn.XLOOKUP(B224,Sheet3!B:B,Sheet3!J:J,0)</f>
        <v>10.68501</v>
      </c>
      <c r="K224">
        <f t="shared" si="10"/>
        <v>14.24668</v>
      </c>
      <c r="L224" s="54">
        <v>14.249309999999999</v>
      </c>
      <c r="M224" s="67">
        <f t="shared" si="11"/>
        <v>2.6299999999999102E-3</v>
      </c>
    </row>
    <row r="225" spans="2:13" hidden="1" x14ac:dyDescent="0.25">
      <c r="B225" t="str">
        <f t="shared" si="9"/>
        <v>FoggiaCL4-IPU-D643-01</v>
      </c>
      <c r="C225" s="50" t="s">
        <v>958</v>
      </c>
      <c r="D225" s="51" t="s">
        <v>887</v>
      </c>
      <c r="E225" s="50" t="s">
        <v>910</v>
      </c>
      <c r="F225" s="50" t="s">
        <v>889</v>
      </c>
      <c r="G225" s="50" t="s">
        <v>1301</v>
      </c>
      <c r="H225" s="57" t="s">
        <v>1310</v>
      </c>
      <c r="I225" s="50" t="s">
        <v>1311</v>
      </c>
      <c r="J225" s="18">
        <f>+_xlfn.XLOOKUP(B225,Sheet3!B:B,Sheet3!J:J,0)</f>
        <v>215.20180999999999</v>
      </c>
      <c r="K225">
        <f t="shared" si="10"/>
        <v>286.93574666666666</v>
      </c>
      <c r="L225" s="54">
        <v>286.21795000000003</v>
      </c>
      <c r="M225" s="67">
        <f t="shared" si="11"/>
        <v>-0.71779666666662933</v>
      </c>
    </row>
    <row r="226" spans="2:13" hidden="1" x14ac:dyDescent="0.25">
      <c r="B226" t="str">
        <f t="shared" si="9"/>
        <v>ManfredoniaCL4-IPU-E885-01</v>
      </c>
      <c r="C226" s="50" t="s">
        <v>958</v>
      </c>
      <c r="D226" s="51" t="s">
        <v>887</v>
      </c>
      <c r="E226" s="50" t="s">
        <v>910</v>
      </c>
      <c r="F226" s="50" t="s">
        <v>889</v>
      </c>
      <c r="G226" s="50" t="s">
        <v>1301</v>
      </c>
      <c r="H226" s="57" t="s">
        <v>1312</v>
      </c>
      <c r="I226" s="50" t="s">
        <v>1313</v>
      </c>
      <c r="J226" s="18">
        <f>+_xlfn.XLOOKUP(B226,Sheet3!B:B,Sheet3!J:J,0)</f>
        <v>93.230789999999999</v>
      </c>
      <c r="K226">
        <f t="shared" si="10"/>
        <v>124.30772</v>
      </c>
      <c r="L226" s="54">
        <v>128.09577999999999</v>
      </c>
      <c r="M226" s="67">
        <f t="shared" si="11"/>
        <v>3.7880599999999873</v>
      </c>
    </row>
    <row r="227" spans="2:13" hidden="1" x14ac:dyDescent="0.25">
      <c r="B227" t="str">
        <f t="shared" si="9"/>
        <v>MariglianoCL4-IPU-E955-01</v>
      </c>
      <c r="C227" s="50" t="s">
        <v>958</v>
      </c>
      <c r="D227" s="51" t="s">
        <v>887</v>
      </c>
      <c r="E227" s="50" t="s">
        <v>910</v>
      </c>
      <c r="F227" s="50" t="s">
        <v>889</v>
      </c>
      <c r="G227" s="50" t="s">
        <v>1301</v>
      </c>
      <c r="H227" s="57" t="s">
        <v>1314</v>
      </c>
      <c r="I227" s="50" t="s">
        <v>1315</v>
      </c>
      <c r="J227" s="18">
        <f>+_xlfn.XLOOKUP(B227,Sheet3!B:B,Sheet3!J:J,0)</f>
        <v>37.49832</v>
      </c>
      <c r="K227">
        <f t="shared" si="10"/>
        <v>49.99776</v>
      </c>
      <c r="L227" s="54">
        <v>57.099870000000003</v>
      </c>
      <c r="M227" s="67">
        <f t="shared" si="11"/>
        <v>7.1021100000000033</v>
      </c>
    </row>
    <row r="228" spans="2:13" hidden="1" x14ac:dyDescent="0.25">
      <c r="B228" t="str">
        <f t="shared" si="9"/>
        <v>Palma CampaniaCL4-IPU-G283-01</v>
      </c>
      <c r="C228" s="50" t="s">
        <v>958</v>
      </c>
      <c r="D228" s="51" t="s">
        <v>887</v>
      </c>
      <c r="E228" s="50" t="s">
        <v>910</v>
      </c>
      <c r="F228" s="50" t="s">
        <v>889</v>
      </c>
      <c r="G228" s="50" t="s">
        <v>1301</v>
      </c>
      <c r="H228" s="57" t="s">
        <v>1316</v>
      </c>
      <c r="I228" s="50" t="s">
        <v>1317</v>
      </c>
      <c r="J228" s="18">
        <f>+_xlfn.XLOOKUP(B228,Sheet3!B:B,Sheet3!J:J,0)</f>
        <v>30.644259999999999</v>
      </c>
      <c r="K228">
        <f t="shared" si="10"/>
        <v>40.85901333333333</v>
      </c>
      <c r="L228" s="54">
        <v>40.906019999999998</v>
      </c>
      <c r="M228" s="67">
        <f t="shared" si="11"/>
        <v>4.7006666666668195E-2</v>
      </c>
    </row>
    <row r="229" spans="2:13" hidden="1" x14ac:dyDescent="0.25">
      <c r="B229" t="str">
        <f t="shared" si="9"/>
        <v>PoggiomarinoCL4-IPU-G762-01</v>
      </c>
      <c r="C229" s="50" t="s">
        <v>958</v>
      </c>
      <c r="D229" s="51" t="s">
        <v>887</v>
      </c>
      <c r="E229" s="50" t="s">
        <v>910</v>
      </c>
      <c r="F229" s="50" t="s">
        <v>889</v>
      </c>
      <c r="G229" s="50" t="s">
        <v>1301</v>
      </c>
      <c r="H229" s="57" t="s">
        <v>1318</v>
      </c>
      <c r="I229" s="50" t="s">
        <v>1319</v>
      </c>
      <c r="J229" s="18">
        <f>+_xlfn.XLOOKUP(B229,Sheet3!B:B,Sheet3!J:J,0)</f>
        <v>21.189619999999998</v>
      </c>
      <c r="K229">
        <f t="shared" si="10"/>
        <v>28.252826666666664</v>
      </c>
      <c r="L229" s="54">
        <v>27.440429999999999</v>
      </c>
      <c r="M229" s="67">
        <f t="shared" si="11"/>
        <v>-0.81239666666666466</v>
      </c>
    </row>
    <row r="230" spans="2:13" hidden="1" x14ac:dyDescent="0.25">
      <c r="B230" t="str">
        <f t="shared" si="9"/>
        <v>SalernoCL4-IPU-H703-01</v>
      </c>
      <c r="C230" s="50" t="s">
        <v>958</v>
      </c>
      <c r="D230" s="51" t="s">
        <v>887</v>
      </c>
      <c r="E230" s="50" t="s">
        <v>910</v>
      </c>
      <c r="F230" s="50" t="s">
        <v>889</v>
      </c>
      <c r="G230" s="50" t="s">
        <v>1301</v>
      </c>
      <c r="H230" s="57" t="s">
        <v>1320</v>
      </c>
      <c r="I230" s="50" t="s">
        <v>1321</v>
      </c>
      <c r="J230" s="18">
        <f>+_xlfn.XLOOKUP(B230,Sheet3!B:B,Sheet3!J:J,0)</f>
        <v>258.26159999999999</v>
      </c>
      <c r="K230">
        <f t="shared" si="10"/>
        <v>344.34879999999998</v>
      </c>
      <c r="L230" s="54">
        <v>341.53564</v>
      </c>
      <c r="M230" s="67">
        <f t="shared" si="11"/>
        <v>-2.8131599999999821</v>
      </c>
    </row>
    <row r="231" spans="2:13" hidden="1" x14ac:dyDescent="0.25">
      <c r="B231" t="str">
        <f t="shared" si="9"/>
        <v>San Marco in LamisCL4-IPU-H985-01</v>
      </c>
      <c r="C231" s="50" t="s">
        <v>958</v>
      </c>
      <c r="D231" s="51" t="s">
        <v>887</v>
      </c>
      <c r="E231" s="50" t="s">
        <v>910</v>
      </c>
      <c r="F231" s="50" t="s">
        <v>889</v>
      </c>
      <c r="G231" s="50" t="s">
        <v>1301</v>
      </c>
      <c r="H231" s="57" t="s">
        <v>1322</v>
      </c>
      <c r="I231" s="50" t="s">
        <v>1323</v>
      </c>
      <c r="J231" s="18">
        <f>+_xlfn.XLOOKUP(B231,Sheet3!B:B,Sheet3!J:J,0)</f>
        <v>25.265139999999999</v>
      </c>
      <c r="K231">
        <f t="shared" si="10"/>
        <v>33.686853333333332</v>
      </c>
      <c r="L231" s="54">
        <v>33.66572</v>
      </c>
      <c r="M231" s="67">
        <f t="shared" si="11"/>
        <v>-2.113333333333145E-2</v>
      </c>
    </row>
    <row r="232" spans="2:13" hidden="1" x14ac:dyDescent="0.25">
      <c r="B232" t="str">
        <f t="shared" si="9"/>
        <v>San Nicandro GarganicoCL4-IPU-I054-01</v>
      </c>
      <c r="C232" s="50" t="s">
        <v>958</v>
      </c>
      <c r="D232" s="51" t="s">
        <v>887</v>
      </c>
      <c r="E232" s="50" t="s">
        <v>910</v>
      </c>
      <c r="F232" s="50" t="s">
        <v>889</v>
      </c>
      <c r="G232" s="50" t="s">
        <v>1301</v>
      </c>
      <c r="H232" s="57" t="s">
        <v>1324</v>
      </c>
      <c r="I232" s="50" t="s">
        <v>1325</v>
      </c>
      <c r="J232" s="18">
        <f>+_xlfn.XLOOKUP(B232,Sheet3!B:B,Sheet3!J:J,0)</f>
        <v>16.53237</v>
      </c>
      <c r="K232">
        <f t="shared" si="10"/>
        <v>22.04316</v>
      </c>
      <c r="L232" s="54">
        <v>27.711349999999999</v>
      </c>
      <c r="M232" s="67">
        <f t="shared" si="11"/>
        <v>5.6681899999999992</v>
      </c>
    </row>
    <row r="233" spans="2:13" hidden="1" x14ac:dyDescent="0.25">
      <c r="B233" t="str">
        <f t="shared" si="9"/>
        <v>SciscianoCL4-IPU-I540-01</v>
      </c>
      <c r="C233" s="50" t="s">
        <v>958</v>
      </c>
      <c r="D233" s="51" t="s">
        <v>887</v>
      </c>
      <c r="E233" s="50" t="s">
        <v>910</v>
      </c>
      <c r="F233" s="50" t="s">
        <v>889</v>
      </c>
      <c r="G233" s="50" t="s">
        <v>1301</v>
      </c>
      <c r="H233" s="57" t="s">
        <v>1326</v>
      </c>
      <c r="I233" s="50" t="s">
        <v>1327</v>
      </c>
      <c r="J233" s="18">
        <f>+_xlfn.XLOOKUP(B233,Sheet3!B:B,Sheet3!J:J,0)</f>
        <v>10.61768</v>
      </c>
      <c r="K233">
        <f t="shared" si="10"/>
        <v>14.156906666666666</v>
      </c>
      <c r="L233" s="54">
        <v>14.15668</v>
      </c>
      <c r="M233" s="67">
        <f t="shared" si="11"/>
        <v>-2.2666666666637525E-4</v>
      </c>
    </row>
    <row r="234" spans="2:13" hidden="1" x14ac:dyDescent="0.25">
      <c r="B234" t="str">
        <f t="shared" si="9"/>
        <v>TerzignoCL4-IPU-L142-01</v>
      </c>
      <c r="C234" s="50" t="s">
        <v>958</v>
      </c>
      <c r="D234" s="51" t="s">
        <v>887</v>
      </c>
      <c r="E234" s="50" t="s">
        <v>910</v>
      </c>
      <c r="F234" s="50" t="s">
        <v>889</v>
      </c>
      <c r="G234" s="50" t="s">
        <v>1301</v>
      </c>
      <c r="H234" s="57" t="s">
        <v>1328</v>
      </c>
      <c r="I234" s="50" t="s">
        <v>1329</v>
      </c>
      <c r="J234" s="18">
        <f>+_xlfn.XLOOKUP(B234,Sheet3!B:B,Sheet3!J:J,0)</f>
        <v>31.885609999999996</v>
      </c>
      <c r="K234">
        <f t="shared" si="10"/>
        <v>42.514146666666662</v>
      </c>
      <c r="L234" s="54">
        <v>41.554749999999999</v>
      </c>
      <c r="M234" s="67">
        <f t="shared" si="11"/>
        <v>-0.95939666666666312</v>
      </c>
    </row>
    <row r="235" spans="2:13" hidden="1" x14ac:dyDescent="0.25">
      <c r="B235" t="str">
        <f t="shared" si="9"/>
        <v>VollaCL4-IPU-M115-01</v>
      </c>
      <c r="C235" s="50" t="s">
        <v>958</v>
      </c>
      <c r="D235" s="51" t="s">
        <v>887</v>
      </c>
      <c r="E235" s="50" t="s">
        <v>910</v>
      </c>
      <c r="F235" s="50" t="s">
        <v>889</v>
      </c>
      <c r="G235" s="50" t="s">
        <v>1301</v>
      </c>
      <c r="H235" s="57" t="s">
        <v>1330</v>
      </c>
      <c r="I235" s="50" t="s">
        <v>1331</v>
      </c>
      <c r="J235" s="18">
        <f>+_xlfn.XLOOKUP(B235,Sheet3!B:B,Sheet3!J:J,0)</f>
        <v>19.70495</v>
      </c>
      <c r="K235">
        <f t="shared" si="10"/>
        <v>26.273266666666668</v>
      </c>
      <c r="L235" s="54">
        <v>26.206849999999999</v>
      </c>
      <c r="M235" s="67">
        <f t="shared" si="11"/>
        <v>-6.6416666666668789E-2</v>
      </c>
    </row>
    <row r="236" spans="2:13" hidden="1" x14ac:dyDescent="0.25">
      <c r="B236" t="str">
        <f t="shared" si="9"/>
        <v>AccetturaPPP-IPU-A017-01</v>
      </c>
      <c r="C236" s="50" t="s">
        <v>826</v>
      </c>
      <c r="D236" s="51" t="s">
        <v>887</v>
      </c>
      <c r="E236" s="50" t="s">
        <v>910</v>
      </c>
      <c r="F236" s="50" t="s">
        <v>889</v>
      </c>
      <c r="G236" s="50" t="s">
        <v>890</v>
      </c>
      <c r="H236" s="57" t="s">
        <v>1332</v>
      </c>
      <c r="I236" s="50" t="s">
        <v>1333</v>
      </c>
      <c r="J236" s="18">
        <f>+_xlfn.XLOOKUP(B236,Sheet3!B:B,Sheet3!J:J,0)</f>
        <v>35.323050000000002</v>
      </c>
      <c r="K236">
        <f t="shared" si="10"/>
        <v>47.0974</v>
      </c>
      <c r="L236" s="54">
        <v>47.0974</v>
      </c>
      <c r="M236" s="67">
        <f t="shared" si="11"/>
        <v>0</v>
      </c>
    </row>
    <row r="237" spans="2:13" hidden="1" x14ac:dyDescent="0.25">
      <c r="B237" t="str">
        <f t="shared" si="9"/>
        <v>AllistePPP-IPU-A208-01</v>
      </c>
      <c r="C237" s="50" t="s">
        <v>826</v>
      </c>
      <c r="D237" s="51" t="s">
        <v>887</v>
      </c>
      <c r="E237" s="50" t="s">
        <v>910</v>
      </c>
      <c r="F237" s="50" t="s">
        <v>889</v>
      </c>
      <c r="G237" s="50" t="s">
        <v>890</v>
      </c>
      <c r="H237" s="57" t="s">
        <v>1334</v>
      </c>
      <c r="I237" s="50" t="s">
        <v>1335</v>
      </c>
      <c r="J237" s="18">
        <f>+_xlfn.XLOOKUP(B237,Sheet3!B:B,Sheet3!J:J,0)</f>
        <v>151.73496</v>
      </c>
      <c r="K237">
        <f t="shared" si="10"/>
        <v>202.31327999999999</v>
      </c>
      <c r="L237" s="54">
        <v>202.31428</v>
      </c>
      <c r="M237" s="67">
        <f t="shared" si="11"/>
        <v>1.0000000000047748E-3</v>
      </c>
    </row>
    <row r="238" spans="2:13" hidden="1" x14ac:dyDescent="0.25">
      <c r="B238" t="str">
        <f t="shared" si="9"/>
        <v>ApricenaPPP-IPU-A339-01</v>
      </c>
      <c r="C238" s="50" t="s">
        <v>826</v>
      </c>
      <c r="D238" s="51" t="s">
        <v>887</v>
      </c>
      <c r="E238" s="50" t="s">
        <v>910</v>
      </c>
      <c r="F238" s="50" t="s">
        <v>889</v>
      </c>
      <c r="G238" s="50" t="s">
        <v>890</v>
      </c>
      <c r="H238" s="57" t="s">
        <v>1336</v>
      </c>
      <c r="I238" s="50" t="s">
        <v>1337</v>
      </c>
      <c r="J238" s="18">
        <f>+_xlfn.XLOOKUP(B238,Sheet3!B:B,Sheet3!J:J,0)</f>
        <v>161.15764650253246</v>
      </c>
      <c r="K238">
        <f t="shared" si="10"/>
        <v>214.8768620033766</v>
      </c>
      <c r="L238" s="60">
        <v>223.8626901616621</v>
      </c>
      <c r="M238" s="67">
        <f t="shared" si="11"/>
        <v>8.9858281582855</v>
      </c>
    </row>
    <row r="239" spans="2:13" hidden="1" x14ac:dyDescent="0.25">
      <c r="B239" t="str">
        <f t="shared" si="9"/>
        <v>Aradeo (Pj Elena)PPP-IPU-A350-01</v>
      </c>
      <c r="C239" s="50" t="s">
        <v>826</v>
      </c>
      <c r="D239" s="51" t="s">
        <v>887</v>
      </c>
      <c r="E239" s="50" t="s">
        <v>910</v>
      </c>
      <c r="F239" s="50" t="s">
        <v>889</v>
      </c>
      <c r="G239" s="50" t="s">
        <v>890</v>
      </c>
      <c r="H239" s="57" t="s">
        <v>1338</v>
      </c>
      <c r="I239" s="50" t="s">
        <v>1339</v>
      </c>
      <c r="J239" s="18">
        <f>+_xlfn.XLOOKUP(B239,Sheet3!B:B,Sheet3!J:J,0)</f>
        <v>100.02162</v>
      </c>
      <c r="K239">
        <f t="shared" si="10"/>
        <v>133.36215999999999</v>
      </c>
      <c r="L239" s="54">
        <v>133.36216000000002</v>
      </c>
      <c r="M239" s="67">
        <f t="shared" si="11"/>
        <v>0</v>
      </c>
    </row>
    <row r="240" spans="2:13" hidden="1" x14ac:dyDescent="0.25">
      <c r="B240" t="str">
        <f t="shared" si="9"/>
        <v>Avigliano PLPPP-IPU-A519-01</v>
      </c>
      <c r="C240" s="50" t="s">
        <v>826</v>
      </c>
      <c r="D240" s="51" t="s">
        <v>887</v>
      </c>
      <c r="E240" s="50" t="s">
        <v>910</v>
      </c>
      <c r="F240" s="50" t="s">
        <v>889</v>
      </c>
      <c r="G240" s="50" t="s">
        <v>890</v>
      </c>
      <c r="H240" s="57" t="s">
        <v>1340</v>
      </c>
      <c r="I240" s="50" t="s">
        <v>1341</v>
      </c>
      <c r="J240" s="18">
        <f>+_xlfn.XLOOKUP(B240,Sheet3!B:B,Sheet3!J:J,0)</f>
        <v>179.08493999999999</v>
      </c>
      <c r="K240">
        <f t="shared" si="10"/>
        <v>238.77991999999998</v>
      </c>
      <c r="L240" s="54">
        <v>238.77991999999998</v>
      </c>
      <c r="M240" s="67">
        <f t="shared" si="11"/>
        <v>0</v>
      </c>
    </row>
    <row r="241" spans="2:13" hidden="1" x14ac:dyDescent="0.25">
      <c r="B241" t="str">
        <f t="shared" si="9"/>
        <v>BaragianoPPP-IPU-A615-01</v>
      </c>
      <c r="C241" s="50" t="s">
        <v>826</v>
      </c>
      <c r="D241" s="51" t="s">
        <v>887</v>
      </c>
      <c r="E241" s="50" t="s">
        <v>910</v>
      </c>
      <c r="F241" s="50" t="s">
        <v>889</v>
      </c>
      <c r="G241" s="50" t="s">
        <v>890</v>
      </c>
      <c r="H241" s="57" t="s">
        <v>1342</v>
      </c>
      <c r="I241" s="50" t="s">
        <v>1343</v>
      </c>
      <c r="J241" s="18">
        <f>+_xlfn.XLOOKUP(B241,Sheet3!B:B,Sheet3!J:J,0)</f>
        <v>55.521000000000001</v>
      </c>
      <c r="K241">
        <f t="shared" si="10"/>
        <v>74.028000000000006</v>
      </c>
      <c r="L241" s="54">
        <v>74.028000000000006</v>
      </c>
      <c r="M241" s="67">
        <f t="shared" si="11"/>
        <v>0</v>
      </c>
    </row>
    <row r="242" spans="2:13" hidden="1" x14ac:dyDescent="0.25">
      <c r="B242" t="str">
        <f t="shared" si="9"/>
        <v>BaronissiPPP-IPU-A674-01</v>
      </c>
      <c r="C242" s="50" t="s">
        <v>826</v>
      </c>
      <c r="D242" s="51" t="s">
        <v>887</v>
      </c>
      <c r="E242" s="50" t="s">
        <v>910</v>
      </c>
      <c r="F242" s="50" t="s">
        <v>889</v>
      </c>
      <c r="G242" s="50" t="s">
        <v>890</v>
      </c>
      <c r="H242" s="57" t="s">
        <v>1344</v>
      </c>
      <c r="I242" s="50" t="s">
        <v>1345</v>
      </c>
      <c r="J242" s="18">
        <f>+_xlfn.XLOOKUP(B242,Sheet3!B:B,Sheet3!J:J,0)</f>
        <v>229.79148000000001</v>
      </c>
      <c r="K242">
        <f t="shared" si="10"/>
        <v>306.38864000000001</v>
      </c>
      <c r="L242" s="54">
        <v>306.38864000000001</v>
      </c>
      <c r="M242" s="67">
        <f t="shared" si="11"/>
        <v>0</v>
      </c>
    </row>
    <row r="243" spans="2:13" hidden="1" x14ac:dyDescent="0.25">
      <c r="B243" t="str">
        <f t="shared" si="9"/>
        <v>BellaPPP-IPU-A743-01</v>
      </c>
      <c r="C243" s="50" t="s">
        <v>826</v>
      </c>
      <c r="D243" s="51" t="s">
        <v>887</v>
      </c>
      <c r="E243" s="50" t="s">
        <v>910</v>
      </c>
      <c r="F243" s="50" t="s">
        <v>889</v>
      </c>
      <c r="G243" s="50" t="s">
        <v>890</v>
      </c>
      <c r="H243" s="57" t="s">
        <v>1346</v>
      </c>
      <c r="I243" s="50" t="s">
        <v>1347</v>
      </c>
      <c r="J243" s="18">
        <f>+_xlfn.XLOOKUP(B243,Sheet3!B:B,Sheet3!J:J,0)</f>
        <v>62.574300000000001</v>
      </c>
      <c r="K243">
        <f t="shared" si="10"/>
        <v>83.432400000000001</v>
      </c>
      <c r="L243" s="54">
        <v>83.432400000000001</v>
      </c>
      <c r="M243" s="67">
        <f t="shared" si="11"/>
        <v>0</v>
      </c>
    </row>
    <row r="244" spans="2:13" hidden="1" x14ac:dyDescent="0.25">
      <c r="B244" t="str">
        <f t="shared" si="9"/>
        <v>BiccariPPP-IPU-A854-01</v>
      </c>
      <c r="C244" s="50" t="s">
        <v>826</v>
      </c>
      <c r="D244" s="51" t="s">
        <v>887</v>
      </c>
      <c r="E244" s="50" t="s">
        <v>910</v>
      </c>
      <c r="F244" s="50" t="s">
        <v>889</v>
      </c>
      <c r="G244" s="50" t="s">
        <v>890</v>
      </c>
      <c r="H244" s="57" t="s">
        <v>1348</v>
      </c>
      <c r="I244" s="50" t="s">
        <v>1349</v>
      </c>
      <c r="J244" s="18">
        <f>+_xlfn.XLOOKUP(B244,Sheet3!B:B,Sheet3!J:J,0)</f>
        <v>42.857519999999994</v>
      </c>
      <c r="K244">
        <f t="shared" si="10"/>
        <v>57.143359999999994</v>
      </c>
      <c r="L244" s="54">
        <v>57.143360000000001</v>
      </c>
      <c r="M244" s="67">
        <f t="shared" si="11"/>
        <v>0</v>
      </c>
    </row>
    <row r="245" spans="2:13" hidden="1" x14ac:dyDescent="0.25">
      <c r="B245" t="str">
        <f t="shared" si="9"/>
        <v>Nova SiriPPP-IPU-A942-01</v>
      </c>
      <c r="C245" s="50" t="s">
        <v>826</v>
      </c>
      <c r="D245" s="51" t="s">
        <v>887</v>
      </c>
      <c r="E245" s="50" t="s">
        <v>910</v>
      </c>
      <c r="F245" s="50" t="s">
        <v>889</v>
      </c>
      <c r="G245" s="50" t="s">
        <v>890</v>
      </c>
      <c r="H245" s="57" t="s">
        <v>1350</v>
      </c>
      <c r="I245" s="50" t="s">
        <v>1351</v>
      </c>
      <c r="J245" s="18">
        <f>+_xlfn.XLOOKUP(B245,Sheet3!B:B,Sheet3!J:J,0)</f>
        <v>164.95818</v>
      </c>
      <c r="K245">
        <f t="shared" si="10"/>
        <v>219.94424000000001</v>
      </c>
      <c r="L245" s="54">
        <v>219.94423999999998</v>
      </c>
      <c r="M245" s="67">
        <f t="shared" si="11"/>
        <v>0</v>
      </c>
    </row>
    <row r="246" spans="2:13" hidden="1" x14ac:dyDescent="0.25">
      <c r="B246" t="str">
        <f t="shared" si="9"/>
        <v>BraciglianoPPP-IPU-B115-01</v>
      </c>
      <c r="C246" s="50" t="s">
        <v>826</v>
      </c>
      <c r="D246" s="51" t="s">
        <v>887</v>
      </c>
      <c r="E246" s="50" t="s">
        <v>910</v>
      </c>
      <c r="F246" s="50" t="s">
        <v>889</v>
      </c>
      <c r="G246" s="50" t="s">
        <v>890</v>
      </c>
      <c r="H246" s="57" t="s">
        <v>1352</v>
      </c>
      <c r="I246" s="50" t="s">
        <v>1353</v>
      </c>
      <c r="J246" s="18">
        <f>+_xlfn.XLOOKUP(B246,Sheet3!B:B,Sheet3!J:J,0)</f>
        <v>89.547719999999998</v>
      </c>
      <c r="K246">
        <f t="shared" si="10"/>
        <v>119.39695999999999</v>
      </c>
      <c r="L246" s="54">
        <v>119.39695999999999</v>
      </c>
      <c r="M246" s="67">
        <f t="shared" si="11"/>
        <v>0</v>
      </c>
    </row>
    <row r="247" spans="2:13" hidden="1" x14ac:dyDescent="0.25">
      <c r="B247" t="str">
        <f t="shared" si="9"/>
        <v>ASI BrindisiPPP-IPU-B180-01</v>
      </c>
      <c r="C247" s="50" t="s">
        <v>826</v>
      </c>
      <c r="D247" s="51" t="s">
        <v>887</v>
      </c>
      <c r="E247" s="50" t="s">
        <v>910</v>
      </c>
      <c r="F247" s="50" t="s">
        <v>889</v>
      </c>
      <c r="G247" s="50" t="s">
        <v>890</v>
      </c>
      <c r="H247" s="57" t="s">
        <v>1354</v>
      </c>
      <c r="I247" s="50" t="s">
        <v>1355</v>
      </c>
      <c r="J247" s="18">
        <f>+_xlfn.XLOOKUP(B247,Sheet3!B:B,Sheet3!J:J,0)</f>
        <v>37.159980000000004</v>
      </c>
      <c r="K247">
        <f t="shared" si="10"/>
        <v>49.546640000000004</v>
      </c>
      <c r="L247" s="54">
        <v>49.546639999999996</v>
      </c>
      <c r="M247" s="67">
        <f t="shared" si="11"/>
        <v>0</v>
      </c>
    </row>
    <row r="248" spans="2:13" hidden="1" x14ac:dyDescent="0.25">
      <c r="B248" t="str">
        <f t="shared" si="9"/>
        <v>CalcianoPPP-IPU-B391-01</v>
      </c>
      <c r="C248" s="50" t="s">
        <v>826</v>
      </c>
      <c r="D248" s="51" t="s">
        <v>887</v>
      </c>
      <c r="E248" s="50" t="s">
        <v>910</v>
      </c>
      <c r="F248" s="50" t="s">
        <v>889</v>
      </c>
      <c r="G248" s="50" t="s">
        <v>890</v>
      </c>
      <c r="H248" s="57" t="s">
        <v>1356</v>
      </c>
      <c r="I248" s="50" t="s">
        <v>1357</v>
      </c>
      <c r="J248" s="18">
        <f>+_xlfn.XLOOKUP(B248,Sheet3!B:B,Sheet3!J:J,0)</f>
        <v>19.858139999999999</v>
      </c>
      <c r="K248">
        <f t="shared" si="10"/>
        <v>26.477519999999998</v>
      </c>
      <c r="L248" s="54">
        <v>26.477520000000002</v>
      </c>
      <c r="M248" s="67">
        <f t="shared" si="11"/>
        <v>0</v>
      </c>
    </row>
    <row r="249" spans="2:13" x14ac:dyDescent="0.25">
      <c r="B249" t="str">
        <f t="shared" si="9"/>
        <v>CalitriPPP-IPU-B415-01</v>
      </c>
      <c r="C249" s="50" t="s">
        <v>826</v>
      </c>
      <c r="D249" s="51" t="s">
        <v>887</v>
      </c>
      <c r="E249" s="50" t="s">
        <v>910</v>
      </c>
      <c r="F249" s="50" t="s">
        <v>889</v>
      </c>
      <c r="G249" s="50" t="s">
        <v>890</v>
      </c>
      <c r="H249" s="57" t="s">
        <v>1358</v>
      </c>
      <c r="I249" s="50" t="s">
        <v>1359</v>
      </c>
      <c r="J249" s="18">
        <f>+_xlfn.XLOOKUP(B249,Sheet3!B:B,Sheet3!J:J,0)</f>
        <v>145.78736999999998</v>
      </c>
      <c r="K249">
        <f t="shared" si="10"/>
        <v>194.38315999999998</v>
      </c>
      <c r="L249" s="54">
        <v>100.65864000000001</v>
      </c>
      <c r="M249" s="67">
        <f t="shared" si="11"/>
        <v>-93.72451999999997</v>
      </c>
    </row>
    <row r="250" spans="2:13" hidden="1" x14ac:dyDescent="0.25">
      <c r="B250" t="str">
        <f t="shared" si="9"/>
        <v>CamerotaPPP-IPU-B476-01</v>
      </c>
      <c r="C250" s="50" t="s">
        <v>826</v>
      </c>
      <c r="D250" s="51" t="s">
        <v>887</v>
      </c>
      <c r="E250" s="50" t="s">
        <v>910</v>
      </c>
      <c r="F250" s="50" t="s">
        <v>889</v>
      </c>
      <c r="G250" s="50" t="s">
        <v>890</v>
      </c>
      <c r="H250" s="57" t="s">
        <v>1360</v>
      </c>
      <c r="I250" s="50" t="s">
        <v>1361</v>
      </c>
      <c r="J250" s="18">
        <f>+_xlfn.XLOOKUP(B250,Sheet3!B:B,Sheet3!J:J,0)</f>
        <v>147.34491</v>
      </c>
      <c r="K250">
        <f t="shared" si="10"/>
        <v>196.45988</v>
      </c>
      <c r="L250" s="54">
        <v>196.45988999999997</v>
      </c>
      <c r="M250" s="67">
        <f t="shared" si="11"/>
        <v>9.9999999747524271E-6</v>
      </c>
    </row>
    <row r="251" spans="2:13" hidden="1" x14ac:dyDescent="0.25">
      <c r="B251" t="str">
        <f t="shared" si="9"/>
        <v>Campi SalentinaPPP-IPU-B506-01</v>
      </c>
      <c r="C251" s="50" t="s">
        <v>826</v>
      </c>
      <c r="D251" s="51" t="s">
        <v>887</v>
      </c>
      <c r="E251" s="50" t="s">
        <v>910</v>
      </c>
      <c r="F251" s="50" t="s">
        <v>889</v>
      </c>
      <c r="G251" s="50" t="s">
        <v>890</v>
      </c>
      <c r="H251" s="57" t="s">
        <v>1362</v>
      </c>
      <c r="I251" s="50" t="s">
        <v>1363</v>
      </c>
      <c r="J251" s="18">
        <f>+_xlfn.XLOOKUP(B251,Sheet3!B:B,Sheet3!J:J,0)</f>
        <v>19.69998</v>
      </c>
      <c r="K251">
        <f t="shared" si="10"/>
        <v>26.266639999999999</v>
      </c>
      <c r="L251" s="54">
        <v>26.266639999999999</v>
      </c>
      <c r="M251" s="67">
        <f t="shared" si="11"/>
        <v>0</v>
      </c>
    </row>
    <row r="252" spans="2:13" hidden="1" x14ac:dyDescent="0.25">
      <c r="B252" t="str">
        <f t="shared" si="9"/>
        <v>Castelnuovo CilentoPPP-IPU-C231-01</v>
      </c>
      <c r="C252" s="50" t="s">
        <v>826</v>
      </c>
      <c r="D252" s="51" t="s">
        <v>887</v>
      </c>
      <c r="E252" s="50" t="s">
        <v>910</v>
      </c>
      <c r="F252" s="50" t="s">
        <v>889</v>
      </c>
      <c r="G252" s="50" t="s">
        <v>890</v>
      </c>
      <c r="H252" s="57" t="s">
        <v>1364</v>
      </c>
      <c r="I252" s="50" t="s">
        <v>1365</v>
      </c>
      <c r="J252" s="18">
        <f>+_xlfn.XLOOKUP(B252,Sheet3!B:B,Sheet3!J:J,0)</f>
        <v>56.111280000000001</v>
      </c>
      <c r="K252">
        <f t="shared" si="10"/>
        <v>74.815039999999996</v>
      </c>
      <c r="L252" s="54">
        <v>74.81504000000001</v>
      </c>
      <c r="M252" s="67">
        <f t="shared" si="11"/>
        <v>0</v>
      </c>
    </row>
    <row r="253" spans="2:13" hidden="1" x14ac:dyDescent="0.25">
      <c r="B253" t="str">
        <f t="shared" si="9"/>
        <v>Castri di Lecce (Pj Elena)PPP-IPU-C334-01</v>
      </c>
      <c r="C253" s="50" t="s">
        <v>826</v>
      </c>
      <c r="D253" s="51" t="s">
        <v>887</v>
      </c>
      <c r="E253" s="50" t="s">
        <v>910</v>
      </c>
      <c r="F253" s="50" t="s">
        <v>889</v>
      </c>
      <c r="G253" s="50" t="s">
        <v>890</v>
      </c>
      <c r="H253" s="57" t="s">
        <v>1366</v>
      </c>
      <c r="I253" s="50" t="s">
        <v>1367</v>
      </c>
      <c r="J253" s="18">
        <f>+_xlfn.XLOOKUP(B253,Sheet3!B:B,Sheet3!J:J,0)</f>
        <v>15.81955</v>
      </c>
      <c r="K253">
        <f t="shared" si="10"/>
        <v>21.092733333333332</v>
      </c>
      <c r="L253" s="54">
        <v>21.147830000000003</v>
      </c>
      <c r="M253" s="67">
        <f t="shared" si="11"/>
        <v>5.5096666666671013E-2</v>
      </c>
    </row>
    <row r="254" spans="2:13" hidden="1" x14ac:dyDescent="0.25">
      <c r="B254" t="str">
        <f t="shared" si="9"/>
        <v>Cellino San Marco (Pj Elena) PLPPP-IPU-C448-01</v>
      </c>
      <c r="C254" s="50" t="s">
        <v>826</v>
      </c>
      <c r="D254" s="51" t="s">
        <v>887</v>
      </c>
      <c r="E254" s="50" t="s">
        <v>910</v>
      </c>
      <c r="F254" s="50" t="s">
        <v>889</v>
      </c>
      <c r="G254" s="50" t="s">
        <v>890</v>
      </c>
      <c r="H254" s="57" t="s">
        <v>1368</v>
      </c>
      <c r="I254" s="50" t="s">
        <v>1369</v>
      </c>
      <c r="J254" s="18">
        <f>+_xlfn.XLOOKUP(B254,Sheet3!B:B,Sheet3!J:J,0)</f>
        <v>52.550849999999997</v>
      </c>
      <c r="K254">
        <f t="shared" si="10"/>
        <v>70.067799999999991</v>
      </c>
      <c r="L254" s="54">
        <v>69.183970000000002</v>
      </c>
      <c r="M254" s="67">
        <f t="shared" si="11"/>
        <v>-0.88382999999998901</v>
      </c>
    </row>
    <row r="255" spans="2:13" hidden="1" x14ac:dyDescent="0.25">
      <c r="B255" t="str">
        <f t="shared" si="9"/>
        <v>CerasoPPP-IPU-C485-01</v>
      </c>
      <c r="C255" s="50" t="s">
        <v>826</v>
      </c>
      <c r="D255" s="51" t="s">
        <v>887</v>
      </c>
      <c r="E255" s="50" t="s">
        <v>910</v>
      </c>
      <c r="F255" s="50" t="s">
        <v>889</v>
      </c>
      <c r="G255" s="50" t="s">
        <v>890</v>
      </c>
      <c r="H255" s="57" t="s">
        <v>1370</v>
      </c>
      <c r="I255" s="50" t="s">
        <v>1371</v>
      </c>
      <c r="J255" s="18">
        <f>+_xlfn.XLOOKUP(B255,Sheet3!B:B,Sheet3!J:J,0)</f>
        <v>51.277860000000004</v>
      </c>
      <c r="K255">
        <f t="shared" si="10"/>
        <v>68.370480000000001</v>
      </c>
      <c r="L255" s="54">
        <v>68.370480000000001</v>
      </c>
      <c r="M255" s="67">
        <f t="shared" si="11"/>
        <v>0</v>
      </c>
    </row>
    <row r="256" spans="2:13" hidden="1" x14ac:dyDescent="0.25">
      <c r="B256" t="str">
        <f t="shared" si="9"/>
        <v>Santa Maria del CedroPPP-IPU-C717-01</v>
      </c>
      <c r="C256" s="50" t="s">
        <v>826</v>
      </c>
      <c r="D256" s="51" t="s">
        <v>887</v>
      </c>
      <c r="E256" s="50" t="s">
        <v>910</v>
      </c>
      <c r="F256" s="50" t="s">
        <v>889</v>
      </c>
      <c r="G256" s="50" t="s">
        <v>890</v>
      </c>
      <c r="H256" s="57" t="s">
        <v>1372</v>
      </c>
      <c r="I256" s="50" t="s">
        <v>1373</v>
      </c>
      <c r="J256" s="18">
        <f>+_xlfn.XLOOKUP(B256,Sheet3!B:B,Sheet3!J:J,0)</f>
        <v>160.76895000000002</v>
      </c>
      <c r="K256">
        <f t="shared" si="10"/>
        <v>214.35860000000002</v>
      </c>
      <c r="L256" s="54">
        <v>214.76847000000001</v>
      </c>
      <c r="M256" s="67">
        <f t="shared" si="11"/>
        <v>0.40986999999998375</v>
      </c>
    </row>
    <row r="257" spans="2:13" hidden="1" x14ac:dyDescent="0.25">
      <c r="B257" t="str">
        <f t="shared" si="9"/>
        <v>CrispianoPPP-IPU-D171-01</v>
      </c>
      <c r="C257" s="50" t="s">
        <v>826</v>
      </c>
      <c r="D257" s="51" t="s">
        <v>887</v>
      </c>
      <c r="E257" s="50" t="s">
        <v>910</v>
      </c>
      <c r="F257" s="50" t="s">
        <v>889</v>
      </c>
      <c r="G257" s="50" t="s">
        <v>890</v>
      </c>
      <c r="H257" s="57" t="s">
        <v>1374</v>
      </c>
      <c r="I257" s="50" t="s">
        <v>1375</v>
      </c>
      <c r="J257" s="18">
        <f>+_xlfn.XLOOKUP(B257,Sheet3!B:B,Sheet3!J:J,0)</f>
        <v>161.27646999999999</v>
      </c>
      <c r="K257">
        <f t="shared" si="10"/>
        <v>215.03529333333333</v>
      </c>
      <c r="L257" s="54">
        <v>215.73904000000002</v>
      </c>
      <c r="M257" s="67">
        <f t="shared" si="11"/>
        <v>0.70374666666668872</v>
      </c>
    </row>
    <row r="258" spans="2:13" hidden="1" x14ac:dyDescent="0.25">
      <c r="B258" t="str">
        <f t="shared" si="9"/>
        <v>CursiPPP-IPU-D223-01</v>
      </c>
      <c r="C258" s="50" t="s">
        <v>826</v>
      </c>
      <c r="D258" s="51" t="s">
        <v>887</v>
      </c>
      <c r="E258" s="50" t="s">
        <v>910</v>
      </c>
      <c r="F258" s="50" t="s">
        <v>889</v>
      </c>
      <c r="G258" s="50" t="s">
        <v>890</v>
      </c>
      <c r="H258" s="57" t="s">
        <v>1376</v>
      </c>
      <c r="I258" s="50" t="s">
        <v>1377</v>
      </c>
      <c r="J258" s="18">
        <f>+_xlfn.XLOOKUP(B258,Sheet3!B:B,Sheet3!J:J,0)</f>
        <v>64.833780000000004</v>
      </c>
      <c r="K258">
        <f t="shared" si="10"/>
        <v>86.445040000000006</v>
      </c>
      <c r="L258" s="54">
        <v>86.445040000000006</v>
      </c>
      <c r="M258" s="67">
        <f t="shared" si="11"/>
        <v>0</v>
      </c>
    </row>
    <row r="259" spans="2:13" hidden="1" x14ac:dyDescent="0.25">
      <c r="B259" t="str">
        <f t="shared" si="9"/>
        <v>DragoniPPP-IPU-D361-01</v>
      </c>
      <c r="C259" s="50" t="s">
        <v>826</v>
      </c>
      <c r="D259" s="51" t="s">
        <v>887</v>
      </c>
      <c r="E259" s="50" t="s">
        <v>910</v>
      </c>
      <c r="F259" s="50" t="s">
        <v>889</v>
      </c>
      <c r="G259" s="50" t="s">
        <v>890</v>
      </c>
      <c r="H259" s="57" t="s">
        <v>1378</v>
      </c>
      <c r="I259" s="50" t="s">
        <v>1379</v>
      </c>
      <c r="J259" s="18">
        <f>+_xlfn.XLOOKUP(B259,Sheet3!B:B,Sheet3!J:J,0)</f>
        <v>62.516460000000002</v>
      </c>
      <c r="K259">
        <f t="shared" si="10"/>
        <v>83.355280000000008</v>
      </c>
      <c r="L259" s="54">
        <v>83.355279999999993</v>
      </c>
      <c r="M259" s="67">
        <f t="shared" si="11"/>
        <v>0</v>
      </c>
    </row>
    <row r="260" spans="2:13" hidden="1" x14ac:dyDescent="0.25">
      <c r="B260" t="str">
        <f t="shared" ref="B260:B323" si="12">+I260&amp;H260</f>
        <v>Fagnano CastelloPPP-IPU-D464-01</v>
      </c>
      <c r="C260" s="50" t="s">
        <v>826</v>
      </c>
      <c r="D260" s="51" t="s">
        <v>887</v>
      </c>
      <c r="E260" s="50" t="s">
        <v>910</v>
      </c>
      <c r="F260" s="50" t="s">
        <v>889</v>
      </c>
      <c r="G260" s="50" t="s">
        <v>890</v>
      </c>
      <c r="H260" s="57" t="s">
        <v>1380</v>
      </c>
      <c r="I260" s="50" t="s">
        <v>1381</v>
      </c>
      <c r="J260" s="18">
        <f>+_xlfn.XLOOKUP(B260,Sheet3!B:B,Sheet3!J:J,0)</f>
        <v>83.029080000000008</v>
      </c>
      <c r="K260">
        <f t="shared" ref="K260:K323" si="13">+J260/6*8</f>
        <v>110.70544000000001</v>
      </c>
      <c r="L260" s="54">
        <v>110.70544</v>
      </c>
      <c r="M260" s="67">
        <f t="shared" ref="M260:M323" si="14">+L260-K260</f>
        <v>0</v>
      </c>
    </row>
    <row r="261" spans="2:13" hidden="1" x14ac:dyDescent="0.25">
      <c r="B261" t="str">
        <f t="shared" si="12"/>
        <v>Filiano PLPPP-IPU-D593-01</v>
      </c>
      <c r="C261" s="50" t="s">
        <v>826</v>
      </c>
      <c r="D261" s="51" t="s">
        <v>887</v>
      </c>
      <c r="E261" s="50" t="s">
        <v>910</v>
      </c>
      <c r="F261" s="50" t="s">
        <v>889</v>
      </c>
      <c r="G261" s="50" t="s">
        <v>890</v>
      </c>
      <c r="H261" s="57" t="s">
        <v>1382</v>
      </c>
      <c r="I261" s="50" t="s">
        <v>1383</v>
      </c>
      <c r="J261" s="18">
        <f>+_xlfn.XLOOKUP(B261,Sheet3!B:B,Sheet3!J:J,0)</f>
        <v>88.114740000000012</v>
      </c>
      <c r="K261">
        <f t="shared" si="13"/>
        <v>117.48632000000002</v>
      </c>
      <c r="L261" s="54">
        <v>117.48632000000001</v>
      </c>
      <c r="M261" s="67">
        <f t="shared" si="14"/>
        <v>0</v>
      </c>
    </row>
    <row r="262" spans="2:13" hidden="1" x14ac:dyDescent="0.25">
      <c r="B262" t="str">
        <f t="shared" si="12"/>
        <v>FiscianoPPP-IPU-D615-01</v>
      </c>
      <c r="C262" s="50" t="s">
        <v>826</v>
      </c>
      <c r="D262" s="51" t="s">
        <v>887</v>
      </c>
      <c r="E262" s="50" t="s">
        <v>910</v>
      </c>
      <c r="F262" s="50" t="s">
        <v>889</v>
      </c>
      <c r="G262" s="50" t="s">
        <v>890</v>
      </c>
      <c r="H262" s="57" t="s">
        <v>1384</v>
      </c>
      <c r="I262" s="50" t="s">
        <v>1385</v>
      </c>
      <c r="J262" s="18">
        <f>+_xlfn.XLOOKUP(B262,Sheet3!B:B,Sheet3!J:J,0)</f>
        <v>227.24142000000001</v>
      </c>
      <c r="K262">
        <f t="shared" si="13"/>
        <v>302.98856000000001</v>
      </c>
      <c r="L262" s="54">
        <v>302.98856000000001</v>
      </c>
      <c r="M262" s="67">
        <f t="shared" si="14"/>
        <v>0</v>
      </c>
    </row>
    <row r="263" spans="2:13" hidden="1" x14ac:dyDescent="0.25">
      <c r="B263" t="str">
        <f t="shared" si="12"/>
        <v>Gallipoli (Pj Elena) PLPPP-IPU-D883-01</v>
      </c>
      <c r="C263" s="50" t="s">
        <v>826</v>
      </c>
      <c r="D263" s="51" t="s">
        <v>887</v>
      </c>
      <c r="E263" s="50" t="s">
        <v>910</v>
      </c>
      <c r="F263" s="50" t="s">
        <v>889</v>
      </c>
      <c r="G263" s="50" t="s">
        <v>890</v>
      </c>
      <c r="H263" s="57" t="s">
        <v>1386</v>
      </c>
      <c r="I263" s="50" t="s">
        <v>1387</v>
      </c>
      <c r="J263" s="18">
        <f>+_xlfn.XLOOKUP(B263,Sheet3!B:B,Sheet3!J:J,0)</f>
        <v>131.54782</v>
      </c>
      <c r="K263">
        <f t="shared" si="13"/>
        <v>175.39709333333334</v>
      </c>
      <c r="L263" s="54">
        <v>168.13517000000002</v>
      </c>
      <c r="M263" s="67">
        <f t="shared" si="14"/>
        <v>-7.2619233333333284</v>
      </c>
    </row>
    <row r="264" spans="2:13" hidden="1" x14ac:dyDescent="0.25">
      <c r="B264" t="str">
        <f t="shared" si="12"/>
        <v>Giffoni Sei CasaliPPP-IPU-E026-01</v>
      </c>
      <c r="C264" s="50" t="s">
        <v>826</v>
      </c>
      <c r="D264" s="51" t="s">
        <v>887</v>
      </c>
      <c r="E264" s="50" t="s">
        <v>910</v>
      </c>
      <c r="F264" s="50" t="s">
        <v>889</v>
      </c>
      <c r="G264" s="50" t="s">
        <v>890</v>
      </c>
      <c r="H264" s="57" t="s">
        <v>1388</v>
      </c>
      <c r="I264" s="50" t="s">
        <v>1389</v>
      </c>
      <c r="J264" s="18">
        <f>+_xlfn.XLOOKUP(B264,Sheet3!B:B,Sheet3!J:J,0)</f>
        <v>60.404400000000003</v>
      </c>
      <c r="K264">
        <f t="shared" si="13"/>
        <v>80.539200000000008</v>
      </c>
      <c r="L264" s="54">
        <v>80.539199999999994</v>
      </c>
      <c r="M264" s="67">
        <f t="shared" si="14"/>
        <v>0</v>
      </c>
    </row>
    <row r="265" spans="2:13" hidden="1" x14ac:dyDescent="0.25">
      <c r="B265" t="str">
        <f t="shared" si="12"/>
        <v>GinestraPPP-IPU-E033-01</v>
      </c>
      <c r="C265" s="50" t="s">
        <v>826</v>
      </c>
      <c r="D265" s="51" t="s">
        <v>887</v>
      </c>
      <c r="E265" s="50" t="s">
        <v>910</v>
      </c>
      <c r="F265" s="50" t="s">
        <v>889</v>
      </c>
      <c r="G265" s="50" t="s">
        <v>890</v>
      </c>
      <c r="H265" s="57" t="s">
        <v>1390</v>
      </c>
      <c r="I265" s="50" t="s">
        <v>1391</v>
      </c>
      <c r="J265" s="18">
        <f>+_xlfn.XLOOKUP(B265,Sheet3!B:B,Sheet3!J:J,0)</f>
        <v>34.23028</v>
      </c>
      <c r="K265">
        <f t="shared" si="13"/>
        <v>45.640373333333336</v>
      </c>
      <c r="L265" s="54">
        <v>47.624739999999996</v>
      </c>
      <c r="M265" s="67">
        <f t="shared" si="14"/>
        <v>1.9843666666666593</v>
      </c>
    </row>
    <row r="266" spans="2:13" hidden="1" x14ac:dyDescent="0.25">
      <c r="B266" t="str">
        <f t="shared" si="12"/>
        <v>GiuggianelloPPP-IPU-E053-01</v>
      </c>
      <c r="C266" s="50" t="s">
        <v>826</v>
      </c>
      <c r="D266" s="51" t="s">
        <v>887</v>
      </c>
      <c r="E266" s="50" t="s">
        <v>910</v>
      </c>
      <c r="F266" s="50" t="s">
        <v>889</v>
      </c>
      <c r="G266" s="50" t="s">
        <v>890</v>
      </c>
      <c r="H266" s="57" t="s">
        <v>1392</v>
      </c>
      <c r="I266" s="50" t="s">
        <v>1393</v>
      </c>
      <c r="J266" s="18">
        <f>+_xlfn.XLOOKUP(B266,Sheet3!B:B,Sheet3!J:J,0)</f>
        <v>25.40982</v>
      </c>
      <c r="K266">
        <f t="shared" si="13"/>
        <v>33.879759999999997</v>
      </c>
      <c r="L266" s="54">
        <v>33.879760000000005</v>
      </c>
      <c r="M266" s="67">
        <f t="shared" si="14"/>
        <v>0</v>
      </c>
    </row>
    <row r="267" spans="2:13" hidden="1" x14ac:dyDescent="0.25">
      <c r="B267" t="str">
        <f t="shared" si="12"/>
        <v>LavianoPPP-IPU-E498-01</v>
      </c>
      <c r="C267" s="50" t="s">
        <v>826</v>
      </c>
      <c r="D267" s="51" t="s">
        <v>887</v>
      </c>
      <c r="E267" s="50" t="s">
        <v>910</v>
      </c>
      <c r="F267" s="50" t="s">
        <v>889</v>
      </c>
      <c r="G267" s="50" t="s">
        <v>890</v>
      </c>
      <c r="H267" s="57" t="s">
        <v>1394</v>
      </c>
      <c r="I267" s="50" t="s">
        <v>1395</v>
      </c>
      <c r="J267" s="18">
        <f>+_xlfn.XLOOKUP(B267,Sheet3!B:B,Sheet3!J:J,0)</f>
        <v>88.152779999999993</v>
      </c>
      <c r="K267">
        <f t="shared" si="13"/>
        <v>117.53703999999999</v>
      </c>
      <c r="L267" s="54">
        <v>117.53704</v>
      </c>
      <c r="M267" s="67">
        <f t="shared" si="14"/>
        <v>0</v>
      </c>
    </row>
    <row r="268" spans="2:13" hidden="1" x14ac:dyDescent="0.25">
      <c r="B268" t="str">
        <f t="shared" si="12"/>
        <v>LizzanoPPP-IPU-E630-01</v>
      </c>
      <c r="C268" s="50" t="s">
        <v>826</v>
      </c>
      <c r="D268" s="51" t="s">
        <v>887</v>
      </c>
      <c r="E268" s="50" t="s">
        <v>910</v>
      </c>
      <c r="F268" s="50" t="s">
        <v>889</v>
      </c>
      <c r="G268" s="50" t="s">
        <v>890</v>
      </c>
      <c r="H268" s="57" t="s">
        <v>1396</v>
      </c>
      <c r="I268" s="50" t="s">
        <v>1397</v>
      </c>
      <c r="J268" s="18">
        <f>+_xlfn.XLOOKUP(B268,Sheet3!B:B,Sheet3!J:J,0)</f>
        <v>173.11962</v>
      </c>
      <c r="K268">
        <f t="shared" si="13"/>
        <v>230.82615999999999</v>
      </c>
      <c r="L268" s="54">
        <v>230.82616000000002</v>
      </c>
      <c r="M268" s="67">
        <f t="shared" si="14"/>
        <v>0</v>
      </c>
    </row>
    <row r="269" spans="2:13" hidden="1" x14ac:dyDescent="0.25">
      <c r="B269" t="str">
        <f t="shared" si="12"/>
        <v>LuceraPPP-IPU-E716-01</v>
      </c>
      <c r="C269" s="50" t="s">
        <v>826</v>
      </c>
      <c r="D269" s="51" t="s">
        <v>887</v>
      </c>
      <c r="E269" s="50" t="s">
        <v>910</v>
      </c>
      <c r="F269" s="50" t="s">
        <v>889</v>
      </c>
      <c r="G269" s="50" t="s">
        <v>890</v>
      </c>
      <c r="H269" s="57" t="s">
        <v>1398</v>
      </c>
      <c r="I269" s="50" t="s">
        <v>1399</v>
      </c>
      <c r="J269" s="18">
        <f>+_xlfn.XLOOKUP(B269,Sheet3!B:B,Sheet3!J:J,0)</f>
        <v>348.75258000000002</v>
      </c>
      <c r="K269">
        <f t="shared" si="13"/>
        <v>465.00344000000001</v>
      </c>
      <c r="L269" s="54">
        <v>465.00344000000001</v>
      </c>
      <c r="M269" s="67">
        <f t="shared" si="14"/>
        <v>0</v>
      </c>
    </row>
    <row r="270" spans="2:13" hidden="1" x14ac:dyDescent="0.25">
      <c r="B270" t="str">
        <f t="shared" si="12"/>
        <v>Manduria (Pj Elena) PLPPP-IPU-E882-01</v>
      </c>
      <c r="C270" s="50" t="s">
        <v>826</v>
      </c>
      <c r="D270" s="51" t="s">
        <v>887</v>
      </c>
      <c r="E270" s="50" t="s">
        <v>910</v>
      </c>
      <c r="F270" s="50" t="s">
        <v>889</v>
      </c>
      <c r="G270" s="50" t="s">
        <v>890</v>
      </c>
      <c r="H270" s="57" t="s">
        <v>1400</v>
      </c>
      <c r="I270" s="50" t="s">
        <v>1401</v>
      </c>
      <c r="J270" s="18">
        <f>+_xlfn.XLOOKUP(B270,Sheet3!B:B,Sheet3!J:J,0)</f>
        <v>193.09075000000001</v>
      </c>
      <c r="K270">
        <f t="shared" si="13"/>
        <v>257.45433333333335</v>
      </c>
      <c r="L270" s="54">
        <v>249.62812</v>
      </c>
      <c r="M270" s="67">
        <f t="shared" si="14"/>
        <v>-7.8262133333333566</v>
      </c>
    </row>
    <row r="271" spans="2:13" hidden="1" x14ac:dyDescent="0.25">
      <c r="B271" t="str">
        <f t="shared" si="12"/>
        <v>MarateaPPP-IPU-E919-01</v>
      </c>
      <c r="C271" s="50" t="s">
        <v>826</v>
      </c>
      <c r="D271" s="51" t="s">
        <v>887</v>
      </c>
      <c r="E271" s="50" t="s">
        <v>910</v>
      </c>
      <c r="F271" s="50" t="s">
        <v>889</v>
      </c>
      <c r="G271" s="50" t="s">
        <v>890</v>
      </c>
      <c r="H271" s="57" t="s">
        <v>1402</v>
      </c>
      <c r="I271" s="50" t="s">
        <v>1403</v>
      </c>
      <c r="J271" s="18">
        <f>+_xlfn.XLOOKUP(B271,Sheet3!B:B,Sheet3!J:J,0)</f>
        <v>142.82739000000001</v>
      </c>
      <c r="K271">
        <f t="shared" si="13"/>
        <v>190.43652</v>
      </c>
      <c r="L271" s="54">
        <v>190.43652000000003</v>
      </c>
      <c r="M271" s="67">
        <f t="shared" si="14"/>
        <v>0</v>
      </c>
    </row>
    <row r="272" spans="2:13" hidden="1" x14ac:dyDescent="0.25">
      <c r="B272" t="str">
        <f t="shared" si="12"/>
        <v>Marsico NuovoPPP-IPU-E976-01</v>
      </c>
      <c r="C272" s="50" t="s">
        <v>826</v>
      </c>
      <c r="D272" s="51" t="s">
        <v>887</v>
      </c>
      <c r="E272" s="50" t="s">
        <v>910</v>
      </c>
      <c r="F272" s="50" t="s">
        <v>889</v>
      </c>
      <c r="G272" s="50" t="s">
        <v>890</v>
      </c>
      <c r="H272" s="57" t="s">
        <v>1404</v>
      </c>
      <c r="I272" s="50" t="s">
        <v>1405</v>
      </c>
      <c r="J272" s="18">
        <f>+_xlfn.XLOOKUP(B272,Sheet3!B:B,Sheet3!J:J,0)</f>
        <v>170.7749</v>
      </c>
      <c r="K272">
        <f t="shared" si="13"/>
        <v>227.69986666666668</v>
      </c>
      <c r="L272" s="54">
        <v>208.72486999999998</v>
      </c>
      <c r="M272" s="67">
        <f t="shared" si="14"/>
        <v>-18.974996666666698</v>
      </c>
    </row>
    <row r="273" spans="2:13" hidden="1" x14ac:dyDescent="0.25">
      <c r="B273" t="str">
        <f t="shared" si="12"/>
        <v>MiglionicoPPP-IPU-F201-01</v>
      </c>
      <c r="C273" s="50" t="s">
        <v>826</v>
      </c>
      <c r="D273" s="51" t="s">
        <v>887</v>
      </c>
      <c r="E273" s="50" t="s">
        <v>910</v>
      </c>
      <c r="F273" s="50" t="s">
        <v>889</v>
      </c>
      <c r="G273" s="50" t="s">
        <v>890</v>
      </c>
      <c r="H273" s="57" t="s">
        <v>1406</v>
      </c>
      <c r="I273" s="50" t="s">
        <v>1407</v>
      </c>
      <c r="J273" s="18">
        <f>+_xlfn.XLOOKUP(B273,Sheet3!B:B,Sheet3!J:J,0)</f>
        <v>54.1464</v>
      </c>
      <c r="K273">
        <f t="shared" si="13"/>
        <v>72.1952</v>
      </c>
      <c r="L273" s="54">
        <v>72.1952</v>
      </c>
      <c r="M273" s="67">
        <f t="shared" si="14"/>
        <v>0</v>
      </c>
    </row>
    <row r="274" spans="2:13" hidden="1" x14ac:dyDescent="0.25">
      <c r="B274" t="str">
        <f t="shared" si="12"/>
        <v>MongrassanoPPP-IPU-F370-01</v>
      </c>
      <c r="C274" s="50" t="s">
        <v>826</v>
      </c>
      <c r="D274" s="51" t="s">
        <v>887</v>
      </c>
      <c r="E274" s="50" t="s">
        <v>910</v>
      </c>
      <c r="F274" s="50" t="s">
        <v>889</v>
      </c>
      <c r="G274" s="50" t="s">
        <v>890</v>
      </c>
      <c r="H274" s="57" t="s">
        <v>1408</v>
      </c>
      <c r="I274" s="50" t="s">
        <v>1409</v>
      </c>
      <c r="J274" s="18">
        <f>+_xlfn.XLOOKUP(B274,Sheet3!B:B,Sheet3!J:J,0)</f>
        <v>51.427980000000005</v>
      </c>
      <c r="K274">
        <f t="shared" si="13"/>
        <v>68.570640000000012</v>
      </c>
      <c r="L274" s="54">
        <v>68.570639999999997</v>
      </c>
      <c r="M274" s="67">
        <f t="shared" si="14"/>
        <v>0</v>
      </c>
    </row>
    <row r="275" spans="2:13" hidden="1" x14ac:dyDescent="0.25">
      <c r="B275" t="str">
        <f t="shared" si="12"/>
        <v>MontescagliosoPPP-IPU-F637-01</v>
      </c>
      <c r="C275" s="50" t="s">
        <v>826</v>
      </c>
      <c r="D275" s="51" t="s">
        <v>887</v>
      </c>
      <c r="E275" s="50" t="s">
        <v>910</v>
      </c>
      <c r="F275" s="50" t="s">
        <v>889</v>
      </c>
      <c r="G275" s="50" t="s">
        <v>890</v>
      </c>
      <c r="H275" s="57" t="s">
        <v>1410</v>
      </c>
      <c r="I275" s="50" t="s">
        <v>1411</v>
      </c>
      <c r="J275" s="18">
        <f>+_xlfn.XLOOKUP(B275,Sheet3!B:B,Sheet3!J:J,0)</f>
        <v>158.43971999999999</v>
      </c>
      <c r="K275">
        <f t="shared" si="13"/>
        <v>211.25296</v>
      </c>
      <c r="L275" s="54">
        <v>216.14466000000002</v>
      </c>
      <c r="M275" s="67">
        <f t="shared" si="14"/>
        <v>4.8917000000000144</v>
      </c>
    </row>
    <row r="276" spans="2:13" hidden="1" x14ac:dyDescent="0.25">
      <c r="B276" t="str">
        <f t="shared" si="12"/>
        <v>NardodipacePPP-IPU-F843-01</v>
      </c>
      <c r="C276" s="50" t="s">
        <v>826</v>
      </c>
      <c r="D276" s="51" t="s">
        <v>887</v>
      </c>
      <c r="E276" s="50" t="s">
        <v>910</v>
      </c>
      <c r="F276" s="50" t="s">
        <v>889</v>
      </c>
      <c r="G276" s="50" t="s">
        <v>890</v>
      </c>
      <c r="H276" s="57" t="s">
        <v>1412</v>
      </c>
      <c r="I276" s="50" t="s">
        <v>1413</v>
      </c>
      <c r="J276" s="18">
        <f>+_xlfn.XLOOKUP(B276,Sheet3!B:B,Sheet3!J:J,0)</f>
        <v>47.991120000000002</v>
      </c>
      <c r="K276">
        <f t="shared" si="13"/>
        <v>63.988160000000001</v>
      </c>
      <c r="L276" s="54">
        <v>63.988160000000001</v>
      </c>
      <c r="M276" s="67">
        <f t="shared" si="14"/>
        <v>0</v>
      </c>
    </row>
    <row r="277" spans="2:13" hidden="1" x14ac:dyDescent="0.25">
      <c r="B277" t="str">
        <f t="shared" si="12"/>
        <v>NociPPP-IPU-F915-01</v>
      </c>
      <c r="C277" s="50" t="s">
        <v>826</v>
      </c>
      <c r="D277" s="51" t="s">
        <v>887</v>
      </c>
      <c r="E277" s="50" t="s">
        <v>910</v>
      </c>
      <c r="F277" s="50" t="s">
        <v>889</v>
      </c>
      <c r="G277" s="50" t="s">
        <v>890</v>
      </c>
      <c r="H277" s="57" t="s">
        <v>1414</v>
      </c>
      <c r="I277" s="50" t="s">
        <v>1415</v>
      </c>
      <c r="J277" s="18">
        <f>+_xlfn.XLOOKUP(B277,Sheet3!B:B,Sheet3!J:J,0)</f>
        <v>359.44439590429306</v>
      </c>
      <c r="K277">
        <f t="shared" si="13"/>
        <v>479.25919453905743</v>
      </c>
      <c r="L277" s="60">
        <v>499.90637977961427</v>
      </c>
      <c r="M277" s="67">
        <f t="shared" si="14"/>
        <v>20.647185240556837</v>
      </c>
    </row>
    <row r="278" spans="2:13" hidden="1" x14ac:dyDescent="0.25">
      <c r="B278" t="str">
        <f t="shared" si="12"/>
        <v>Olevano sul TuscianoPPP-IPU-G023-01</v>
      </c>
      <c r="C278" s="50" t="s">
        <v>826</v>
      </c>
      <c r="D278" s="51" t="s">
        <v>887</v>
      </c>
      <c r="E278" s="50" t="s">
        <v>910</v>
      </c>
      <c r="F278" s="50" t="s">
        <v>889</v>
      </c>
      <c r="G278" s="50" t="s">
        <v>890</v>
      </c>
      <c r="H278" s="57" t="s">
        <v>1416</v>
      </c>
      <c r="I278" s="50" t="s">
        <v>1417</v>
      </c>
      <c r="J278" s="18">
        <f>+_xlfn.XLOOKUP(B278,Sheet3!B:B,Sheet3!J:J,0)</f>
        <v>121.7589</v>
      </c>
      <c r="K278">
        <f t="shared" si="13"/>
        <v>162.34520000000001</v>
      </c>
      <c r="L278" s="54">
        <v>162.34519999999998</v>
      </c>
      <c r="M278" s="67">
        <f t="shared" si="14"/>
        <v>0</v>
      </c>
    </row>
    <row r="279" spans="2:13" hidden="1" x14ac:dyDescent="0.25">
      <c r="B279" t="str">
        <f t="shared" si="12"/>
        <v>OrtellePPP-IPU-G136-01</v>
      </c>
      <c r="C279" s="50" t="s">
        <v>826</v>
      </c>
      <c r="D279" s="51" t="s">
        <v>887</v>
      </c>
      <c r="E279" s="50" t="s">
        <v>910</v>
      </c>
      <c r="F279" s="50" t="s">
        <v>889</v>
      </c>
      <c r="G279" s="50" t="s">
        <v>890</v>
      </c>
      <c r="H279" s="57" t="s">
        <v>1418</v>
      </c>
      <c r="I279" s="50" t="s">
        <v>1419</v>
      </c>
      <c r="J279" s="18">
        <f>+_xlfn.XLOOKUP(B279,Sheet3!B:B,Sheet3!J:J,0)</f>
        <v>73.548839999999998</v>
      </c>
      <c r="K279">
        <f t="shared" si="13"/>
        <v>98.065119999999993</v>
      </c>
      <c r="L279" s="54">
        <v>98.065119999999993</v>
      </c>
      <c r="M279" s="67">
        <f t="shared" si="14"/>
        <v>0</v>
      </c>
    </row>
    <row r="280" spans="2:13" hidden="1" x14ac:dyDescent="0.25">
      <c r="B280" t="str">
        <f t="shared" si="12"/>
        <v>PadulaPPP-IPU-G226-01</v>
      </c>
      <c r="C280" s="50" t="s">
        <v>826</v>
      </c>
      <c r="D280" s="51" t="s">
        <v>887</v>
      </c>
      <c r="E280" s="50" t="s">
        <v>910</v>
      </c>
      <c r="F280" s="50" t="s">
        <v>889</v>
      </c>
      <c r="G280" s="50" t="s">
        <v>890</v>
      </c>
      <c r="H280" s="57" t="s">
        <v>1420</v>
      </c>
      <c r="I280" s="50" t="s">
        <v>1421</v>
      </c>
      <c r="J280" s="18">
        <f>+_xlfn.XLOOKUP(B280,Sheet3!B:B,Sheet3!J:J,0)</f>
        <v>137.49822</v>
      </c>
      <c r="K280">
        <f t="shared" si="13"/>
        <v>183.33096</v>
      </c>
      <c r="L280" s="54">
        <v>183.33096</v>
      </c>
      <c r="M280" s="67">
        <f t="shared" si="14"/>
        <v>0</v>
      </c>
    </row>
    <row r="281" spans="2:13" hidden="1" x14ac:dyDescent="0.25">
      <c r="B281" t="str">
        <f t="shared" si="12"/>
        <v>PaganiPPP-IPU-G230-01</v>
      </c>
      <c r="C281" s="50" t="s">
        <v>826</v>
      </c>
      <c r="D281" s="51" t="s">
        <v>887</v>
      </c>
      <c r="E281" s="50" t="s">
        <v>910</v>
      </c>
      <c r="F281" s="50" t="s">
        <v>889</v>
      </c>
      <c r="G281" s="50" t="s">
        <v>890</v>
      </c>
      <c r="H281" s="57" t="s">
        <v>1422</v>
      </c>
      <c r="I281" s="50" t="s">
        <v>1423</v>
      </c>
      <c r="J281" s="18">
        <f>+_xlfn.XLOOKUP(B281,Sheet3!B:B,Sheet3!J:J,0)</f>
        <v>259.72343728323739</v>
      </c>
      <c r="K281">
        <f t="shared" si="13"/>
        <v>346.29791637764987</v>
      </c>
      <c r="L281" s="60">
        <v>359.64769848049554</v>
      </c>
      <c r="M281" s="67">
        <f t="shared" si="14"/>
        <v>13.349782102845666</v>
      </c>
    </row>
    <row r="282" spans="2:13" hidden="1" x14ac:dyDescent="0.25">
      <c r="B282" t="str">
        <f t="shared" si="12"/>
        <v>PartinicoPPP-IPU-G348-01</v>
      </c>
      <c r="C282" s="50" t="s">
        <v>826</v>
      </c>
      <c r="D282" s="51" t="s">
        <v>887</v>
      </c>
      <c r="E282" s="50" t="s">
        <v>910</v>
      </c>
      <c r="F282" s="50" t="s">
        <v>889</v>
      </c>
      <c r="G282" s="50" t="s">
        <v>890</v>
      </c>
      <c r="H282" s="57" t="s">
        <v>1424</v>
      </c>
      <c r="I282" s="50" t="s">
        <v>1425</v>
      </c>
      <c r="J282" s="18">
        <f>+_xlfn.XLOOKUP(B282,Sheet3!B:B,Sheet3!J:J,0)</f>
        <v>649.16956999999991</v>
      </c>
      <c r="K282">
        <f t="shared" si="13"/>
        <v>865.55942666666658</v>
      </c>
      <c r="L282" s="54">
        <v>861.14972</v>
      </c>
      <c r="M282" s="67">
        <f t="shared" si="14"/>
        <v>-4.4097066666665796</v>
      </c>
    </row>
    <row r="283" spans="2:13" hidden="1" x14ac:dyDescent="0.25">
      <c r="B283" t="str">
        <f t="shared" si="12"/>
        <v>Pellezzano PLPPP-IPU-G426-01</v>
      </c>
      <c r="C283" s="50" t="s">
        <v>826</v>
      </c>
      <c r="D283" s="51" t="s">
        <v>887</v>
      </c>
      <c r="E283" s="50" t="s">
        <v>910</v>
      </c>
      <c r="F283" s="50" t="s">
        <v>889</v>
      </c>
      <c r="G283" s="50" t="s">
        <v>890</v>
      </c>
      <c r="H283" s="57" t="s">
        <v>1426</v>
      </c>
      <c r="I283" s="50" t="s">
        <v>1427</v>
      </c>
      <c r="J283" s="18">
        <f>+_xlfn.XLOOKUP(B283,Sheet3!B:B,Sheet3!J:J,0)</f>
        <v>0</v>
      </c>
      <c r="K283">
        <f t="shared" si="13"/>
        <v>0</v>
      </c>
      <c r="L283" s="54">
        <v>231.99024</v>
      </c>
      <c r="M283" s="67">
        <f t="shared" si="14"/>
        <v>231.99024</v>
      </c>
    </row>
    <row r="284" spans="2:13" hidden="1" x14ac:dyDescent="0.25">
      <c r="B284" t="str">
        <f t="shared" si="12"/>
        <v>PicernoPPP-IPU-G590-01</v>
      </c>
      <c r="C284" s="50" t="s">
        <v>826</v>
      </c>
      <c r="D284" s="51" t="s">
        <v>887</v>
      </c>
      <c r="E284" s="50" t="s">
        <v>910</v>
      </c>
      <c r="F284" s="50" t="s">
        <v>889</v>
      </c>
      <c r="G284" s="50" t="s">
        <v>890</v>
      </c>
      <c r="H284" s="57" t="s">
        <v>1428</v>
      </c>
      <c r="I284" s="50" t="s">
        <v>1429</v>
      </c>
      <c r="J284" s="18">
        <f>+_xlfn.XLOOKUP(B284,Sheet3!B:B,Sheet3!J:J,0)</f>
        <v>61.465919999999997</v>
      </c>
      <c r="K284">
        <f t="shared" si="13"/>
        <v>81.954560000000001</v>
      </c>
      <c r="L284" s="54">
        <v>81.954560000000001</v>
      </c>
      <c r="M284" s="67">
        <f t="shared" si="14"/>
        <v>0</v>
      </c>
    </row>
    <row r="285" spans="2:13" hidden="1" x14ac:dyDescent="0.25">
      <c r="B285" t="str">
        <f t="shared" si="12"/>
        <v>PisciottaPPP-IPU-G707-01</v>
      </c>
      <c r="C285" s="50" t="s">
        <v>826</v>
      </c>
      <c r="D285" s="51" t="s">
        <v>887</v>
      </c>
      <c r="E285" s="50" t="s">
        <v>910</v>
      </c>
      <c r="F285" s="50" t="s">
        <v>889</v>
      </c>
      <c r="G285" s="50" t="s">
        <v>890</v>
      </c>
      <c r="H285" s="57" t="s">
        <v>1430</v>
      </c>
      <c r="I285" s="50" t="s">
        <v>1431</v>
      </c>
      <c r="J285" s="18">
        <f>+_xlfn.XLOOKUP(B285,Sheet3!B:B,Sheet3!J:J,0)</f>
        <v>96.941279999999992</v>
      </c>
      <c r="K285">
        <f t="shared" si="13"/>
        <v>129.25503999999998</v>
      </c>
      <c r="L285" s="54">
        <v>129.25504000000001</v>
      </c>
      <c r="M285" s="67">
        <f t="shared" si="14"/>
        <v>0</v>
      </c>
    </row>
    <row r="286" spans="2:13" hidden="1" x14ac:dyDescent="0.25">
      <c r="B286" t="str">
        <f t="shared" si="12"/>
        <v>PoggiardoPPP-IPU-G751-01</v>
      </c>
      <c r="C286" s="50" t="s">
        <v>826</v>
      </c>
      <c r="D286" s="51" t="s">
        <v>887</v>
      </c>
      <c r="E286" s="50" t="s">
        <v>910</v>
      </c>
      <c r="F286" s="50" t="s">
        <v>889</v>
      </c>
      <c r="G286" s="50" t="s">
        <v>890</v>
      </c>
      <c r="H286" s="57" t="s">
        <v>1432</v>
      </c>
      <c r="I286" s="50" t="s">
        <v>1433</v>
      </c>
      <c r="J286" s="18">
        <f>+_xlfn.XLOOKUP(B286,Sheet3!B:B,Sheet3!J:J,0)</f>
        <v>132.45371</v>
      </c>
      <c r="K286">
        <f t="shared" si="13"/>
        <v>176.60494666666668</v>
      </c>
      <c r="L286" s="54">
        <v>176.60496000000001</v>
      </c>
      <c r="M286" s="67">
        <f t="shared" si="14"/>
        <v>1.3333333328091612E-5</v>
      </c>
    </row>
    <row r="287" spans="2:13" hidden="1" x14ac:dyDescent="0.25">
      <c r="B287" t="str">
        <f t="shared" si="12"/>
        <v>Poggio ImperialePPP-IPU-G761-01</v>
      </c>
      <c r="C287" s="50" t="s">
        <v>826</v>
      </c>
      <c r="D287" s="51" t="s">
        <v>887</v>
      </c>
      <c r="E287" s="50" t="s">
        <v>910</v>
      </c>
      <c r="F287" s="50" t="s">
        <v>889</v>
      </c>
      <c r="G287" s="50" t="s">
        <v>890</v>
      </c>
      <c r="H287" s="57" t="s">
        <v>1434</v>
      </c>
      <c r="I287" s="50" t="s">
        <v>1435</v>
      </c>
      <c r="J287" s="18">
        <f>+_xlfn.XLOOKUP(B287,Sheet3!B:B,Sheet3!J:J,0)</f>
        <v>79.161419999999993</v>
      </c>
      <c r="K287">
        <f t="shared" si="13"/>
        <v>105.54855999999999</v>
      </c>
      <c r="L287" s="54">
        <v>105.54855999999999</v>
      </c>
      <c r="M287" s="67">
        <f t="shared" si="14"/>
        <v>0</v>
      </c>
    </row>
    <row r="288" spans="2:13" hidden="1" x14ac:dyDescent="0.25">
      <c r="B288" t="str">
        <f t="shared" si="12"/>
        <v>PomaricoPPP-IPU-G806-01</v>
      </c>
      <c r="C288" s="50" t="s">
        <v>826</v>
      </c>
      <c r="D288" s="51" t="s">
        <v>887</v>
      </c>
      <c r="E288" s="50" t="s">
        <v>910</v>
      </c>
      <c r="F288" s="50" t="s">
        <v>889</v>
      </c>
      <c r="G288" s="50" t="s">
        <v>890</v>
      </c>
      <c r="H288" s="57" t="s">
        <v>1436</v>
      </c>
      <c r="I288" s="50" t="s">
        <v>1437</v>
      </c>
      <c r="J288" s="18">
        <f>+_xlfn.XLOOKUP(B288,Sheet3!B:B,Sheet3!J:J,0)</f>
        <v>93.931080000000009</v>
      </c>
      <c r="K288">
        <f t="shared" si="13"/>
        <v>125.24144000000001</v>
      </c>
      <c r="L288" s="54">
        <v>125.24144</v>
      </c>
      <c r="M288" s="67">
        <f t="shared" si="14"/>
        <v>0</v>
      </c>
    </row>
    <row r="289" spans="2:13" hidden="1" x14ac:dyDescent="0.25">
      <c r="B289" t="str">
        <f t="shared" si="12"/>
        <v>RacalePPP-IPU-H147-01</v>
      </c>
      <c r="C289" s="50" t="s">
        <v>826</v>
      </c>
      <c r="D289" s="51" t="s">
        <v>887</v>
      </c>
      <c r="E289" s="50" t="s">
        <v>910</v>
      </c>
      <c r="F289" s="50" t="s">
        <v>889</v>
      </c>
      <c r="G289" s="50" t="s">
        <v>890</v>
      </c>
      <c r="H289" s="57" t="s">
        <v>1438</v>
      </c>
      <c r="I289" s="50" t="s">
        <v>1439</v>
      </c>
      <c r="J289" s="18">
        <f>+_xlfn.XLOOKUP(B289,Sheet3!B:B,Sheet3!J:J,0)</f>
        <v>245.75543999999999</v>
      </c>
      <c r="K289">
        <f t="shared" si="13"/>
        <v>327.67392000000001</v>
      </c>
      <c r="L289" s="54">
        <v>327.67392000000001</v>
      </c>
      <c r="M289" s="67">
        <f t="shared" si="14"/>
        <v>0</v>
      </c>
    </row>
    <row r="290" spans="2:13" hidden="1" x14ac:dyDescent="0.25">
      <c r="B290" t="str">
        <f t="shared" si="12"/>
        <v>Rionero in VulturePPP-IPU-H307-01</v>
      </c>
      <c r="C290" s="50" t="s">
        <v>826</v>
      </c>
      <c r="D290" s="51" t="s">
        <v>887</v>
      </c>
      <c r="E290" s="50" t="s">
        <v>910</v>
      </c>
      <c r="F290" s="50" t="s">
        <v>889</v>
      </c>
      <c r="G290" s="50" t="s">
        <v>890</v>
      </c>
      <c r="H290" s="57" t="s">
        <v>1440</v>
      </c>
      <c r="I290" s="50" t="s">
        <v>1441</v>
      </c>
      <c r="J290" s="18">
        <f>+_xlfn.XLOOKUP(B290,Sheet3!B:B,Sheet3!J:J,0)</f>
        <v>216.59820000000002</v>
      </c>
      <c r="K290">
        <f t="shared" si="13"/>
        <v>288.79760000000005</v>
      </c>
      <c r="L290" s="54">
        <v>288.79759999999999</v>
      </c>
      <c r="M290" s="67">
        <f t="shared" si="14"/>
        <v>0</v>
      </c>
    </row>
    <row r="291" spans="2:13" hidden="1" x14ac:dyDescent="0.25">
      <c r="B291" t="str">
        <f t="shared" si="12"/>
        <v>RuotiPPP-IPU-H641-01</v>
      </c>
      <c r="C291" s="50" t="s">
        <v>826</v>
      </c>
      <c r="D291" s="51" t="s">
        <v>887</v>
      </c>
      <c r="E291" s="50" t="s">
        <v>910</v>
      </c>
      <c r="F291" s="50" t="s">
        <v>889</v>
      </c>
      <c r="G291" s="50" t="s">
        <v>890</v>
      </c>
      <c r="H291" s="57" t="s">
        <v>1442</v>
      </c>
      <c r="I291" s="50" t="s">
        <v>1443</v>
      </c>
      <c r="J291" s="18">
        <f>+_xlfn.XLOOKUP(B291,Sheet3!B:B,Sheet3!J:J,0)</f>
        <v>63.73554</v>
      </c>
      <c r="K291">
        <f t="shared" si="13"/>
        <v>84.980720000000005</v>
      </c>
      <c r="L291" s="54">
        <v>84.980720000000005</v>
      </c>
      <c r="M291" s="67">
        <f t="shared" si="14"/>
        <v>0</v>
      </c>
    </row>
    <row r="292" spans="2:13" hidden="1" x14ac:dyDescent="0.25">
      <c r="B292" t="str">
        <f t="shared" si="12"/>
        <v>San Cesario di Lecce (Pj Elena)PPP-IPU-H793-01</v>
      </c>
      <c r="C292" s="50" t="s">
        <v>826</v>
      </c>
      <c r="D292" s="51" t="s">
        <v>887</v>
      </c>
      <c r="E292" s="50" t="s">
        <v>910</v>
      </c>
      <c r="F292" s="50" t="s">
        <v>889</v>
      </c>
      <c r="G292" s="50" t="s">
        <v>890</v>
      </c>
      <c r="H292" s="57" t="s">
        <v>1444</v>
      </c>
      <c r="I292" s="50" t="s">
        <v>1445</v>
      </c>
      <c r="J292" s="18">
        <f>+_xlfn.XLOOKUP(B292,Sheet3!B:B,Sheet3!J:J,0)</f>
        <v>18.999959999999998</v>
      </c>
      <c r="K292">
        <f t="shared" si="13"/>
        <v>25.333279999999998</v>
      </c>
      <c r="L292" s="54">
        <v>25.333279999999998</v>
      </c>
      <c r="M292" s="67">
        <f t="shared" si="14"/>
        <v>0</v>
      </c>
    </row>
    <row r="293" spans="2:13" hidden="1" x14ac:dyDescent="0.25">
      <c r="B293" t="str">
        <f t="shared" si="12"/>
        <v>San Chirico NuovoPPP-IPU-H795-01</v>
      </c>
      <c r="C293" s="50" t="s">
        <v>826</v>
      </c>
      <c r="D293" s="51" t="s">
        <v>887</v>
      </c>
      <c r="E293" s="50" t="s">
        <v>910</v>
      </c>
      <c r="F293" s="50" t="s">
        <v>889</v>
      </c>
      <c r="G293" s="50" t="s">
        <v>890</v>
      </c>
      <c r="H293" s="57" t="s">
        <v>1446</v>
      </c>
      <c r="I293" s="50" t="s">
        <v>1447</v>
      </c>
      <c r="J293" s="18">
        <f>+_xlfn.XLOOKUP(B293,Sheet3!B:B,Sheet3!J:J,0)</f>
        <v>23.682299999999998</v>
      </c>
      <c r="K293">
        <f t="shared" si="13"/>
        <v>31.576399999999996</v>
      </c>
      <c r="L293" s="54">
        <v>31.576400000000003</v>
      </c>
      <c r="M293" s="67">
        <f t="shared" si="14"/>
        <v>0</v>
      </c>
    </row>
    <row r="294" spans="2:13" hidden="1" x14ac:dyDescent="0.25">
      <c r="B294" t="str">
        <f t="shared" si="12"/>
        <v>San Marzano sul SarnoPPP-IPU-I019-01</v>
      </c>
      <c r="C294" s="50" t="s">
        <v>826</v>
      </c>
      <c r="D294" s="51" t="s">
        <v>887</v>
      </c>
      <c r="E294" s="50" t="s">
        <v>910</v>
      </c>
      <c r="F294" s="50" t="s">
        <v>889</v>
      </c>
      <c r="G294" s="50" t="s">
        <v>890</v>
      </c>
      <c r="H294" s="57" t="s">
        <v>1448</v>
      </c>
      <c r="I294" s="50" t="s">
        <v>1449</v>
      </c>
      <c r="J294" s="18">
        <f>+_xlfn.XLOOKUP(B294,Sheet3!B:B,Sheet3!J:J,0)</f>
        <v>89.478839999999991</v>
      </c>
      <c r="K294">
        <f t="shared" si="13"/>
        <v>119.30511999999999</v>
      </c>
      <c r="L294" s="54">
        <v>119.30512</v>
      </c>
      <c r="M294" s="67">
        <f t="shared" si="14"/>
        <v>0</v>
      </c>
    </row>
    <row r="295" spans="2:13" hidden="1" x14ac:dyDescent="0.25">
      <c r="B295" t="str">
        <f t="shared" si="12"/>
        <v>Sant'arcangeloPPP-IPU-I305-01</v>
      </c>
      <c r="C295" s="50" t="s">
        <v>826</v>
      </c>
      <c r="D295" s="51" t="s">
        <v>887</v>
      </c>
      <c r="E295" s="50" t="s">
        <v>910</v>
      </c>
      <c r="F295" s="50" t="s">
        <v>889</v>
      </c>
      <c r="G295" s="50" t="s">
        <v>890</v>
      </c>
      <c r="H295" s="57" t="s">
        <v>1450</v>
      </c>
      <c r="I295" s="50" t="s">
        <v>1451</v>
      </c>
      <c r="J295" s="18">
        <f>+_xlfn.XLOOKUP(B295,Sheet3!B:B,Sheet3!J:J,0)</f>
        <v>83.950020000000009</v>
      </c>
      <c r="K295">
        <f t="shared" si="13"/>
        <v>111.93336000000001</v>
      </c>
      <c r="L295" s="54">
        <v>111.93336000000001</v>
      </c>
      <c r="M295" s="67">
        <f t="shared" si="14"/>
        <v>0</v>
      </c>
    </row>
    <row r="296" spans="2:13" hidden="1" x14ac:dyDescent="0.25">
      <c r="B296" t="str">
        <f t="shared" si="12"/>
        <v>Sasso di CastaldaPPP-IPU-I457-01</v>
      </c>
      <c r="C296" s="50" t="s">
        <v>826</v>
      </c>
      <c r="D296" s="51" t="s">
        <v>887</v>
      </c>
      <c r="E296" s="50" t="s">
        <v>910</v>
      </c>
      <c r="F296" s="50" t="s">
        <v>889</v>
      </c>
      <c r="G296" s="50" t="s">
        <v>890</v>
      </c>
      <c r="H296" s="57" t="s">
        <v>1452</v>
      </c>
      <c r="I296" s="50" t="s">
        <v>1453</v>
      </c>
      <c r="J296" s="18">
        <f>+_xlfn.XLOOKUP(B296,Sheet3!B:B,Sheet3!J:J,0)</f>
        <v>23.079919999999998</v>
      </c>
      <c r="K296">
        <f t="shared" si="13"/>
        <v>30.773226666666663</v>
      </c>
      <c r="L296" s="54">
        <v>30.773229999999998</v>
      </c>
      <c r="M296" s="67">
        <f t="shared" si="14"/>
        <v>3.3333333355756167E-6</v>
      </c>
    </row>
    <row r="297" spans="2:13" hidden="1" x14ac:dyDescent="0.25">
      <c r="B297" t="str">
        <f t="shared" si="12"/>
        <v>Sogliano CavourPPP-IPU-I780-01</v>
      </c>
      <c r="C297" s="50" t="s">
        <v>826</v>
      </c>
      <c r="D297" s="51" t="s">
        <v>887</v>
      </c>
      <c r="E297" s="50" t="s">
        <v>910</v>
      </c>
      <c r="F297" s="50" t="s">
        <v>889</v>
      </c>
      <c r="G297" s="50" t="s">
        <v>890</v>
      </c>
      <c r="H297" s="57" t="s">
        <v>1454</v>
      </c>
      <c r="I297" s="50" t="s">
        <v>1455</v>
      </c>
      <c r="J297" s="18">
        <f>+_xlfn.XLOOKUP(B297,Sheet3!B:B,Sheet3!J:J,0)</f>
        <v>0</v>
      </c>
      <c r="K297">
        <f t="shared" si="13"/>
        <v>0</v>
      </c>
      <c r="L297" s="54">
        <v>0</v>
      </c>
      <c r="M297" s="67">
        <f t="shared" si="14"/>
        <v>0</v>
      </c>
    </row>
    <row r="298" spans="2:13" hidden="1" x14ac:dyDescent="0.25">
      <c r="B298" t="str">
        <f t="shared" si="12"/>
        <v>SolofraPPP-IPU-I805-01</v>
      </c>
      <c r="C298" s="50" t="s">
        <v>826</v>
      </c>
      <c r="D298" s="51" t="s">
        <v>887</v>
      </c>
      <c r="E298" s="50" t="s">
        <v>910</v>
      </c>
      <c r="F298" s="50" t="s">
        <v>889</v>
      </c>
      <c r="G298" s="50" t="s">
        <v>890</v>
      </c>
      <c r="H298" s="57" t="s">
        <v>1456</v>
      </c>
      <c r="I298" s="50" t="s">
        <v>1457</v>
      </c>
      <c r="J298" s="18">
        <f>+_xlfn.XLOOKUP(B298,Sheet3!B:B,Sheet3!J:J,0)</f>
        <v>172.56736999999998</v>
      </c>
      <c r="K298">
        <f t="shared" si="13"/>
        <v>230.08982666666665</v>
      </c>
      <c r="L298" s="54">
        <v>229.20641999999998</v>
      </c>
      <c r="M298" s="67">
        <f t="shared" si="14"/>
        <v>-0.88340666666667289</v>
      </c>
    </row>
    <row r="299" spans="2:13" hidden="1" x14ac:dyDescent="0.25">
      <c r="B299" t="str">
        <f t="shared" si="12"/>
        <v>SpinosoPPP-IPU-I917-01</v>
      </c>
      <c r="C299" s="50" t="s">
        <v>826</v>
      </c>
      <c r="D299" s="51" t="s">
        <v>887</v>
      </c>
      <c r="E299" s="50" t="s">
        <v>910</v>
      </c>
      <c r="F299" s="50" t="s">
        <v>889</v>
      </c>
      <c r="G299" s="50" t="s">
        <v>890</v>
      </c>
      <c r="H299" s="57" t="s">
        <v>1458</v>
      </c>
      <c r="I299" s="50" t="s">
        <v>1459</v>
      </c>
      <c r="J299" s="18">
        <f>+_xlfn.XLOOKUP(B299,Sheet3!B:B,Sheet3!J:J,0)</f>
        <v>35.554499999999997</v>
      </c>
      <c r="K299">
        <f t="shared" si="13"/>
        <v>47.405999999999999</v>
      </c>
      <c r="L299" s="54">
        <v>47.405999999999999</v>
      </c>
      <c r="M299" s="67">
        <f t="shared" si="14"/>
        <v>0</v>
      </c>
    </row>
    <row r="300" spans="2:13" hidden="1" x14ac:dyDescent="0.25">
      <c r="B300" t="str">
        <f t="shared" si="12"/>
        <v>SupersanoPPP-IPU-L008-01</v>
      </c>
      <c r="C300" s="50" t="s">
        <v>826</v>
      </c>
      <c r="D300" s="51" t="s">
        <v>887</v>
      </c>
      <c r="E300" s="50" t="s">
        <v>910</v>
      </c>
      <c r="F300" s="50" t="s">
        <v>889</v>
      </c>
      <c r="G300" s="50" t="s">
        <v>890</v>
      </c>
      <c r="H300" s="57" t="s">
        <v>1460</v>
      </c>
      <c r="I300" s="50" t="s">
        <v>1461</v>
      </c>
      <c r="J300" s="18">
        <f>+_xlfn.XLOOKUP(B300,Sheet3!B:B,Sheet3!J:J,0)</f>
        <v>60.108419999999995</v>
      </c>
      <c r="K300">
        <f t="shared" si="13"/>
        <v>80.144559999999998</v>
      </c>
      <c r="L300" s="54">
        <v>80.144559999999998</v>
      </c>
      <c r="M300" s="67">
        <f t="shared" si="14"/>
        <v>0</v>
      </c>
    </row>
    <row r="301" spans="2:13" hidden="1" x14ac:dyDescent="0.25">
      <c r="B301" t="str">
        <f t="shared" si="12"/>
        <v>TavianoPPP-IPU-L074-01</v>
      </c>
      <c r="C301" s="50" t="s">
        <v>826</v>
      </c>
      <c r="D301" s="51" t="s">
        <v>887</v>
      </c>
      <c r="E301" s="50" t="s">
        <v>910</v>
      </c>
      <c r="F301" s="50" t="s">
        <v>889</v>
      </c>
      <c r="G301" s="50" t="s">
        <v>890</v>
      </c>
      <c r="H301" s="57" t="s">
        <v>1462</v>
      </c>
      <c r="I301" s="50" t="s">
        <v>1463</v>
      </c>
      <c r="J301" s="18">
        <f>+_xlfn.XLOOKUP(B301,Sheet3!B:B,Sheet3!J:J,0)</f>
        <v>251.23746</v>
      </c>
      <c r="K301">
        <f t="shared" si="13"/>
        <v>334.98327999999998</v>
      </c>
      <c r="L301" s="54">
        <v>334.98328000000004</v>
      </c>
      <c r="M301" s="67">
        <f t="shared" si="14"/>
        <v>0</v>
      </c>
    </row>
    <row r="302" spans="2:13" hidden="1" x14ac:dyDescent="0.25">
      <c r="B302" t="str">
        <f t="shared" si="12"/>
        <v>TramutolaPPP-IPU-L326-01</v>
      </c>
      <c r="C302" s="50" t="s">
        <v>826</v>
      </c>
      <c r="D302" s="51" t="s">
        <v>887</v>
      </c>
      <c r="E302" s="50" t="s">
        <v>910</v>
      </c>
      <c r="F302" s="50" t="s">
        <v>889</v>
      </c>
      <c r="G302" s="50" t="s">
        <v>890</v>
      </c>
      <c r="H302" s="57" t="s">
        <v>1464</v>
      </c>
      <c r="I302" s="50" t="s">
        <v>1465</v>
      </c>
      <c r="J302" s="18">
        <f>+_xlfn.XLOOKUP(B302,Sheet3!B:B,Sheet3!J:J,0)</f>
        <v>62.244</v>
      </c>
      <c r="K302">
        <f t="shared" si="13"/>
        <v>82.992000000000004</v>
      </c>
      <c r="L302" s="54">
        <v>82.992000000000004</v>
      </c>
      <c r="M302" s="67">
        <f t="shared" si="14"/>
        <v>0</v>
      </c>
    </row>
    <row r="303" spans="2:13" hidden="1" x14ac:dyDescent="0.25">
      <c r="B303" t="str">
        <f t="shared" si="12"/>
        <v>Ugento (Pj Elena)PPP-IPU-L484-01</v>
      </c>
      <c r="C303" s="50" t="s">
        <v>826</v>
      </c>
      <c r="D303" s="51" t="s">
        <v>887</v>
      </c>
      <c r="E303" s="50" t="s">
        <v>910</v>
      </c>
      <c r="F303" s="50" t="s">
        <v>889</v>
      </c>
      <c r="G303" s="50" t="s">
        <v>890</v>
      </c>
      <c r="H303" s="57" t="s">
        <v>1466</v>
      </c>
      <c r="I303" s="50" t="s">
        <v>1467</v>
      </c>
      <c r="J303" s="18">
        <f>+_xlfn.XLOOKUP(B303,Sheet3!B:B,Sheet3!J:J,0)</f>
        <v>204.15755999999999</v>
      </c>
      <c r="K303">
        <f t="shared" si="13"/>
        <v>272.21008</v>
      </c>
      <c r="L303" s="54">
        <v>272.21008</v>
      </c>
      <c r="M303" s="67">
        <f t="shared" si="14"/>
        <v>0</v>
      </c>
    </row>
    <row r="304" spans="2:13" hidden="1" x14ac:dyDescent="0.25">
      <c r="B304" t="str">
        <f t="shared" si="12"/>
        <v>ValvaPPP-IPU-L656-01</v>
      </c>
      <c r="C304" s="50" t="s">
        <v>826</v>
      </c>
      <c r="D304" s="51" t="s">
        <v>887</v>
      </c>
      <c r="E304" s="50" t="s">
        <v>910</v>
      </c>
      <c r="F304" s="50" t="s">
        <v>889</v>
      </c>
      <c r="G304" s="50" t="s">
        <v>890</v>
      </c>
      <c r="H304" s="57" t="s">
        <v>1468</v>
      </c>
      <c r="I304" s="50" t="s">
        <v>1469</v>
      </c>
      <c r="J304" s="18">
        <f>+_xlfn.XLOOKUP(B304,Sheet3!B:B,Sheet3!J:J,0)</f>
        <v>43.269959999999998</v>
      </c>
      <c r="K304">
        <f t="shared" si="13"/>
        <v>57.693279999999994</v>
      </c>
      <c r="L304" s="54">
        <v>58.212579999999996</v>
      </c>
      <c r="M304" s="67">
        <f t="shared" si="14"/>
        <v>0.51930000000000121</v>
      </c>
    </row>
    <row r="305" spans="2:13" hidden="1" x14ac:dyDescent="0.25">
      <c r="B305" t="str">
        <f t="shared" si="12"/>
        <v>VibonatiPPP-IPU-L835-01</v>
      </c>
      <c r="C305" s="50" t="s">
        <v>826</v>
      </c>
      <c r="D305" s="51" t="s">
        <v>887</v>
      </c>
      <c r="E305" s="50" t="s">
        <v>910</v>
      </c>
      <c r="F305" s="50" t="s">
        <v>889</v>
      </c>
      <c r="G305" s="50" t="s">
        <v>890</v>
      </c>
      <c r="H305" s="57" t="s">
        <v>1470</v>
      </c>
      <c r="I305" s="50" t="s">
        <v>1471</v>
      </c>
      <c r="J305" s="18">
        <f>+_xlfn.XLOOKUP(B305,Sheet3!B:B,Sheet3!J:J,0)</f>
        <v>75.482280000000003</v>
      </c>
      <c r="K305">
        <f t="shared" si="13"/>
        <v>100.64304</v>
      </c>
      <c r="L305" s="54">
        <v>100.64304000000001</v>
      </c>
      <c r="M305" s="67">
        <f t="shared" si="14"/>
        <v>0</v>
      </c>
    </row>
    <row r="306" spans="2:13" hidden="1" x14ac:dyDescent="0.25">
      <c r="B306" t="str">
        <f t="shared" si="12"/>
        <v>MontemurroSEC-IPU-F573-01</v>
      </c>
      <c r="C306" s="50" t="s">
        <v>826</v>
      </c>
      <c r="D306" s="51" t="s">
        <v>887</v>
      </c>
      <c r="E306" s="50" t="s">
        <v>910</v>
      </c>
      <c r="F306" s="50" t="s">
        <v>1079</v>
      </c>
      <c r="G306" s="50" t="s">
        <v>1079</v>
      </c>
      <c r="H306" s="57" t="s">
        <v>1472</v>
      </c>
      <c r="I306" s="50" t="s">
        <v>1473</v>
      </c>
      <c r="J306" s="18">
        <f>+_xlfn.XLOOKUP(B306,Sheet3!B:B,Sheet3!J:J,0)</f>
        <v>3.2918499999999997</v>
      </c>
      <c r="K306">
        <f t="shared" si="13"/>
        <v>4.3891333333333327</v>
      </c>
      <c r="L306" s="54">
        <v>3.2918499999999997</v>
      </c>
      <c r="M306" s="67">
        <f t="shared" si="14"/>
        <v>-1.0972833333333329</v>
      </c>
    </row>
    <row r="307" spans="2:13" hidden="1" x14ac:dyDescent="0.25">
      <c r="B307" t="str">
        <f t="shared" si="12"/>
        <v>ArmentoPPP-IPU-A415-01</v>
      </c>
      <c r="C307" s="50" t="s">
        <v>826</v>
      </c>
      <c r="D307" s="51" t="s">
        <v>887</v>
      </c>
      <c r="E307" s="50" t="s">
        <v>910</v>
      </c>
      <c r="F307" s="50" t="s">
        <v>889</v>
      </c>
      <c r="G307" s="50" t="s">
        <v>890</v>
      </c>
      <c r="H307" s="57" t="s">
        <v>1474</v>
      </c>
      <c r="I307" s="50" t="s">
        <v>1475</v>
      </c>
      <c r="J307" s="18">
        <f>+_xlfn.XLOOKUP(B307,Sheet3!B:B,Sheet3!J:J,0)</f>
        <v>8.2825400000000009</v>
      </c>
      <c r="K307">
        <f t="shared" si="13"/>
        <v>11.043386666666668</v>
      </c>
      <c r="L307" s="54">
        <v>11.21884</v>
      </c>
      <c r="M307" s="67">
        <f t="shared" si="14"/>
        <v>0.17545333333333168</v>
      </c>
    </row>
    <row r="308" spans="2:13" hidden="1" x14ac:dyDescent="0.25">
      <c r="B308" t="str">
        <f t="shared" si="12"/>
        <v>CustonaciPPP-IPU-D234-01</v>
      </c>
      <c r="C308" s="50" t="s">
        <v>826</v>
      </c>
      <c r="D308" s="51" t="s">
        <v>887</v>
      </c>
      <c r="E308" s="50" t="s">
        <v>910</v>
      </c>
      <c r="F308" s="50" t="s">
        <v>889</v>
      </c>
      <c r="G308" s="50" t="s">
        <v>890</v>
      </c>
      <c r="H308" s="57" t="s">
        <v>1476</v>
      </c>
      <c r="I308" s="50" t="s">
        <v>1477</v>
      </c>
      <c r="J308" s="18">
        <f>+_xlfn.XLOOKUP(B308,Sheet3!B:B,Sheet3!J:J,0)</f>
        <v>0</v>
      </c>
      <c r="K308">
        <f t="shared" si="13"/>
        <v>0</v>
      </c>
      <c r="L308" s="54">
        <v>0</v>
      </c>
      <c r="M308" s="67">
        <f t="shared" si="14"/>
        <v>0</v>
      </c>
    </row>
    <row r="309" spans="2:13" hidden="1" x14ac:dyDescent="0.25">
      <c r="B309" t="str">
        <f t="shared" si="12"/>
        <v>MarsalaPPP-IPU-E974-01</v>
      </c>
      <c r="C309" s="50" t="s">
        <v>826</v>
      </c>
      <c r="D309" s="51" t="s">
        <v>887</v>
      </c>
      <c r="E309" s="50" t="s">
        <v>910</v>
      </c>
      <c r="F309" s="50" t="s">
        <v>889</v>
      </c>
      <c r="G309" s="50" t="s">
        <v>890</v>
      </c>
      <c r="H309" s="57" t="s">
        <v>1478</v>
      </c>
      <c r="I309" s="50" t="s">
        <v>1479</v>
      </c>
      <c r="J309" s="18">
        <f>+_xlfn.XLOOKUP(B309,Sheet3!B:B,Sheet3!J:J,0)</f>
        <v>0</v>
      </c>
      <c r="K309">
        <f t="shared" si="13"/>
        <v>0</v>
      </c>
      <c r="L309" s="54">
        <v>0</v>
      </c>
      <c r="M309" s="67">
        <f t="shared" si="14"/>
        <v>0</v>
      </c>
    </row>
    <row r="310" spans="2:13" hidden="1" x14ac:dyDescent="0.25">
      <c r="B310" t="str">
        <f t="shared" si="12"/>
        <v>MazzarinoPPP-IPU-F065-01</v>
      </c>
      <c r="C310" s="50" t="s">
        <v>826</v>
      </c>
      <c r="D310" s="51" t="s">
        <v>887</v>
      </c>
      <c r="E310" s="50" t="s">
        <v>910</v>
      </c>
      <c r="F310" s="50" t="s">
        <v>889</v>
      </c>
      <c r="G310" s="50" t="s">
        <v>890</v>
      </c>
      <c r="H310" s="57" t="s">
        <v>1480</v>
      </c>
      <c r="I310" s="50" t="s">
        <v>1481</v>
      </c>
      <c r="J310" s="18">
        <f>+_xlfn.XLOOKUP(B310,Sheet3!B:B,Sheet3!J:J,0)</f>
        <v>0</v>
      </c>
      <c r="K310">
        <f t="shared" si="13"/>
        <v>0</v>
      </c>
      <c r="L310" s="54">
        <v>0</v>
      </c>
      <c r="M310" s="67">
        <f t="shared" si="14"/>
        <v>0</v>
      </c>
    </row>
    <row r="311" spans="2:13" hidden="1" x14ac:dyDescent="0.25">
      <c r="B311" t="str">
        <f t="shared" si="12"/>
        <v>MilazzoPPP-IPU-F206-01</v>
      </c>
      <c r="C311" s="50" t="s">
        <v>826</v>
      </c>
      <c r="D311" s="51" t="s">
        <v>887</v>
      </c>
      <c r="E311" s="50" t="s">
        <v>910</v>
      </c>
      <c r="F311" s="50" t="s">
        <v>889</v>
      </c>
      <c r="G311" s="50" t="s">
        <v>890</v>
      </c>
      <c r="H311" s="57" t="s">
        <v>1482</v>
      </c>
      <c r="I311" s="50" t="s">
        <v>1483</v>
      </c>
      <c r="J311" s="18">
        <f>+_xlfn.XLOOKUP(B311,Sheet3!B:B,Sheet3!J:J,0)</f>
        <v>0</v>
      </c>
      <c r="K311">
        <f t="shared" si="13"/>
        <v>0</v>
      </c>
      <c r="L311" s="54">
        <v>0</v>
      </c>
      <c r="M311" s="67">
        <f t="shared" si="14"/>
        <v>0</v>
      </c>
    </row>
    <row r="312" spans="2:13" hidden="1" x14ac:dyDescent="0.25">
      <c r="B312" t="str">
        <f t="shared" si="12"/>
        <v>Pietragalla RinnovoATI-IPU-G616-02</v>
      </c>
      <c r="C312" s="50" t="s">
        <v>826</v>
      </c>
      <c r="D312" s="51" t="s">
        <v>887</v>
      </c>
      <c r="E312" s="50" t="s">
        <v>910</v>
      </c>
      <c r="F312" s="50" t="s">
        <v>889</v>
      </c>
      <c r="G312" s="50" t="s">
        <v>890</v>
      </c>
      <c r="H312" s="57" t="s">
        <v>1484</v>
      </c>
      <c r="I312" s="50" t="s">
        <v>1485</v>
      </c>
      <c r="J312" s="18">
        <f>+_xlfn.XLOOKUP(B312,Sheet3!B:B,Sheet3!J:J,0)</f>
        <v>0</v>
      </c>
      <c r="K312">
        <f t="shared" si="13"/>
        <v>0</v>
      </c>
      <c r="L312" s="54">
        <v>0</v>
      </c>
      <c r="M312" s="67">
        <f t="shared" si="14"/>
        <v>0</v>
      </c>
    </row>
    <row r="313" spans="2:13" hidden="1" x14ac:dyDescent="0.25">
      <c r="B313" t="str">
        <f t="shared" si="12"/>
        <v>Ostuni PLPPP-IPU-G187-01</v>
      </c>
      <c r="C313" s="50" t="s">
        <v>826</v>
      </c>
      <c r="D313" s="51" t="s">
        <v>887</v>
      </c>
      <c r="E313" s="50" t="s">
        <v>910</v>
      </c>
      <c r="F313" s="50" t="s">
        <v>889</v>
      </c>
      <c r="G313" s="50" t="s">
        <v>890</v>
      </c>
      <c r="H313" s="57" t="s">
        <v>1486</v>
      </c>
      <c r="I313" s="50" t="s">
        <v>1487</v>
      </c>
      <c r="J313" s="18">
        <f>+_xlfn.XLOOKUP(B313,Sheet3!B:B,Sheet3!J:J,0)</f>
        <v>0</v>
      </c>
      <c r="K313">
        <f t="shared" si="13"/>
        <v>0</v>
      </c>
      <c r="L313" s="54">
        <v>0</v>
      </c>
      <c r="M313" s="67">
        <f t="shared" si="14"/>
        <v>0</v>
      </c>
    </row>
    <row r="314" spans="2:13" hidden="1" x14ac:dyDescent="0.25">
      <c r="B314" t="str">
        <f t="shared" si="12"/>
        <v>JesoloPPP-IPU-C388-01</v>
      </c>
      <c r="C314" s="50" t="s">
        <v>826</v>
      </c>
      <c r="D314" s="51" t="s">
        <v>1488</v>
      </c>
      <c r="E314" s="50" t="s">
        <v>959</v>
      </c>
      <c r="F314" s="50" t="s">
        <v>889</v>
      </c>
      <c r="G314" s="50" t="s">
        <v>890</v>
      </c>
      <c r="H314" s="57" t="s">
        <v>1489</v>
      </c>
      <c r="I314" s="61" t="s">
        <v>1490</v>
      </c>
      <c r="J314" s="18">
        <f>+_xlfn.XLOOKUP(B314,Sheet3!B:B,Sheet3!J:J,0)</f>
        <v>36</v>
      </c>
      <c r="K314">
        <f t="shared" si="13"/>
        <v>48</v>
      </c>
      <c r="L314" s="54">
        <v>47.999999999999993</v>
      </c>
      <c r="M314" s="67">
        <f t="shared" si="14"/>
        <v>0</v>
      </c>
    </row>
    <row r="315" spans="2:13" hidden="1" x14ac:dyDescent="0.25">
      <c r="B315" t="str">
        <f t="shared" si="12"/>
        <v>CeggiaPPP-IPU-C422-01</v>
      </c>
      <c r="C315" s="50" t="s">
        <v>826</v>
      </c>
      <c r="D315" s="51" t="s">
        <v>1488</v>
      </c>
      <c r="E315" s="50" t="s">
        <v>959</v>
      </c>
      <c r="F315" s="50" t="s">
        <v>889</v>
      </c>
      <c r="G315" s="50" t="s">
        <v>890</v>
      </c>
      <c r="H315" s="57" t="s">
        <v>1491</v>
      </c>
      <c r="I315" s="50" t="s">
        <v>1492</v>
      </c>
      <c r="J315" s="18">
        <f>+_xlfn.XLOOKUP(B315,Sheet3!B:B,Sheet3!J:J,0)</f>
        <v>6.0000000000000053</v>
      </c>
      <c r="K315">
        <f t="shared" si="13"/>
        <v>8.0000000000000071</v>
      </c>
      <c r="L315" s="54">
        <v>4.26227</v>
      </c>
      <c r="M315" s="67">
        <f t="shared" si="14"/>
        <v>-3.7377300000000071</v>
      </c>
    </row>
    <row r="316" spans="2:13" hidden="1" x14ac:dyDescent="0.25">
      <c r="B316" t="str">
        <f t="shared" si="12"/>
        <v>Cogollo del CengioPPP-IPU-C824-01</v>
      </c>
      <c r="C316" s="50" t="s">
        <v>826</v>
      </c>
      <c r="D316" s="51" t="s">
        <v>1493</v>
      </c>
      <c r="E316" s="50" t="s">
        <v>959</v>
      </c>
      <c r="F316" s="50" t="s">
        <v>889</v>
      </c>
      <c r="G316" s="50" t="s">
        <v>890</v>
      </c>
      <c r="H316" s="57" t="s">
        <v>1494</v>
      </c>
      <c r="I316" s="50" t="s">
        <v>1495</v>
      </c>
      <c r="J316" s="18">
        <f>+_xlfn.XLOOKUP(B316,Sheet3!B:B,Sheet3!J:J,0)</f>
        <v>34.65972</v>
      </c>
      <c r="K316">
        <f t="shared" si="13"/>
        <v>46.212960000000002</v>
      </c>
      <c r="L316" s="54">
        <v>46.212960000000002</v>
      </c>
      <c r="M316" s="67">
        <f t="shared" si="14"/>
        <v>0</v>
      </c>
    </row>
    <row r="317" spans="2:13" hidden="1" x14ac:dyDescent="0.25">
      <c r="B317" t="str">
        <f t="shared" si="12"/>
        <v>Concordia sulla SecchiaPPP-IPU-C951-01</v>
      </c>
      <c r="C317" s="50" t="s">
        <v>826</v>
      </c>
      <c r="D317" s="51" t="s">
        <v>1488</v>
      </c>
      <c r="E317" s="50" t="s">
        <v>896</v>
      </c>
      <c r="F317" s="50" t="s">
        <v>889</v>
      </c>
      <c r="G317" s="50" t="s">
        <v>890</v>
      </c>
      <c r="H317" s="57" t="s">
        <v>1496</v>
      </c>
      <c r="I317" s="50" t="s">
        <v>1497</v>
      </c>
      <c r="J317" s="18">
        <f>+_xlfn.XLOOKUP(B317,Sheet3!B:B,Sheet3!J:J,0)</f>
        <v>0</v>
      </c>
      <c r="K317">
        <f t="shared" si="13"/>
        <v>0</v>
      </c>
      <c r="L317" s="54">
        <v>0</v>
      </c>
      <c r="M317" s="67">
        <f t="shared" si="14"/>
        <v>0</v>
      </c>
    </row>
    <row r="318" spans="2:13" hidden="1" x14ac:dyDescent="0.25">
      <c r="B318" t="str">
        <f t="shared" si="12"/>
        <v>CrosiaPPP-IPU-D184-01</v>
      </c>
      <c r="C318" s="50" t="s">
        <v>826</v>
      </c>
      <c r="D318" s="51" t="s">
        <v>1488</v>
      </c>
      <c r="E318" s="50" t="s">
        <v>910</v>
      </c>
      <c r="F318" s="50" t="s">
        <v>889</v>
      </c>
      <c r="G318" s="50" t="s">
        <v>890</v>
      </c>
      <c r="H318" s="57" t="s">
        <v>1498</v>
      </c>
      <c r="I318" s="50" t="s">
        <v>1499</v>
      </c>
      <c r="J318" s="18">
        <f>+_xlfn.XLOOKUP(B318,Sheet3!B:B,Sheet3!J:J,0)</f>
        <v>235.42301999999998</v>
      </c>
      <c r="K318">
        <f t="shared" si="13"/>
        <v>313.89735999999999</v>
      </c>
      <c r="L318" s="54">
        <v>313.9708</v>
      </c>
      <c r="M318" s="67">
        <f t="shared" si="14"/>
        <v>7.3440000000005057E-2</v>
      </c>
    </row>
    <row r="319" spans="2:13" hidden="1" x14ac:dyDescent="0.25">
      <c r="B319" t="str">
        <f t="shared" si="12"/>
        <v>EracleaPPP-IPU-D415-01</v>
      </c>
      <c r="C319" s="50" t="s">
        <v>826</v>
      </c>
      <c r="D319" s="51" t="s">
        <v>1488</v>
      </c>
      <c r="E319" s="50" t="s">
        <v>959</v>
      </c>
      <c r="F319" s="50" t="s">
        <v>889</v>
      </c>
      <c r="G319" s="50" t="s">
        <v>890</v>
      </c>
      <c r="H319" s="57" t="s">
        <v>1500</v>
      </c>
      <c r="I319" s="61" t="s">
        <v>1501</v>
      </c>
      <c r="J319" s="18">
        <f>+_xlfn.XLOOKUP(B319,Sheet3!B:B,Sheet3!J:J,0)</f>
        <v>14.39999999999999</v>
      </c>
      <c r="K319">
        <f t="shared" si="13"/>
        <v>19.199999999999985</v>
      </c>
      <c r="L319" s="54">
        <v>19.199999999999989</v>
      </c>
      <c r="M319" s="67">
        <f t="shared" si="14"/>
        <v>0</v>
      </c>
    </row>
    <row r="320" spans="2:13" hidden="1" x14ac:dyDescent="0.25">
      <c r="B320" t="str">
        <f t="shared" si="12"/>
        <v>Fossalta di PiavePPP-IPU-D740-01</v>
      </c>
      <c r="C320" s="50" t="s">
        <v>826</v>
      </c>
      <c r="D320" s="51" t="s">
        <v>1488</v>
      </c>
      <c r="E320" s="50" t="s">
        <v>959</v>
      </c>
      <c r="F320" s="50" t="s">
        <v>889</v>
      </c>
      <c r="G320" s="50" t="s">
        <v>890</v>
      </c>
      <c r="H320" s="57" t="s">
        <v>1502</v>
      </c>
      <c r="I320" s="50" t="s">
        <v>1503</v>
      </c>
      <c r="J320" s="18">
        <f>+_xlfn.XLOOKUP(B320,Sheet3!B:B,Sheet3!J:J,0)</f>
        <v>10.800000000000002</v>
      </c>
      <c r="K320">
        <f t="shared" si="13"/>
        <v>14.400000000000004</v>
      </c>
      <c r="L320" s="54">
        <v>14.843869999985989</v>
      </c>
      <c r="M320" s="67">
        <f t="shared" si="14"/>
        <v>0.44386999998598498</v>
      </c>
    </row>
    <row r="321" spans="2:13" hidden="1" x14ac:dyDescent="0.25">
      <c r="B321" t="str">
        <f t="shared" si="12"/>
        <v>MeoloPPP-IPU-F130-01</v>
      </c>
      <c r="C321" s="50" t="s">
        <v>826</v>
      </c>
      <c r="D321" s="51" t="s">
        <v>1488</v>
      </c>
      <c r="E321" s="50" t="s">
        <v>959</v>
      </c>
      <c r="F321" s="50" t="s">
        <v>889</v>
      </c>
      <c r="G321" s="50" t="s">
        <v>890</v>
      </c>
      <c r="H321" s="57" t="s">
        <v>1504</v>
      </c>
      <c r="I321" s="50" t="s">
        <v>1505</v>
      </c>
      <c r="J321" s="18">
        <f>+_xlfn.XLOOKUP(B321,Sheet3!B:B,Sheet3!J:J,0)</f>
        <v>29.999999999999989</v>
      </c>
      <c r="K321">
        <f t="shared" si="13"/>
        <v>39.999999999999986</v>
      </c>
      <c r="L321" s="54">
        <v>15.84769</v>
      </c>
      <c r="M321" s="67">
        <f t="shared" si="14"/>
        <v>-24.152309999999986</v>
      </c>
    </row>
    <row r="322" spans="2:13" hidden="1" x14ac:dyDescent="0.25">
      <c r="B322" t="str">
        <f t="shared" si="12"/>
        <v>Musile di PiavePPP-IPU-F826-01</v>
      </c>
      <c r="C322" s="50" t="s">
        <v>826</v>
      </c>
      <c r="D322" s="51" t="s">
        <v>1488</v>
      </c>
      <c r="E322" s="50" t="s">
        <v>959</v>
      </c>
      <c r="F322" s="50" t="s">
        <v>889</v>
      </c>
      <c r="G322" s="50" t="s">
        <v>890</v>
      </c>
      <c r="H322" s="57" t="s">
        <v>1506</v>
      </c>
      <c r="I322" s="61" t="s">
        <v>1507</v>
      </c>
      <c r="J322" s="18">
        <f>+_xlfn.XLOOKUP(B322,Sheet3!B:B,Sheet3!J:J,0)</f>
        <v>53.999999999999822</v>
      </c>
      <c r="K322">
        <f t="shared" si="13"/>
        <v>71.999999999999758</v>
      </c>
      <c r="L322" s="54">
        <v>71.999999999999758</v>
      </c>
      <c r="M322" s="67">
        <f t="shared" si="14"/>
        <v>0</v>
      </c>
    </row>
    <row r="323" spans="2:13" hidden="1" x14ac:dyDescent="0.25">
      <c r="B323" t="str">
        <f t="shared" si="12"/>
        <v>Noventa di PiavePPP-IPU-F963-01</v>
      </c>
      <c r="C323" s="50" t="s">
        <v>826</v>
      </c>
      <c r="D323" s="51" t="s">
        <v>1488</v>
      </c>
      <c r="E323" s="50" t="s">
        <v>959</v>
      </c>
      <c r="F323" s="50" t="s">
        <v>889</v>
      </c>
      <c r="G323" s="50" t="s">
        <v>890</v>
      </c>
      <c r="H323" s="57" t="s">
        <v>1508</v>
      </c>
      <c r="I323" s="50" t="s">
        <v>1509</v>
      </c>
      <c r="J323" s="18">
        <f>+_xlfn.XLOOKUP(B323,Sheet3!B:B,Sheet3!J:J,0)</f>
        <v>0</v>
      </c>
      <c r="K323">
        <f t="shared" si="13"/>
        <v>0</v>
      </c>
      <c r="L323" s="54">
        <v>0</v>
      </c>
      <c r="M323" s="67">
        <f t="shared" si="14"/>
        <v>0</v>
      </c>
    </row>
    <row r="324" spans="2:13" hidden="1" x14ac:dyDescent="0.25">
      <c r="B324" t="str">
        <f t="shared" ref="B324:B387" si="15">+I324&amp;H324</f>
        <v>PianezzePPP-IPU-G560-01</v>
      </c>
      <c r="C324" s="50" t="s">
        <v>826</v>
      </c>
      <c r="D324" s="51" t="s">
        <v>1493</v>
      </c>
      <c r="E324" s="50" t="s">
        <v>959</v>
      </c>
      <c r="F324" s="50" t="s">
        <v>889</v>
      </c>
      <c r="G324" s="50" t="s">
        <v>890</v>
      </c>
      <c r="H324" s="57" t="s">
        <v>1510</v>
      </c>
      <c r="I324" s="50" t="s">
        <v>1511</v>
      </c>
      <c r="J324" s="18">
        <f>+_xlfn.XLOOKUP(B324,Sheet3!B:B,Sheet3!J:J,0)</f>
        <v>25.403939999999999</v>
      </c>
      <c r="K324">
        <f t="shared" ref="K324:K387" si="16">+J324/6*8</f>
        <v>33.871919999999996</v>
      </c>
      <c r="L324" s="54">
        <v>33.871919999999996</v>
      </c>
      <c r="M324" s="67">
        <f t="shared" ref="M324:M387" si="17">+L324-K324</f>
        <v>0</v>
      </c>
    </row>
    <row r="325" spans="2:13" hidden="1" x14ac:dyDescent="0.25">
      <c r="B325" t="str">
        <f t="shared" si="15"/>
        <v>Piazzola sul BrentaPPP-IPU-G587-01</v>
      </c>
      <c r="C325" s="50" t="s">
        <v>826</v>
      </c>
      <c r="D325" s="51" t="s">
        <v>1493</v>
      </c>
      <c r="E325" s="50" t="s">
        <v>959</v>
      </c>
      <c r="F325" s="50" t="s">
        <v>889</v>
      </c>
      <c r="G325" s="50" t="s">
        <v>890</v>
      </c>
      <c r="H325" s="57" t="s">
        <v>1512</v>
      </c>
      <c r="I325" s="50" t="s">
        <v>1513</v>
      </c>
      <c r="J325" s="18">
        <f>+_xlfn.XLOOKUP(B325,Sheet3!B:B,Sheet3!J:J,0)</f>
        <v>119.90371</v>
      </c>
      <c r="K325">
        <f t="shared" si="16"/>
        <v>159.87161333333333</v>
      </c>
      <c r="L325" s="54">
        <v>157.79170000000002</v>
      </c>
      <c r="M325" s="67">
        <f t="shared" si="17"/>
        <v>-2.0799133333333089</v>
      </c>
    </row>
    <row r="326" spans="2:13" hidden="1" x14ac:dyDescent="0.25">
      <c r="B326" t="str">
        <f t="shared" si="15"/>
        <v>PulsanoPPP-IPU-H090-01</v>
      </c>
      <c r="C326" s="50" t="s">
        <v>826</v>
      </c>
      <c r="D326" s="51" t="s">
        <v>1514</v>
      </c>
      <c r="E326" s="50" t="s">
        <v>910</v>
      </c>
      <c r="F326" s="50" t="s">
        <v>889</v>
      </c>
      <c r="G326" s="50" t="s">
        <v>890</v>
      </c>
      <c r="H326" s="57" t="s">
        <v>1515</v>
      </c>
      <c r="I326" s="50" t="s">
        <v>1516</v>
      </c>
      <c r="J326" s="18">
        <f>+_xlfn.XLOOKUP(B326,Sheet3!B:B,Sheet3!J:J,0)</f>
        <v>293.52350000000001</v>
      </c>
      <c r="K326">
        <f t="shared" si="16"/>
        <v>391.36466666666666</v>
      </c>
      <c r="L326" s="54">
        <v>410.93290000000002</v>
      </c>
      <c r="M326" s="67">
        <f t="shared" si="17"/>
        <v>19.568233333333353</v>
      </c>
    </row>
    <row r="327" spans="2:13" hidden="1" x14ac:dyDescent="0.25">
      <c r="B327" t="str">
        <f t="shared" si="15"/>
        <v>Rossano VenetoPPP-IPU-H580-01</v>
      </c>
      <c r="C327" s="50" t="s">
        <v>826</v>
      </c>
      <c r="D327" s="51" t="s">
        <v>1493</v>
      </c>
      <c r="E327" s="50" t="s">
        <v>959</v>
      </c>
      <c r="F327" s="50" t="s">
        <v>889</v>
      </c>
      <c r="G327" s="50" t="s">
        <v>890</v>
      </c>
      <c r="H327" s="57" t="s">
        <v>1517</v>
      </c>
      <c r="I327" s="50" t="s">
        <v>1518</v>
      </c>
      <c r="J327" s="18">
        <f>+_xlfn.XLOOKUP(B327,Sheet3!B:B,Sheet3!J:J,0)</f>
        <v>65.499359999999996</v>
      </c>
      <c r="K327">
        <f t="shared" si="16"/>
        <v>87.33247999999999</v>
      </c>
      <c r="L327" s="54">
        <v>87.33247999999999</v>
      </c>
      <c r="M327" s="67">
        <f t="shared" si="17"/>
        <v>0</v>
      </c>
    </row>
    <row r="328" spans="2:13" x14ac:dyDescent="0.25">
      <c r="B328" t="str">
        <f t="shared" si="15"/>
        <v>San Donà di PiavePPP-IPU-H823-01</v>
      </c>
      <c r="C328" s="50" t="s">
        <v>826</v>
      </c>
      <c r="D328" s="51" t="s">
        <v>1488</v>
      </c>
      <c r="E328" s="50" t="s">
        <v>959</v>
      </c>
      <c r="F328" s="50" t="s">
        <v>889</v>
      </c>
      <c r="G328" s="50" t="s">
        <v>890</v>
      </c>
      <c r="H328" s="57" t="s">
        <v>1519</v>
      </c>
      <c r="I328" s="50" t="s">
        <v>1520</v>
      </c>
      <c r="J328" s="18">
        <f>+_xlfn.XLOOKUP(B328,Sheet3!B:B,Sheet3!J:J,0)</f>
        <v>238.79999999999987</v>
      </c>
      <c r="K328">
        <f t="shared" si="16"/>
        <v>318.39999999999981</v>
      </c>
      <c r="L328" s="54">
        <v>105.28344</v>
      </c>
      <c r="M328" s="67">
        <f t="shared" si="17"/>
        <v>-213.11655999999982</v>
      </c>
    </row>
    <row r="329" spans="2:13" hidden="1" x14ac:dyDescent="0.25">
      <c r="B329" t="str">
        <f t="shared" si="15"/>
        <v>Spezzano AlbanesePPP-IPU-I895-01</v>
      </c>
      <c r="C329" s="50" t="s">
        <v>826</v>
      </c>
      <c r="D329" s="51" t="s">
        <v>1488</v>
      </c>
      <c r="E329" s="50" t="s">
        <v>910</v>
      </c>
      <c r="F329" s="50" t="s">
        <v>889</v>
      </c>
      <c r="G329" s="50" t="s">
        <v>890</v>
      </c>
      <c r="H329" s="57" t="s">
        <v>1521</v>
      </c>
      <c r="I329" s="50" t="s">
        <v>1522</v>
      </c>
      <c r="J329" s="18">
        <f>+_xlfn.XLOOKUP(B329,Sheet3!B:B,Sheet3!J:J,0)</f>
        <v>106.8489</v>
      </c>
      <c r="K329">
        <f t="shared" si="16"/>
        <v>142.46520000000001</v>
      </c>
      <c r="L329" s="54">
        <v>142.46519999999998</v>
      </c>
      <c r="M329" s="67">
        <f t="shared" si="17"/>
        <v>0</v>
      </c>
    </row>
    <row r="330" spans="2:13" hidden="1" x14ac:dyDescent="0.25">
      <c r="B330" t="str">
        <f t="shared" si="15"/>
        <v>ColceresaPPP-IPU-M426-01</v>
      </c>
      <c r="C330" s="50" t="s">
        <v>826</v>
      </c>
      <c r="D330" s="51" t="s">
        <v>1493</v>
      </c>
      <c r="E330" s="50" t="s">
        <v>959</v>
      </c>
      <c r="F330" s="50" t="s">
        <v>889</v>
      </c>
      <c r="G330" s="50" t="s">
        <v>890</v>
      </c>
      <c r="H330" s="57" t="s">
        <v>1523</v>
      </c>
      <c r="I330" s="50" t="s">
        <v>1524</v>
      </c>
      <c r="J330" s="18">
        <f>+_xlfn.XLOOKUP(B330,Sheet3!B:B,Sheet3!J:J,0)</f>
        <v>44.899920000000002</v>
      </c>
      <c r="K330">
        <f t="shared" si="16"/>
        <v>59.86656</v>
      </c>
      <c r="L330" s="54">
        <v>59.86656</v>
      </c>
      <c r="M330" s="67">
        <f t="shared" si="17"/>
        <v>0</v>
      </c>
    </row>
    <row r="331" spans="2:13" hidden="1" x14ac:dyDescent="0.25">
      <c r="B331" t="str">
        <f t="shared" si="15"/>
        <v>SannicolaPPP-IPU-I059-01</v>
      </c>
      <c r="C331" s="50" t="s">
        <v>826</v>
      </c>
      <c r="D331" s="51" t="s">
        <v>943</v>
      </c>
      <c r="E331" s="50" t="s">
        <v>910</v>
      </c>
      <c r="F331" s="50" t="s">
        <v>889</v>
      </c>
      <c r="G331" s="50" t="s">
        <v>890</v>
      </c>
      <c r="H331" s="57" t="s">
        <v>1525</v>
      </c>
      <c r="I331" s="50" t="s">
        <v>1526</v>
      </c>
      <c r="J331" s="18">
        <f>+_xlfn.XLOOKUP(B331,Sheet3!B:B,Sheet3!J:J,0)</f>
        <v>0</v>
      </c>
      <c r="K331">
        <f t="shared" si="16"/>
        <v>0</v>
      </c>
      <c r="L331" s="54">
        <v>0</v>
      </c>
      <c r="M331" s="67">
        <f t="shared" si="17"/>
        <v>0</v>
      </c>
    </row>
    <row r="332" spans="2:13" hidden="1" x14ac:dyDescent="0.25">
      <c r="B332" t="str">
        <f t="shared" si="15"/>
        <v>Montalbano JonicoPPP-IPU-F399-01</v>
      </c>
      <c r="C332" s="50" t="s">
        <v>826</v>
      </c>
      <c r="D332" s="51" t="s">
        <v>943</v>
      </c>
      <c r="E332" s="50" t="s">
        <v>910</v>
      </c>
      <c r="F332" s="50" t="s">
        <v>889</v>
      </c>
      <c r="G332" s="50" t="s">
        <v>890</v>
      </c>
      <c r="H332" s="57" t="s">
        <v>1527</v>
      </c>
      <c r="I332" s="50" t="s">
        <v>1528</v>
      </c>
      <c r="J332" s="18">
        <f>+_xlfn.XLOOKUP(B332,Sheet3!B:B,Sheet3!J:J,0)</f>
        <v>0</v>
      </c>
      <c r="K332">
        <f t="shared" si="16"/>
        <v>0</v>
      </c>
      <c r="L332" s="54">
        <v>0</v>
      </c>
      <c r="M332" s="67">
        <f t="shared" si="17"/>
        <v>0</v>
      </c>
    </row>
    <row r="333" spans="2:13" hidden="1" x14ac:dyDescent="0.25">
      <c r="B333" t="str">
        <f t="shared" si="15"/>
        <v>San Martino D'AgriPPP-IPU-H994-01</v>
      </c>
      <c r="C333" s="50" t="s">
        <v>826</v>
      </c>
      <c r="D333" s="51" t="s">
        <v>943</v>
      </c>
      <c r="E333" s="50" t="s">
        <v>910</v>
      </c>
      <c r="F333" s="50" t="s">
        <v>889</v>
      </c>
      <c r="G333" s="50" t="s">
        <v>890</v>
      </c>
      <c r="H333" s="57" t="s">
        <v>1529</v>
      </c>
      <c r="I333" s="50" t="s">
        <v>1530</v>
      </c>
      <c r="J333" s="18">
        <f>+_xlfn.XLOOKUP(B333,Sheet3!B:B,Sheet3!J:J,0)</f>
        <v>0</v>
      </c>
      <c r="K333">
        <f t="shared" si="16"/>
        <v>0</v>
      </c>
      <c r="L333" s="54">
        <v>0</v>
      </c>
      <c r="M333" s="67">
        <f t="shared" si="17"/>
        <v>0</v>
      </c>
    </row>
    <row r="334" spans="2:13" hidden="1" x14ac:dyDescent="0.25">
      <c r="B334" t="str">
        <f t="shared" si="15"/>
        <v>Vaglio BasilicataPPP-IPU-L532-01</v>
      </c>
      <c r="C334" s="50" t="s">
        <v>826</v>
      </c>
      <c r="D334" s="51" t="s">
        <v>943</v>
      </c>
      <c r="E334" s="50" t="s">
        <v>910</v>
      </c>
      <c r="F334" s="50" t="s">
        <v>889</v>
      </c>
      <c r="G334" s="50" t="s">
        <v>890</v>
      </c>
      <c r="H334" s="57" t="s">
        <v>1531</v>
      </c>
      <c r="I334" s="50" t="s">
        <v>1532</v>
      </c>
      <c r="J334" s="18">
        <f>+_xlfn.XLOOKUP(B334,Sheet3!B:B,Sheet3!J:J,0)</f>
        <v>0</v>
      </c>
      <c r="K334">
        <f t="shared" si="16"/>
        <v>0</v>
      </c>
      <c r="L334" s="54">
        <v>0</v>
      </c>
      <c r="M334" s="67">
        <f t="shared" si="17"/>
        <v>0</v>
      </c>
    </row>
    <row r="335" spans="2:13" hidden="1" x14ac:dyDescent="0.25">
      <c r="B335" t="str">
        <f t="shared" si="15"/>
        <v>Savona ComuneEPC-IPU-I480-02</v>
      </c>
      <c r="C335" s="50" t="s">
        <v>826</v>
      </c>
      <c r="D335" s="51" t="s">
        <v>887</v>
      </c>
      <c r="E335" s="50" t="s">
        <v>888</v>
      </c>
      <c r="F335" s="50" t="s">
        <v>1533</v>
      </c>
      <c r="G335" s="50" t="s">
        <v>1533</v>
      </c>
      <c r="H335" s="57" t="s">
        <v>1534</v>
      </c>
      <c r="I335" s="50" t="s">
        <v>985</v>
      </c>
      <c r="J335" s="18">
        <f>+_xlfn.XLOOKUP(B335,Sheet3!B:B,Sheet3!J:J,0)</f>
        <v>0</v>
      </c>
      <c r="K335">
        <f t="shared" si="16"/>
        <v>0</v>
      </c>
      <c r="L335" s="54">
        <v>0</v>
      </c>
      <c r="M335" s="67">
        <f t="shared" si="17"/>
        <v>0</v>
      </c>
    </row>
    <row r="336" spans="2:13" hidden="1" x14ac:dyDescent="0.25">
      <c r="B336" t="str">
        <f t="shared" si="15"/>
        <v>Pontirolo NuovoEPC-IPU-G867-01</v>
      </c>
      <c r="C336" s="50" t="s">
        <v>826</v>
      </c>
      <c r="D336" s="51" t="s">
        <v>887</v>
      </c>
      <c r="E336" s="50" t="s">
        <v>888</v>
      </c>
      <c r="F336" s="50" t="s">
        <v>1533</v>
      </c>
      <c r="G336" s="50" t="s">
        <v>1533</v>
      </c>
      <c r="H336" s="57" t="s">
        <v>1535</v>
      </c>
      <c r="I336" s="50" t="s">
        <v>993</v>
      </c>
      <c r="J336" s="18">
        <f>+_xlfn.XLOOKUP(B336,Sheet3!B:B,Sheet3!J:J,0)</f>
        <v>0</v>
      </c>
      <c r="K336">
        <f t="shared" si="16"/>
        <v>0</v>
      </c>
      <c r="L336" s="54">
        <v>0</v>
      </c>
      <c r="M336" s="67">
        <f t="shared" si="17"/>
        <v>0</v>
      </c>
    </row>
    <row r="337" spans="2:13" hidden="1" x14ac:dyDescent="0.25">
      <c r="B337" t="str">
        <f t="shared" si="15"/>
        <v>Vedano OlonaEPC-IPU-L703-01</v>
      </c>
      <c r="C337" s="50" t="s">
        <v>958</v>
      </c>
      <c r="D337" s="51" t="s">
        <v>887</v>
      </c>
      <c r="E337" s="50" t="s">
        <v>888</v>
      </c>
      <c r="F337" s="50" t="s">
        <v>1533</v>
      </c>
      <c r="G337" s="50" t="s">
        <v>1533</v>
      </c>
      <c r="H337" s="57" t="s">
        <v>1536</v>
      </c>
      <c r="I337" s="50" t="s">
        <v>995</v>
      </c>
      <c r="J337" s="18">
        <f>+_xlfn.XLOOKUP(B337,Sheet3!B:B,Sheet3!J:J,0)</f>
        <v>0</v>
      </c>
      <c r="K337">
        <f t="shared" si="16"/>
        <v>0</v>
      </c>
      <c r="L337" s="54">
        <v>0</v>
      </c>
      <c r="M337" s="67">
        <f t="shared" si="17"/>
        <v>0</v>
      </c>
    </row>
    <row r="338" spans="2:13" hidden="1" x14ac:dyDescent="0.25">
      <c r="B338" t="str">
        <f t="shared" si="15"/>
        <v>MezzagoEPC-IPU-F165-01</v>
      </c>
      <c r="C338" s="50" t="s">
        <v>826</v>
      </c>
      <c r="D338" s="51" t="s">
        <v>887</v>
      </c>
      <c r="E338" s="50" t="s">
        <v>888</v>
      </c>
      <c r="F338" s="50" t="s">
        <v>1533</v>
      </c>
      <c r="G338" s="50" t="s">
        <v>1533</v>
      </c>
      <c r="H338" s="57" t="s">
        <v>1537</v>
      </c>
      <c r="I338" s="50" t="s">
        <v>999</v>
      </c>
      <c r="J338" s="18">
        <f>+_xlfn.XLOOKUP(B338,Sheet3!B:B,Sheet3!J:J,0)</f>
        <v>0</v>
      </c>
      <c r="K338">
        <f t="shared" si="16"/>
        <v>0</v>
      </c>
      <c r="L338" s="54">
        <v>0</v>
      </c>
      <c r="M338" s="67">
        <f t="shared" si="17"/>
        <v>0</v>
      </c>
    </row>
    <row r="339" spans="2:13" hidden="1" x14ac:dyDescent="0.25">
      <c r="B339" t="str">
        <f t="shared" si="15"/>
        <v>GavirateEPC-IPU-D946-01</v>
      </c>
      <c r="C339" s="50" t="s">
        <v>958</v>
      </c>
      <c r="D339" s="51" t="s">
        <v>887</v>
      </c>
      <c r="E339" s="50" t="s">
        <v>888</v>
      </c>
      <c r="F339" s="50" t="s">
        <v>1533</v>
      </c>
      <c r="G339" s="50" t="s">
        <v>1533</v>
      </c>
      <c r="H339" s="57" t="s">
        <v>1538</v>
      </c>
      <c r="I339" s="50" t="s">
        <v>1005</v>
      </c>
      <c r="J339" s="18">
        <f>+_xlfn.XLOOKUP(B339,Sheet3!B:B,Sheet3!J:J,0)</f>
        <v>0</v>
      </c>
      <c r="K339">
        <f t="shared" si="16"/>
        <v>0</v>
      </c>
      <c r="L339" s="54">
        <v>0</v>
      </c>
      <c r="M339" s="67">
        <f t="shared" si="17"/>
        <v>0</v>
      </c>
    </row>
    <row r="340" spans="2:13" hidden="1" x14ac:dyDescent="0.25">
      <c r="B340" t="str">
        <f t="shared" si="15"/>
        <v>CantalupaEPC-IPU-B628-01</v>
      </c>
      <c r="C340" s="50" t="s">
        <v>826</v>
      </c>
      <c r="D340" s="51" t="s">
        <v>887</v>
      </c>
      <c r="E340" s="50" t="s">
        <v>888</v>
      </c>
      <c r="F340" s="50" t="s">
        <v>1533</v>
      </c>
      <c r="G340" s="50" t="s">
        <v>1533</v>
      </c>
      <c r="H340" s="57" t="s">
        <v>1539</v>
      </c>
      <c r="I340" s="50" t="s">
        <v>1007</v>
      </c>
      <c r="J340" s="18">
        <f>+_xlfn.XLOOKUP(B340,Sheet3!B:B,Sheet3!J:J,0)</f>
        <v>0</v>
      </c>
      <c r="K340">
        <f t="shared" si="16"/>
        <v>0</v>
      </c>
      <c r="L340" s="54">
        <v>0</v>
      </c>
      <c r="M340" s="67">
        <f t="shared" si="17"/>
        <v>0</v>
      </c>
    </row>
    <row r="341" spans="2:13" hidden="1" x14ac:dyDescent="0.25">
      <c r="B341" t="str">
        <f t="shared" si="15"/>
        <v>FrossascoEPC-IPU-D812-01</v>
      </c>
      <c r="C341" s="50" t="s">
        <v>826</v>
      </c>
      <c r="D341" s="51" t="s">
        <v>887</v>
      </c>
      <c r="E341" s="50" t="s">
        <v>888</v>
      </c>
      <c r="F341" s="50" t="s">
        <v>1533</v>
      </c>
      <c r="G341" s="50" t="s">
        <v>1533</v>
      </c>
      <c r="H341" s="57" t="s">
        <v>1540</v>
      </c>
      <c r="I341" s="50" t="s">
        <v>1009</v>
      </c>
      <c r="J341" s="18">
        <f>+_xlfn.XLOOKUP(B341,Sheet3!B:B,Sheet3!J:J,0)</f>
        <v>0</v>
      </c>
      <c r="K341">
        <f t="shared" si="16"/>
        <v>0</v>
      </c>
      <c r="L341" s="54">
        <v>0</v>
      </c>
      <c r="M341" s="67">
        <f t="shared" si="17"/>
        <v>0</v>
      </c>
    </row>
    <row r="342" spans="2:13" hidden="1" x14ac:dyDescent="0.25">
      <c r="B342" t="str">
        <f t="shared" si="15"/>
        <v>PineroloEPC-IPU-G674-01</v>
      </c>
      <c r="C342" s="50" t="s">
        <v>826</v>
      </c>
      <c r="D342" s="51" t="s">
        <v>887</v>
      </c>
      <c r="E342" s="50" t="s">
        <v>888</v>
      </c>
      <c r="F342" s="50" t="s">
        <v>1533</v>
      </c>
      <c r="G342" s="50" t="s">
        <v>1533</v>
      </c>
      <c r="H342" s="57" t="s">
        <v>1541</v>
      </c>
      <c r="I342" s="50" t="s">
        <v>1011</v>
      </c>
      <c r="J342" s="18">
        <f>+_xlfn.XLOOKUP(B342,Sheet3!B:B,Sheet3!J:J,0)</f>
        <v>0</v>
      </c>
      <c r="K342">
        <f t="shared" si="16"/>
        <v>0</v>
      </c>
      <c r="L342" s="54">
        <v>0</v>
      </c>
      <c r="M342" s="67">
        <f t="shared" si="17"/>
        <v>0</v>
      </c>
    </row>
    <row r="343" spans="2:13" hidden="1" x14ac:dyDescent="0.25">
      <c r="B343" t="str">
        <f t="shared" si="15"/>
        <v>RolettoEPC-IPU-H498-01</v>
      </c>
      <c r="C343" s="50" t="s">
        <v>826</v>
      </c>
      <c r="D343" s="51" t="s">
        <v>887</v>
      </c>
      <c r="E343" s="50" t="s">
        <v>888</v>
      </c>
      <c r="F343" s="50" t="s">
        <v>1533</v>
      </c>
      <c r="G343" s="50" t="s">
        <v>1533</v>
      </c>
      <c r="H343" s="57" t="s">
        <v>1542</v>
      </c>
      <c r="I343" s="50" t="s">
        <v>1013</v>
      </c>
      <c r="J343" s="18">
        <f>+_xlfn.XLOOKUP(B343,Sheet3!B:B,Sheet3!J:J,0)</f>
        <v>0</v>
      </c>
      <c r="K343">
        <f t="shared" si="16"/>
        <v>0</v>
      </c>
      <c r="L343" s="54">
        <v>0</v>
      </c>
      <c r="M343" s="67">
        <f t="shared" si="17"/>
        <v>0</v>
      </c>
    </row>
    <row r="344" spans="2:13" hidden="1" x14ac:dyDescent="0.25">
      <c r="B344" t="str">
        <f t="shared" si="15"/>
        <v>VolpianoEPC-IPU-M122-01</v>
      </c>
      <c r="C344" s="50" t="s">
        <v>826</v>
      </c>
      <c r="D344" s="51" t="s">
        <v>887</v>
      </c>
      <c r="E344" s="50" t="s">
        <v>888</v>
      </c>
      <c r="F344" s="50" t="s">
        <v>1533</v>
      </c>
      <c r="G344" s="50" t="s">
        <v>1533</v>
      </c>
      <c r="H344" s="57" t="s">
        <v>1543</v>
      </c>
      <c r="I344" s="50" t="s">
        <v>1015</v>
      </c>
      <c r="J344" s="18">
        <f>+_xlfn.XLOOKUP(B344,Sheet3!B:B,Sheet3!J:J,0)</f>
        <v>0</v>
      </c>
      <c r="K344">
        <f t="shared" si="16"/>
        <v>0</v>
      </c>
      <c r="L344" s="54">
        <v>0</v>
      </c>
      <c r="M344" s="67">
        <f t="shared" si="17"/>
        <v>0</v>
      </c>
    </row>
    <row r="345" spans="2:13" hidden="1" x14ac:dyDescent="0.25">
      <c r="B345" t="str">
        <f t="shared" si="15"/>
        <v>Arcisate ConsipEPC-IPU-A371-01</v>
      </c>
      <c r="C345" s="50" t="s">
        <v>958</v>
      </c>
      <c r="D345" s="51" t="s">
        <v>887</v>
      </c>
      <c r="E345" s="50" t="s">
        <v>888</v>
      </c>
      <c r="F345" s="50" t="s">
        <v>1533</v>
      </c>
      <c r="G345" s="50" t="s">
        <v>1533</v>
      </c>
      <c r="H345" s="57" t="s">
        <v>1544</v>
      </c>
      <c r="I345" s="50" t="s">
        <v>1018</v>
      </c>
      <c r="J345" s="18">
        <f>+_xlfn.XLOOKUP(B345,Sheet3!B:B,Sheet3!J:J,0)</f>
        <v>0</v>
      </c>
      <c r="K345">
        <f t="shared" si="16"/>
        <v>0</v>
      </c>
      <c r="L345" s="54">
        <v>0</v>
      </c>
      <c r="M345" s="67">
        <f t="shared" si="17"/>
        <v>0</v>
      </c>
    </row>
    <row r="346" spans="2:13" hidden="1" x14ac:dyDescent="0.25">
      <c r="B346" t="str">
        <f t="shared" si="15"/>
        <v>ArlunoEPC-IPU-A413-01</v>
      </c>
      <c r="C346" s="50" t="s">
        <v>958</v>
      </c>
      <c r="D346" s="51" t="s">
        <v>887</v>
      </c>
      <c r="E346" s="50" t="s">
        <v>888</v>
      </c>
      <c r="F346" s="50" t="s">
        <v>1533</v>
      </c>
      <c r="G346" s="50" t="s">
        <v>1533</v>
      </c>
      <c r="H346" s="57" t="s">
        <v>1545</v>
      </c>
      <c r="I346" s="50" t="s">
        <v>1020</v>
      </c>
      <c r="J346" s="18">
        <f>+_xlfn.XLOOKUP(B346,Sheet3!B:B,Sheet3!J:J,0)</f>
        <v>16.399999999999999</v>
      </c>
      <c r="K346">
        <f t="shared" si="16"/>
        <v>21.866666666666664</v>
      </c>
      <c r="L346" s="54">
        <v>16.399999999999999</v>
      </c>
      <c r="M346" s="67">
        <f t="shared" si="17"/>
        <v>-5.466666666666665</v>
      </c>
    </row>
    <row r="347" spans="2:13" hidden="1" x14ac:dyDescent="0.25">
      <c r="B347" t="str">
        <f t="shared" si="15"/>
        <v>Barzago ConsipEPC-IPU-A683-01</v>
      </c>
      <c r="C347" s="50" t="s">
        <v>958</v>
      </c>
      <c r="D347" s="51" t="s">
        <v>887</v>
      </c>
      <c r="E347" s="50" t="s">
        <v>888</v>
      </c>
      <c r="F347" s="50" t="s">
        <v>1533</v>
      </c>
      <c r="G347" s="50" t="s">
        <v>1533</v>
      </c>
      <c r="H347" s="57" t="s">
        <v>1546</v>
      </c>
      <c r="I347" s="50" t="s">
        <v>1022</v>
      </c>
      <c r="J347" s="18">
        <f>+_xlfn.XLOOKUP(B347,Sheet3!B:B,Sheet3!J:J,0)</f>
        <v>0</v>
      </c>
      <c r="K347">
        <f t="shared" si="16"/>
        <v>0</v>
      </c>
      <c r="L347" s="54">
        <v>0</v>
      </c>
      <c r="M347" s="67">
        <f t="shared" si="17"/>
        <v>0</v>
      </c>
    </row>
    <row r="348" spans="2:13" hidden="1" x14ac:dyDescent="0.25">
      <c r="B348" t="str">
        <f t="shared" si="15"/>
        <v>Bresso ConsipEPC-IPU-B162-01</v>
      </c>
      <c r="C348" s="50" t="s">
        <v>958</v>
      </c>
      <c r="D348" s="51" t="s">
        <v>887</v>
      </c>
      <c r="E348" s="50" t="s">
        <v>888</v>
      </c>
      <c r="F348" s="50" t="s">
        <v>1533</v>
      </c>
      <c r="G348" s="50" t="s">
        <v>1533</v>
      </c>
      <c r="H348" s="57" t="s">
        <v>1547</v>
      </c>
      <c r="I348" s="50" t="s">
        <v>1024</v>
      </c>
      <c r="J348" s="18">
        <f>+_xlfn.XLOOKUP(B348,Sheet3!B:B,Sheet3!J:J,0)</f>
        <v>0</v>
      </c>
      <c r="K348">
        <f t="shared" si="16"/>
        <v>0</v>
      </c>
      <c r="L348" s="54">
        <v>0</v>
      </c>
      <c r="M348" s="67">
        <f t="shared" si="17"/>
        <v>0</v>
      </c>
    </row>
    <row r="349" spans="2:13" hidden="1" x14ac:dyDescent="0.25">
      <c r="B349" t="str">
        <f t="shared" si="15"/>
        <v>Canegrate ConsipEPC-IPU-B593-01</v>
      </c>
      <c r="C349" s="50" t="s">
        <v>958</v>
      </c>
      <c r="D349" s="51" t="s">
        <v>887</v>
      </c>
      <c r="E349" s="50" t="s">
        <v>888</v>
      </c>
      <c r="F349" s="50" t="s">
        <v>1533</v>
      </c>
      <c r="G349" s="50" t="s">
        <v>1533</v>
      </c>
      <c r="H349" s="57" t="s">
        <v>1548</v>
      </c>
      <c r="I349" s="50" t="s">
        <v>1026</v>
      </c>
      <c r="J349" s="18">
        <f>+_xlfn.XLOOKUP(B349,Sheet3!B:B,Sheet3!J:J,0)</f>
        <v>0</v>
      </c>
      <c r="K349">
        <f t="shared" si="16"/>
        <v>0</v>
      </c>
      <c r="L349" s="54">
        <v>0</v>
      </c>
      <c r="M349" s="67">
        <f t="shared" si="17"/>
        <v>0</v>
      </c>
    </row>
    <row r="350" spans="2:13" hidden="1" x14ac:dyDescent="0.25">
      <c r="B350" t="str">
        <f t="shared" si="15"/>
        <v>CaponagoEPC-IPU-B671-01</v>
      </c>
      <c r="C350" s="50" t="s">
        <v>958</v>
      </c>
      <c r="D350" s="51" t="s">
        <v>887</v>
      </c>
      <c r="E350" s="50" t="s">
        <v>888</v>
      </c>
      <c r="F350" s="50" t="s">
        <v>1533</v>
      </c>
      <c r="G350" s="50" t="s">
        <v>1533</v>
      </c>
      <c r="H350" s="57" t="s">
        <v>1549</v>
      </c>
      <c r="I350" s="50" t="s">
        <v>1028</v>
      </c>
      <c r="J350" s="18">
        <f>+_xlfn.XLOOKUP(B350,Sheet3!B:B,Sheet3!J:J,0)</f>
        <v>0</v>
      </c>
      <c r="K350">
        <f t="shared" si="16"/>
        <v>0</v>
      </c>
      <c r="L350" s="54">
        <v>0</v>
      </c>
      <c r="M350" s="67">
        <f t="shared" si="17"/>
        <v>0</v>
      </c>
    </row>
    <row r="351" spans="2:13" hidden="1" x14ac:dyDescent="0.25">
      <c r="B351" t="str">
        <f t="shared" si="15"/>
        <v>CaravaggioEPC-IPU-B731-01</v>
      </c>
      <c r="C351" s="50" t="s">
        <v>958</v>
      </c>
      <c r="D351" s="51" t="s">
        <v>887</v>
      </c>
      <c r="E351" s="50" t="s">
        <v>888</v>
      </c>
      <c r="F351" s="50" t="s">
        <v>1533</v>
      </c>
      <c r="G351" s="50" t="s">
        <v>1533</v>
      </c>
      <c r="H351" s="57" t="s">
        <v>1550</v>
      </c>
      <c r="I351" s="50" t="s">
        <v>1030</v>
      </c>
      <c r="J351" s="18">
        <f>+_xlfn.XLOOKUP(B351,Sheet3!B:B,Sheet3!J:J,0)</f>
        <v>0</v>
      </c>
      <c r="K351">
        <f t="shared" si="16"/>
        <v>0</v>
      </c>
      <c r="L351" s="54">
        <v>0</v>
      </c>
      <c r="M351" s="67">
        <f t="shared" si="17"/>
        <v>0</v>
      </c>
    </row>
    <row r="352" spans="2:13" hidden="1" x14ac:dyDescent="0.25">
      <c r="B352" t="str">
        <f t="shared" si="15"/>
        <v>Cardano al Campo ConsipEPC-IPU-B754-01</v>
      </c>
      <c r="C352" s="50" t="s">
        <v>958</v>
      </c>
      <c r="D352" s="51" t="s">
        <v>887</v>
      </c>
      <c r="E352" s="50" t="s">
        <v>888</v>
      </c>
      <c r="F352" s="50" t="s">
        <v>1533</v>
      </c>
      <c r="G352" s="50" t="s">
        <v>1533</v>
      </c>
      <c r="H352" s="57" t="s">
        <v>1551</v>
      </c>
      <c r="I352" s="50" t="s">
        <v>1032</v>
      </c>
      <c r="J352" s="18">
        <f>+_xlfn.XLOOKUP(B352,Sheet3!B:B,Sheet3!J:J,0)</f>
        <v>0</v>
      </c>
      <c r="K352">
        <f t="shared" si="16"/>
        <v>0</v>
      </c>
      <c r="L352" s="54">
        <v>0</v>
      </c>
      <c r="M352" s="67">
        <f t="shared" si="17"/>
        <v>0</v>
      </c>
    </row>
    <row r="353" spans="2:13" hidden="1" x14ac:dyDescent="0.25">
      <c r="B353" t="str">
        <f t="shared" si="15"/>
        <v>Civate ConsipEPC-IPU-C752-01</v>
      </c>
      <c r="C353" s="50" t="s">
        <v>958</v>
      </c>
      <c r="D353" s="51" t="s">
        <v>887</v>
      </c>
      <c r="E353" s="50" t="s">
        <v>888</v>
      </c>
      <c r="F353" s="50" t="s">
        <v>1533</v>
      </c>
      <c r="G353" s="50" t="s">
        <v>1533</v>
      </c>
      <c r="H353" s="57" t="s">
        <v>1552</v>
      </c>
      <c r="I353" s="50" t="s">
        <v>1034</v>
      </c>
      <c r="J353" s="18">
        <f>+_xlfn.XLOOKUP(B353,Sheet3!B:B,Sheet3!J:J,0)</f>
        <v>0</v>
      </c>
      <c r="K353">
        <f t="shared" si="16"/>
        <v>0</v>
      </c>
      <c r="L353" s="54">
        <v>0</v>
      </c>
      <c r="M353" s="67">
        <f t="shared" si="17"/>
        <v>0</v>
      </c>
    </row>
    <row r="354" spans="2:13" hidden="1" x14ac:dyDescent="0.25">
      <c r="B354" t="str">
        <f t="shared" si="15"/>
        <v>Gallarate ConsipEPC-IPU-D869-01</v>
      </c>
      <c r="C354" s="50" t="s">
        <v>958</v>
      </c>
      <c r="D354" s="51" t="s">
        <v>887</v>
      </c>
      <c r="E354" s="50" t="s">
        <v>888</v>
      </c>
      <c r="F354" s="50" t="s">
        <v>1533</v>
      </c>
      <c r="G354" s="50" t="s">
        <v>1533</v>
      </c>
      <c r="H354" s="57" t="s">
        <v>1553</v>
      </c>
      <c r="I354" s="50" t="s">
        <v>1036</v>
      </c>
      <c r="J354" s="18">
        <f>+_xlfn.XLOOKUP(B354,Sheet3!B:B,Sheet3!J:J,0)</f>
        <v>0</v>
      </c>
      <c r="K354">
        <f t="shared" si="16"/>
        <v>0</v>
      </c>
      <c r="L354" s="54">
        <v>0</v>
      </c>
      <c r="M354" s="67">
        <f t="shared" si="17"/>
        <v>0</v>
      </c>
    </row>
    <row r="355" spans="2:13" hidden="1" x14ac:dyDescent="0.25">
      <c r="B355" t="str">
        <f t="shared" si="15"/>
        <v>Mariano ComenseEPC-IPU-E951-01</v>
      </c>
      <c r="C355" s="50" t="s">
        <v>958</v>
      </c>
      <c r="D355" s="51" t="s">
        <v>887</v>
      </c>
      <c r="E355" s="50" t="s">
        <v>888</v>
      </c>
      <c r="F355" s="50" t="s">
        <v>1533</v>
      </c>
      <c r="G355" s="50" t="s">
        <v>1533</v>
      </c>
      <c r="H355" s="57" t="s">
        <v>1554</v>
      </c>
      <c r="I355" s="50" t="s">
        <v>1038</v>
      </c>
      <c r="J355" s="18">
        <f>+_xlfn.XLOOKUP(B355,Sheet3!B:B,Sheet3!J:J,0)</f>
        <v>0</v>
      </c>
      <c r="K355">
        <f t="shared" si="16"/>
        <v>0</v>
      </c>
      <c r="L355" s="54">
        <v>0</v>
      </c>
      <c r="M355" s="67">
        <f t="shared" si="17"/>
        <v>0</v>
      </c>
    </row>
    <row r="356" spans="2:13" hidden="1" x14ac:dyDescent="0.25">
      <c r="B356" t="str">
        <f t="shared" si="15"/>
        <v>MornagoEPC-IPU-F736-01</v>
      </c>
      <c r="C356" s="50" t="s">
        <v>958</v>
      </c>
      <c r="D356" s="51" t="s">
        <v>887</v>
      </c>
      <c r="E356" s="50" t="s">
        <v>888</v>
      </c>
      <c r="F356" s="50" t="s">
        <v>1533</v>
      </c>
      <c r="G356" s="50" t="s">
        <v>1533</v>
      </c>
      <c r="H356" s="57" t="s">
        <v>1555</v>
      </c>
      <c r="I356" s="50" t="s">
        <v>1040</v>
      </c>
      <c r="J356" s="18">
        <f>+_xlfn.XLOOKUP(B356,Sheet3!B:B,Sheet3!J:J,0)</f>
        <v>0</v>
      </c>
      <c r="K356">
        <f t="shared" si="16"/>
        <v>0</v>
      </c>
      <c r="L356" s="54">
        <v>0</v>
      </c>
      <c r="M356" s="67">
        <f t="shared" si="17"/>
        <v>0</v>
      </c>
    </row>
    <row r="357" spans="2:13" hidden="1" x14ac:dyDescent="0.25">
      <c r="B357" t="str">
        <f t="shared" si="15"/>
        <v>Novara ConsipEPC-IPU-F952-01</v>
      </c>
      <c r="C357" s="50" t="s">
        <v>958</v>
      </c>
      <c r="D357" s="51" t="s">
        <v>887</v>
      </c>
      <c r="E357" s="50" t="s">
        <v>888</v>
      </c>
      <c r="F357" s="50" t="s">
        <v>1533</v>
      </c>
      <c r="G357" s="50" t="s">
        <v>1533</v>
      </c>
      <c r="H357" s="57" t="s">
        <v>1556</v>
      </c>
      <c r="I357" s="50" t="s">
        <v>1042</v>
      </c>
      <c r="J357" s="18">
        <f>+_xlfn.XLOOKUP(B357,Sheet3!B:B,Sheet3!J:J,0)</f>
        <v>0</v>
      </c>
      <c r="K357">
        <f t="shared" si="16"/>
        <v>0</v>
      </c>
      <c r="L357" s="54">
        <v>0</v>
      </c>
      <c r="M357" s="67">
        <f t="shared" si="17"/>
        <v>0</v>
      </c>
    </row>
    <row r="358" spans="2:13" hidden="1" x14ac:dyDescent="0.25">
      <c r="B358" t="str">
        <f t="shared" si="15"/>
        <v>RescaldinaEPC-IPU-H240-01</v>
      </c>
      <c r="C358" s="50" t="s">
        <v>958</v>
      </c>
      <c r="D358" s="51" t="s">
        <v>887</v>
      </c>
      <c r="E358" s="50" t="s">
        <v>888</v>
      </c>
      <c r="F358" s="50" t="s">
        <v>1533</v>
      </c>
      <c r="G358" s="50" t="s">
        <v>1533</v>
      </c>
      <c r="H358" s="57" t="s">
        <v>1557</v>
      </c>
      <c r="I358" s="50" t="s">
        <v>1046</v>
      </c>
      <c r="J358" s="18">
        <f>+_xlfn.XLOOKUP(B358,Sheet3!B:B,Sheet3!J:J,0)</f>
        <v>0</v>
      </c>
      <c r="K358">
        <f t="shared" si="16"/>
        <v>0</v>
      </c>
      <c r="L358" s="54">
        <v>0</v>
      </c>
      <c r="M358" s="67">
        <f t="shared" si="17"/>
        <v>0</v>
      </c>
    </row>
    <row r="359" spans="2:13" hidden="1" x14ac:dyDescent="0.25">
      <c r="B359" t="str">
        <f t="shared" si="15"/>
        <v>Rovellasca ConsipEPC-IPU-H601-01</v>
      </c>
      <c r="C359" s="50" t="s">
        <v>958</v>
      </c>
      <c r="D359" s="51" t="s">
        <v>887</v>
      </c>
      <c r="E359" s="50" t="s">
        <v>888</v>
      </c>
      <c r="F359" s="50" t="s">
        <v>1533</v>
      </c>
      <c r="G359" s="50" t="s">
        <v>1533</v>
      </c>
      <c r="H359" s="57" t="s">
        <v>1558</v>
      </c>
      <c r="I359" s="50" t="s">
        <v>1048</v>
      </c>
      <c r="J359" s="18">
        <f>+_xlfn.XLOOKUP(B359,Sheet3!B:B,Sheet3!J:J,0)</f>
        <v>0</v>
      </c>
      <c r="K359">
        <f t="shared" si="16"/>
        <v>0</v>
      </c>
      <c r="L359" s="54">
        <v>0</v>
      </c>
      <c r="M359" s="67">
        <f t="shared" si="17"/>
        <v>0</v>
      </c>
    </row>
    <row r="360" spans="2:13" hidden="1" x14ac:dyDescent="0.25">
      <c r="B360" t="str">
        <f t="shared" si="15"/>
        <v>Rovello PorroEPC-IPU-H602-01</v>
      </c>
      <c r="C360" s="50" t="s">
        <v>958</v>
      </c>
      <c r="D360" s="51" t="s">
        <v>887</v>
      </c>
      <c r="E360" s="50" t="s">
        <v>888</v>
      </c>
      <c r="F360" s="50" t="s">
        <v>1533</v>
      </c>
      <c r="G360" s="50" t="s">
        <v>1533</v>
      </c>
      <c r="H360" s="57" t="s">
        <v>1559</v>
      </c>
      <c r="I360" s="50" t="s">
        <v>1050</v>
      </c>
      <c r="J360" s="18">
        <f>+_xlfn.XLOOKUP(B360,Sheet3!B:B,Sheet3!J:J,0)</f>
        <v>0</v>
      </c>
      <c r="K360">
        <f t="shared" si="16"/>
        <v>0</v>
      </c>
      <c r="L360" s="54">
        <v>0</v>
      </c>
      <c r="M360" s="67">
        <f t="shared" si="17"/>
        <v>0</v>
      </c>
    </row>
    <row r="361" spans="2:13" hidden="1" x14ac:dyDescent="0.25">
      <c r="B361" t="str">
        <f t="shared" si="15"/>
        <v>San Giuliano Milanese ConsipEPC-IPU-H930-01</v>
      </c>
      <c r="C361" s="50" t="s">
        <v>958</v>
      </c>
      <c r="D361" s="51" t="s">
        <v>887</v>
      </c>
      <c r="E361" s="50" t="s">
        <v>888</v>
      </c>
      <c r="F361" s="50" t="s">
        <v>1533</v>
      </c>
      <c r="G361" s="50" t="s">
        <v>1533</v>
      </c>
      <c r="H361" s="57" t="s">
        <v>1560</v>
      </c>
      <c r="I361" s="50" t="s">
        <v>1052</v>
      </c>
      <c r="J361" s="18">
        <f>+_xlfn.XLOOKUP(B361,Sheet3!B:B,Sheet3!J:J,0)</f>
        <v>0</v>
      </c>
      <c r="K361">
        <f t="shared" si="16"/>
        <v>0</v>
      </c>
      <c r="L361" s="54">
        <v>0</v>
      </c>
      <c r="M361" s="67">
        <f t="shared" si="17"/>
        <v>0</v>
      </c>
    </row>
    <row r="362" spans="2:13" hidden="1" x14ac:dyDescent="0.25">
      <c r="B362" t="str">
        <f t="shared" si="15"/>
        <v>Saronno ConsipEPC-IPU-I441-01</v>
      </c>
      <c r="C362" s="50" t="s">
        <v>958</v>
      </c>
      <c r="D362" s="51" t="s">
        <v>887</v>
      </c>
      <c r="E362" s="50" t="s">
        <v>888</v>
      </c>
      <c r="F362" s="50" t="s">
        <v>1533</v>
      </c>
      <c r="G362" s="50" t="s">
        <v>1533</v>
      </c>
      <c r="H362" s="57" t="s">
        <v>1561</v>
      </c>
      <c r="I362" s="50" t="s">
        <v>1091</v>
      </c>
      <c r="J362" s="18">
        <f>+_xlfn.XLOOKUP(B362,Sheet3!B:B,Sheet3!J:J,0)</f>
        <v>0</v>
      </c>
      <c r="K362">
        <f t="shared" si="16"/>
        <v>0</v>
      </c>
      <c r="L362" s="54">
        <v>0</v>
      </c>
      <c r="M362" s="67">
        <f t="shared" si="17"/>
        <v>0</v>
      </c>
    </row>
    <row r="363" spans="2:13" hidden="1" x14ac:dyDescent="0.25">
      <c r="B363" t="str">
        <f t="shared" si="15"/>
        <v>Tribiano ConsipEPC-IPU-L415-01</v>
      </c>
      <c r="C363" s="50" t="s">
        <v>958</v>
      </c>
      <c r="D363" s="51" t="s">
        <v>887</v>
      </c>
      <c r="E363" s="50" t="s">
        <v>888</v>
      </c>
      <c r="F363" s="50" t="s">
        <v>1533</v>
      </c>
      <c r="G363" s="50" t="s">
        <v>1533</v>
      </c>
      <c r="H363" s="57" t="s">
        <v>1562</v>
      </c>
      <c r="I363" s="50" t="s">
        <v>1093</v>
      </c>
      <c r="J363" s="18">
        <f>+_xlfn.XLOOKUP(B363,Sheet3!B:B,Sheet3!J:J,0)</f>
        <v>-0.18</v>
      </c>
      <c r="K363">
        <f t="shared" si="16"/>
        <v>-0.24</v>
      </c>
      <c r="L363" s="54">
        <v>-0.18</v>
      </c>
      <c r="M363" s="67">
        <f t="shared" si="17"/>
        <v>0.06</v>
      </c>
    </row>
    <row r="364" spans="2:13" hidden="1" x14ac:dyDescent="0.25">
      <c r="B364" t="str">
        <f t="shared" si="15"/>
        <v>BasianoEPC-IPU-A697-01</v>
      </c>
      <c r="C364" s="50" t="s">
        <v>826</v>
      </c>
      <c r="D364" s="51" t="s">
        <v>887</v>
      </c>
      <c r="E364" s="50" t="s">
        <v>888</v>
      </c>
      <c r="F364" s="50" t="s">
        <v>1533</v>
      </c>
      <c r="G364" s="50" t="s">
        <v>1533</v>
      </c>
      <c r="H364" s="57" t="s">
        <v>1563</v>
      </c>
      <c r="I364" s="50" t="s">
        <v>1062</v>
      </c>
      <c r="J364" s="18">
        <f>+_xlfn.XLOOKUP(B364,Sheet3!B:B,Sheet3!J:J,0)</f>
        <v>0</v>
      </c>
      <c r="K364">
        <f t="shared" si="16"/>
        <v>0</v>
      </c>
      <c r="L364" s="54">
        <v>0</v>
      </c>
      <c r="M364" s="67">
        <f t="shared" si="17"/>
        <v>0</v>
      </c>
    </row>
    <row r="365" spans="2:13" hidden="1" x14ac:dyDescent="0.25">
      <c r="B365" t="str">
        <f t="shared" si="15"/>
        <v>BruinoEPC-IPU-B216-01</v>
      </c>
      <c r="C365" s="50" t="s">
        <v>826</v>
      </c>
      <c r="D365" s="51" t="s">
        <v>887</v>
      </c>
      <c r="E365" s="50" t="s">
        <v>888</v>
      </c>
      <c r="F365" s="50" t="s">
        <v>1533</v>
      </c>
      <c r="G365" s="50" t="s">
        <v>1533</v>
      </c>
      <c r="H365" s="57" t="s">
        <v>1564</v>
      </c>
      <c r="I365" s="50" t="s">
        <v>1064</v>
      </c>
      <c r="J365" s="18">
        <f>+_xlfn.XLOOKUP(B365,Sheet3!B:B,Sheet3!J:J,0)</f>
        <v>0</v>
      </c>
      <c r="K365">
        <f t="shared" si="16"/>
        <v>0</v>
      </c>
      <c r="L365" s="54">
        <v>0</v>
      </c>
      <c r="M365" s="67">
        <f t="shared" si="17"/>
        <v>0</v>
      </c>
    </row>
    <row r="366" spans="2:13" hidden="1" x14ac:dyDescent="0.25">
      <c r="B366" t="str">
        <f t="shared" si="15"/>
        <v>CourmayeurEPC-IPU-D012-01</v>
      </c>
      <c r="C366" s="50" t="s">
        <v>826</v>
      </c>
      <c r="D366" s="51" t="s">
        <v>887</v>
      </c>
      <c r="E366" s="50" t="s">
        <v>888</v>
      </c>
      <c r="F366" s="50" t="s">
        <v>1533</v>
      </c>
      <c r="G366" s="50" t="s">
        <v>1533</v>
      </c>
      <c r="H366" s="57" t="s">
        <v>1565</v>
      </c>
      <c r="I366" s="50" t="s">
        <v>1066</v>
      </c>
      <c r="J366" s="18">
        <f>+_xlfn.XLOOKUP(B366,Sheet3!B:B,Sheet3!J:J,0)</f>
        <v>0</v>
      </c>
      <c r="K366">
        <f t="shared" si="16"/>
        <v>0</v>
      </c>
      <c r="L366" s="54">
        <v>0</v>
      </c>
      <c r="M366" s="67">
        <f t="shared" si="17"/>
        <v>0</v>
      </c>
    </row>
    <row r="367" spans="2:13" hidden="1" x14ac:dyDescent="0.25">
      <c r="B367" t="str">
        <f t="shared" si="15"/>
        <v>Gravellona LomellinaEPC-IPU-E152-01</v>
      </c>
      <c r="C367" s="50" t="s">
        <v>826</v>
      </c>
      <c r="D367" s="51" t="s">
        <v>887</v>
      </c>
      <c r="E367" s="50" t="s">
        <v>888</v>
      </c>
      <c r="F367" s="50" t="s">
        <v>1533</v>
      </c>
      <c r="G367" s="50" t="s">
        <v>1533</v>
      </c>
      <c r="H367" s="57" t="s">
        <v>1566</v>
      </c>
      <c r="I367" s="50" t="s">
        <v>1068</v>
      </c>
      <c r="J367" s="18">
        <f>+_xlfn.XLOOKUP(B367,Sheet3!B:B,Sheet3!J:J,0)</f>
        <v>0</v>
      </c>
      <c r="K367">
        <f t="shared" si="16"/>
        <v>0</v>
      </c>
      <c r="L367" s="54">
        <v>0</v>
      </c>
      <c r="M367" s="67">
        <f t="shared" si="17"/>
        <v>0</v>
      </c>
    </row>
    <row r="368" spans="2:13" hidden="1" x14ac:dyDescent="0.25">
      <c r="B368" t="str">
        <f t="shared" si="15"/>
        <v>LezzenoEPC-IPU-E569-01</v>
      </c>
      <c r="C368" s="50" t="s">
        <v>826</v>
      </c>
      <c r="D368" s="51" t="s">
        <v>887</v>
      </c>
      <c r="E368" s="50" t="s">
        <v>888</v>
      </c>
      <c r="F368" s="50" t="s">
        <v>1533</v>
      </c>
      <c r="G368" s="50" t="s">
        <v>1533</v>
      </c>
      <c r="H368" s="57" t="s">
        <v>1567</v>
      </c>
      <c r="I368" s="50" t="s">
        <v>1070</v>
      </c>
      <c r="J368" s="18">
        <f>+_xlfn.XLOOKUP(B368,Sheet3!B:B,Sheet3!J:J,0)</f>
        <v>0</v>
      </c>
      <c r="K368">
        <f t="shared" si="16"/>
        <v>0</v>
      </c>
      <c r="L368" s="54">
        <v>0</v>
      </c>
      <c r="M368" s="67">
        <f t="shared" si="17"/>
        <v>0</v>
      </c>
    </row>
    <row r="369" spans="2:13" hidden="1" x14ac:dyDescent="0.25">
      <c r="B369" t="str">
        <f t="shared" si="15"/>
        <v>NervianoEPC-IPU-F874-01</v>
      </c>
      <c r="C369" s="50" t="s">
        <v>826</v>
      </c>
      <c r="D369" s="51" t="s">
        <v>887</v>
      </c>
      <c r="E369" s="50" t="s">
        <v>888</v>
      </c>
      <c r="F369" s="50" t="s">
        <v>1533</v>
      </c>
      <c r="G369" s="50" t="s">
        <v>1533</v>
      </c>
      <c r="H369" s="57" t="s">
        <v>1568</v>
      </c>
      <c r="I369" s="50" t="s">
        <v>1072</v>
      </c>
      <c r="J369" s="18">
        <f>+_xlfn.XLOOKUP(B369,Sheet3!B:B,Sheet3!J:J,0)</f>
        <v>0</v>
      </c>
      <c r="K369">
        <f t="shared" si="16"/>
        <v>0</v>
      </c>
      <c r="L369" s="54">
        <v>0</v>
      </c>
      <c r="M369" s="67">
        <f t="shared" si="17"/>
        <v>0</v>
      </c>
    </row>
    <row r="370" spans="2:13" hidden="1" x14ac:dyDescent="0.25">
      <c r="B370" t="str">
        <f t="shared" si="15"/>
        <v>Torrevecchia PiaEPC-IPU-L285-01</v>
      </c>
      <c r="C370" s="50" t="s">
        <v>826</v>
      </c>
      <c r="D370" s="51" t="s">
        <v>887</v>
      </c>
      <c r="E370" s="50" t="s">
        <v>888</v>
      </c>
      <c r="F370" s="50" t="s">
        <v>1533</v>
      </c>
      <c r="G370" s="50" t="s">
        <v>1533</v>
      </c>
      <c r="H370" s="57" t="s">
        <v>1569</v>
      </c>
      <c r="I370" s="50" t="s">
        <v>1074</v>
      </c>
      <c r="J370" s="18">
        <f>+_xlfn.XLOOKUP(B370,Sheet3!B:B,Sheet3!J:J,0)</f>
        <v>19.209389999999999</v>
      </c>
      <c r="K370">
        <f t="shared" si="16"/>
        <v>25.61252</v>
      </c>
      <c r="L370" s="54">
        <v>19.209389999999999</v>
      </c>
      <c r="M370" s="67">
        <f t="shared" si="17"/>
        <v>-6.4031300000000009</v>
      </c>
    </row>
    <row r="371" spans="2:13" hidden="1" x14ac:dyDescent="0.25">
      <c r="B371" t="str">
        <f t="shared" si="15"/>
        <v>TrecateEPC-IPU-L356-01</v>
      </c>
      <c r="C371" s="50" t="s">
        <v>826</v>
      </c>
      <c r="D371" s="51" t="s">
        <v>887</v>
      </c>
      <c r="E371" s="50" t="s">
        <v>888</v>
      </c>
      <c r="F371" s="50" t="s">
        <v>1533</v>
      </c>
      <c r="G371" s="50" t="s">
        <v>1533</v>
      </c>
      <c r="H371" s="57" t="s">
        <v>1570</v>
      </c>
      <c r="I371" s="50" t="s">
        <v>1076</v>
      </c>
      <c r="J371" s="18">
        <f>+_xlfn.XLOOKUP(B371,Sheet3!B:B,Sheet3!J:J,0)</f>
        <v>0</v>
      </c>
      <c r="K371">
        <f t="shared" si="16"/>
        <v>0</v>
      </c>
      <c r="L371" s="54">
        <v>0</v>
      </c>
      <c r="M371" s="67">
        <f t="shared" si="17"/>
        <v>0</v>
      </c>
    </row>
    <row r="372" spans="2:13" hidden="1" x14ac:dyDescent="0.25">
      <c r="B372" t="str">
        <f t="shared" si="15"/>
        <v>BiandronnoEPC-IPU-A845-01</v>
      </c>
      <c r="C372" s="50" t="s">
        <v>958</v>
      </c>
      <c r="D372" s="51" t="s">
        <v>887</v>
      </c>
      <c r="E372" s="50" t="s">
        <v>888</v>
      </c>
      <c r="F372" s="50" t="s">
        <v>1533</v>
      </c>
      <c r="G372" s="50" t="s">
        <v>1533</v>
      </c>
      <c r="H372" s="57" t="s">
        <v>1571</v>
      </c>
      <c r="I372" s="50" t="s">
        <v>1083</v>
      </c>
      <c r="J372" s="18">
        <f>+_xlfn.XLOOKUP(B372,Sheet3!B:B,Sheet3!J:J,0)</f>
        <v>0</v>
      </c>
      <c r="K372">
        <f t="shared" si="16"/>
        <v>0</v>
      </c>
      <c r="L372" s="54">
        <v>0</v>
      </c>
      <c r="M372" s="67">
        <f t="shared" si="17"/>
        <v>0</v>
      </c>
    </row>
    <row r="373" spans="2:13" hidden="1" x14ac:dyDescent="0.25">
      <c r="B373" t="str">
        <f t="shared" si="15"/>
        <v>Canegrate proroga tecnicaEPC-IPU-B593-02</v>
      </c>
      <c r="C373" s="50" t="s">
        <v>958</v>
      </c>
      <c r="D373" s="51" t="s">
        <v>887</v>
      </c>
      <c r="E373" s="50" t="s">
        <v>888</v>
      </c>
      <c r="F373" s="50" t="s">
        <v>1533</v>
      </c>
      <c r="G373" s="50" t="s">
        <v>1533</v>
      </c>
      <c r="H373" s="57" t="s">
        <v>1572</v>
      </c>
      <c r="I373" s="50" t="s">
        <v>1087</v>
      </c>
      <c r="J373" s="18">
        <f>+_xlfn.XLOOKUP(B373,Sheet3!B:B,Sheet3!J:J,0)</f>
        <v>0</v>
      </c>
      <c r="K373">
        <f t="shared" si="16"/>
        <v>0</v>
      </c>
      <c r="L373" s="54">
        <v>0</v>
      </c>
      <c r="M373" s="67">
        <f t="shared" si="17"/>
        <v>0</v>
      </c>
    </row>
    <row r="374" spans="2:13" hidden="1" x14ac:dyDescent="0.25">
      <c r="B374" t="str">
        <f t="shared" si="15"/>
        <v>Civate proroga tecnicaEPC-IPU-C752-02</v>
      </c>
      <c r="C374" s="50" t="s">
        <v>958</v>
      </c>
      <c r="D374" s="51" t="s">
        <v>887</v>
      </c>
      <c r="E374" s="50" t="s">
        <v>888</v>
      </c>
      <c r="F374" s="50" t="s">
        <v>1533</v>
      </c>
      <c r="G374" s="50" t="s">
        <v>1533</v>
      </c>
      <c r="H374" s="57" t="s">
        <v>1573</v>
      </c>
      <c r="I374" s="50" t="s">
        <v>1089</v>
      </c>
      <c r="J374" s="18">
        <f>+_xlfn.XLOOKUP(B374,Sheet3!B:B,Sheet3!J:J,0)</f>
        <v>0</v>
      </c>
      <c r="K374">
        <f t="shared" si="16"/>
        <v>0</v>
      </c>
      <c r="L374" s="54">
        <v>0</v>
      </c>
      <c r="M374" s="67">
        <f t="shared" si="17"/>
        <v>0</v>
      </c>
    </row>
    <row r="375" spans="2:13" hidden="1" x14ac:dyDescent="0.25">
      <c r="B375" t="str">
        <f t="shared" si="15"/>
        <v>Saronno proroga tecnicaEPC-IPU-I441-02</v>
      </c>
      <c r="C375" s="50" t="s">
        <v>958</v>
      </c>
      <c r="D375" s="51" t="s">
        <v>887</v>
      </c>
      <c r="E375" s="50" t="s">
        <v>888</v>
      </c>
      <c r="F375" s="50" t="s">
        <v>1533</v>
      </c>
      <c r="G375" s="50" t="s">
        <v>1533</v>
      </c>
      <c r="H375" s="57" t="s">
        <v>1574</v>
      </c>
      <c r="I375" s="50" t="s">
        <v>1054</v>
      </c>
      <c r="J375" s="18">
        <f>+_xlfn.XLOOKUP(B375,Sheet3!B:B,Sheet3!J:J,0)</f>
        <v>0</v>
      </c>
      <c r="K375">
        <f t="shared" si="16"/>
        <v>0</v>
      </c>
      <c r="L375" s="54">
        <v>0</v>
      </c>
      <c r="M375" s="67">
        <f t="shared" si="17"/>
        <v>0</v>
      </c>
    </row>
    <row r="376" spans="2:13" hidden="1" x14ac:dyDescent="0.25">
      <c r="B376" t="str">
        <f t="shared" si="15"/>
        <v>Vinovo PL proroga tecnicaEPC-IPU-M060-02</v>
      </c>
      <c r="C376" s="50" t="s">
        <v>826</v>
      </c>
      <c r="D376" s="51" t="s">
        <v>887</v>
      </c>
      <c r="E376" s="50" t="s">
        <v>888</v>
      </c>
      <c r="F376" s="50" t="s">
        <v>1533</v>
      </c>
      <c r="G376" s="50" t="s">
        <v>1533</v>
      </c>
      <c r="H376" s="57" t="s">
        <v>1575</v>
      </c>
      <c r="I376" s="50" t="s">
        <v>1078</v>
      </c>
      <c r="J376" s="18">
        <f>+_xlfn.XLOOKUP(B376,Sheet3!B:B,Sheet3!J:J,0)</f>
        <v>0</v>
      </c>
      <c r="K376">
        <f t="shared" si="16"/>
        <v>0</v>
      </c>
      <c r="L376" s="54">
        <v>0</v>
      </c>
      <c r="M376" s="67">
        <f t="shared" si="17"/>
        <v>0</v>
      </c>
    </row>
    <row r="377" spans="2:13" hidden="1" x14ac:dyDescent="0.25">
      <c r="B377" t="str">
        <f t="shared" si="15"/>
        <v>TolentinoEPC-IPU-L191-01</v>
      </c>
      <c r="C377" s="50" t="s">
        <v>958</v>
      </c>
      <c r="D377" s="51" t="s">
        <v>887</v>
      </c>
      <c r="E377" s="50" t="s">
        <v>896</v>
      </c>
      <c r="F377" s="50" t="s">
        <v>1533</v>
      </c>
      <c r="G377" s="50" t="s">
        <v>1533</v>
      </c>
      <c r="H377" s="57" t="s">
        <v>1576</v>
      </c>
      <c r="I377" s="50" t="s">
        <v>1133</v>
      </c>
      <c r="J377" s="18">
        <f>+_xlfn.XLOOKUP(B377,Sheet3!B:B,Sheet3!J:J,0)</f>
        <v>0</v>
      </c>
      <c r="K377">
        <f t="shared" si="16"/>
        <v>0</v>
      </c>
      <c r="L377" s="54">
        <v>0</v>
      </c>
      <c r="M377" s="67">
        <f t="shared" si="17"/>
        <v>0</v>
      </c>
    </row>
    <row r="378" spans="2:13" hidden="1" x14ac:dyDescent="0.25">
      <c r="B378" t="str">
        <f t="shared" si="15"/>
        <v>Albinea ConsipEPC-IPU-A162-01</v>
      </c>
      <c r="C378" s="50" t="s">
        <v>958</v>
      </c>
      <c r="D378" s="51" t="s">
        <v>887</v>
      </c>
      <c r="E378" s="50" t="s">
        <v>896</v>
      </c>
      <c r="F378" s="50" t="s">
        <v>1533</v>
      </c>
      <c r="G378" s="50" t="s">
        <v>1533</v>
      </c>
      <c r="H378" s="57" t="s">
        <v>1577</v>
      </c>
      <c r="I378" s="50" t="s">
        <v>1135</v>
      </c>
      <c r="J378" s="18">
        <f>+_xlfn.XLOOKUP(B378,Sheet3!B:B,Sheet3!J:J,0)</f>
        <v>0</v>
      </c>
      <c r="K378">
        <f t="shared" si="16"/>
        <v>0</v>
      </c>
      <c r="L378" s="54">
        <v>0</v>
      </c>
      <c r="M378" s="67">
        <f t="shared" si="17"/>
        <v>0</v>
      </c>
    </row>
    <row r="379" spans="2:13" hidden="1" x14ac:dyDescent="0.25">
      <c r="B379" t="str">
        <f t="shared" si="15"/>
        <v>Falconara Marittima ConsipEPC-IPU-D472-01</v>
      </c>
      <c r="C379" s="50" t="s">
        <v>958</v>
      </c>
      <c r="D379" s="51" t="s">
        <v>887</v>
      </c>
      <c r="E379" s="50" t="s">
        <v>896</v>
      </c>
      <c r="F379" s="50" t="s">
        <v>1533</v>
      </c>
      <c r="G379" s="50" t="s">
        <v>1533</v>
      </c>
      <c r="H379" s="57" t="s">
        <v>1578</v>
      </c>
      <c r="I379" s="50" t="s">
        <v>1141</v>
      </c>
      <c r="J379" s="18">
        <f>+_xlfn.XLOOKUP(B379,Sheet3!B:B,Sheet3!J:J,0)</f>
        <v>0</v>
      </c>
      <c r="K379">
        <f t="shared" si="16"/>
        <v>0</v>
      </c>
      <c r="L379" s="54">
        <v>0</v>
      </c>
      <c r="M379" s="67">
        <f t="shared" si="17"/>
        <v>0</v>
      </c>
    </row>
    <row r="380" spans="2:13" hidden="1" x14ac:dyDescent="0.25">
      <c r="B380" t="str">
        <f t="shared" si="15"/>
        <v>Montegranaro ConsipEPC-IPU-F522-01</v>
      </c>
      <c r="C380" s="50" t="s">
        <v>958</v>
      </c>
      <c r="D380" s="51" t="s">
        <v>887</v>
      </c>
      <c r="E380" s="50" t="s">
        <v>896</v>
      </c>
      <c r="F380" s="50" t="s">
        <v>1533</v>
      </c>
      <c r="G380" s="50" t="s">
        <v>1533</v>
      </c>
      <c r="H380" s="57" t="s">
        <v>1579</v>
      </c>
      <c r="I380" s="50" t="s">
        <v>1151</v>
      </c>
      <c r="J380" s="18">
        <f>+_xlfn.XLOOKUP(B380,Sheet3!B:B,Sheet3!J:J,0)</f>
        <v>0</v>
      </c>
      <c r="K380">
        <f t="shared" si="16"/>
        <v>0</v>
      </c>
      <c r="L380" s="54">
        <v>0</v>
      </c>
      <c r="M380" s="67">
        <f t="shared" si="17"/>
        <v>0</v>
      </c>
    </row>
    <row r="381" spans="2:13" hidden="1" x14ac:dyDescent="0.25">
      <c r="B381" t="str">
        <f t="shared" si="15"/>
        <v>Pioraco ConsipEPC-IPU-G690-01</v>
      </c>
      <c r="C381" s="50" t="s">
        <v>958</v>
      </c>
      <c r="D381" s="51" t="s">
        <v>887</v>
      </c>
      <c r="E381" s="50" t="s">
        <v>896</v>
      </c>
      <c r="F381" s="50" t="s">
        <v>1533</v>
      </c>
      <c r="G381" s="50" t="s">
        <v>1533</v>
      </c>
      <c r="H381" s="57" t="s">
        <v>1580</v>
      </c>
      <c r="I381" s="50" t="s">
        <v>1153</v>
      </c>
      <c r="J381" s="18">
        <f>+_xlfn.XLOOKUP(B381,Sheet3!B:B,Sheet3!J:J,0)</f>
        <v>0</v>
      </c>
      <c r="K381">
        <f t="shared" si="16"/>
        <v>0</v>
      </c>
      <c r="L381" s="54">
        <v>0</v>
      </c>
      <c r="M381" s="67">
        <f t="shared" si="17"/>
        <v>0</v>
      </c>
    </row>
    <row r="382" spans="2:13" hidden="1" x14ac:dyDescent="0.25">
      <c r="B382" t="str">
        <f t="shared" si="15"/>
        <v>Scheggia e Pascelupo ConsipEPC-IPU-I522-01</v>
      </c>
      <c r="C382" s="50" t="s">
        <v>958</v>
      </c>
      <c r="D382" s="51" t="s">
        <v>887</v>
      </c>
      <c r="E382" s="50" t="s">
        <v>896</v>
      </c>
      <c r="F382" s="50" t="s">
        <v>1533</v>
      </c>
      <c r="G382" s="50" t="s">
        <v>1533</v>
      </c>
      <c r="H382" s="57" t="s">
        <v>1581</v>
      </c>
      <c r="I382" s="50" t="s">
        <v>1157</v>
      </c>
      <c r="J382" s="18">
        <f>+_xlfn.XLOOKUP(B382,Sheet3!B:B,Sheet3!J:J,0)</f>
        <v>0</v>
      </c>
      <c r="K382">
        <f t="shared" si="16"/>
        <v>0</v>
      </c>
      <c r="L382" s="54">
        <v>0</v>
      </c>
      <c r="M382" s="67">
        <f t="shared" si="17"/>
        <v>0</v>
      </c>
    </row>
    <row r="383" spans="2:13" hidden="1" x14ac:dyDescent="0.25">
      <c r="B383" t="str">
        <f t="shared" si="15"/>
        <v>Santa Maria di SalaEPC-IPU-I242-01</v>
      </c>
      <c r="C383" s="50" t="s">
        <v>826</v>
      </c>
      <c r="D383" s="51" t="s">
        <v>887</v>
      </c>
      <c r="E383" s="50" t="s">
        <v>959</v>
      </c>
      <c r="F383" s="50" t="s">
        <v>1533</v>
      </c>
      <c r="G383" s="50" t="s">
        <v>1533</v>
      </c>
      <c r="H383" s="57" t="s">
        <v>1582</v>
      </c>
      <c r="I383" s="50" t="s">
        <v>1234</v>
      </c>
      <c r="J383" s="18">
        <f>+_xlfn.XLOOKUP(B383,Sheet3!B:B,Sheet3!J:J,0)</f>
        <v>0</v>
      </c>
      <c r="K383">
        <f t="shared" si="16"/>
        <v>0</v>
      </c>
      <c r="L383" s="54">
        <v>0</v>
      </c>
      <c r="M383" s="67">
        <f t="shared" si="17"/>
        <v>0</v>
      </c>
    </row>
    <row r="384" spans="2:13" hidden="1" x14ac:dyDescent="0.25">
      <c r="B384" t="str">
        <f t="shared" si="15"/>
        <v>Venezia HMEPC-EEE-L736-02</v>
      </c>
      <c r="C384" s="50" t="s">
        <v>958</v>
      </c>
      <c r="D384" s="51" t="s">
        <v>887</v>
      </c>
      <c r="E384" s="52" t="s">
        <v>959</v>
      </c>
      <c r="F384" s="50" t="s">
        <v>1533</v>
      </c>
      <c r="G384" s="50" t="s">
        <v>1533</v>
      </c>
      <c r="H384" s="50" t="s">
        <v>1583</v>
      </c>
      <c r="I384" s="50" t="s">
        <v>1238</v>
      </c>
      <c r="J384" s="18">
        <f>+_xlfn.XLOOKUP(B384,Sheet3!B:B,Sheet3!J:J,0)</f>
        <v>23.38494</v>
      </c>
      <c r="K384">
        <f t="shared" si="16"/>
        <v>31.179919999999999</v>
      </c>
      <c r="L384" s="54">
        <v>17.200370000000003</v>
      </c>
      <c r="M384" s="67">
        <f t="shared" si="17"/>
        <v>-13.979549999999996</v>
      </c>
    </row>
    <row r="385" spans="2:13" hidden="1" x14ac:dyDescent="0.25">
      <c r="B385" t="str">
        <f t="shared" si="15"/>
        <v>Fiesso d'ArticoEPC-IPU-D578-01</v>
      </c>
      <c r="C385" s="50" t="s">
        <v>826</v>
      </c>
      <c r="D385" s="51" t="s">
        <v>887</v>
      </c>
      <c r="E385" s="50" t="s">
        <v>959</v>
      </c>
      <c r="F385" s="50" t="s">
        <v>1533</v>
      </c>
      <c r="G385" s="50" t="s">
        <v>1533</v>
      </c>
      <c r="H385" s="57" t="s">
        <v>1584</v>
      </c>
      <c r="I385" s="50" t="s">
        <v>1240</v>
      </c>
      <c r="J385" s="18">
        <f>+_xlfn.XLOOKUP(B385,Sheet3!B:B,Sheet3!J:J,0)</f>
        <v>0</v>
      </c>
      <c r="K385">
        <f t="shared" si="16"/>
        <v>0</v>
      </c>
      <c r="L385" s="54">
        <v>0</v>
      </c>
      <c r="M385" s="67">
        <f t="shared" si="17"/>
        <v>0</v>
      </c>
    </row>
    <row r="386" spans="2:13" hidden="1" x14ac:dyDescent="0.25">
      <c r="B386" t="str">
        <f t="shared" si="15"/>
        <v>FossòEPC-IPU-D748-01</v>
      </c>
      <c r="C386" s="50" t="s">
        <v>826</v>
      </c>
      <c r="D386" s="51" t="s">
        <v>887</v>
      </c>
      <c r="E386" s="50" t="s">
        <v>959</v>
      </c>
      <c r="F386" s="50" t="s">
        <v>1533</v>
      </c>
      <c r="G386" s="50" t="s">
        <v>1533</v>
      </c>
      <c r="H386" s="57" t="s">
        <v>1585</v>
      </c>
      <c r="I386" s="50" t="s">
        <v>1242</v>
      </c>
      <c r="J386" s="18">
        <f>+_xlfn.XLOOKUP(B386,Sheet3!B:B,Sheet3!J:J,0)</f>
        <v>0</v>
      </c>
      <c r="K386">
        <f t="shared" si="16"/>
        <v>0</v>
      </c>
      <c r="L386" s="54">
        <v>0</v>
      </c>
      <c r="M386" s="67">
        <f t="shared" si="17"/>
        <v>0</v>
      </c>
    </row>
    <row r="387" spans="2:13" hidden="1" x14ac:dyDescent="0.25">
      <c r="B387" t="str">
        <f t="shared" si="15"/>
        <v>MiraEPC-IPU-F229-01</v>
      </c>
      <c r="C387" s="50" t="s">
        <v>826</v>
      </c>
      <c r="D387" s="51" t="s">
        <v>887</v>
      </c>
      <c r="E387" s="50" t="s">
        <v>959</v>
      </c>
      <c r="F387" s="50" t="s">
        <v>1533</v>
      </c>
      <c r="G387" s="50" t="s">
        <v>1533</v>
      </c>
      <c r="H387" s="57" t="s">
        <v>1586</v>
      </c>
      <c r="I387" s="50" t="s">
        <v>1244</v>
      </c>
      <c r="J387" s="18">
        <f>+_xlfn.XLOOKUP(B387,Sheet3!B:B,Sheet3!J:J,0)</f>
        <v>0</v>
      </c>
      <c r="K387">
        <f t="shared" si="16"/>
        <v>0</v>
      </c>
      <c r="L387" s="54">
        <v>0</v>
      </c>
      <c r="M387" s="67">
        <f t="shared" si="17"/>
        <v>0</v>
      </c>
    </row>
    <row r="388" spans="2:13" hidden="1" x14ac:dyDescent="0.25">
      <c r="B388" t="str">
        <f t="shared" ref="B388:B451" si="18">+I388&amp;H388</f>
        <v>MiranoEPC-IPU-F241-01</v>
      </c>
      <c r="C388" s="50" t="s">
        <v>826</v>
      </c>
      <c r="D388" s="51" t="s">
        <v>887</v>
      </c>
      <c r="E388" s="50" t="s">
        <v>959</v>
      </c>
      <c r="F388" s="50" t="s">
        <v>1533</v>
      </c>
      <c r="G388" s="50" t="s">
        <v>1533</v>
      </c>
      <c r="H388" s="57" t="s">
        <v>1587</v>
      </c>
      <c r="I388" s="50" t="s">
        <v>1246</v>
      </c>
      <c r="J388" s="18">
        <f>+_xlfn.XLOOKUP(B388,Sheet3!B:B,Sheet3!J:J,0)</f>
        <v>0</v>
      </c>
      <c r="K388">
        <f t="shared" ref="K388:K451" si="19">+J388/6*8</f>
        <v>0</v>
      </c>
      <c r="L388" s="54">
        <v>0</v>
      </c>
      <c r="M388" s="67">
        <f t="shared" ref="M388:M451" si="20">+L388-K388</f>
        <v>0</v>
      </c>
    </row>
    <row r="389" spans="2:13" hidden="1" x14ac:dyDescent="0.25">
      <c r="B389" t="str">
        <f t="shared" si="18"/>
        <v>PozzoleoneEPC-IPU-G957-01</v>
      </c>
      <c r="C389" s="50" t="s">
        <v>826</v>
      </c>
      <c r="D389" s="51" t="s">
        <v>887</v>
      </c>
      <c r="E389" s="50" t="s">
        <v>959</v>
      </c>
      <c r="F389" s="50" t="s">
        <v>1533</v>
      </c>
      <c r="G389" s="50" t="s">
        <v>1533</v>
      </c>
      <c r="H389" s="57" t="s">
        <v>1588</v>
      </c>
      <c r="I389" s="50" t="s">
        <v>1248</v>
      </c>
      <c r="J389" s="18">
        <f>+_xlfn.XLOOKUP(B389,Sheet3!B:B,Sheet3!J:J,0)</f>
        <v>0</v>
      </c>
      <c r="K389">
        <f t="shared" si="19"/>
        <v>0</v>
      </c>
      <c r="L389" s="54">
        <v>0</v>
      </c>
      <c r="M389" s="67">
        <f t="shared" si="20"/>
        <v>0</v>
      </c>
    </row>
    <row r="390" spans="2:13" hidden="1" x14ac:dyDescent="0.25">
      <c r="B390" t="str">
        <f t="shared" si="18"/>
        <v>SolesinoEPC-IPU-I799-01</v>
      </c>
      <c r="C390" s="50" t="s">
        <v>958</v>
      </c>
      <c r="D390" s="51" t="s">
        <v>887</v>
      </c>
      <c r="E390" s="50" t="s">
        <v>959</v>
      </c>
      <c r="F390" s="50" t="s">
        <v>1533</v>
      </c>
      <c r="G390" s="50" t="s">
        <v>1533</v>
      </c>
      <c r="H390" s="57" t="s">
        <v>1589</v>
      </c>
      <c r="I390" s="50" t="s">
        <v>1250</v>
      </c>
      <c r="J390" s="18">
        <f>+_xlfn.XLOOKUP(B390,Sheet3!B:B,Sheet3!J:J,0)</f>
        <v>0</v>
      </c>
      <c r="K390">
        <f t="shared" si="19"/>
        <v>0</v>
      </c>
      <c r="L390" s="54">
        <v>0</v>
      </c>
      <c r="M390" s="67">
        <f t="shared" si="20"/>
        <v>0</v>
      </c>
    </row>
    <row r="391" spans="2:13" hidden="1" x14ac:dyDescent="0.25">
      <c r="B391" t="str">
        <f t="shared" si="18"/>
        <v>StraEPC-IPU-I965-01</v>
      </c>
      <c r="C391" s="50" t="s">
        <v>826</v>
      </c>
      <c r="D391" s="51" t="s">
        <v>887</v>
      </c>
      <c r="E391" s="50" t="s">
        <v>959</v>
      </c>
      <c r="F391" s="50" t="s">
        <v>1533</v>
      </c>
      <c r="G391" s="50" t="s">
        <v>1533</v>
      </c>
      <c r="H391" s="57" t="s">
        <v>1590</v>
      </c>
      <c r="I391" s="50" t="s">
        <v>1252</v>
      </c>
      <c r="J391" s="18">
        <f>+_xlfn.XLOOKUP(B391,Sheet3!B:B,Sheet3!J:J,0)</f>
        <v>0</v>
      </c>
      <c r="K391">
        <f t="shared" si="19"/>
        <v>0</v>
      </c>
      <c r="L391" s="54">
        <v>0</v>
      </c>
      <c r="M391" s="67">
        <f t="shared" si="20"/>
        <v>0</v>
      </c>
    </row>
    <row r="392" spans="2:13" x14ac:dyDescent="0.25">
      <c r="B392" t="str">
        <f t="shared" si="18"/>
        <v>Venezia PLEPC-IPU-L736-01</v>
      </c>
      <c r="C392" s="50" t="s">
        <v>958</v>
      </c>
      <c r="D392" s="51" t="s">
        <v>887</v>
      </c>
      <c r="E392" s="50" t="s">
        <v>959</v>
      </c>
      <c r="F392" s="50" t="s">
        <v>1533</v>
      </c>
      <c r="G392" s="50" t="s">
        <v>1533</v>
      </c>
      <c r="H392" s="57" t="s">
        <v>1591</v>
      </c>
      <c r="I392" s="50" t="s">
        <v>1254</v>
      </c>
      <c r="J392" s="18">
        <f>+_xlfn.XLOOKUP(B392,Sheet3!B:B,Sheet3!J:J,0)</f>
        <v>332.61479000000003</v>
      </c>
      <c r="K392">
        <f t="shared" si="19"/>
        <v>443.4863866666667</v>
      </c>
      <c r="L392" s="54">
        <v>340.59530999999998</v>
      </c>
      <c r="M392" s="67">
        <f t="shared" si="20"/>
        <v>-102.89107666666672</v>
      </c>
    </row>
    <row r="393" spans="2:13" hidden="1" x14ac:dyDescent="0.25">
      <c r="B393" t="str">
        <f t="shared" si="18"/>
        <v>Chioggia BuildingEPC-EEE-C638-01</v>
      </c>
      <c r="C393" s="50" t="s">
        <v>958</v>
      </c>
      <c r="D393" s="51" t="s">
        <v>887</v>
      </c>
      <c r="E393" s="50" t="s">
        <v>959</v>
      </c>
      <c r="F393" s="50" t="s">
        <v>1533</v>
      </c>
      <c r="G393" s="50" t="s">
        <v>1533</v>
      </c>
      <c r="H393" s="57" t="s">
        <v>1592</v>
      </c>
      <c r="I393" s="50" t="s">
        <v>1256</v>
      </c>
      <c r="J393" s="18">
        <f>+_xlfn.XLOOKUP(B393,Sheet3!B:B,Sheet3!J:J,0)</f>
        <v>40.78998</v>
      </c>
      <c r="K393">
        <f t="shared" si="19"/>
        <v>54.38664</v>
      </c>
      <c r="L393" s="54">
        <v>13.59666</v>
      </c>
      <c r="M393" s="67">
        <f t="shared" si="20"/>
        <v>-40.78998</v>
      </c>
    </row>
    <row r="394" spans="2:13" hidden="1" x14ac:dyDescent="0.25">
      <c r="B394" t="str">
        <f t="shared" si="18"/>
        <v>ChioggiaEPC-IPU-C638-01</v>
      </c>
      <c r="C394" s="50" t="s">
        <v>958</v>
      </c>
      <c r="D394" s="51" t="s">
        <v>887</v>
      </c>
      <c r="E394" s="50" t="s">
        <v>959</v>
      </c>
      <c r="F394" s="50" t="s">
        <v>1533</v>
      </c>
      <c r="G394" s="50" t="s">
        <v>1533</v>
      </c>
      <c r="H394" s="57" t="s">
        <v>1593</v>
      </c>
      <c r="I394" s="50" t="s">
        <v>1258</v>
      </c>
      <c r="J394" s="18">
        <f>+_xlfn.XLOOKUP(B394,Sheet3!B:B,Sheet3!J:J,0)</f>
        <v>3.036</v>
      </c>
      <c r="K394">
        <f t="shared" si="19"/>
        <v>4.048</v>
      </c>
      <c r="L394" s="54">
        <v>3.036</v>
      </c>
      <c r="M394" s="67">
        <f t="shared" si="20"/>
        <v>-1.012</v>
      </c>
    </row>
    <row r="395" spans="2:13" hidden="1" x14ac:dyDescent="0.25">
      <c r="B395" t="str">
        <f t="shared" si="18"/>
        <v>TriesteEPC-IPU-L424-01</v>
      </c>
      <c r="C395" s="50" t="s">
        <v>958</v>
      </c>
      <c r="D395" s="51" t="s">
        <v>887</v>
      </c>
      <c r="E395" s="50" t="s">
        <v>959</v>
      </c>
      <c r="F395" s="50" t="s">
        <v>1533</v>
      </c>
      <c r="G395" s="50" t="s">
        <v>1533</v>
      </c>
      <c r="H395" s="57" t="s">
        <v>1594</v>
      </c>
      <c r="I395" s="50" t="s">
        <v>1260</v>
      </c>
      <c r="J395" s="18">
        <f>+_xlfn.XLOOKUP(B395,Sheet3!B:B,Sheet3!J:J,0)</f>
        <v>62.500019999999999</v>
      </c>
      <c r="K395">
        <f t="shared" si="19"/>
        <v>83.333359999999999</v>
      </c>
      <c r="L395" s="54">
        <v>83.333359999999999</v>
      </c>
      <c r="M395" s="67">
        <f t="shared" si="20"/>
        <v>0</v>
      </c>
    </row>
    <row r="396" spans="2:13" hidden="1" x14ac:dyDescent="0.25">
      <c r="B396" t="str">
        <f t="shared" si="18"/>
        <v>BaronissiEPC-IPU-A674-01</v>
      </c>
      <c r="C396" s="50" t="s">
        <v>826</v>
      </c>
      <c r="D396" s="51" t="s">
        <v>887</v>
      </c>
      <c r="E396" s="50" t="s">
        <v>910</v>
      </c>
      <c r="F396" s="50" t="s">
        <v>1533</v>
      </c>
      <c r="G396" s="50" t="s">
        <v>1533</v>
      </c>
      <c r="H396" s="57" t="s">
        <v>1595</v>
      </c>
      <c r="I396" s="50" t="s">
        <v>1345</v>
      </c>
      <c r="J396" s="18">
        <f>+_xlfn.XLOOKUP(B396,Sheet3!B:B,Sheet3!J:J,0)</f>
        <v>0</v>
      </c>
      <c r="K396">
        <f t="shared" si="19"/>
        <v>0</v>
      </c>
      <c r="L396" s="54">
        <v>0</v>
      </c>
      <c r="M396" s="67">
        <f t="shared" si="20"/>
        <v>0</v>
      </c>
    </row>
    <row r="397" spans="2:13" hidden="1" x14ac:dyDescent="0.25">
      <c r="B397" t="str">
        <f t="shared" si="18"/>
        <v>BiccariEPC-IPU-A854-01</v>
      </c>
      <c r="C397" s="50" t="s">
        <v>826</v>
      </c>
      <c r="D397" s="51" t="s">
        <v>887</v>
      </c>
      <c r="E397" s="50" t="s">
        <v>910</v>
      </c>
      <c r="F397" s="50" t="s">
        <v>1533</v>
      </c>
      <c r="G397" s="50" t="s">
        <v>1533</v>
      </c>
      <c r="H397" s="57" t="s">
        <v>1596</v>
      </c>
      <c r="I397" s="50" t="s">
        <v>1349</v>
      </c>
      <c r="J397" s="18">
        <f>+_xlfn.XLOOKUP(B397,Sheet3!B:B,Sheet3!J:J,0)</f>
        <v>0</v>
      </c>
      <c r="K397">
        <f t="shared" si="19"/>
        <v>0</v>
      </c>
      <c r="L397" s="54">
        <v>0</v>
      </c>
      <c r="M397" s="67">
        <f t="shared" si="20"/>
        <v>0</v>
      </c>
    </row>
    <row r="398" spans="2:13" hidden="1" x14ac:dyDescent="0.25">
      <c r="B398" t="str">
        <f t="shared" si="18"/>
        <v>Santa Maria del CedroEPC-IPU-C717-01</v>
      </c>
      <c r="C398" s="50" t="s">
        <v>826</v>
      </c>
      <c r="D398" s="51" t="s">
        <v>887</v>
      </c>
      <c r="E398" s="50" t="s">
        <v>910</v>
      </c>
      <c r="F398" s="50" t="s">
        <v>1533</v>
      </c>
      <c r="G398" s="50" t="s">
        <v>1533</v>
      </c>
      <c r="H398" s="57" t="s">
        <v>1597</v>
      </c>
      <c r="I398" s="50" t="s">
        <v>1373</v>
      </c>
      <c r="J398" s="18">
        <f>+_xlfn.XLOOKUP(B398,Sheet3!B:B,Sheet3!J:J,0)</f>
        <v>0</v>
      </c>
      <c r="K398">
        <f t="shared" si="19"/>
        <v>0</v>
      </c>
      <c r="L398" s="54">
        <v>0</v>
      </c>
      <c r="M398" s="67">
        <f t="shared" si="20"/>
        <v>0</v>
      </c>
    </row>
    <row r="399" spans="2:13" hidden="1" x14ac:dyDescent="0.25">
      <c r="B399" t="str">
        <f t="shared" si="18"/>
        <v>Fagnano CastelloEPC-IPU-D464-01</v>
      </c>
      <c r="C399" s="50" t="s">
        <v>826</v>
      </c>
      <c r="D399" s="51" t="s">
        <v>887</v>
      </c>
      <c r="E399" s="50" t="s">
        <v>910</v>
      </c>
      <c r="F399" s="50" t="s">
        <v>1533</v>
      </c>
      <c r="G399" s="50" t="s">
        <v>1533</v>
      </c>
      <c r="H399" s="57" t="s">
        <v>1598</v>
      </c>
      <c r="I399" s="50" t="s">
        <v>1381</v>
      </c>
      <c r="J399" s="18">
        <f>+_xlfn.XLOOKUP(B399,Sheet3!B:B,Sheet3!J:J,0)</f>
        <v>0</v>
      </c>
      <c r="K399">
        <f t="shared" si="19"/>
        <v>0</v>
      </c>
      <c r="L399" s="54">
        <v>0</v>
      </c>
      <c r="M399" s="67">
        <f t="shared" si="20"/>
        <v>0</v>
      </c>
    </row>
    <row r="400" spans="2:13" hidden="1" x14ac:dyDescent="0.25">
      <c r="B400" t="str">
        <f t="shared" si="18"/>
        <v>LuceraEPC-IPU-E716-01</v>
      </c>
      <c r="C400" s="50" t="s">
        <v>826</v>
      </c>
      <c r="D400" s="51" t="s">
        <v>887</v>
      </c>
      <c r="E400" s="50" t="s">
        <v>910</v>
      </c>
      <c r="F400" s="50" t="s">
        <v>1533</v>
      </c>
      <c r="G400" s="50" t="s">
        <v>1533</v>
      </c>
      <c r="H400" s="57" t="s">
        <v>1599</v>
      </c>
      <c r="I400" s="50" t="s">
        <v>1399</v>
      </c>
      <c r="J400" s="18">
        <f>+_xlfn.XLOOKUP(B400,Sheet3!B:B,Sheet3!J:J,0)</f>
        <v>0</v>
      </c>
      <c r="K400">
        <f t="shared" si="19"/>
        <v>0</v>
      </c>
      <c r="L400" s="54">
        <v>0</v>
      </c>
      <c r="M400" s="67">
        <f t="shared" si="20"/>
        <v>0</v>
      </c>
    </row>
    <row r="401" spans="2:13" hidden="1" x14ac:dyDescent="0.25">
      <c r="B401" t="str">
        <f t="shared" si="18"/>
        <v>Manduria (Pj Elena) PLEPC-IPU-E882-01</v>
      </c>
      <c r="C401" s="50" t="s">
        <v>826</v>
      </c>
      <c r="D401" s="51" t="s">
        <v>887</v>
      </c>
      <c r="E401" s="50" t="s">
        <v>910</v>
      </c>
      <c r="F401" s="50" t="s">
        <v>1533</v>
      </c>
      <c r="G401" s="50" t="s">
        <v>1533</v>
      </c>
      <c r="H401" s="57" t="s">
        <v>1600</v>
      </c>
      <c r="I401" s="50" t="s">
        <v>1401</v>
      </c>
      <c r="J401" s="18">
        <f>+_xlfn.XLOOKUP(B401,Sheet3!B:B,Sheet3!J:J,0)</f>
        <v>0</v>
      </c>
      <c r="K401">
        <f t="shared" si="19"/>
        <v>0</v>
      </c>
      <c r="L401" s="54">
        <v>0</v>
      </c>
      <c r="M401" s="67">
        <f t="shared" si="20"/>
        <v>0</v>
      </c>
    </row>
    <row r="402" spans="2:13" hidden="1" x14ac:dyDescent="0.25">
      <c r="B402" t="str">
        <f t="shared" si="18"/>
        <v>PadulaEPC-IPU-G226-01</v>
      </c>
      <c r="C402" s="50" t="s">
        <v>826</v>
      </c>
      <c r="D402" s="51" t="s">
        <v>887</v>
      </c>
      <c r="E402" s="50" t="s">
        <v>910</v>
      </c>
      <c r="F402" s="50" t="s">
        <v>1533</v>
      </c>
      <c r="G402" s="50" t="s">
        <v>1533</v>
      </c>
      <c r="H402" s="57" t="s">
        <v>1601</v>
      </c>
      <c r="I402" s="50" t="s">
        <v>1421</v>
      </c>
      <c r="J402" s="18">
        <f>+_xlfn.XLOOKUP(B402,Sheet3!B:B,Sheet3!J:J,0)</f>
        <v>0</v>
      </c>
      <c r="K402">
        <f t="shared" si="19"/>
        <v>0</v>
      </c>
      <c r="L402" s="54">
        <v>0</v>
      </c>
      <c r="M402" s="67">
        <f t="shared" si="20"/>
        <v>0</v>
      </c>
    </row>
    <row r="403" spans="2:13" hidden="1" x14ac:dyDescent="0.25">
      <c r="B403" t="str">
        <f t="shared" si="18"/>
        <v>PoggiardoEPC-IPU-G751-01</v>
      </c>
      <c r="C403" s="50" t="s">
        <v>826</v>
      </c>
      <c r="D403" s="51" t="s">
        <v>887</v>
      </c>
      <c r="E403" s="50" t="s">
        <v>910</v>
      </c>
      <c r="F403" s="50" t="s">
        <v>1533</v>
      </c>
      <c r="G403" s="50" t="s">
        <v>1533</v>
      </c>
      <c r="H403" s="57" t="s">
        <v>1602</v>
      </c>
      <c r="I403" s="50" t="s">
        <v>1433</v>
      </c>
      <c r="J403" s="18">
        <f>+_xlfn.XLOOKUP(B403,Sheet3!B:B,Sheet3!J:J,0)</f>
        <v>0</v>
      </c>
      <c r="K403">
        <f t="shared" si="19"/>
        <v>0</v>
      </c>
      <c r="L403" s="54">
        <v>0</v>
      </c>
      <c r="M403" s="67">
        <f t="shared" si="20"/>
        <v>0</v>
      </c>
    </row>
    <row r="404" spans="2:13" hidden="1" x14ac:dyDescent="0.25">
      <c r="B404" t="str">
        <f t="shared" si="18"/>
        <v>PomaricoEPC-IPU-G806-01</v>
      </c>
      <c r="C404" s="50" t="s">
        <v>826</v>
      </c>
      <c r="D404" s="51" t="s">
        <v>887</v>
      </c>
      <c r="E404" s="50" t="s">
        <v>910</v>
      </c>
      <c r="F404" s="50" t="s">
        <v>1533</v>
      </c>
      <c r="G404" s="50" t="s">
        <v>1533</v>
      </c>
      <c r="H404" s="57" t="s">
        <v>1603</v>
      </c>
      <c r="I404" s="50" t="s">
        <v>1437</v>
      </c>
      <c r="J404" s="18">
        <f>+_xlfn.XLOOKUP(B404,Sheet3!B:B,Sheet3!J:J,0)</f>
        <v>0</v>
      </c>
      <c r="K404">
        <f t="shared" si="19"/>
        <v>0</v>
      </c>
      <c r="L404" s="54">
        <v>0</v>
      </c>
      <c r="M404" s="67">
        <f t="shared" si="20"/>
        <v>0</v>
      </c>
    </row>
    <row r="405" spans="2:13" hidden="1" x14ac:dyDescent="0.25">
      <c r="B405" t="str">
        <f t="shared" si="18"/>
        <v>RuotiEPC-IPU-H641-01</v>
      </c>
      <c r="C405" s="50" t="s">
        <v>826</v>
      </c>
      <c r="D405" s="51" t="s">
        <v>887</v>
      </c>
      <c r="E405" s="50" t="s">
        <v>910</v>
      </c>
      <c r="F405" s="50" t="s">
        <v>1533</v>
      </c>
      <c r="G405" s="50" t="s">
        <v>1533</v>
      </c>
      <c r="H405" s="57" t="s">
        <v>1604</v>
      </c>
      <c r="I405" s="50" t="s">
        <v>1443</v>
      </c>
      <c r="J405" s="18">
        <f>+_xlfn.XLOOKUP(B405,Sheet3!B:B,Sheet3!J:J,0)</f>
        <v>0</v>
      </c>
      <c r="K405">
        <f t="shared" si="19"/>
        <v>0</v>
      </c>
      <c r="L405" s="54">
        <v>0</v>
      </c>
      <c r="M405" s="67">
        <f t="shared" si="20"/>
        <v>0</v>
      </c>
    </row>
    <row r="406" spans="2:13" hidden="1" x14ac:dyDescent="0.25">
      <c r="B406" t="str">
        <f t="shared" si="18"/>
        <v>JesoloEPC-IPU-C388-01</v>
      </c>
      <c r="C406" s="50" t="s">
        <v>826</v>
      </c>
      <c r="D406" s="51" t="s">
        <v>1488</v>
      </c>
      <c r="E406" s="50" t="s">
        <v>959</v>
      </c>
      <c r="F406" s="50" t="s">
        <v>1533</v>
      </c>
      <c r="G406" s="50" t="s">
        <v>1533</v>
      </c>
      <c r="H406" s="57" t="s">
        <v>1605</v>
      </c>
      <c r="I406" s="50" t="s">
        <v>1490</v>
      </c>
      <c r="J406" s="18">
        <f>+_xlfn.XLOOKUP(B406,Sheet3!B:B,Sheet3!J:J,0)</f>
        <v>0</v>
      </c>
      <c r="K406">
        <f t="shared" si="19"/>
        <v>0</v>
      </c>
      <c r="L406" s="54">
        <v>0</v>
      </c>
      <c r="M406" s="67">
        <f t="shared" si="20"/>
        <v>0</v>
      </c>
    </row>
    <row r="407" spans="2:13" hidden="1" x14ac:dyDescent="0.25">
      <c r="B407" t="str">
        <f t="shared" si="18"/>
        <v>Cogollo del CengioEPC-IPU-C824-01</v>
      </c>
      <c r="C407" s="50" t="s">
        <v>826</v>
      </c>
      <c r="D407" s="51" t="s">
        <v>1493</v>
      </c>
      <c r="E407" s="50" t="s">
        <v>959</v>
      </c>
      <c r="F407" s="50" t="s">
        <v>1533</v>
      </c>
      <c r="G407" s="50" t="s">
        <v>1533</v>
      </c>
      <c r="H407" s="57" t="s">
        <v>1606</v>
      </c>
      <c r="I407" s="50" t="s">
        <v>1495</v>
      </c>
      <c r="J407" s="18">
        <f>+_xlfn.XLOOKUP(B407,Sheet3!B:B,Sheet3!J:J,0)</f>
        <v>0</v>
      </c>
      <c r="K407">
        <f t="shared" si="19"/>
        <v>0</v>
      </c>
      <c r="L407" s="54">
        <v>0</v>
      </c>
      <c r="M407" s="67">
        <f t="shared" si="20"/>
        <v>0</v>
      </c>
    </row>
    <row r="408" spans="2:13" hidden="1" x14ac:dyDescent="0.25">
      <c r="B408" t="str">
        <f t="shared" si="18"/>
        <v>Concordia sulla SecchiaEPC-IPU-C951-01</v>
      </c>
      <c r="C408" s="50" t="s">
        <v>826</v>
      </c>
      <c r="D408" s="51" t="s">
        <v>1488</v>
      </c>
      <c r="E408" s="50" t="s">
        <v>896</v>
      </c>
      <c r="F408" s="50" t="s">
        <v>1533</v>
      </c>
      <c r="G408" s="50" t="s">
        <v>1533</v>
      </c>
      <c r="H408" s="57" t="s">
        <v>1607</v>
      </c>
      <c r="I408" s="50" t="s">
        <v>1497</v>
      </c>
      <c r="J408" s="18">
        <f>+_xlfn.XLOOKUP(B408,Sheet3!B:B,Sheet3!J:J,0)</f>
        <v>0</v>
      </c>
      <c r="K408">
        <f t="shared" si="19"/>
        <v>0</v>
      </c>
      <c r="L408" s="54">
        <v>0</v>
      </c>
      <c r="M408" s="67">
        <f t="shared" si="20"/>
        <v>0</v>
      </c>
    </row>
    <row r="409" spans="2:13" hidden="1" x14ac:dyDescent="0.25">
      <c r="B409" t="str">
        <f t="shared" si="18"/>
        <v>CrosiaEPC-IPU-D184-01</v>
      </c>
      <c r="C409" s="50" t="s">
        <v>826</v>
      </c>
      <c r="D409" s="51" t="s">
        <v>1488</v>
      </c>
      <c r="E409" s="50" t="s">
        <v>910</v>
      </c>
      <c r="F409" s="50" t="s">
        <v>1533</v>
      </c>
      <c r="G409" s="50" t="s">
        <v>1533</v>
      </c>
      <c r="H409" s="57" t="s">
        <v>1608</v>
      </c>
      <c r="I409" s="50" t="s">
        <v>1499</v>
      </c>
      <c r="J409" s="18">
        <f>+_xlfn.XLOOKUP(B409,Sheet3!B:B,Sheet3!J:J,0)</f>
        <v>0</v>
      </c>
      <c r="K409">
        <f t="shared" si="19"/>
        <v>0</v>
      </c>
      <c r="L409" s="54">
        <v>0</v>
      </c>
      <c r="M409" s="67">
        <f t="shared" si="20"/>
        <v>0</v>
      </c>
    </row>
    <row r="410" spans="2:13" hidden="1" x14ac:dyDescent="0.25">
      <c r="B410" t="str">
        <f t="shared" si="18"/>
        <v>EracleaEPC-IPU-D415-01</v>
      </c>
      <c r="C410" s="50" t="s">
        <v>826</v>
      </c>
      <c r="D410" s="51" t="s">
        <v>1488</v>
      </c>
      <c r="E410" s="50" t="s">
        <v>959</v>
      </c>
      <c r="F410" s="50" t="s">
        <v>1533</v>
      </c>
      <c r="G410" s="50" t="s">
        <v>1533</v>
      </c>
      <c r="H410" s="57" t="s">
        <v>1609</v>
      </c>
      <c r="I410" s="50" t="s">
        <v>1501</v>
      </c>
      <c r="J410" s="18">
        <f>+_xlfn.XLOOKUP(B410,Sheet3!B:B,Sheet3!J:J,0)</f>
        <v>0</v>
      </c>
      <c r="K410">
        <f t="shared" si="19"/>
        <v>0</v>
      </c>
      <c r="L410" s="54">
        <v>0</v>
      </c>
      <c r="M410" s="67">
        <f t="shared" si="20"/>
        <v>0</v>
      </c>
    </row>
    <row r="411" spans="2:13" hidden="1" x14ac:dyDescent="0.25">
      <c r="B411" t="str">
        <f t="shared" si="18"/>
        <v>Fossalta di PiaveEPC-IPU-D740-01</v>
      </c>
      <c r="C411" s="50" t="s">
        <v>826</v>
      </c>
      <c r="D411" s="51" t="s">
        <v>1488</v>
      </c>
      <c r="E411" s="50" t="s">
        <v>959</v>
      </c>
      <c r="F411" s="50" t="s">
        <v>1533</v>
      </c>
      <c r="G411" s="50" t="s">
        <v>1533</v>
      </c>
      <c r="H411" s="57" t="s">
        <v>1610</v>
      </c>
      <c r="I411" s="50" t="s">
        <v>1503</v>
      </c>
      <c r="J411" s="18">
        <f>+_xlfn.XLOOKUP(B411,Sheet3!B:B,Sheet3!J:J,0)</f>
        <v>0</v>
      </c>
      <c r="K411">
        <f t="shared" si="19"/>
        <v>0</v>
      </c>
      <c r="L411" s="54">
        <v>0</v>
      </c>
      <c r="M411" s="67">
        <f t="shared" si="20"/>
        <v>0</v>
      </c>
    </row>
    <row r="412" spans="2:13" hidden="1" x14ac:dyDescent="0.25">
      <c r="B412" t="str">
        <f t="shared" si="18"/>
        <v>MeoloEPC-IPU-F130-01</v>
      </c>
      <c r="C412" s="50" t="s">
        <v>826</v>
      </c>
      <c r="D412" s="51" t="s">
        <v>1488</v>
      </c>
      <c r="E412" s="50" t="s">
        <v>959</v>
      </c>
      <c r="F412" s="50" t="s">
        <v>1533</v>
      </c>
      <c r="G412" s="50" t="s">
        <v>1533</v>
      </c>
      <c r="H412" s="57" t="s">
        <v>1611</v>
      </c>
      <c r="I412" s="50" t="s">
        <v>1505</v>
      </c>
      <c r="J412" s="18">
        <f>+_xlfn.XLOOKUP(B412,Sheet3!B:B,Sheet3!J:J,0)</f>
        <v>0</v>
      </c>
      <c r="K412">
        <f t="shared" si="19"/>
        <v>0</v>
      </c>
      <c r="L412" s="54">
        <v>0</v>
      </c>
      <c r="M412" s="67">
        <f t="shared" si="20"/>
        <v>0</v>
      </c>
    </row>
    <row r="413" spans="2:13" hidden="1" x14ac:dyDescent="0.25">
      <c r="B413" t="str">
        <f t="shared" si="18"/>
        <v>Musile di PiaveEPC-IPU-F826-01</v>
      </c>
      <c r="C413" s="50" t="s">
        <v>826</v>
      </c>
      <c r="D413" s="51" t="s">
        <v>1488</v>
      </c>
      <c r="E413" s="50" t="s">
        <v>959</v>
      </c>
      <c r="F413" s="50" t="s">
        <v>1533</v>
      </c>
      <c r="G413" s="50" t="s">
        <v>1533</v>
      </c>
      <c r="H413" s="57" t="s">
        <v>1612</v>
      </c>
      <c r="I413" s="50" t="s">
        <v>1507</v>
      </c>
      <c r="J413" s="18">
        <f>+_xlfn.XLOOKUP(B413,Sheet3!B:B,Sheet3!J:J,0)</f>
        <v>0</v>
      </c>
      <c r="K413">
        <f t="shared" si="19"/>
        <v>0</v>
      </c>
      <c r="L413" s="54">
        <v>0</v>
      </c>
      <c r="M413" s="67">
        <f t="shared" si="20"/>
        <v>0</v>
      </c>
    </row>
    <row r="414" spans="2:13" hidden="1" x14ac:dyDescent="0.25">
      <c r="B414" t="str">
        <f t="shared" si="18"/>
        <v>PianezzeEPC-IPU-G560-01</v>
      </c>
      <c r="C414" s="50" t="s">
        <v>826</v>
      </c>
      <c r="D414" s="51" t="s">
        <v>1493</v>
      </c>
      <c r="E414" s="50" t="s">
        <v>959</v>
      </c>
      <c r="F414" s="50" t="s">
        <v>1533</v>
      </c>
      <c r="G414" s="50" t="s">
        <v>1533</v>
      </c>
      <c r="H414" s="57" t="s">
        <v>1613</v>
      </c>
      <c r="I414" s="50" t="s">
        <v>1511</v>
      </c>
      <c r="J414" s="18">
        <f>+_xlfn.XLOOKUP(B414,Sheet3!B:B,Sheet3!J:J,0)</f>
        <v>0</v>
      </c>
      <c r="K414">
        <f t="shared" si="19"/>
        <v>0</v>
      </c>
      <c r="L414" s="54">
        <v>0</v>
      </c>
      <c r="M414" s="67">
        <f t="shared" si="20"/>
        <v>0</v>
      </c>
    </row>
    <row r="415" spans="2:13" hidden="1" x14ac:dyDescent="0.25">
      <c r="B415" t="str">
        <f t="shared" si="18"/>
        <v>Piazzola sul BrentaEPC-IPU-G587-01</v>
      </c>
      <c r="C415" s="50" t="s">
        <v>826</v>
      </c>
      <c r="D415" s="51" t="s">
        <v>1493</v>
      </c>
      <c r="E415" s="50" t="s">
        <v>959</v>
      </c>
      <c r="F415" s="50" t="s">
        <v>1533</v>
      </c>
      <c r="G415" s="50" t="s">
        <v>1533</v>
      </c>
      <c r="H415" s="57" t="s">
        <v>1614</v>
      </c>
      <c r="I415" s="50" t="s">
        <v>1513</v>
      </c>
      <c r="J415" s="18">
        <f>+_xlfn.XLOOKUP(B415,Sheet3!B:B,Sheet3!J:J,0)</f>
        <v>0</v>
      </c>
      <c r="K415">
        <f t="shared" si="19"/>
        <v>0</v>
      </c>
      <c r="L415" s="54">
        <v>0</v>
      </c>
      <c r="M415" s="67">
        <f t="shared" si="20"/>
        <v>0</v>
      </c>
    </row>
    <row r="416" spans="2:13" hidden="1" x14ac:dyDescent="0.25">
      <c r="B416" t="str">
        <f t="shared" si="18"/>
        <v>PulsanoEPC-IPU-H090-01</v>
      </c>
      <c r="C416" s="50" t="s">
        <v>826</v>
      </c>
      <c r="D416" s="51" t="s">
        <v>1514</v>
      </c>
      <c r="E416" s="50" t="s">
        <v>910</v>
      </c>
      <c r="F416" s="50" t="s">
        <v>1533</v>
      </c>
      <c r="G416" s="50" t="s">
        <v>1533</v>
      </c>
      <c r="H416" s="57" t="s">
        <v>1615</v>
      </c>
      <c r="I416" s="50" t="s">
        <v>1516</v>
      </c>
      <c r="J416" s="18">
        <f>+_xlfn.XLOOKUP(B416,Sheet3!B:B,Sheet3!J:J,0)</f>
        <v>0</v>
      </c>
      <c r="K416">
        <f t="shared" si="19"/>
        <v>0</v>
      </c>
      <c r="L416" s="54">
        <v>0</v>
      </c>
      <c r="M416" s="67">
        <f t="shared" si="20"/>
        <v>0</v>
      </c>
    </row>
    <row r="417" spans="2:13" hidden="1" x14ac:dyDescent="0.25">
      <c r="B417" t="str">
        <f t="shared" si="18"/>
        <v>Rossano VenetoEPC-IPU-H580-01</v>
      </c>
      <c r="C417" s="50" t="s">
        <v>826</v>
      </c>
      <c r="D417" s="51" t="s">
        <v>1493</v>
      </c>
      <c r="E417" s="50" t="s">
        <v>959</v>
      </c>
      <c r="F417" s="50" t="s">
        <v>1533</v>
      </c>
      <c r="G417" s="50" t="s">
        <v>1533</v>
      </c>
      <c r="H417" s="57" t="s">
        <v>1616</v>
      </c>
      <c r="I417" s="50" t="s">
        <v>1518</v>
      </c>
      <c r="J417" s="18">
        <f>+_xlfn.XLOOKUP(B417,Sheet3!B:B,Sheet3!J:J,0)</f>
        <v>0</v>
      </c>
      <c r="K417">
        <f t="shared" si="19"/>
        <v>0</v>
      </c>
      <c r="L417" s="54">
        <v>0</v>
      </c>
      <c r="M417" s="67">
        <f t="shared" si="20"/>
        <v>0</v>
      </c>
    </row>
    <row r="418" spans="2:13" hidden="1" x14ac:dyDescent="0.25">
      <c r="B418" t="str">
        <f t="shared" si="18"/>
        <v>San Donà di PiaveEPC-IPU-H823-01</v>
      </c>
      <c r="C418" s="50" t="s">
        <v>826</v>
      </c>
      <c r="D418" s="51" t="s">
        <v>1488</v>
      </c>
      <c r="E418" s="50" t="s">
        <v>959</v>
      </c>
      <c r="F418" s="50" t="s">
        <v>1533</v>
      </c>
      <c r="G418" s="50" t="s">
        <v>1533</v>
      </c>
      <c r="H418" s="57" t="s">
        <v>1617</v>
      </c>
      <c r="I418" s="50" t="s">
        <v>1520</v>
      </c>
      <c r="J418" s="18">
        <f>+_xlfn.XLOOKUP(B418,Sheet3!B:B,Sheet3!J:J,0)</f>
        <v>0</v>
      </c>
      <c r="K418">
        <f t="shared" si="19"/>
        <v>0</v>
      </c>
      <c r="L418" s="54">
        <v>0</v>
      </c>
      <c r="M418" s="67">
        <f t="shared" si="20"/>
        <v>0</v>
      </c>
    </row>
    <row r="419" spans="2:13" hidden="1" x14ac:dyDescent="0.25">
      <c r="B419" t="str">
        <f t="shared" si="18"/>
        <v>Spezzano AlbaneseEPC-IPU-I895-01</v>
      </c>
      <c r="C419" s="50" t="s">
        <v>826</v>
      </c>
      <c r="D419" s="51" t="s">
        <v>1488</v>
      </c>
      <c r="E419" s="50" t="s">
        <v>910</v>
      </c>
      <c r="F419" s="50" t="s">
        <v>1533</v>
      </c>
      <c r="G419" s="50" t="s">
        <v>1533</v>
      </c>
      <c r="H419" s="57" t="s">
        <v>1618</v>
      </c>
      <c r="I419" s="50" t="s">
        <v>1522</v>
      </c>
      <c r="J419" s="18">
        <f>+_xlfn.XLOOKUP(B419,Sheet3!B:B,Sheet3!J:J,0)</f>
        <v>0</v>
      </c>
      <c r="K419">
        <f t="shared" si="19"/>
        <v>0</v>
      </c>
      <c r="L419" s="54">
        <v>0</v>
      </c>
      <c r="M419" s="67">
        <f t="shared" si="20"/>
        <v>0</v>
      </c>
    </row>
    <row r="420" spans="2:13" hidden="1" x14ac:dyDescent="0.25">
      <c r="B420" t="str">
        <f t="shared" si="18"/>
        <v>ColceresaEPC-IPU-M426-01</v>
      </c>
      <c r="C420" s="50" t="s">
        <v>826</v>
      </c>
      <c r="D420" s="51" t="s">
        <v>1493</v>
      </c>
      <c r="E420" s="50" t="s">
        <v>959</v>
      </c>
      <c r="F420" s="50" t="s">
        <v>1533</v>
      </c>
      <c r="G420" s="50" t="s">
        <v>1533</v>
      </c>
      <c r="H420" s="57" t="s">
        <v>1619</v>
      </c>
      <c r="I420" s="50" t="s">
        <v>1524</v>
      </c>
      <c r="J420" s="18">
        <f>+_xlfn.XLOOKUP(B420,Sheet3!B:B,Sheet3!J:J,0)</f>
        <v>0</v>
      </c>
      <c r="K420">
        <f t="shared" si="19"/>
        <v>0</v>
      </c>
      <c r="L420" s="54">
        <v>0</v>
      </c>
      <c r="M420" s="67">
        <f t="shared" si="20"/>
        <v>0</v>
      </c>
    </row>
    <row r="421" spans="2:13" hidden="1" x14ac:dyDescent="0.25">
      <c r="B421" t="str">
        <f t="shared" si="18"/>
        <v>Belvedere Marittimo</v>
      </c>
      <c r="C421" s="50" t="s">
        <v>826</v>
      </c>
      <c r="D421" s="51" t="s">
        <v>928</v>
      </c>
      <c r="E421" s="52" t="s">
        <v>910</v>
      </c>
      <c r="F421" s="50" t="s">
        <v>1533</v>
      </c>
      <c r="G421" s="50" t="s">
        <v>1533</v>
      </c>
      <c r="H421" s="53"/>
      <c r="I421" s="50" t="s">
        <v>929</v>
      </c>
      <c r="J421" s="18">
        <f>+_xlfn.XLOOKUP(B421,Sheet3!B:B,Sheet3!J:J,0)</f>
        <v>0</v>
      </c>
      <c r="K421">
        <f t="shared" si="19"/>
        <v>0</v>
      </c>
      <c r="L421" s="54">
        <v>0</v>
      </c>
      <c r="M421" s="67">
        <f t="shared" si="20"/>
        <v>0</v>
      </c>
    </row>
    <row r="422" spans="2:13" hidden="1" x14ac:dyDescent="0.25">
      <c r="B422" t="str">
        <f t="shared" si="18"/>
        <v>Roccamonfina</v>
      </c>
      <c r="C422" s="50" t="s">
        <v>826</v>
      </c>
      <c r="D422" s="51" t="s">
        <v>928</v>
      </c>
      <c r="E422" s="52" t="s">
        <v>910</v>
      </c>
      <c r="F422" s="50" t="s">
        <v>1533</v>
      </c>
      <c r="G422" s="50" t="s">
        <v>1533</v>
      </c>
      <c r="H422" s="53"/>
      <c r="I422" s="50" t="s">
        <v>930</v>
      </c>
      <c r="J422" s="18">
        <f>+_xlfn.XLOOKUP(B422,Sheet3!B:B,Sheet3!J:J,0)</f>
        <v>0</v>
      </c>
      <c r="K422">
        <f t="shared" si="19"/>
        <v>0</v>
      </c>
      <c r="L422" s="54">
        <v>0</v>
      </c>
      <c r="M422" s="67">
        <f t="shared" si="20"/>
        <v>0</v>
      </c>
    </row>
    <row r="423" spans="2:13" hidden="1" x14ac:dyDescent="0.25">
      <c r="B423" t="str">
        <f t="shared" si="18"/>
        <v>Sesto Campano</v>
      </c>
      <c r="C423" s="50" t="s">
        <v>826</v>
      </c>
      <c r="D423" s="51" t="s">
        <v>928</v>
      </c>
      <c r="E423" s="52" t="s">
        <v>896</v>
      </c>
      <c r="F423" s="50" t="s">
        <v>1533</v>
      </c>
      <c r="G423" s="50" t="s">
        <v>1533</v>
      </c>
      <c r="H423" s="53"/>
      <c r="I423" s="50" t="s">
        <v>931</v>
      </c>
      <c r="J423" s="18">
        <f>+_xlfn.XLOOKUP(B423,Sheet3!B:B,Sheet3!J:J,0)</f>
        <v>0</v>
      </c>
      <c r="K423">
        <f t="shared" si="19"/>
        <v>0</v>
      </c>
      <c r="L423" s="54">
        <v>0</v>
      </c>
      <c r="M423" s="67">
        <f t="shared" si="20"/>
        <v>0</v>
      </c>
    </row>
    <row r="424" spans="2:13" hidden="1" x14ac:dyDescent="0.25">
      <c r="B424" t="str">
        <f t="shared" si="18"/>
        <v>San Mango Piemonte</v>
      </c>
      <c r="C424" s="50" t="s">
        <v>826</v>
      </c>
      <c r="D424" s="51" t="s">
        <v>928</v>
      </c>
      <c r="E424" s="52" t="s">
        <v>910</v>
      </c>
      <c r="F424" s="50" t="s">
        <v>1533</v>
      </c>
      <c r="G424" s="50" t="s">
        <v>1533</v>
      </c>
      <c r="H424" s="53"/>
      <c r="I424" s="50" t="s">
        <v>970</v>
      </c>
      <c r="J424" s="18">
        <f>+_xlfn.XLOOKUP(B424,Sheet3!B:B,Sheet3!J:J,0)</f>
        <v>0</v>
      </c>
      <c r="K424">
        <f t="shared" si="19"/>
        <v>0</v>
      </c>
      <c r="L424" s="54">
        <v>0</v>
      </c>
      <c r="M424" s="67">
        <f t="shared" si="20"/>
        <v>0</v>
      </c>
    </row>
    <row r="425" spans="2:13" hidden="1" x14ac:dyDescent="0.25">
      <c r="B425" t="str">
        <f t="shared" si="18"/>
        <v>Romagnano Sesia</v>
      </c>
      <c r="C425" s="50" t="s">
        <v>826</v>
      </c>
      <c r="D425" s="51" t="s">
        <v>932</v>
      </c>
      <c r="E425" s="52" t="s">
        <v>888</v>
      </c>
      <c r="F425" s="50" t="s">
        <v>1533</v>
      </c>
      <c r="G425" s="50" t="s">
        <v>1533</v>
      </c>
      <c r="H425" s="53"/>
      <c r="I425" s="50" t="s">
        <v>972</v>
      </c>
      <c r="J425" s="18">
        <f>+_xlfn.XLOOKUP(B425,Sheet3!B:B,Sheet3!J:J,0)</f>
        <v>0</v>
      </c>
      <c r="K425">
        <f t="shared" si="19"/>
        <v>0</v>
      </c>
      <c r="L425" s="54">
        <v>0</v>
      </c>
      <c r="M425" s="67">
        <f t="shared" si="20"/>
        <v>0</v>
      </c>
    </row>
    <row r="426" spans="2:13" hidden="1" x14ac:dyDescent="0.25">
      <c r="B426" t="str">
        <f t="shared" si="18"/>
        <v>Massalengo</v>
      </c>
      <c r="C426" s="50" t="s">
        <v>826</v>
      </c>
      <c r="D426" s="51" t="s">
        <v>932</v>
      </c>
      <c r="E426" s="52" t="s">
        <v>888</v>
      </c>
      <c r="F426" s="50" t="s">
        <v>1533</v>
      </c>
      <c r="G426" s="50" t="s">
        <v>1533</v>
      </c>
      <c r="H426" s="53"/>
      <c r="I426" s="50" t="s">
        <v>974</v>
      </c>
      <c r="J426" s="18">
        <f>+_xlfn.XLOOKUP(B426,Sheet3!B:B,Sheet3!J:J,0)</f>
        <v>0</v>
      </c>
      <c r="K426">
        <f t="shared" si="19"/>
        <v>0</v>
      </c>
      <c r="L426" s="54">
        <v>0</v>
      </c>
      <c r="M426" s="67">
        <f t="shared" si="20"/>
        <v>0</v>
      </c>
    </row>
    <row r="427" spans="2:13" hidden="1" x14ac:dyDescent="0.25">
      <c r="B427" t="str">
        <f t="shared" si="18"/>
        <v>Rivarossa</v>
      </c>
      <c r="C427" s="50" t="s">
        <v>826</v>
      </c>
      <c r="D427" s="51" t="s">
        <v>932</v>
      </c>
      <c r="E427" s="52" t="s">
        <v>888</v>
      </c>
      <c r="F427" s="50" t="s">
        <v>1533</v>
      </c>
      <c r="G427" s="50" t="s">
        <v>1533</v>
      </c>
      <c r="H427" s="53"/>
      <c r="I427" s="50" t="s">
        <v>934</v>
      </c>
      <c r="J427" s="18">
        <f>+_xlfn.XLOOKUP(B427,Sheet3!B:B,Sheet3!J:J,0)</f>
        <v>0</v>
      </c>
      <c r="K427">
        <f t="shared" si="19"/>
        <v>0</v>
      </c>
      <c r="L427" s="54">
        <v>0</v>
      </c>
      <c r="M427" s="67">
        <f t="shared" si="20"/>
        <v>0</v>
      </c>
    </row>
    <row r="428" spans="2:13" hidden="1" x14ac:dyDescent="0.25">
      <c r="B428" t="str">
        <f t="shared" si="18"/>
        <v>Torre D'Isola</v>
      </c>
      <c r="C428" s="50" t="s">
        <v>826</v>
      </c>
      <c r="D428" s="51" t="s">
        <v>932</v>
      </c>
      <c r="E428" s="52" t="s">
        <v>888</v>
      </c>
      <c r="F428" s="50" t="s">
        <v>1533</v>
      </c>
      <c r="G428" s="50" t="s">
        <v>1533</v>
      </c>
      <c r="H428" s="53"/>
      <c r="I428" s="50" t="s">
        <v>936</v>
      </c>
      <c r="J428" s="18">
        <f>+_xlfn.XLOOKUP(B428,Sheet3!B:B,Sheet3!J:J,0)</f>
        <v>0</v>
      </c>
      <c r="K428">
        <f t="shared" si="19"/>
        <v>0</v>
      </c>
      <c r="L428" s="54">
        <v>0</v>
      </c>
      <c r="M428" s="67">
        <f t="shared" si="20"/>
        <v>0</v>
      </c>
    </row>
    <row r="429" spans="2:13" hidden="1" x14ac:dyDescent="0.25">
      <c r="B429" t="str">
        <f t="shared" si="18"/>
        <v>Santo Stefano Lodigiano</v>
      </c>
      <c r="C429" s="50" t="s">
        <v>826</v>
      </c>
      <c r="D429" s="51" t="s">
        <v>932</v>
      </c>
      <c r="E429" s="52" t="s">
        <v>888</v>
      </c>
      <c r="F429" s="50" t="s">
        <v>1533</v>
      </c>
      <c r="G429" s="50" t="s">
        <v>1533</v>
      </c>
      <c r="H429" s="53"/>
      <c r="I429" s="50" t="s">
        <v>938</v>
      </c>
      <c r="J429" s="18">
        <f>+_xlfn.XLOOKUP(B429,Sheet3!B:B,Sheet3!J:J,0)</f>
        <v>0</v>
      </c>
      <c r="K429">
        <f t="shared" si="19"/>
        <v>0</v>
      </c>
      <c r="L429" s="54">
        <v>0</v>
      </c>
      <c r="M429" s="67">
        <f t="shared" si="20"/>
        <v>0</v>
      </c>
    </row>
    <row r="430" spans="2:13" hidden="1" x14ac:dyDescent="0.25">
      <c r="B430" t="str">
        <f t="shared" si="18"/>
        <v>Secugnago</v>
      </c>
      <c r="C430" s="50" t="s">
        <v>826</v>
      </c>
      <c r="D430" s="51" t="s">
        <v>932</v>
      </c>
      <c r="E430" s="52" t="s">
        <v>888</v>
      </c>
      <c r="F430" s="50" t="s">
        <v>1533</v>
      </c>
      <c r="G430" s="50" t="s">
        <v>1533</v>
      </c>
      <c r="H430" s="53"/>
      <c r="I430" s="50" t="s">
        <v>940</v>
      </c>
      <c r="J430" s="18">
        <f>+_xlfn.XLOOKUP(B430,Sheet3!B:B,Sheet3!J:J,0)</f>
        <v>0</v>
      </c>
      <c r="K430">
        <f t="shared" si="19"/>
        <v>0</v>
      </c>
      <c r="L430" s="54">
        <v>0</v>
      </c>
      <c r="M430" s="67">
        <f t="shared" si="20"/>
        <v>0</v>
      </c>
    </row>
    <row r="431" spans="2:13" hidden="1" x14ac:dyDescent="0.25">
      <c r="B431" t="str">
        <f t="shared" si="18"/>
        <v>Loro Ciuffenna</v>
      </c>
      <c r="C431" s="50" t="s">
        <v>826</v>
      </c>
      <c r="D431" s="51" t="s">
        <v>932</v>
      </c>
      <c r="E431" s="52" t="s">
        <v>896</v>
      </c>
      <c r="F431" s="50" t="s">
        <v>1533</v>
      </c>
      <c r="G431" s="50" t="s">
        <v>1533</v>
      </c>
      <c r="H431" s="53"/>
      <c r="I431" s="50" t="s">
        <v>942</v>
      </c>
      <c r="J431" s="18">
        <f>+_xlfn.XLOOKUP(B431,Sheet3!B:B,Sheet3!J:J,0)</f>
        <v>0</v>
      </c>
      <c r="K431">
        <f t="shared" si="19"/>
        <v>0</v>
      </c>
      <c r="L431" s="54">
        <v>0</v>
      </c>
      <c r="M431" s="67">
        <f t="shared" si="20"/>
        <v>0</v>
      </c>
    </row>
    <row r="432" spans="2:13" hidden="1" x14ac:dyDescent="0.25">
      <c r="B432" t="str">
        <f t="shared" si="18"/>
        <v>SannicolaEPC-IPU-I059-01</v>
      </c>
      <c r="C432" s="50" t="s">
        <v>826</v>
      </c>
      <c r="D432" s="51" t="s">
        <v>943</v>
      </c>
      <c r="E432" s="50" t="s">
        <v>910</v>
      </c>
      <c r="F432" s="50" t="s">
        <v>1533</v>
      </c>
      <c r="G432" s="50" t="s">
        <v>1533</v>
      </c>
      <c r="H432" s="57" t="s">
        <v>1620</v>
      </c>
      <c r="I432" s="50" t="s">
        <v>1526</v>
      </c>
      <c r="J432" s="18">
        <f>+_xlfn.XLOOKUP(B432,Sheet3!B:B,Sheet3!J:J,0)</f>
        <v>0</v>
      </c>
      <c r="K432">
        <f t="shared" si="19"/>
        <v>0</v>
      </c>
      <c r="L432" s="54">
        <v>0</v>
      </c>
      <c r="M432" s="67">
        <f t="shared" si="20"/>
        <v>0</v>
      </c>
    </row>
    <row r="433" spans="2:13" hidden="1" x14ac:dyDescent="0.25">
      <c r="B433" t="str">
        <f t="shared" si="18"/>
        <v>Montalbano JonicoEPC-IPU-F399-01</v>
      </c>
      <c r="C433" s="50" t="s">
        <v>826</v>
      </c>
      <c r="D433" s="51" t="s">
        <v>943</v>
      </c>
      <c r="E433" s="50" t="s">
        <v>910</v>
      </c>
      <c r="F433" s="50" t="s">
        <v>1533</v>
      </c>
      <c r="G433" s="50" t="s">
        <v>1533</v>
      </c>
      <c r="H433" s="57" t="s">
        <v>1621</v>
      </c>
      <c r="I433" s="50" t="s">
        <v>1528</v>
      </c>
      <c r="J433" s="18">
        <f>+_xlfn.XLOOKUP(B433,Sheet3!B:B,Sheet3!J:J,0)</f>
        <v>0</v>
      </c>
      <c r="K433">
        <f t="shared" si="19"/>
        <v>0</v>
      </c>
      <c r="L433" s="54">
        <v>0</v>
      </c>
      <c r="M433" s="67">
        <f t="shared" si="20"/>
        <v>0</v>
      </c>
    </row>
    <row r="434" spans="2:13" hidden="1" x14ac:dyDescent="0.25">
      <c r="B434" t="str">
        <f t="shared" si="18"/>
        <v>Ricigliano</v>
      </c>
      <c r="C434" s="50" t="s">
        <v>826</v>
      </c>
      <c r="D434" s="51" t="s">
        <v>943</v>
      </c>
      <c r="E434" s="52" t="s">
        <v>910</v>
      </c>
      <c r="F434" s="50" t="s">
        <v>1533</v>
      </c>
      <c r="G434" s="50" t="s">
        <v>1533</v>
      </c>
      <c r="H434" s="53"/>
      <c r="I434" s="50" t="s">
        <v>944</v>
      </c>
      <c r="J434" s="18">
        <f>+_xlfn.XLOOKUP(B434,Sheet3!B:B,Sheet3!J:J,0)</f>
        <v>0</v>
      </c>
      <c r="K434">
        <f t="shared" si="19"/>
        <v>0</v>
      </c>
      <c r="L434" s="54">
        <v>0</v>
      </c>
      <c r="M434" s="67">
        <f t="shared" si="20"/>
        <v>0</v>
      </c>
    </row>
    <row r="435" spans="2:13" hidden="1" x14ac:dyDescent="0.25">
      <c r="B435" t="str">
        <f t="shared" si="18"/>
        <v>Serino</v>
      </c>
      <c r="C435" s="50" t="s">
        <v>826</v>
      </c>
      <c r="D435" s="51" t="s">
        <v>943</v>
      </c>
      <c r="E435" s="52" t="s">
        <v>910</v>
      </c>
      <c r="F435" s="50" t="s">
        <v>1533</v>
      </c>
      <c r="G435" s="50" t="s">
        <v>1533</v>
      </c>
      <c r="H435" s="53"/>
      <c r="I435" s="50" t="s">
        <v>945</v>
      </c>
      <c r="J435" s="18">
        <f>+_xlfn.XLOOKUP(B435,Sheet3!B:B,Sheet3!J:J,0)</f>
        <v>0</v>
      </c>
      <c r="K435">
        <f t="shared" si="19"/>
        <v>0</v>
      </c>
      <c r="L435" s="54">
        <v>0</v>
      </c>
      <c r="M435" s="67">
        <f t="shared" si="20"/>
        <v>0</v>
      </c>
    </row>
    <row r="436" spans="2:13" hidden="1" x14ac:dyDescent="0.25">
      <c r="B436" t="str">
        <f t="shared" si="18"/>
        <v>San Martino D'AgriEPC-IPU-H994-01</v>
      </c>
      <c r="C436" s="50" t="s">
        <v>826</v>
      </c>
      <c r="D436" s="51" t="s">
        <v>943</v>
      </c>
      <c r="E436" s="50" t="s">
        <v>910</v>
      </c>
      <c r="F436" s="50" t="s">
        <v>1533</v>
      </c>
      <c r="G436" s="50" t="s">
        <v>1533</v>
      </c>
      <c r="H436" s="57" t="s">
        <v>1622</v>
      </c>
      <c r="I436" s="50" t="s">
        <v>1530</v>
      </c>
      <c r="J436" s="18">
        <f>+_xlfn.XLOOKUP(B436,Sheet3!B:B,Sheet3!J:J,0)</f>
        <v>0</v>
      </c>
      <c r="K436">
        <f t="shared" si="19"/>
        <v>0</v>
      </c>
      <c r="L436" s="54">
        <v>0</v>
      </c>
      <c r="M436" s="67">
        <f t="shared" si="20"/>
        <v>0</v>
      </c>
    </row>
    <row r="437" spans="2:13" hidden="1" x14ac:dyDescent="0.25">
      <c r="B437" t="str">
        <f t="shared" si="18"/>
        <v>Vaglio BasilicataEPC-IPU-L532-01</v>
      </c>
      <c r="C437" s="50" t="s">
        <v>826</v>
      </c>
      <c r="D437" s="51" t="s">
        <v>943</v>
      </c>
      <c r="E437" s="50" t="s">
        <v>910</v>
      </c>
      <c r="F437" s="50" t="s">
        <v>1533</v>
      </c>
      <c r="G437" s="50" t="s">
        <v>1533</v>
      </c>
      <c r="H437" s="57" t="s">
        <v>1623</v>
      </c>
      <c r="I437" s="50" t="s">
        <v>1532</v>
      </c>
      <c r="J437" s="18">
        <f>+_xlfn.XLOOKUP(B437,Sheet3!B:B,Sheet3!J:J,0)</f>
        <v>0</v>
      </c>
      <c r="K437">
        <f t="shared" si="19"/>
        <v>0</v>
      </c>
      <c r="L437" s="54">
        <v>0</v>
      </c>
      <c r="M437" s="67">
        <f t="shared" si="20"/>
        <v>0</v>
      </c>
    </row>
    <row r="438" spans="2:13" hidden="1" x14ac:dyDescent="0.25">
      <c r="B438" t="str">
        <f t="shared" si="18"/>
        <v>Maiori</v>
      </c>
      <c r="C438" s="50" t="s">
        <v>826</v>
      </c>
      <c r="D438" s="51" t="s">
        <v>943</v>
      </c>
      <c r="E438" s="52" t="s">
        <v>910</v>
      </c>
      <c r="F438" s="50" t="s">
        <v>1533</v>
      </c>
      <c r="G438" s="50" t="s">
        <v>1533</v>
      </c>
      <c r="H438" s="53"/>
      <c r="I438" s="50" t="s">
        <v>975</v>
      </c>
      <c r="J438" s="18">
        <f>+_xlfn.XLOOKUP(B438,Sheet3!B:B,Sheet3!J:J,0)</f>
        <v>0</v>
      </c>
      <c r="K438">
        <f t="shared" si="19"/>
        <v>0</v>
      </c>
      <c r="L438" s="54">
        <v>0</v>
      </c>
      <c r="M438" s="67">
        <f t="shared" si="20"/>
        <v>0</v>
      </c>
    </row>
    <row r="439" spans="2:13" hidden="1" x14ac:dyDescent="0.25">
      <c r="B439" t="str">
        <f t="shared" si="18"/>
        <v>Minori</v>
      </c>
      <c r="C439" s="50" t="s">
        <v>826</v>
      </c>
      <c r="D439" s="51" t="s">
        <v>943</v>
      </c>
      <c r="E439" s="52" t="s">
        <v>910</v>
      </c>
      <c r="F439" s="50" t="s">
        <v>1533</v>
      </c>
      <c r="G439" s="50" t="s">
        <v>1533</v>
      </c>
      <c r="H439" s="53"/>
      <c r="I439" s="50" t="s">
        <v>976</v>
      </c>
      <c r="J439" s="18">
        <f>+_xlfn.XLOOKUP(B439,Sheet3!B:B,Sheet3!J:J,0)</f>
        <v>0</v>
      </c>
      <c r="K439">
        <f t="shared" si="19"/>
        <v>0</v>
      </c>
      <c r="L439" s="54">
        <v>0</v>
      </c>
      <c r="M439" s="67">
        <f t="shared" si="20"/>
        <v>0</v>
      </c>
    </row>
    <row r="440" spans="2:13" hidden="1" x14ac:dyDescent="0.25">
      <c r="B440" t="str">
        <f t="shared" si="18"/>
        <v>Castel San Giorgio</v>
      </c>
      <c r="C440" s="50" t="s">
        <v>826</v>
      </c>
      <c r="D440" s="51" t="s">
        <v>943</v>
      </c>
      <c r="E440" s="52" t="s">
        <v>910</v>
      </c>
      <c r="F440" s="50" t="s">
        <v>1533</v>
      </c>
      <c r="G440" s="50" t="s">
        <v>1533</v>
      </c>
      <c r="H440" s="53"/>
      <c r="I440" s="50" t="s">
        <v>977</v>
      </c>
      <c r="J440" s="18">
        <f>+_xlfn.XLOOKUP(B440,Sheet3!B:B,Sheet3!J:J,0)</f>
        <v>0</v>
      </c>
      <c r="K440">
        <f t="shared" si="19"/>
        <v>0</v>
      </c>
      <c r="L440" s="54">
        <v>0</v>
      </c>
      <c r="M440" s="67">
        <f t="shared" si="20"/>
        <v>0</v>
      </c>
    </row>
    <row r="441" spans="2:13" hidden="1" x14ac:dyDescent="0.25">
      <c r="B441" t="str">
        <f t="shared" si="18"/>
        <v>Ischia</v>
      </c>
      <c r="C441" s="50" t="s">
        <v>826</v>
      </c>
      <c r="D441" s="51" t="s">
        <v>943</v>
      </c>
      <c r="E441" s="52" t="s">
        <v>910</v>
      </c>
      <c r="F441" s="50" t="s">
        <v>1533</v>
      </c>
      <c r="G441" s="50" t="s">
        <v>1533</v>
      </c>
      <c r="H441" s="53"/>
      <c r="I441" s="50" t="s">
        <v>978</v>
      </c>
      <c r="J441" s="18">
        <f>+_xlfn.XLOOKUP(B441,Sheet3!B:B,Sheet3!J:J,0)</f>
        <v>0</v>
      </c>
      <c r="K441">
        <f t="shared" si="19"/>
        <v>0</v>
      </c>
      <c r="L441" s="54">
        <v>0</v>
      </c>
      <c r="M441" s="67">
        <f t="shared" si="20"/>
        <v>0</v>
      </c>
    </row>
    <row r="442" spans="2:13" hidden="1" x14ac:dyDescent="0.25">
      <c r="B442" t="str">
        <f t="shared" si="18"/>
        <v>Somma Vesuviana</v>
      </c>
      <c r="C442" s="50" t="s">
        <v>826</v>
      </c>
      <c r="D442" s="51" t="s">
        <v>943</v>
      </c>
      <c r="E442" s="52" t="s">
        <v>910</v>
      </c>
      <c r="F442" s="50" t="s">
        <v>1533</v>
      </c>
      <c r="G442" s="50" t="s">
        <v>1533</v>
      </c>
      <c r="H442" s="53"/>
      <c r="I442" s="50" t="s">
        <v>979</v>
      </c>
      <c r="J442" s="18">
        <f>+_xlfn.XLOOKUP(B442,Sheet3!B:B,Sheet3!J:J,0)</f>
        <v>0</v>
      </c>
      <c r="K442">
        <f t="shared" si="19"/>
        <v>0</v>
      </c>
      <c r="L442" s="54">
        <v>0</v>
      </c>
      <c r="M442" s="67">
        <f t="shared" si="20"/>
        <v>0</v>
      </c>
    </row>
    <row r="443" spans="2:13" hidden="1" x14ac:dyDescent="0.25">
      <c r="B443" t="str">
        <f t="shared" si="18"/>
        <v>San Cipriano Picentino</v>
      </c>
      <c r="C443" s="50" t="s">
        <v>826</v>
      </c>
      <c r="D443" s="51" t="s">
        <v>943</v>
      </c>
      <c r="E443" s="50" t="s">
        <v>910</v>
      </c>
      <c r="F443" s="50" t="s">
        <v>1533</v>
      </c>
      <c r="G443" s="50" t="s">
        <v>1533</v>
      </c>
      <c r="H443" s="53"/>
      <c r="I443" s="50" t="s">
        <v>947</v>
      </c>
      <c r="J443" s="18">
        <f>+_xlfn.XLOOKUP(B443,Sheet3!B:B,Sheet3!J:J,0)</f>
        <v>0</v>
      </c>
      <c r="K443">
        <f t="shared" si="19"/>
        <v>0</v>
      </c>
      <c r="L443" s="54">
        <v>0</v>
      </c>
      <c r="M443" s="67">
        <f t="shared" si="20"/>
        <v>0</v>
      </c>
    </row>
    <row r="444" spans="2:13" hidden="1" x14ac:dyDescent="0.25">
      <c r="B444" t="str">
        <f t="shared" si="18"/>
        <v>Vietri sul Mare</v>
      </c>
      <c r="C444" s="50" t="s">
        <v>826</v>
      </c>
      <c r="D444" s="51" t="s">
        <v>943</v>
      </c>
      <c r="E444" s="52" t="s">
        <v>910</v>
      </c>
      <c r="F444" s="50" t="s">
        <v>1533</v>
      </c>
      <c r="G444" s="50" t="s">
        <v>1533</v>
      </c>
      <c r="H444" s="53"/>
      <c r="I444" s="50" t="s">
        <v>948</v>
      </c>
      <c r="J444" s="18">
        <f>+_xlfn.XLOOKUP(B444,Sheet3!B:B,Sheet3!J:J,0)</f>
        <v>0</v>
      </c>
      <c r="K444">
        <f t="shared" si="19"/>
        <v>0</v>
      </c>
      <c r="L444" s="54">
        <v>0</v>
      </c>
      <c r="M444" s="67">
        <f t="shared" si="20"/>
        <v>0</v>
      </c>
    </row>
    <row r="445" spans="2:13" hidden="1" x14ac:dyDescent="0.25">
      <c r="B445" t="str">
        <f t="shared" si="18"/>
        <v>Dolo</v>
      </c>
      <c r="C445" s="50" t="s">
        <v>826</v>
      </c>
      <c r="D445" s="51" t="s">
        <v>980</v>
      </c>
      <c r="E445" s="52" t="s">
        <v>959</v>
      </c>
      <c r="F445" s="50" t="s">
        <v>1533</v>
      </c>
      <c r="G445" s="50" t="s">
        <v>1533</v>
      </c>
      <c r="H445" s="53"/>
      <c r="I445" s="50" t="s">
        <v>981</v>
      </c>
      <c r="J445" s="18">
        <f>+_xlfn.XLOOKUP(B445,Sheet3!B:B,Sheet3!J:J,0)</f>
        <v>0</v>
      </c>
      <c r="K445">
        <f t="shared" si="19"/>
        <v>0</v>
      </c>
      <c r="L445" s="54">
        <v>0</v>
      </c>
      <c r="M445" s="67">
        <f t="shared" si="20"/>
        <v>0</v>
      </c>
    </row>
    <row r="446" spans="2:13" hidden="1" x14ac:dyDescent="0.25">
      <c r="B446" t="str">
        <f t="shared" si="18"/>
        <v>Vicari</v>
      </c>
      <c r="C446" s="50" t="s">
        <v>826</v>
      </c>
      <c r="D446" s="51" t="s">
        <v>980</v>
      </c>
      <c r="E446" s="52" t="s">
        <v>910</v>
      </c>
      <c r="F446" s="50" t="s">
        <v>1533</v>
      </c>
      <c r="G446" s="50" t="s">
        <v>1533</v>
      </c>
      <c r="H446" s="53"/>
      <c r="I446" s="50" t="s">
        <v>982</v>
      </c>
      <c r="J446" s="18">
        <f>+_xlfn.XLOOKUP(B446,Sheet3!B:B,Sheet3!J:J,0)</f>
        <v>0</v>
      </c>
      <c r="K446">
        <f t="shared" si="19"/>
        <v>0</v>
      </c>
      <c r="L446" s="54">
        <v>0</v>
      </c>
      <c r="M446" s="67">
        <f t="shared" si="20"/>
        <v>0</v>
      </c>
    </row>
    <row r="447" spans="2:13" hidden="1" x14ac:dyDescent="0.25">
      <c r="B447" t="str">
        <f t="shared" si="18"/>
        <v>Marsciano</v>
      </c>
      <c r="C447" s="50" t="s">
        <v>826</v>
      </c>
      <c r="D447" s="51" t="s">
        <v>949</v>
      </c>
      <c r="E447" s="52" t="s">
        <v>896</v>
      </c>
      <c r="F447" s="50" t="s">
        <v>1533</v>
      </c>
      <c r="G447" s="50" t="s">
        <v>1533</v>
      </c>
      <c r="H447" s="53"/>
      <c r="I447" s="50" t="s">
        <v>983</v>
      </c>
      <c r="J447" s="18">
        <f>+_xlfn.XLOOKUP(B447,Sheet3!B:B,Sheet3!J:J,0)</f>
        <v>0</v>
      </c>
      <c r="K447">
        <f t="shared" si="19"/>
        <v>0</v>
      </c>
      <c r="L447" s="54">
        <v>0</v>
      </c>
      <c r="M447" s="67">
        <f t="shared" si="20"/>
        <v>0</v>
      </c>
    </row>
    <row r="448" spans="2:13" hidden="1" x14ac:dyDescent="0.25">
      <c r="B448" t="str">
        <f t="shared" si="18"/>
        <v>Umbertide</v>
      </c>
      <c r="C448" s="50" t="s">
        <v>826</v>
      </c>
      <c r="D448" s="51" t="s">
        <v>949</v>
      </c>
      <c r="E448" s="52" t="s">
        <v>896</v>
      </c>
      <c r="F448" s="50" t="s">
        <v>1533</v>
      </c>
      <c r="G448" s="50" t="s">
        <v>1533</v>
      </c>
      <c r="H448" s="53"/>
      <c r="I448" s="50" t="s">
        <v>950</v>
      </c>
      <c r="J448" s="18">
        <f>+_xlfn.XLOOKUP(B448,Sheet3!B:B,Sheet3!J:J,0)</f>
        <v>0</v>
      </c>
      <c r="K448">
        <f t="shared" si="19"/>
        <v>0</v>
      </c>
      <c r="L448" s="54">
        <v>0</v>
      </c>
      <c r="M448" s="67">
        <f t="shared" si="20"/>
        <v>0</v>
      </c>
    </row>
    <row r="449" spans="2:13" hidden="1" x14ac:dyDescent="0.25">
      <c r="B449" t="str">
        <f t="shared" si="18"/>
        <v>Lizzanello</v>
      </c>
      <c r="C449" s="50" t="s">
        <v>826</v>
      </c>
      <c r="D449" s="51" t="s">
        <v>951</v>
      </c>
      <c r="E449" s="52" t="s">
        <v>910</v>
      </c>
      <c r="F449" s="50" t="s">
        <v>1533</v>
      </c>
      <c r="G449" s="50" t="s">
        <v>1533</v>
      </c>
      <c r="H449" s="53"/>
      <c r="I449" s="50" t="s">
        <v>952</v>
      </c>
      <c r="J449" s="18">
        <f>+_xlfn.XLOOKUP(B449,Sheet3!B:B,Sheet3!J:J,0)</f>
        <v>0</v>
      </c>
      <c r="K449">
        <f t="shared" si="19"/>
        <v>0</v>
      </c>
      <c r="L449" s="54">
        <v>0</v>
      </c>
      <c r="M449" s="67">
        <f t="shared" si="20"/>
        <v>0</v>
      </c>
    </row>
    <row r="450" spans="2:13" hidden="1" x14ac:dyDescent="0.25">
      <c r="B450" t="str">
        <f t="shared" si="18"/>
        <v>San Donato Milanese</v>
      </c>
      <c r="C450" s="50" t="s">
        <v>826</v>
      </c>
      <c r="D450" s="51" t="s">
        <v>951</v>
      </c>
      <c r="E450" s="52" t="s">
        <v>910</v>
      </c>
      <c r="F450" s="50" t="s">
        <v>1533</v>
      </c>
      <c r="G450" s="50" t="s">
        <v>1533</v>
      </c>
      <c r="H450" s="53"/>
      <c r="I450" s="50" t="s">
        <v>953</v>
      </c>
      <c r="J450" s="18">
        <f>+_xlfn.XLOOKUP(B450,Sheet3!B:B,Sheet3!J:J,0)</f>
        <v>0</v>
      </c>
      <c r="K450">
        <f t="shared" si="19"/>
        <v>0</v>
      </c>
      <c r="L450" s="54">
        <v>0</v>
      </c>
      <c r="M450" s="67">
        <f t="shared" si="20"/>
        <v>0</v>
      </c>
    </row>
    <row r="451" spans="2:13" hidden="1" x14ac:dyDescent="0.25">
      <c r="B451" t="str">
        <f t="shared" si="18"/>
        <v>Altro Not identified (Sud) 1</v>
      </c>
      <c r="C451" s="50" t="s">
        <v>826</v>
      </c>
      <c r="D451" s="51" t="s">
        <v>954</v>
      </c>
      <c r="E451" s="52" t="s">
        <v>910</v>
      </c>
      <c r="F451" s="50" t="s">
        <v>1533</v>
      </c>
      <c r="G451" s="50" t="s">
        <v>1533</v>
      </c>
      <c r="H451" s="53"/>
      <c r="I451" s="50" t="s">
        <v>955</v>
      </c>
      <c r="J451" s="18">
        <f>+_xlfn.XLOOKUP(B451,Sheet3!B:B,Sheet3!J:J,0)</f>
        <v>0</v>
      </c>
      <c r="K451">
        <f t="shared" si="19"/>
        <v>0</v>
      </c>
      <c r="L451" s="54">
        <v>0</v>
      </c>
      <c r="M451" s="67">
        <f t="shared" si="20"/>
        <v>0</v>
      </c>
    </row>
    <row r="452" spans="2:13" hidden="1" x14ac:dyDescent="0.25">
      <c r="B452" t="str">
        <f t="shared" ref="B452:B515" si="21">+I452&amp;H452</f>
        <v>Altro Not identified (Centre)</v>
      </c>
      <c r="C452" s="50" t="s">
        <v>826</v>
      </c>
      <c r="D452" s="51" t="s">
        <v>954</v>
      </c>
      <c r="E452" s="52" t="s">
        <v>896</v>
      </c>
      <c r="F452" s="50" t="s">
        <v>1533</v>
      </c>
      <c r="G452" s="50" t="s">
        <v>1533</v>
      </c>
      <c r="H452" s="53"/>
      <c r="I452" s="50" t="s">
        <v>956</v>
      </c>
      <c r="J452" s="18">
        <f>+_xlfn.XLOOKUP(B452,Sheet3!B:B,Sheet3!J:J,0)</f>
        <v>0</v>
      </c>
      <c r="K452">
        <f t="shared" ref="K452:K515" si="22">+J452/6*8</f>
        <v>0</v>
      </c>
      <c r="L452" s="54">
        <v>0</v>
      </c>
      <c r="M452" s="67">
        <f t="shared" ref="M452:M515" si="23">+L452-K452</f>
        <v>0</v>
      </c>
    </row>
    <row r="453" spans="2:13" hidden="1" x14ac:dyDescent="0.25">
      <c r="B453" t="str">
        <f t="shared" si="21"/>
        <v>Altro Not identified (North West)</v>
      </c>
      <c r="C453" s="50" t="s">
        <v>826</v>
      </c>
      <c r="D453" s="51" t="s">
        <v>954</v>
      </c>
      <c r="E453" s="52" t="s">
        <v>888</v>
      </c>
      <c r="F453" s="50" t="s">
        <v>1533</v>
      </c>
      <c r="G453" s="50" t="s">
        <v>1533</v>
      </c>
      <c r="H453" s="53"/>
      <c r="I453" s="50" t="s">
        <v>957</v>
      </c>
      <c r="J453" s="18">
        <f>+_xlfn.XLOOKUP(B453,Sheet3!B:B,Sheet3!J:J,0)</f>
        <v>0</v>
      </c>
      <c r="K453">
        <f t="shared" si="22"/>
        <v>0</v>
      </c>
      <c r="L453" s="54">
        <v>0</v>
      </c>
      <c r="M453" s="67">
        <f t="shared" si="23"/>
        <v>0</v>
      </c>
    </row>
    <row r="454" spans="2:13" hidden="1" x14ac:dyDescent="0.25">
      <c r="B454" t="str">
        <f t="shared" si="21"/>
        <v>Altro Not identified (North East)</v>
      </c>
      <c r="C454" s="50" t="s">
        <v>958</v>
      </c>
      <c r="D454" s="51" t="s">
        <v>954</v>
      </c>
      <c r="E454" s="52" t="s">
        <v>959</v>
      </c>
      <c r="F454" s="50" t="s">
        <v>1533</v>
      </c>
      <c r="G454" s="50" t="s">
        <v>1533</v>
      </c>
      <c r="H454" s="53"/>
      <c r="I454" s="50" t="s">
        <v>960</v>
      </c>
      <c r="J454" s="18">
        <f>+_xlfn.XLOOKUP(B454,Sheet3!B:B,Sheet3!J:J,0)</f>
        <v>0</v>
      </c>
      <c r="K454">
        <f t="shared" si="22"/>
        <v>0</v>
      </c>
      <c r="L454" s="54">
        <v>0</v>
      </c>
      <c r="M454" s="67">
        <f t="shared" si="23"/>
        <v>0</v>
      </c>
    </row>
    <row r="455" spans="2:13" hidden="1" x14ac:dyDescent="0.25">
      <c r="B455" t="str">
        <f t="shared" si="21"/>
        <v>Altro Not identified (Sud) 2</v>
      </c>
      <c r="C455" s="50" t="s">
        <v>826</v>
      </c>
      <c r="D455" s="51" t="s">
        <v>954</v>
      </c>
      <c r="E455" s="52" t="s">
        <v>910</v>
      </c>
      <c r="F455" s="50" t="s">
        <v>1533</v>
      </c>
      <c r="G455" s="50" t="s">
        <v>1533</v>
      </c>
      <c r="H455" s="53"/>
      <c r="I455" s="50" t="s">
        <v>969</v>
      </c>
      <c r="J455" s="18">
        <f>+_xlfn.XLOOKUP(B455,Sheet3!B:B,Sheet3!J:J,0)</f>
        <v>0</v>
      </c>
      <c r="K455">
        <f t="shared" si="22"/>
        <v>0</v>
      </c>
      <c r="L455" s="54">
        <v>0</v>
      </c>
      <c r="M455" s="67">
        <f t="shared" si="23"/>
        <v>0</v>
      </c>
    </row>
    <row r="456" spans="2:13" hidden="1" x14ac:dyDescent="0.25">
      <c r="B456" t="str">
        <f t="shared" si="21"/>
        <v>Vinovo PLEPC-IPU-M060-01</v>
      </c>
      <c r="C456" s="50" t="s">
        <v>826</v>
      </c>
      <c r="D456" s="51" t="s">
        <v>887</v>
      </c>
      <c r="E456" s="50" t="s">
        <v>888</v>
      </c>
      <c r="F456" s="50" t="s">
        <v>1533</v>
      </c>
      <c r="G456" s="50" t="s">
        <v>1533</v>
      </c>
      <c r="H456" s="57" t="s">
        <v>1624</v>
      </c>
      <c r="I456" s="50" t="s">
        <v>1095</v>
      </c>
      <c r="J456" s="18">
        <f>+_xlfn.XLOOKUP(B456,Sheet3!B:B,Sheet3!J:J,0)</f>
        <v>0</v>
      </c>
      <c r="K456">
        <f t="shared" si="22"/>
        <v>0</v>
      </c>
      <c r="L456" s="54">
        <v>0</v>
      </c>
      <c r="M456" s="67">
        <f t="shared" si="23"/>
        <v>0</v>
      </c>
    </row>
    <row r="457" spans="2:13" hidden="1" x14ac:dyDescent="0.25">
      <c r="B457" t="str">
        <f t="shared" si="21"/>
        <v>Sport Club Nuova Casale A.S.DEPC-IPU-B885-01</v>
      </c>
      <c r="C457" s="50" t="s">
        <v>826</v>
      </c>
      <c r="D457" s="51" t="s">
        <v>887</v>
      </c>
      <c r="E457" s="50" t="s">
        <v>888</v>
      </c>
      <c r="F457" s="50" t="s">
        <v>1533</v>
      </c>
      <c r="G457" s="50" t="s">
        <v>1533</v>
      </c>
      <c r="H457" s="57" t="s">
        <v>1625</v>
      </c>
      <c r="I457" s="50" t="s">
        <v>1081</v>
      </c>
      <c r="J457" s="18">
        <f>+_xlfn.XLOOKUP(B457,Sheet3!B:B,Sheet3!J:J,0)</f>
        <v>0</v>
      </c>
      <c r="K457">
        <f t="shared" si="22"/>
        <v>0</v>
      </c>
      <c r="L457" s="54">
        <v>0</v>
      </c>
      <c r="M457" s="67">
        <f t="shared" si="23"/>
        <v>0</v>
      </c>
    </row>
    <row r="458" spans="2:13" hidden="1" x14ac:dyDescent="0.25">
      <c r="B458" t="str">
        <f t="shared" si="21"/>
        <v>Arcisate proroga tecnicaEPC-IPU-A371-02</v>
      </c>
      <c r="C458" s="50" t="s">
        <v>958</v>
      </c>
      <c r="D458" s="51" t="s">
        <v>887</v>
      </c>
      <c r="E458" s="50" t="s">
        <v>888</v>
      </c>
      <c r="F458" s="50" t="s">
        <v>1533</v>
      </c>
      <c r="G458" s="50" t="s">
        <v>1533</v>
      </c>
      <c r="H458" s="57" t="s">
        <v>1626</v>
      </c>
      <c r="I458" s="50" t="s">
        <v>1085</v>
      </c>
      <c r="J458" s="18">
        <f>+_xlfn.XLOOKUP(B458,Sheet3!B:B,Sheet3!J:J,0)</f>
        <v>0</v>
      </c>
      <c r="K458">
        <f t="shared" si="22"/>
        <v>0</v>
      </c>
      <c r="L458" s="54">
        <v>0</v>
      </c>
      <c r="M458" s="67">
        <f t="shared" si="23"/>
        <v>0</v>
      </c>
    </row>
    <row r="459" spans="2:13" hidden="1" x14ac:dyDescent="0.25">
      <c r="B459" t="str">
        <f t="shared" si="21"/>
        <v>Tribiano proroga tecnicaEPC-IPU-L415-02</v>
      </c>
      <c r="C459" s="50" t="s">
        <v>958</v>
      </c>
      <c r="D459" s="51" t="s">
        <v>887</v>
      </c>
      <c r="E459" s="50" t="s">
        <v>888</v>
      </c>
      <c r="F459" s="50" t="s">
        <v>1533</v>
      </c>
      <c r="G459" s="50" t="s">
        <v>1533</v>
      </c>
      <c r="H459" s="57" t="s">
        <v>1627</v>
      </c>
      <c r="I459" s="50" t="s">
        <v>1058</v>
      </c>
      <c r="J459" s="18">
        <f>+_xlfn.XLOOKUP(B459,Sheet3!B:B,Sheet3!J:J,0)</f>
        <v>19.108610000000002</v>
      </c>
      <c r="K459">
        <f t="shared" si="22"/>
        <v>25.478146666666671</v>
      </c>
      <c r="L459" s="54">
        <v>19.108610000000002</v>
      </c>
      <c r="M459" s="67">
        <f t="shared" si="23"/>
        <v>-6.3695366666666686</v>
      </c>
    </row>
    <row r="460" spans="2:13" hidden="1" x14ac:dyDescent="0.25">
      <c r="B460" t="str">
        <f t="shared" si="21"/>
        <v>CeggiaEPC-IPU-C422-01</v>
      </c>
      <c r="C460" s="50" t="s">
        <v>826</v>
      </c>
      <c r="D460" s="51" t="s">
        <v>1488</v>
      </c>
      <c r="E460" s="50" t="s">
        <v>959</v>
      </c>
      <c r="F460" s="50" t="s">
        <v>1533</v>
      </c>
      <c r="G460" s="50" t="s">
        <v>1533</v>
      </c>
      <c r="H460" s="57" t="s">
        <v>1628</v>
      </c>
      <c r="I460" s="50" t="s">
        <v>1492</v>
      </c>
      <c r="J460" s="18">
        <f>+_xlfn.XLOOKUP(B460,Sheet3!B:B,Sheet3!J:J,0)</f>
        <v>0</v>
      </c>
      <c r="K460">
        <f t="shared" si="22"/>
        <v>0</v>
      </c>
      <c r="L460" s="54">
        <v>0</v>
      </c>
      <c r="M460" s="67">
        <f t="shared" si="23"/>
        <v>0</v>
      </c>
    </row>
    <row r="461" spans="2:13" hidden="1" x14ac:dyDescent="0.25">
      <c r="B461" t="str">
        <f t="shared" si="21"/>
        <v>Noventa di PiaveEPC-IPU-F963-01</v>
      </c>
      <c r="C461" s="50" t="s">
        <v>826</v>
      </c>
      <c r="D461" s="51" t="s">
        <v>1488</v>
      </c>
      <c r="E461" s="50" t="s">
        <v>959</v>
      </c>
      <c r="F461" s="50" t="s">
        <v>1533</v>
      </c>
      <c r="G461" s="50" t="s">
        <v>1533</v>
      </c>
      <c r="H461" s="57" t="s">
        <v>1629</v>
      </c>
      <c r="I461" s="50" t="s">
        <v>1509</v>
      </c>
      <c r="J461" s="18">
        <f>+_xlfn.XLOOKUP(B461,Sheet3!B:B,Sheet3!J:J,0)</f>
        <v>0</v>
      </c>
      <c r="K461">
        <f t="shared" si="22"/>
        <v>0</v>
      </c>
      <c r="L461" s="54">
        <v>0</v>
      </c>
      <c r="M461" s="67">
        <f t="shared" si="23"/>
        <v>0</v>
      </c>
    </row>
    <row r="462" spans="2:13" hidden="1" x14ac:dyDescent="0.25">
      <c r="B462" t="str">
        <f t="shared" si="21"/>
        <v>Provincia MZ-BZEPC-IPU-F704-03</v>
      </c>
      <c r="C462" s="50" t="s">
        <v>826</v>
      </c>
      <c r="D462" s="51" t="s">
        <v>887</v>
      </c>
      <c r="E462" s="50" t="s">
        <v>888</v>
      </c>
      <c r="F462" s="50" t="s">
        <v>1630</v>
      </c>
      <c r="G462" s="50" t="s">
        <v>1630</v>
      </c>
      <c r="H462" s="57" t="s">
        <v>1631</v>
      </c>
      <c r="I462" s="50" t="s">
        <v>1632</v>
      </c>
      <c r="J462" s="18">
        <f>+_xlfn.XLOOKUP(B462,Sheet3!B:B,Sheet3!J:J,0)</f>
        <v>0</v>
      </c>
      <c r="K462">
        <f t="shared" si="22"/>
        <v>0</v>
      </c>
      <c r="L462" s="54">
        <v>0</v>
      </c>
      <c r="M462" s="67">
        <f t="shared" si="23"/>
        <v>0</v>
      </c>
    </row>
    <row r="463" spans="2:13" hidden="1" x14ac:dyDescent="0.25">
      <c r="B463" t="str">
        <f t="shared" si="21"/>
        <v>Città Metropolitana di Milano</v>
      </c>
      <c r="C463" s="50" t="s">
        <v>826</v>
      </c>
      <c r="D463" s="51" t="s">
        <v>887</v>
      </c>
      <c r="E463" s="52" t="s">
        <v>888</v>
      </c>
      <c r="F463" s="50" t="s">
        <v>1630</v>
      </c>
      <c r="G463" s="50" t="s">
        <v>1630</v>
      </c>
      <c r="H463" s="53"/>
      <c r="I463" s="50" t="s">
        <v>1633</v>
      </c>
      <c r="J463" s="18">
        <f>+_xlfn.XLOOKUP(B463,Sheet3!B:B,Sheet3!J:J,0)</f>
        <v>0</v>
      </c>
      <c r="K463">
        <f t="shared" si="22"/>
        <v>0</v>
      </c>
      <c r="L463" s="54">
        <v>0</v>
      </c>
      <c r="M463" s="67">
        <f t="shared" si="23"/>
        <v>0</v>
      </c>
    </row>
    <row r="464" spans="2:13" hidden="1" x14ac:dyDescent="0.25">
      <c r="B464" t="str">
        <f t="shared" si="21"/>
        <v>Sacca San BiagioEPC-EEE-L736-01</v>
      </c>
      <c r="C464" s="50" t="s">
        <v>958</v>
      </c>
      <c r="D464" s="51" t="s">
        <v>887</v>
      </c>
      <c r="E464" s="50" t="s">
        <v>959</v>
      </c>
      <c r="F464" s="50" t="s">
        <v>1630</v>
      </c>
      <c r="G464" s="50" t="s">
        <v>1630</v>
      </c>
      <c r="H464" s="57" t="s">
        <v>1634</v>
      </c>
      <c r="I464" s="50" t="s">
        <v>1635</v>
      </c>
      <c r="J464" s="18">
        <f>+_xlfn.XLOOKUP(B464,Sheet3!B:B,Sheet3!J:J,0)</f>
        <v>1055.0991999999999</v>
      </c>
      <c r="K464">
        <f t="shared" si="22"/>
        <v>1406.7989333333333</v>
      </c>
      <c r="L464" s="54">
        <v>2253.9518800000001</v>
      </c>
      <c r="M464" s="67">
        <f t="shared" si="23"/>
        <v>847.15294666666682</v>
      </c>
    </row>
    <row r="465" spans="2:13" hidden="1" x14ac:dyDescent="0.25">
      <c r="B465" t="str">
        <f t="shared" si="21"/>
        <v>VIER</v>
      </c>
      <c r="C465" s="50" t="s">
        <v>958</v>
      </c>
      <c r="D465" s="51" t="s">
        <v>887</v>
      </c>
      <c r="E465" s="52" t="s">
        <v>959</v>
      </c>
      <c r="F465" s="50" t="s">
        <v>1630</v>
      </c>
      <c r="G465" s="50" t="s">
        <v>1630</v>
      </c>
      <c r="H465" s="53"/>
      <c r="I465" s="50" t="s">
        <v>1636</v>
      </c>
      <c r="J465" s="18">
        <f>+_xlfn.XLOOKUP(B465,Sheet3!B:B,Sheet3!J:J,0)</f>
        <v>0</v>
      </c>
      <c r="K465">
        <f t="shared" si="22"/>
        <v>0</v>
      </c>
      <c r="L465" s="54">
        <v>0</v>
      </c>
      <c r="M465" s="67">
        <f t="shared" si="23"/>
        <v>0</v>
      </c>
    </row>
    <row r="466" spans="2:13" hidden="1" x14ac:dyDescent="0.25">
      <c r="B466" t="str">
        <f t="shared" si="21"/>
        <v>Provincia di Potenza - One Off Works</v>
      </c>
      <c r="C466" s="50" t="s">
        <v>826</v>
      </c>
      <c r="D466" s="51" t="s">
        <v>887</v>
      </c>
      <c r="E466" s="50" t="s">
        <v>896</v>
      </c>
      <c r="F466" s="50" t="s">
        <v>1630</v>
      </c>
      <c r="G466" s="50" t="s">
        <v>1630</v>
      </c>
      <c r="H466" s="53"/>
      <c r="I466" s="50" t="s">
        <v>1637</v>
      </c>
      <c r="J466" s="18">
        <f>+_xlfn.XLOOKUP(B466,Sheet3!B:B,Sheet3!J:J,0)</f>
        <v>0</v>
      </c>
      <c r="K466">
        <f t="shared" si="22"/>
        <v>0</v>
      </c>
      <c r="L466" s="54">
        <v>0</v>
      </c>
      <c r="M466" s="67">
        <f t="shared" si="23"/>
        <v>0</v>
      </c>
    </row>
    <row r="467" spans="2:13" hidden="1" x14ac:dyDescent="0.25">
      <c r="B467" t="str">
        <f t="shared" si="21"/>
        <v>Sales</v>
      </c>
      <c r="C467" s="50" t="s">
        <v>826</v>
      </c>
      <c r="D467" s="51" t="s">
        <v>887</v>
      </c>
      <c r="E467" s="52" t="s">
        <v>910</v>
      </c>
      <c r="F467" s="50" t="s">
        <v>1630</v>
      </c>
      <c r="G467" s="50" t="s">
        <v>1630</v>
      </c>
      <c r="H467" s="53"/>
      <c r="I467" s="50" t="s">
        <v>1638</v>
      </c>
      <c r="J467" s="18">
        <f>+_xlfn.XLOOKUP(B467,Sheet3!B:B,Sheet3!J:J,0)</f>
        <v>0</v>
      </c>
      <c r="K467">
        <f t="shared" si="22"/>
        <v>0</v>
      </c>
      <c r="L467" s="54">
        <v>0</v>
      </c>
      <c r="M467" s="67">
        <f t="shared" si="23"/>
        <v>0</v>
      </c>
    </row>
    <row r="468" spans="2:13" hidden="1" x14ac:dyDescent="0.25">
      <c r="B468" t="str">
        <f t="shared" si="21"/>
        <v>Gare lavori</v>
      </c>
      <c r="C468" s="50" t="s">
        <v>826</v>
      </c>
      <c r="D468" s="51" t="s">
        <v>887</v>
      </c>
      <c r="E468" s="52" t="s">
        <v>888</v>
      </c>
      <c r="F468" s="50" t="s">
        <v>1630</v>
      </c>
      <c r="G468" s="50" t="s">
        <v>1630</v>
      </c>
      <c r="H468" s="53"/>
      <c r="I468" s="50" t="s">
        <v>1639</v>
      </c>
      <c r="J468" s="18">
        <f>+_xlfn.XLOOKUP(B468,Sheet3!B:B,Sheet3!J:J,0)</f>
        <v>0</v>
      </c>
      <c r="K468">
        <f t="shared" si="22"/>
        <v>0</v>
      </c>
      <c r="L468" s="54">
        <v>0</v>
      </c>
      <c r="M468" s="67">
        <f t="shared" si="23"/>
        <v>0</v>
      </c>
    </row>
    <row r="469" spans="2:13" hidden="1" x14ac:dyDescent="0.25">
      <c r="B469" t="str">
        <f t="shared" si="21"/>
        <v>Lavori fotovoltaico</v>
      </c>
      <c r="C469" s="50" t="s">
        <v>958</v>
      </c>
      <c r="D469" s="51" t="s">
        <v>887</v>
      </c>
      <c r="E469" s="52" t="s">
        <v>959</v>
      </c>
      <c r="F469" s="50" t="s">
        <v>1630</v>
      </c>
      <c r="G469" s="50" t="s">
        <v>1630</v>
      </c>
      <c r="H469" s="53"/>
      <c r="I469" s="50" t="s">
        <v>1640</v>
      </c>
      <c r="J469" s="18">
        <f>+_xlfn.XLOOKUP(B469,Sheet3!B:B,Sheet3!J:J,0)</f>
        <v>0</v>
      </c>
      <c r="K469">
        <f t="shared" si="22"/>
        <v>0</v>
      </c>
      <c r="L469" s="54">
        <v>0</v>
      </c>
      <c r="M469" s="67">
        <f t="shared" si="23"/>
        <v>0</v>
      </c>
    </row>
    <row r="470" spans="2:13" hidden="1" x14ac:dyDescent="0.25">
      <c r="B470" t="str">
        <f t="shared" si="21"/>
        <v>VIER SG31</v>
      </c>
      <c r="C470" s="50" t="s">
        <v>958</v>
      </c>
      <c r="D470" s="51" t="s">
        <v>887</v>
      </c>
      <c r="E470" s="52" t="s">
        <v>959</v>
      </c>
      <c r="F470" s="50" t="s">
        <v>1630</v>
      </c>
      <c r="G470" s="50" t="s">
        <v>1630</v>
      </c>
      <c r="H470" s="53"/>
      <c r="I470" s="50" t="s">
        <v>1641</v>
      </c>
      <c r="J470" s="18">
        <f>+_xlfn.XLOOKUP(B470,Sheet3!B:B,Sheet3!J:J,0)</f>
        <v>0</v>
      </c>
      <c r="K470">
        <f t="shared" si="22"/>
        <v>0</v>
      </c>
      <c r="L470" s="54">
        <v>0</v>
      </c>
      <c r="M470" s="67">
        <f t="shared" si="23"/>
        <v>0</v>
      </c>
    </row>
    <row r="471" spans="2:13" hidden="1" x14ac:dyDescent="0.25">
      <c r="B471" t="str">
        <f t="shared" si="21"/>
        <v>VIER smart metering</v>
      </c>
      <c r="C471" s="50" t="s">
        <v>958</v>
      </c>
      <c r="D471" s="51" t="s">
        <v>887</v>
      </c>
      <c r="E471" s="52" t="s">
        <v>959</v>
      </c>
      <c r="F471" s="50" t="s">
        <v>1630</v>
      </c>
      <c r="G471" s="50" t="s">
        <v>1630</v>
      </c>
      <c r="H471" s="53"/>
      <c r="I471" s="50" t="s">
        <v>1642</v>
      </c>
      <c r="J471" s="18">
        <f>+_xlfn.XLOOKUP(B471,Sheet3!B:B,Sheet3!J:J,0)</f>
        <v>0</v>
      </c>
      <c r="K471">
        <f t="shared" si="22"/>
        <v>0</v>
      </c>
      <c r="L471" s="54">
        <v>0</v>
      </c>
      <c r="M471" s="67">
        <f t="shared" si="23"/>
        <v>0</v>
      </c>
    </row>
    <row r="472" spans="2:13" hidden="1" x14ac:dyDescent="0.25">
      <c r="B472" t="str">
        <f t="shared" si="21"/>
        <v>VIER monitoraggioEPC-PHV-L736-04</v>
      </c>
      <c r="C472" s="50" t="s">
        <v>958</v>
      </c>
      <c r="D472" s="51" t="s">
        <v>887</v>
      </c>
      <c r="E472" s="50" t="s">
        <v>959</v>
      </c>
      <c r="F472" s="50" t="s">
        <v>1630</v>
      </c>
      <c r="G472" s="50" t="s">
        <v>1630</v>
      </c>
      <c r="H472" s="57" t="s">
        <v>1643</v>
      </c>
      <c r="I472" s="50" t="s">
        <v>1644</v>
      </c>
      <c r="J472" s="18">
        <f>+_xlfn.XLOOKUP(B472,Sheet3!B:B,Sheet3!J:J,0)</f>
        <v>0</v>
      </c>
      <c r="K472">
        <f t="shared" si="22"/>
        <v>0</v>
      </c>
      <c r="L472" s="54">
        <v>0</v>
      </c>
      <c r="M472" s="67">
        <f t="shared" si="23"/>
        <v>0</v>
      </c>
    </row>
    <row r="473" spans="2:13" hidden="1" x14ac:dyDescent="0.25">
      <c r="B473" t="str">
        <f t="shared" si="21"/>
        <v>Chioggia mobility</v>
      </c>
      <c r="C473" s="50" t="s">
        <v>958</v>
      </c>
      <c r="D473" s="51" t="s">
        <v>887</v>
      </c>
      <c r="E473" s="52" t="s">
        <v>959</v>
      </c>
      <c r="F473" s="50" t="s">
        <v>1630</v>
      </c>
      <c r="G473" s="50" t="s">
        <v>1630</v>
      </c>
      <c r="H473" s="53"/>
      <c r="I473" s="50" t="s">
        <v>1645</v>
      </c>
      <c r="J473" s="18">
        <f>+_xlfn.XLOOKUP(B473,Sheet3!B:B,Sheet3!J:J,0)</f>
        <v>0</v>
      </c>
      <c r="K473">
        <f t="shared" si="22"/>
        <v>0</v>
      </c>
      <c r="L473" s="54">
        <v>0</v>
      </c>
      <c r="M473" s="67">
        <f t="shared" si="23"/>
        <v>0</v>
      </c>
    </row>
    <row r="474" spans="2:13" hidden="1" x14ac:dyDescent="0.25">
      <c r="B474" t="str">
        <f t="shared" si="21"/>
        <v>Chioggia Arena</v>
      </c>
      <c r="C474" s="50" t="s">
        <v>958</v>
      </c>
      <c r="D474" s="51" t="s">
        <v>887</v>
      </c>
      <c r="E474" s="52" t="s">
        <v>959</v>
      </c>
      <c r="F474" s="50" t="s">
        <v>1630</v>
      </c>
      <c r="G474" s="50" t="s">
        <v>1630</v>
      </c>
      <c r="H474" s="53"/>
      <c r="I474" s="50" t="s">
        <v>1646</v>
      </c>
      <c r="J474" s="18">
        <f>+_xlfn.XLOOKUP(B474,Sheet3!B:B,Sheet3!J:J,0)</f>
        <v>0</v>
      </c>
      <c r="K474">
        <f t="shared" si="22"/>
        <v>0</v>
      </c>
      <c r="L474" s="54">
        <v>0</v>
      </c>
      <c r="M474" s="67">
        <f t="shared" si="23"/>
        <v>0</v>
      </c>
    </row>
    <row r="475" spans="2:13" hidden="1" x14ac:dyDescent="0.25">
      <c r="B475" t="str">
        <f t="shared" si="21"/>
        <v>VIER ex AlcoaEPC-PHV-L736-03</v>
      </c>
      <c r="C475" s="50" t="s">
        <v>958</v>
      </c>
      <c r="D475" s="51" t="s">
        <v>887</v>
      </c>
      <c r="E475" s="50" t="s">
        <v>959</v>
      </c>
      <c r="F475" s="50" t="s">
        <v>1630</v>
      </c>
      <c r="G475" s="50" t="s">
        <v>1630</v>
      </c>
      <c r="H475" s="57" t="s">
        <v>1647</v>
      </c>
      <c r="I475" s="50" t="s">
        <v>1648</v>
      </c>
      <c r="J475" s="18">
        <f>+_xlfn.XLOOKUP(B475,Sheet3!B:B,Sheet3!J:J,0)</f>
        <v>0</v>
      </c>
      <c r="K475">
        <f t="shared" si="22"/>
        <v>0</v>
      </c>
      <c r="L475" s="54">
        <v>0</v>
      </c>
      <c r="M475" s="67">
        <f t="shared" si="23"/>
        <v>0</v>
      </c>
    </row>
    <row r="476" spans="2:13" hidden="1" x14ac:dyDescent="0.25">
      <c r="B476" t="str">
        <f t="shared" si="21"/>
        <v>A2AEPC-IPU-H943-01</v>
      </c>
      <c r="C476" s="50" t="s">
        <v>826</v>
      </c>
      <c r="D476" s="51" t="s">
        <v>887</v>
      </c>
      <c r="E476" s="50" t="s">
        <v>910</v>
      </c>
      <c r="F476" s="50" t="s">
        <v>1630</v>
      </c>
      <c r="G476" s="50" t="s">
        <v>1630</v>
      </c>
      <c r="H476" s="57" t="s">
        <v>1649</v>
      </c>
      <c r="I476" s="50" t="s">
        <v>1650</v>
      </c>
      <c r="J476" s="18">
        <f>+_xlfn.XLOOKUP(B476,Sheet3!B:B,Sheet3!J:J,0)</f>
        <v>0</v>
      </c>
      <c r="K476">
        <f t="shared" si="22"/>
        <v>0</v>
      </c>
      <c r="L476" s="54">
        <v>0</v>
      </c>
      <c r="M476" s="67">
        <f t="shared" si="23"/>
        <v>0</v>
      </c>
    </row>
    <row r="477" spans="2:13" hidden="1" x14ac:dyDescent="0.25">
      <c r="B477" t="str">
        <f t="shared" si="21"/>
        <v>Elena fornitura materiali</v>
      </c>
      <c r="C477" s="50" t="s">
        <v>826</v>
      </c>
      <c r="D477" s="51" t="s">
        <v>887</v>
      </c>
      <c r="E477" s="52" t="s">
        <v>910</v>
      </c>
      <c r="F477" s="50" t="s">
        <v>1651</v>
      </c>
      <c r="G477" s="50" t="s">
        <v>1651</v>
      </c>
      <c r="H477" s="53"/>
      <c r="I477" s="50" t="s">
        <v>1652</v>
      </c>
      <c r="J477" s="18">
        <f>+_xlfn.XLOOKUP(B477,Sheet3!B:B,Sheet3!J:J,0)</f>
        <v>0</v>
      </c>
      <c r="K477">
        <f t="shared" si="22"/>
        <v>0</v>
      </c>
      <c r="L477" s="54">
        <v>0</v>
      </c>
      <c r="M477" s="67">
        <f t="shared" si="23"/>
        <v>0</v>
      </c>
    </row>
    <row r="478" spans="2:13" hidden="1" x14ac:dyDescent="0.25">
      <c r="B478" t="str">
        <f t="shared" si="21"/>
        <v>GiuggianelloEPC-IPU-E053-02</v>
      </c>
      <c r="C478" s="50" t="s">
        <v>826</v>
      </c>
      <c r="D478" s="51" t="s">
        <v>887</v>
      </c>
      <c r="E478" s="50" t="s">
        <v>910</v>
      </c>
      <c r="F478" s="50" t="s">
        <v>1533</v>
      </c>
      <c r="G478" s="50" t="s">
        <v>1533</v>
      </c>
      <c r="H478" s="57" t="s">
        <v>1653</v>
      </c>
      <c r="I478" s="50" t="s">
        <v>1393</v>
      </c>
      <c r="J478" s="18">
        <f>+_xlfn.XLOOKUP(B478,Sheet3!B:B,Sheet3!J:J,0)</f>
        <v>0</v>
      </c>
      <c r="K478">
        <f t="shared" si="22"/>
        <v>0</v>
      </c>
      <c r="L478" s="54">
        <v>0</v>
      </c>
      <c r="M478" s="67">
        <f t="shared" si="23"/>
        <v>0</v>
      </c>
    </row>
    <row r="479" spans="2:13" hidden="1" x14ac:dyDescent="0.25">
      <c r="B479" t="str">
        <f t="shared" si="21"/>
        <v>Campi Salentina (Pj Elena)</v>
      </c>
      <c r="C479" s="50" t="s">
        <v>826</v>
      </c>
      <c r="D479" s="51" t="s">
        <v>887</v>
      </c>
      <c r="E479" s="52" t="s">
        <v>910</v>
      </c>
      <c r="F479" s="50" t="s">
        <v>965</v>
      </c>
      <c r="G479" s="50" t="s">
        <v>965</v>
      </c>
      <c r="H479" s="53"/>
      <c r="I479" s="50" t="s">
        <v>1654</v>
      </c>
      <c r="J479" s="18">
        <f>+_xlfn.XLOOKUP(B479,Sheet3!B:B,Sheet3!J:J,0)</f>
        <v>0</v>
      </c>
      <c r="K479">
        <f t="shared" si="22"/>
        <v>0</v>
      </c>
      <c r="L479" s="54">
        <v>0</v>
      </c>
      <c r="M479" s="67">
        <f t="shared" si="23"/>
        <v>0</v>
      </c>
    </row>
    <row r="480" spans="2:13" hidden="1" x14ac:dyDescent="0.25">
      <c r="B480" t="str">
        <f t="shared" si="21"/>
        <v>Cellino San Marco (Pj Elena) HM</v>
      </c>
      <c r="C480" s="50" t="s">
        <v>826</v>
      </c>
      <c r="D480" s="51" t="s">
        <v>887</v>
      </c>
      <c r="E480" s="52" t="s">
        <v>910</v>
      </c>
      <c r="F480" s="50" t="s">
        <v>965</v>
      </c>
      <c r="G480" s="50" t="s">
        <v>965</v>
      </c>
      <c r="H480" s="53"/>
      <c r="I480" s="50" t="s">
        <v>1655</v>
      </c>
      <c r="J480" s="18">
        <f>+_xlfn.XLOOKUP(B480,Sheet3!B:B,Sheet3!J:J,0)</f>
        <v>0</v>
      </c>
      <c r="K480">
        <f t="shared" si="22"/>
        <v>0</v>
      </c>
      <c r="L480" s="54">
        <v>0</v>
      </c>
      <c r="M480" s="67">
        <f t="shared" si="23"/>
        <v>0</v>
      </c>
    </row>
    <row r="481" spans="2:13" hidden="1" x14ac:dyDescent="0.25">
      <c r="B481" t="str">
        <f t="shared" si="21"/>
        <v>Copertino (Pj Elena)</v>
      </c>
      <c r="C481" s="50" t="s">
        <v>826</v>
      </c>
      <c r="D481" s="51" t="s">
        <v>887</v>
      </c>
      <c r="E481" s="52" t="s">
        <v>910</v>
      </c>
      <c r="F481" s="50" t="s">
        <v>965</v>
      </c>
      <c r="G481" s="50" t="s">
        <v>965</v>
      </c>
      <c r="H481" s="53"/>
      <c r="I481" s="50" t="s">
        <v>1656</v>
      </c>
      <c r="J481" s="18">
        <f>+_xlfn.XLOOKUP(B481,Sheet3!B:B,Sheet3!J:J,0)</f>
        <v>0</v>
      </c>
      <c r="K481">
        <f t="shared" si="22"/>
        <v>0</v>
      </c>
      <c r="L481" s="54">
        <v>0</v>
      </c>
      <c r="M481" s="67">
        <f t="shared" si="23"/>
        <v>0</v>
      </c>
    </row>
    <row r="482" spans="2:13" hidden="1" x14ac:dyDescent="0.25">
      <c r="B482" t="str">
        <f t="shared" si="21"/>
        <v>Galatone (Pj Elena)</v>
      </c>
      <c r="C482" s="50" t="s">
        <v>826</v>
      </c>
      <c r="D482" s="51" t="s">
        <v>887</v>
      </c>
      <c r="E482" s="52" t="s">
        <v>910</v>
      </c>
      <c r="F482" s="50" t="s">
        <v>965</v>
      </c>
      <c r="G482" s="50" t="s">
        <v>965</v>
      </c>
      <c r="H482" s="53"/>
      <c r="I482" s="50" t="s">
        <v>1657</v>
      </c>
      <c r="J482" s="18">
        <f>+_xlfn.XLOOKUP(B482,Sheet3!B:B,Sheet3!J:J,0)</f>
        <v>0</v>
      </c>
      <c r="K482">
        <f t="shared" si="22"/>
        <v>0</v>
      </c>
      <c r="L482" s="54">
        <v>0</v>
      </c>
      <c r="M482" s="67">
        <f t="shared" si="23"/>
        <v>0</v>
      </c>
    </row>
    <row r="483" spans="2:13" hidden="1" x14ac:dyDescent="0.25">
      <c r="B483" t="str">
        <f t="shared" si="21"/>
        <v>Gallipoli (Pj Elena) HM</v>
      </c>
      <c r="C483" s="50" t="s">
        <v>826</v>
      </c>
      <c r="D483" s="51" t="s">
        <v>887</v>
      </c>
      <c r="E483" s="52" t="s">
        <v>910</v>
      </c>
      <c r="F483" s="50" t="s">
        <v>965</v>
      </c>
      <c r="G483" s="50" t="s">
        <v>965</v>
      </c>
      <c r="H483" s="53"/>
      <c r="I483" s="50" t="s">
        <v>1658</v>
      </c>
      <c r="J483" s="18">
        <f>+_xlfn.XLOOKUP(B483,Sheet3!B:B,Sheet3!J:J,0)</f>
        <v>0</v>
      </c>
      <c r="K483">
        <f t="shared" si="22"/>
        <v>0</v>
      </c>
      <c r="L483" s="54">
        <v>0</v>
      </c>
      <c r="M483" s="67">
        <f t="shared" si="23"/>
        <v>0</v>
      </c>
    </row>
    <row r="484" spans="2:13" hidden="1" x14ac:dyDescent="0.25">
      <c r="B484" t="str">
        <f t="shared" si="21"/>
        <v>Guagnano (Pj Elena)</v>
      </c>
      <c r="C484" s="50" t="s">
        <v>826</v>
      </c>
      <c r="D484" s="51" t="s">
        <v>887</v>
      </c>
      <c r="E484" s="50" t="s">
        <v>910</v>
      </c>
      <c r="F484" s="50" t="s">
        <v>965</v>
      </c>
      <c r="G484" s="50" t="s">
        <v>965</v>
      </c>
      <c r="H484" s="53"/>
      <c r="I484" s="50" t="s">
        <v>1659</v>
      </c>
      <c r="J484" s="18">
        <f>+_xlfn.XLOOKUP(B484,Sheet3!B:B,Sheet3!J:J,0)</f>
        <v>0</v>
      </c>
      <c r="K484">
        <f t="shared" si="22"/>
        <v>0</v>
      </c>
      <c r="L484" s="54">
        <v>0</v>
      </c>
      <c r="M484" s="67">
        <f t="shared" si="23"/>
        <v>0</v>
      </c>
    </row>
    <row r="485" spans="2:13" hidden="1" x14ac:dyDescent="0.25">
      <c r="B485" t="str">
        <f t="shared" si="21"/>
        <v>Leverano (Pj Elena)</v>
      </c>
      <c r="C485" s="50" t="s">
        <v>826</v>
      </c>
      <c r="D485" s="51" t="s">
        <v>887</v>
      </c>
      <c r="E485" s="52" t="s">
        <v>910</v>
      </c>
      <c r="F485" s="50" t="s">
        <v>965</v>
      </c>
      <c r="G485" s="50" t="s">
        <v>965</v>
      </c>
      <c r="H485" s="53"/>
      <c r="I485" s="50" t="s">
        <v>1660</v>
      </c>
      <c r="J485" s="18">
        <f>+_xlfn.XLOOKUP(B485,Sheet3!B:B,Sheet3!J:J,0)</f>
        <v>0</v>
      </c>
      <c r="K485">
        <f t="shared" si="22"/>
        <v>0</v>
      </c>
      <c r="L485" s="54">
        <v>0</v>
      </c>
      <c r="M485" s="67">
        <f t="shared" si="23"/>
        <v>0</v>
      </c>
    </row>
    <row r="486" spans="2:13" hidden="1" x14ac:dyDescent="0.25">
      <c r="B486" t="str">
        <f t="shared" si="21"/>
        <v>Lizzanello (Pj Elena)</v>
      </c>
      <c r="C486" s="50" t="s">
        <v>826</v>
      </c>
      <c r="D486" s="51" t="s">
        <v>887</v>
      </c>
      <c r="E486" s="52" t="s">
        <v>910</v>
      </c>
      <c r="F486" s="50" t="s">
        <v>965</v>
      </c>
      <c r="G486" s="50" t="s">
        <v>965</v>
      </c>
      <c r="H486" s="53"/>
      <c r="I486" s="50" t="s">
        <v>1661</v>
      </c>
      <c r="J486" s="18">
        <f>+_xlfn.XLOOKUP(B486,Sheet3!B:B,Sheet3!J:J,0)</f>
        <v>0</v>
      </c>
      <c r="K486">
        <f t="shared" si="22"/>
        <v>0</v>
      </c>
      <c r="L486" s="54">
        <v>0</v>
      </c>
      <c r="M486" s="67">
        <f t="shared" si="23"/>
        <v>0</v>
      </c>
    </row>
    <row r="487" spans="2:13" hidden="1" x14ac:dyDescent="0.25">
      <c r="B487" t="str">
        <f t="shared" si="21"/>
        <v>Manduria (Pj Elena) HM</v>
      </c>
      <c r="C487" s="50" t="s">
        <v>826</v>
      </c>
      <c r="D487" s="51" t="s">
        <v>887</v>
      </c>
      <c r="E487" s="52" t="s">
        <v>910</v>
      </c>
      <c r="F487" s="50" t="s">
        <v>965</v>
      </c>
      <c r="G487" s="50" t="s">
        <v>965</v>
      </c>
      <c r="H487" s="53"/>
      <c r="I487" s="50" t="s">
        <v>1662</v>
      </c>
      <c r="J487" s="18">
        <f>+_xlfn.XLOOKUP(B487,Sheet3!B:B,Sheet3!J:J,0)</f>
        <v>0</v>
      </c>
      <c r="K487">
        <f t="shared" si="22"/>
        <v>0</v>
      </c>
      <c r="L487" s="54">
        <v>0</v>
      </c>
      <c r="M487" s="67">
        <f t="shared" si="23"/>
        <v>0</v>
      </c>
    </row>
    <row r="488" spans="2:13" hidden="1" x14ac:dyDescent="0.25">
      <c r="B488" t="str">
        <f t="shared" si="21"/>
        <v>Maruggio (Pj Elena)</v>
      </c>
      <c r="C488" s="50" t="s">
        <v>826</v>
      </c>
      <c r="D488" s="51" t="s">
        <v>887</v>
      </c>
      <c r="E488" s="52" t="s">
        <v>910</v>
      </c>
      <c r="F488" s="50" t="s">
        <v>965</v>
      </c>
      <c r="G488" s="50" t="s">
        <v>965</v>
      </c>
      <c r="H488" s="53"/>
      <c r="I488" s="50" t="s">
        <v>1663</v>
      </c>
      <c r="J488" s="18">
        <f>+_xlfn.XLOOKUP(B488,Sheet3!B:B,Sheet3!J:J,0)</f>
        <v>0</v>
      </c>
      <c r="K488">
        <f t="shared" si="22"/>
        <v>0</v>
      </c>
      <c r="L488" s="54">
        <v>0</v>
      </c>
      <c r="M488" s="67">
        <f t="shared" si="23"/>
        <v>0</v>
      </c>
    </row>
    <row r="489" spans="2:13" hidden="1" x14ac:dyDescent="0.25">
      <c r="B489" t="str">
        <f t="shared" si="21"/>
        <v>Saleci Salentino (Pj Elena)</v>
      </c>
      <c r="C489" s="50" t="s">
        <v>826</v>
      </c>
      <c r="D489" s="51" t="s">
        <v>887</v>
      </c>
      <c r="E489" s="52" t="s">
        <v>910</v>
      </c>
      <c r="F489" s="50" t="s">
        <v>965</v>
      </c>
      <c r="G489" s="50" t="s">
        <v>965</v>
      </c>
      <c r="H489" s="53"/>
      <c r="I489" s="50" t="s">
        <v>1664</v>
      </c>
      <c r="J489" s="18">
        <f>+_xlfn.XLOOKUP(B489,Sheet3!B:B,Sheet3!J:J,0)</f>
        <v>0</v>
      </c>
      <c r="K489">
        <f t="shared" si="22"/>
        <v>0</v>
      </c>
      <c r="L489" s="54">
        <v>0</v>
      </c>
      <c r="M489" s="67">
        <f t="shared" si="23"/>
        <v>0</v>
      </c>
    </row>
    <row r="490" spans="2:13" hidden="1" x14ac:dyDescent="0.25">
      <c r="B490" t="str">
        <f t="shared" si="21"/>
        <v>San Donaci (Pj Elena)</v>
      </c>
      <c r="C490" s="50" t="s">
        <v>826</v>
      </c>
      <c r="D490" s="51" t="s">
        <v>887</v>
      </c>
      <c r="E490" s="52" t="s">
        <v>910</v>
      </c>
      <c r="F490" s="50" t="s">
        <v>965</v>
      </c>
      <c r="G490" s="50" t="s">
        <v>965</v>
      </c>
      <c r="H490" s="53"/>
      <c r="I490" s="50" t="s">
        <v>1665</v>
      </c>
      <c r="J490" s="18">
        <f>+_xlfn.XLOOKUP(B490,Sheet3!B:B,Sheet3!J:J,0)</f>
        <v>0</v>
      </c>
      <c r="K490">
        <f t="shared" si="22"/>
        <v>0</v>
      </c>
      <c r="L490" s="54">
        <v>0</v>
      </c>
      <c r="M490" s="67">
        <f t="shared" si="23"/>
        <v>0</v>
      </c>
    </row>
    <row r="491" spans="2:13" hidden="1" x14ac:dyDescent="0.25">
      <c r="B491" t="str">
        <f t="shared" si="21"/>
        <v>Squinzano (Pj Elena)</v>
      </c>
      <c r="C491" s="50" t="s">
        <v>826</v>
      </c>
      <c r="D491" s="51" t="s">
        <v>887</v>
      </c>
      <c r="E491" s="52" t="s">
        <v>910</v>
      </c>
      <c r="F491" s="50" t="s">
        <v>965</v>
      </c>
      <c r="G491" s="50" t="s">
        <v>965</v>
      </c>
      <c r="H491" s="53"/>
      <c r="I491" s="50" t="s">
        <v>1666</v>
      </c>
      <c r="J491" s="18">
        <f>+_xlfn.XLOOKUP(B491,Sheet3!B:B,Sheet3!J:J,0)</f>
        <v>0</v>
      </c>
      <c r="K491">
        <f t="shared" si="22"/>
        <v>0</v>
      </c>
      <c r="L491" s="54">
        <v>0</v>
      </c>
      <c r="M491" s="67">
        <f t="shared" si="23"/>
        <v>0</v>
      </c>
    </row>
    <row r="492" spans="2:13" hidden="1" x14ac:dyDescent="0.25">
      <c r="B492" t="str">
        <f t="shared" si="21"/>
        <v>Surbo (Pj Elena)</v>
      </c>
      <c r="C492" s="50" t="s">
        <v>826</v>
      </c>
      <c r="D492" s="51" t="s">
        <v>887</v>
      </c>
      <c r="E492" s="52" t="s">
        <v>910</v>
      </c>
      <c r="F492" s="50" t="s">
        <v>965</v>
      </c>
      <c r="G492" s="50" t="s">
        <v>965</v>
      </c>
      <c r="H492" s="53"/>
      <c r="I492" s="50" t="s">
        <v>1667</v>
      </c>
      <c r="J492" s="18">
        <f>+_xlfn.XLOOKUP(B492,Sheet3!B:B,Sheet3!J:J,0)</f>
        <v>0</v>
      </c>
      <c r="K492">
        <f t="shared" si="22"/>
        <v>0</v>
      </c>
      <c r="L492" s="54">
        <v>0</v>
      </c>
      <c r="M492" s="67">
        <f t="shared" si="23"/>
        <v>0</v>
      </c>
    </row>
    <row r="493" spans="2:13" hidden="1" x14ac:dyDescent="0.25">
      <c r="B493" t="str">
        <f t="shared" si="21"/>
        <v>Trepuzzi (Pj Elena)</v>
      </c>
      <c r="C493" s="50" t="s">
        <v>826</v>
      </c>
      <c r="D493" s="51" t="s">
        <v>887</v>
      </c>
      <c r="E493" s="52" t="s">
        <v>910</v>
      </c>
      <c r="F493" s="50" t="s">
        <v>965</v>
      </c>
      <c r="G493" s="50" t="s">
        <v>965</v>
      </c>
      <c r="H493" s="53"/>
      <c r="I493" s="50" t="s">
        <v>1668</v>
      </c>
      <c r="J493" s="18">
        <f>+_xlfn.XLOOKUP(B493,Sheet3!B:B,Sheet3!J:J,0)</f>
        <v>0</v>
      </c>
      <c r="K493">
        <f t="shared" si="22"/>
        <v>0</v>
      </c>
      <c r="L493" s="54">
        <v>0</v>
      </c>
      <c r="M493" s="67">
        <f t="shared" si="23"/>
        <v>0</v>
      </c>
    </row>
    <row r="494" spans="2:13" hidden="1" x14ac:dyDescent="0.25">
      <c r="B494" t="str">
        <f t="shared" si="21"/>
        <v>Veglie (Pj Elena)</v>
      </c>
      <c r="C494" s="50" t="s">
        <v>826</v>
      </c>
      <c r="D494" s="51" t="s">
        <v>887</v>
      </c>
      <c r="E494" s="52" t="s">
        <v>910</v>
      </c>
      <c r="F494" s="50" t="s">
        <v>965</v>
      </c>
      <c r="G494" s="50" t="s">
        <v>965</v>
      </c>
      <c r="H494" s="53"/>
      <c r="I494" s="50" t="s">
        <v>1669</v>
      </c>
      <c r="J494" s="18">
        <f>+_xlfn.XLOOKUP(B494,Sheet3!B:B,Sheet3!J:J,0)</f>
        <v>0</v>
      </c>
      <c r="K494">
        <f t="shared" si="22"/>
        <v>0</v>
      </c>
      <c r="L494" s="54">
        <v>0</v>
      </c>
      <c r="M494" s="67">
        <f t="shared" si="23"/>
        <v>0</v>
      </c>
    </row>
    <row r="495" spans="2:13" hidden="1" x14ac:dyDescent="0.25">
      <c r="B495" t="str">
        <f t="shared" si="21"/>
        <v>Altri capex 1</v>
      </c>
      <c r="C495" s="50" t="s">
        <v>826</v>
      </c>
      <c r="D495" s="51" t="s">
        <v>887</v>
      </c>
      <c r="E495" s="52" t="s">
        <v>910</v>
      </c>
      <c r="F495" s="50" t="s">
        <v>1670</v>
      </c>
      <c r="G495" s="50" t="s">
        <v>1670</v>
      </c>
      <c r="H495" s="53"/>
      <c r="I495" s="50" t="s">
        <v>1671</v>
      </c>
      <c r="J495" s="18">
        <f>+_xlfn.XLOOKUP(B495,Sheet3!B:B,Sheet3!J:J,0)</f>
        <v>0</v>
      </c>
      <c r="K495">
        <f t="shared" si="22"/>
        <v>0</v>
      </c>
      <c r="L495" s="54">
        <v>0</v>
      </c>
      <c r="M495" s="67">
        <f t="shared" si="23"/>
        <v>0</v>
      </c>
    </row>
    <row r="496" spans="2:13" hidden="1" x14ac:dyDescent="0.25">
      <c r="B496" t="str">
        <f t="shared" si="21"/>
        <v>Altri capex 2</v>
      </c>
      <c r="C496" s="50" t="s">
        <v>826</v>
      </c>
      <c r="D496" s="51" t="s">
        <v>887</v>
      </c>
      <c r="E496" s="52" t="s">
        <v>896</v>
      </c>
      <c r="F496" s="50" t="s">
        <v>1670</v>
      </c>
      <c r="G496" s="50" t="s">
        <v>1670</v>
      </c>
      <c r="H496" s="53"/>
      <c r="I496" s="50" t="s">
        <v>1672</v>
      </c>
      <c r="J496" s="18">
        <f>+_xlfn.XLOOKUP(B496,Sheet3!B:B,Sheet3!J:J,0)</f>
        <v>0</v>
      </c>
      <c r="K496">
        <f t="shared" si="22"/>
        <v>0</v>
      </c>
      <c r="L496" s="54">
        <v>0</v>
      </c>
      <c r="M496" s="67">
        <f t="shared" si="23"/>
        <v>0</v>
      </c>
    </row>
    <row r="497" spans="2:13" hidden="1" x14ac:dyDescent="0.25">
      <c r="B497" t="str">
        <f t="shared" si="21"/>
        <v>Altri capex 3</v>
      </c>
      <c r="C497" s="50" t="s">
        <v>826</v>
      </c>
      <c r="D497" s="51" t="s">
        <v>887</v>
      </c>
      <c r="E497" s="52" t="s">
        <v>888</v>
      </c>
      <c r="F497" s="50" t="s">
        <v>1670</v>
      </c>
      <c r="G497" s="50" t="s">
        <v>1670</v>
      </c>
      <c r="H497" s="53"/>
      <c r="I497" s="50" t="s">
        <v>1673</v>
      </c>
      <c r="J497" s="18">
        <f>+_xlfn.XLOOKUP(B497,Sheet3!B:B,Sheet3!J:J,0)</f>
        <v>0</v>
      </c>
      <c r="K497">
        <f t="shared" si="22"/>
        <v>0</v>
      </c>
      <c r="L497" s="54">
        <v>0</v>
      </c>
      <c r="M497" s="67">
        <f t="shared" si="23"/>
        <v>0</v>
      </c>
    </row>
    <row r="498" spans="2:13" hidden="1" x14ac:dyDescent="0.25">
      <c r="B498" t="str">
        <f t="shared" si="21"/>
        <v>Altri capex 4</v>
      </c>
      <c r="C498" s="50" t="s">
        <v>826</v>
      </c>
      <c r="D498" s="51" t="s">
        <v>887</v>
      </c>
      <c r="E498" s="52" t="s">
        <v>959</v>
      </c>
      <c r="F498" s="50" t="s">
        <v>1670</v>
      </c>
      <c r="G498" s="50" t="s">
        <v>1670</v>
      </c>
      <c r="H498" s="53"/>
      <c r="I498" s="50" t="s">
        <v>1674</v>
      </c>
      <c r="J498" s="18">
        <f>+_xlfn.XLOOKUP(B498,Sheet3!B:B,Sheet3!J:J,0)</f>
        <v>0</v>
      </c>
      <c r="K498">
        <f t="shared" si="22"/>
        <v>0</v>
      </c>
      <c r="L498" s="54">
        <v>0</v>
      </c>
      <c r="M498" s="67">
        <f t="shared" si="23"/>
        <v>0</v>
      </c>
    </row>
    <row r="499" spans="2:13" hidden="1" x14ac:dyDescent="0.25">
      <c r="B499" t="str">
        <f t="shared" si="21"/>
        <v>Elena Incentives</v>
      </c>
      <c r="C499" s="50" t="s">
        <v>826</v>
      </c>
      <c r="D499" s="51" t="s">
        <v>887</v>
      </c>
      <c r="E499" s="52" t="s">
        <v>910</v>
      </c>
      <c r="F499" s="50" t="s">
        <v>965</v>
      </c>
      <c r="G499" s="50" t="s">
        <v>965</v>
      </c>
      <c r="H499" s="53"/>
      <c r="I499" s="50" t="s">
        <v>1675</v>
      </c>
      <c r="J499" s="18">
        <f>+_xlfn.XLOOKUP(B499,Sheet3!B:B,Sheet3!J:J,0)</f>
        <v>0</v>
      </c>
      <c r="K499">
        <f t="shared" si="22"/>
        <v>0</v>
      </c>
      <c r="L499" s="54">
        <v>0</v>
      </c>
      <c r="M499" s="67">
        <f t="shared" si="23"/>
        <v>0</v>
      </c>
    </row>
    <row r="500" spans="2:13" hidden="1" x14ac:dyDescent="0.25">
      <c r="B500" t="str">
        <f t="shared" si="21"/>
        <v>PV incentives South</v>
      </c>
      <c r="C500" s="50" t="s">
        <v>826</v>
      </c>
      <c r="D500" s="51" t="s">
        <v>887</v>
      </c>
      <c r="E500" s="52" t="s">
        <v>910</v>
      </c>
      <c r="F500" s="50" t="s">
        <v>897</v>
      </c>
      <c r="G500" s="50" t="s">
        <v>897</v>
      </c>
      <c r="H500" s="53"/>
      <c r="I500" s="50" t="s">
        <v>1676</v>
      </c>
      <c r="J500" s="18">
        <f>+_xlfn.XLOOKUP(B500,Sheet3!B:B,Sheet3!J:J,0)</f>
        <v>0</v>
      </c>
      <c r="K500">
        <f t="shared" si="22"/>
        <v>0</v>
      </c>
      <c r="L500" s="54">
        <v>0</v>
      </c>
      <c r="M500" s="67">
        <f t="shared" si="23"/>
        <v>0</v>
      </c>
    </row>
    <row r="501" spans="2:13" hidden="1" x14ac:dyDescent="0.25">
      <c r="B501" t="str">
        <f t="shared" si="21"/>
        <v>PV incentives Centre</v>
      </c>
      <c r="C501" s="50" t="s">
        <v>826</v>
      </c>
      <c r="D501" s="51" t="s">
        <v>887</v>
      </c>
      <c r="E501" s="52" t="s">
        <v>896</v>
      </c>
      <c r="F501" s="50" t="s">
        <v>897</v>
      </c>
      <c r="G501" s="50" t="s">
        <v>897</v>
      </c>
      <c r="H501" s="53"/>
      <c r="I501" s="50" t="s">
        <v>1677</v>
      </c>
      <c r="J501" s="18">
        <f>+_xlfn.XLOOKUP(B501,Sheet3!B:B,Sheet3!J:J,0)</f>
        <v>0</v>
      </c>
      <c r="K501">
        <f t="shared" si="22"/>
        <v>0</v>
      </c>
      <c r="L501" s="54">
        <v>0</v>
      </c>
      <c r="M501" s="67">
        <f t="shared" si="23"/>
        <v>0</v>
      </c>
    </row>
    <row r="502" spans="2:13" hidden="1" x14ac:dyDescent="0.25">
      <c r="B502" t="str">
        <f t="shared" si="21"/>
        <v>Provvigioni a intermediari</v>
      </c>
      <c r="C502" s="50" t="s">
        <v>826</v>
      </c>
      <c r="D502" s="51" t="s">
        <v>887</v>
      </c>
      <c r="E502" s="52" t="s">
        <v>959</v>
      </c>
      <c r="F502" s="50" t="s">
        <v>1670</v>
      </c>
      <c r="G502" s="50" t="s">
        <v>1670</v>
      </c>
      <c r="H502" s="53"/>
      <c r="I502" s="50" t="s">
        <v>1678</v>
      </c>
      <c r="J502" s="18">
        <f>+_xlfn.XLOOKUP(B502,Sheet3!B:B,Sheet3!J:J,0)</f>
        <v>0</v>
      </c>
      <c r="K502">
        <f t="shared" si="22"/>
        <v>0</v>
      </c>
      <c r="L502" s="54">
        <v>0</v>
      </c>
      <c r="M502" s="67">
        <f t="shared" si="23"/>
        <v>0</v>
      </c>
    </row>
    <row r="503" spans="2:13" hidden="1" x14ac:dyDescent="0.25">
      <c r="B503" t="str">
        <f t="shared" si="21"/>
        <v>Progetto PBCS</v>
      </c>
      <c r="C503" s="50" t="s">
        <v>826</v>
      </c>
      <c r="D503" s="51" t="s">
        <v>887</v>
      </c>
      <c r="E503" s="52" t="s">
        <v>959</v>
      </c>
      <c r="F503" s="50" t="s">
        <v>1670</v>
      </c>
      <c r="G503" s="50" t="s">
        <v>1670</v>
      </c>
      <c r="H503" s="53"/>
      <c r="I503" s="50" t="s">
        <v>1679</v>
      </c>
      <c r="J503" s="18">
        <f>+_xlfn.XLOOKUP(B503,Sheet3!B:B,Sheet3!J:J,0)</f>
        <v>0</v>
      </c>
      <c r="K503">
        <f t="shared" si="22"/>
        <v>0</v>
      </c>
      <c r="L503" s="54">
        <v>0</v>
      </c>
      <c r="M503" s="67">
        <f t="shared" si="23"/>
        <v>0</v>
      </c>
    </row>
    <row r="504" spans="2:13" hidden="1" x14ac:dyDescent="0.25">
      <c r="B504" t="str">
        <f t="shared" si="21"/>
        <v>ScaleaPPP-IPU-I489-01</v>
      </c>
      <c r="C504" s="50" t="s">
        <v>826</v>
      </c>
      <c r="D504" s="51" t="s">
        <v>887</v>
      </c>
      <c r="E504" s="50" t="s">
        <v>910</v>
      </c>
      <c r="F504" s="50" t="s">
        <v>889</v>
      </c>
      <c r="G504" s="50" t="s">
        <v>890</v>
      </c>
      <c r="H504" s="57" t="s">
        <v>1680</v>
      </c>
      <c r="I504" s="50" t="s">
        <v>1681</v>
      </c>
      <c r="J504" s="18">
        <f>+_xlfn.XLOOKUP(B504,Sheet3!B:B,Sheet3!J:J,0)</f>
        <v>0</v>
      </c>
      <c r="K504">
        <f t="shared" si="22"/>
        <v>0</v>
      </c>
      <c r="L504" s="54">
        <v>0</v>
      </c>
      <c r="M504" s="67">
        <f t="shared" si="23"/>
        <v>0</v>
      </c>
    </row>
    <row r="505" spans="2:13" hidden="1" x14ac:dyDescent="0.25">
      <c r="B505" t="str">
        <f t="shared" si="21"/>
        <v>San Salvatore TelesinoPPP-IPU-I145-01</v>
      </c>
      <c r="C505" s="50" t="s">
        <v>826</v>
      </c>
      <c r="D505" s="51" t="s">
        <v>887</v>
      </c>
      <c r="E505" s="50" t="s">
        <v>910</v>
      </c>
      <c r="F505" s="50" t="s">
        <v>889</v>
      </c>
      <c r="G505" s="50" t="s">
        <v>890</v>
      </c>
      <c r="H505" s="57" t="s">
        <v>1682</v>
      </c>
      <c r="I505" s="50" t="s">
        <v>1683</v>
      </c>
      <c r="J505" s="18">
        <f>+_xlfn.XLOOKUP(B505,Sheet3!B:B,Sheet3!J:J,0)</f>
        <v>34.590710000000001</v>
      </c>
      <c r="K505">
        <f t="shared" si="22"/>
        <v>46.120946666666669</v>
      </c>
      <c r="L505" s="54">
        <v>46.125509999999991</v>
      </c>
      <c r="M505" s="67">
        <f t="shared" si="23"/>
        <v>4.5633333333228165E-3</v>
      </c>
    </row>
    <row r="506" spans="2:13" hidden="1" x14ac:dyDescent="0.25">
      <c r="B506" t="str">
        <f t="shared" si="21"/>
        <v>PresiccePPP-IPU-M428-02</v>
      </c>
      <c r="C506" s="50" t="s">
        <v>826</v>
      </c>
      <c r="D506" s="51" t="s">
        <v>887</v>
      </c>
      <c r="E506" s="50" t="s">
        <v>910</v>
      </c>
      <c r="F506" s="50" t="s">
        <v>889</v>
      </c>
      <c r="G506" s="50" t="s">
        <v>890</v>
      </c>
      <c r="H506" s="57" t="s">
        <v>1684</v>
      </c>
      <c r="I506" s="50" t="s">
        <v>1685</v>
      </c>
      <c r="J506" s="18">
        <f>+_xlfn.XLOOKUP(B506,Sheet3!B:B,Sheet3!J:J,0)</f>
        <v>104.50188</v>
      </c>
      <c r="K506">
        <f t="shared" si="22"/>
        <v>139.33583999999999</v>
      </c>
      <c r="L506" s="54">
        <v>156.75282000000001</v>
      </c>
      <c r="M506" s="67">
        <f t="shared" si="23"/>
        <v>17.416980000000024</v>
      </c>
    </row>
    <row r="507" spans="2:13" hidden="1" x14ac:dyDescent="0.25">
      <c r="B507" t="str">
        <f t="shared" si="21"/>
        <v>NovaraCL3-IPU-F952-02</v>
      </c>
      <c r="C507" s="50" t="s">
        <v>958</v>
      </c>
      <c r="D507" s="51" t="s">
        <v>887</v>
      </c>
      <c r="E507" s="50" t="s">
        <v>888</v>
      </c>
      <c r="F507" s="50" t="s">
        <v>889</v>
      </c>
      <c r="G507" s="50" t="s">
        <v>1016</v>
      </c>
      <c r="H507" s="57" t="s">
        <v>1686</v>
      </c>
      <c r="I507" s="50" t="s">
        <v>1687</v>
      </c>
      <c r="J507" s="18">
        <f>+_xlfn.XLOOKUP(B507,Sheet3!B:B,Sheet3!J:J,0)</f>
        <v>0</v>
      </c>
      <c r="K507">
        <f t="shared" si="22"/>
        <v>0</v>
      </c>
      <c r="L507" s="54">
        <v>0</v>
      </c>
      <c r="M507" s="67">
        <f t="shared" si="23"/>
        <v>0</v>
      </c>
    </row>
    <row r="508" spans="2:13" hidden="1" x14ac:dyDescent="0.25">
      <c r="B508" t="str">
        <f t="shared" si="21"/>
        <v>ChiuppanoPPP-IPU-C650-01</v>
      </c>
      <c r="C508" s="50" t="s">
        <v>826</v>
      </c>
      <c r="D508" s="51" t="s">
        <v>1493</v>
      </c>
      <c r="E508" s="50" t="s">
        <v>959</v>
      </c>
      <c r="F508" s="50" t="s">
        <v>889</v>
      </c>
      <c r="G508" s="50" t="s">
        <v>890</v>
      </c>
      <c r="H508" s="57" t="s">
        <v>1688</v>
      </c>
      <c r="I508" s="50" t="s">
        <v>1689</v>
      </c>
      <c r="J508" s="18">
        <f>+_xlfn.XLOOKUP(B508,Sheet3!B:B,Sheet3!J:J,0)</f>
        <v>-10.18604</v>
      </c>
      <c r="K508">
        <f t="shared" si="22"/>
        <v>-13.581386666666667</v>
      </c>
      <c r="L508" s="54">
        <v>-10.18604</v>
      </c>
      <c r="M508" s="67">
        <f t="shared" si="23"/>
        <v>3.3953466666666667</v>
      </c>
    </row>
    <row r="509" spans="2:13" hidden="1" x14ac:dyDescent="0.25">
      <c r="B509" t="str">
        <f t="shared" si="21"/>
        <v>DelicetoPPP-IPU-D269-01</v>
      </c>
      <c r="C509" s="50" t="s">
        <v>826</v>
      </c>
      <c r="D509" s="51" t="s">
        <v>887</v>
      </c>
      <c r="E509" s="50" t="s">
        <v>910</v>
      </c>
      <c r="F509" s="50" t="s">
        <v>889</v>
      </c>
      <c r="G509" s="50" t="s">
        <v>890</v>
      </c>
      <c r="H509" s="57" t="s">
        <v>1690</v>
      </c>
      <c r="I509" s="50" t="s">
        <v>1691</v>
      </c>
      <c r="J509" s="18">
        <f>+_xlfn.XLOOKUP(B509,Sheet3!B:B,Sheet3!J:J,0)</f>
        <v>30.52561</v>
      </c>
      <c r="K509">
        <f t="shared" si="22"/>
        <v>40.700813333333336</v>
      </c>
      <c r="L509" s="54">
        <v>40.666599999999995</v>
      </c>
      <c r="M509" s="67">
        <f t="shared" si="23"/>
        <v>-3.4213333333340756E-2</v>
      </c>
    </row>
    <row r="510" spans="2:13" hidden="1" x14ac:dyDescent="0.25">
      <c r="B510" t="str">
        <f t="shared" si="21"/>
        <v>Piovene RocchettePPP-IPU-G694-01</v>
      </c>
      <c r="C510" s="50" t="s">
        <v>826</v>
      </c>
      <c r="D510" s="51" t="s">
        <v>1493</v>
      </c>
      <c r="E510" s="50" t="s">
        <v>959</v>
      </c>
      <c r="F510" s="50" t="s">
        <v>889</v>
      </c>
      <c r="G510" s="50" t="s">
        <v>890</v>
      </c>
      <c r="H510" s="57" t="s">
        <v>1692</v>
      </c>
      <c r="I510" s="50" t="s">
        <v>1693</v>
      </c>
      <c r="J510" s="18">
        <f>+_xlfn.XLOOKUP(B510,Sheet3!B:B,Sheet3!J:J,0)</f>
        <v>5.93154</v>
      </c>
      <c r="K510">
        <f t="shared" si="22"/>
        <v>7.9087199999999998</v>
      </c>
      <c r="L510" s="54">
        <v>5.93154</v>
      </c>
      <c r="M510" s="67">
        <f t="shared" si="23"/>
        <v>-1.9771799999999997</v>
      </c>
    </row>
    <row r="511" spans="2:13" hidden="1" x14ac:dyDescent="0.25">
      <c r="B511" t="str">
        <f t="shared" si="21"/>
        <v>Campi Salentina (Pj Elena)PPP-EEE-B506-04</v>
      </c>
      <c r="C511" s="50" t="s">
        <v>826</v>
      </c>
      <c r="D511" s="51" t="s">
        <v>887</v>
      </c>
      <c r="E511" s="50" t="s">
        <v>910</v>
      </c>
      <c r="F511" s="50" t="s">
        <v>965</v>
      </c>
      <c r="G511" s="50" t="s">
        <v>965</v>
      </c>
      <c r="H511" s="57" t="s">
        <v>1694</v>
      </c>
      <c r="I511" s="50" t="s">
        <v>1654</v>
      </c>
      <c r="J511" s="18">
        <f>+_xlfn.XLOOKUP(B511,Sheet3!B:B,Sheet3!J:J,0)</f>
        <v>0</v>
      </c>
      <c r="K511">
        <f t="shared" si="22"/>
        <v>0</v>
      </c>
      <c r="L511" s="54">
        <v>0</v>
      </c>
      <c r="M511" s="67">
        <f t="shared" si="23"/>
        <v>0</v>
      </c>
    </row>
    <row r="512" spans="2:13" hidden="1" x14ac:dyDescent="0.25">
      <c r="B512" t="str">
        <f t="shared" si="21"/>
        <v>PetrianoCL3-IPU-G514-01</v>
      </c>
      <c r="C512" s="50" t="s">
        <v>958</v>
      </c>
      <c r="D512" s="51" t="s">
        <v>887</v>
      </c>
      <c r="E512" s="50" t="s">
        <v>896</v>
      </c>
      <c r="F512" s="50" t="s">
        <v>889</v>
      </c>
      <c r="G512" s="50" t="s">
        <v>1016</v>
      </c>
      <c r="H512" s="57" t="s">
        <v>1695</v>
      </c>
      <c r="I512" s="50" t="s">
        <v>1696</v>
      </c>
      <c r="J512" s="18">
        <f>+_xlfn.XLOOKUP(B512,Sheet3!B:B,Sheet3!J:J,0)</f>
        <v>12.375</v>
      </c>
      <c r="K512">
        <f t="shared" si="22"/>
        <v>16.5</v>
      </c>
      <c r="L512" s="54">
        <v>8.25</v>
      </c>
      <c r="M512" s="67">
        <f t="shared" si="23"/>
        <v>-8.25</v>
      </c>
    </row>
    <row r="513" spans="2:13" hidden="1" x14ac:dyDescent="0.25">
      <c r="B513" t="str">
        <f t="shared" si="21"/>
        <v>ColobraroPPP-IPU-C888-01</v>
      </c>
      <c r="C513" s="50" t="s">
        <v>826</v>
      </c>
      <c r="D513" s="51" t="s">
        <v>887</v>
      </c>
      <c r="E513" s="50" t="s">
        <v>910</v>
      </c>
      <c r="F513" s="50" t="s">
        <v>889</v>
      </c>
      <c r="G513" s="50" t="s">
        <v>890</v>
      </c>
      <c r="H513" s="57" t="s">
        <v>1697</v>
      </c>
      <c r="I513" s="50" t="s">
        <v>1698</v>
      </c>
      <c r="J513" s="18">
        <f>+_xlfn.XLOOKUP(B513,Sheet3!B:B,Sheet3!J:J,0)</f>
        <v>39.927260000000004</v>
      </c>
      <c r="K513">
        <f t="shared" si="22"/>
        <v>53.23634666666667</v>
      </c>
      <c r="L513" s="54">
        <v>53.236350000000009</v>
      </c>
      <c r="M513" s="67">
        <f t="shared" si="23"/>
        <v>3.3333333391283304E-6</v>
      </c>
    </row>
    <row r="514" spans="2:13" hidden="1" x14ac:dyDescent="0.25">
      <c r="B514" t="str">
        <f t="shared" si="21"/>
        <v>Castel BaroniaPPP-IPU-C058-01</v>
      </c>
      <c r="C514" s="50" t="s">
        <v>826</v>
      </c>
      <c r="D514" s="51" t="s">
        <v>887</v>
      </c>
      <c r="E514" s="50" t="s">
        <v>910</v>
      </c>
      <c r="F514" s="50" t="s">
        <v>889</v>
      </c>
      <c r="G514" s="50" t="s">
        <v>890</v>
      </c>
      <c r="H514" s="57" t="s">
        <v>1699</v>
      </c>
      <c r="I514" s="50" t="s">
        <v>1700</v>
      </c>
      <c r="J514" s="18">
        <f>+_xlfn.XLOOKUP(B514,Sheet3!B:B,Sheet3!J:J,0)</f>
        <v>11.495229999999999</v>
      </c>
      <c r="K514">
        <f t="shared" si="22"/>
        <v>15.326973333333333</v>
      </c>
      <c r="L514" s="54">
        <v>15.641849999999998</v>
      </c>
      <c r="M514" s="67">
        <f t="shared" si="23"/>
        <v>0.31487666666666492</v>
      </c>
    </row>
    <row r="515" spans="2:13" hidden="1" x14ac:dyDescent="0.25">
      <c r="B515" t="str">
        <f t="shared" si="21"/>
        <v>Chioggia videosorveglianzaPPP-VS-C638-01</v>
      </c>
      <c r="C515" s="50" t="s">
        <v>958</v>
      </c>
      <c r="D515" s="51" t="s">
        <v>887</v>
      </c>
      <c r="E515" s="50" t="s">
        <v>959</v>
      </c>
      <c r="F515" s="50" t="s">
        <v>1701</v>
      </c>
      <c r="G515" s="50" t="s">
        <v>890</v>
      </c>
      <c r="H515" s="57" t="s">
        <v>1702</v>
      </c>
      <c r="I515" s="50" t="s">
        <v>1703</v>
      </c>
      <c r="J515" s="18">
        <f>+_xlfn.XLOOKUP(B515,Sheet3!B:B,Sheet3!J:J,0)</f>
        <v>0</v>
      </c>
      <c r="K515">
        <f t="shared" si="22"/>
        <v>0</v>
      </c>
      <c r="L515" s="54">
        <v>0</v>
      </c>
      <c r="M515" s="67">
        <f t="shared" si="23"/>
        <v>0</v>
      </c>
    </row>
    <row r="516" spans="2:13" hidden="1" x14ac:dyDescent="0.25">
      <c r="B516" t="str">
        <f t="shared" ref="B516:B579" si="24">+I516&amp;H516</f>
        <v>AlbanesiPPP-IPU-G543-01</v>
      </c>
      <c r="C516" s="50" t="s">
        <v>826</v>
      </c>
      <c r="D516" s="51" t="s">
        <v>887</v>
      </c>
      <c r="E516" s="50" t="s">
        <v>910</v>
      </c>
      <c r="F516" s="50" t="s">
        <v>889</v>
      </c>
      <c r="G516" s="50" t="s">
        <v>890</v>
      </c>
      <c r="H516" s="57" t="s">
        <v>1704</v>
      </c>
      <c r="I516" s="50" t="s">
        <v>1705</v>
      </c>
      <c r="J516" s="18">
        <f>+_xlfn.XLOOKUP(B516,Sheet3!B:B,Sheet3!J:J,0)</f>
        <v>0</v>
      </c>
      <c r="K516">
        <f t="shared" ref="K516:K579" si="25">+J516/6*8</f>
        <v>0</v>
      </c>
      <c r="L516" s="54">
        <v>0</v>
      </c>
      <c r="M516" s="67">
        <f t="shared" ref="M516:M579" si="26">+L516-K516</f>
        <v>0</v>
      </c>
    </row>
    <row r="517" spans="2:13" hidden="1" x14ac:dyDescent="0.25">
      <c r="B517" t="str">
        <f t="shared" si="24"/>
        <v>Chioggia BuildingPPP-EEE-C638-03</v>
      </c>
      <c r="C517" s="50" t="s">
        <v>958</v>
      </c>
      <c r="D517" s="51" t="s">
        <v>887</v>
      </c>
      <c r="E517" s="50" t="s">
        <v>959</v>
      </c>
      <c r="F517" s="50" t="s">
        <v>965</v>
      </c>
      <c r="G517" s="50" t="s">
        <v>965</v>
      </c>
      <c r="H517" s="57" t="s">
        <v>1706</v>
      </c>
      <c r="I517" s="50" t="s">
        <v>1256</v>
      </c>
      <c r="J517" s="18">
        <f>+_xlfn.XLOOKUP(B517,Sheet3!B:B,Sheet3!J:J,0)</f>
        <v>0</v>
      </c>
      <c r="K517">
        <f t="shared" si="25"/>
        <v>0</v>
      </c>
      <c r="L517" s="54">
        <v>0</v>
      </c>
      <c r="M517" s="67">
        <f t="shared" si="26"/>
        <v>0</v>
      </c>
    </row>
    <row r="518" spans="2:13" hidden="1" x14ac:dyDescent="0.25">
      <c r="B518" t="str">
        <f t="shared" si="24"/>
        <v>PetrianoPPP-IPU-G514-01</v>
      </c>
      <c r="C518" s="50" t="s">
        <v>958</v>
      </c>
      <c r="D518" s="51" t="s">
        <v>887</v>
      </c>
      <c r="E518" s="50" t="s">
        <v>896</v>
      </c>
      <c r="F518" s="50" t="s">
        <v>889</v>
      </c>
      <c r="G518" s="50" t="s">
        <v>890</v>
      </c>
      <c r="H518" s="57" t="s">
        <v>1707</v>
      </c>
      <c r="I518" s="50" t="s">
        <v>1696</v>
      </c>
      <c r="J518" s="18">
        <f>+_xlfn.XLOOKUP(B518,Sheet3!B:B,Sheet3!J:J,0)</f>
        <v>12.375</v>
      </c>
      <c r="K518">
        <f t="shared" si="25"/>
        <v>16.5</v>
      </c>
      <c r="L518" s="54">
        <v>24.75</v>
      </c>
      <c r="M518" s="67">
        <f t="shared" si="26"/>
        <v>8.25</v>
      </c>
    </row>
    <row r="519" spans="2:13" hidden="1" x14ac:dyDescent="0.25">
      <c r="B519" t="str">
        <f t="shared" si="24"/>
        <v>AstiPPP-IPU-A479-01</v>
      </c>
      <c r="C519" s="50" t="s">
        <v>826</v>
      </c>
      <c r="D519" s="51" t="s">
        <v>887</v>
      </c>
      <c r="E519" s="50" t="s">
        <v>888</v>
      </c>
      <c r="F519" s="50" t="s">
        <v>889</v>
      </c>
      <c r="G519" s="50" t="s">
        <v>890</v>
      </c>
      <c r="H519" s="57" t="s">
        <v>1708</v>
      </c>
      <c r="I519" s="50" t="s">
        <v>1709</v>
      </c>
      <c r="J519" s="18">
        <f>+_xlfn.XLOOKUP(B519,Sheet3!B:B,Sheet3!J:J,0)</f>
        <v>0</v>
      </c>
      <c r="K519">
        <f t="shared" si="25"/>
        <v>0</v>
      </c>
      <c r="L519" s="54">
        <v>0</v>
      </c>
      <c r="M519" s="67">
        <f t="shared" si="26"/>
        <v>0</v>
      </c>
    </row>
    <row r="520" spans="2:13" hidden="1" x14ac:dyDescent="0.25">
      <c r="B520" t="str">
        <f t="shared" si="24"/>
        <v>TolentinoAQ1-IPU-L191-02</v>
      </c>
      <c r="C520" s="50" t="s">
        <v>958</v>
      </c>
      <c r="D520" s="51" t="s">
        <v>887</v>
      </c>
      <c r="E520" s="50" t="s">
        <v>896</v>
      </c>
      <c r="F520" s="50" t="s">
        <v>889</v>
      </c>
      <c r="G520" s="50" t="s">
        <v>961</v>
      </c>
      <c r="H520" s="57" t="s">
        <v>1710</v>
      </c>
      <c r="I520" s="50" t="s">
        <v>1133</v>
      </c>
      <c r="J520" s="18">
        <f>+_xlfn.XLOOKUP(B520,Sheet3!B:B,Sheet3!J:J,0)</f>
        <v>0</v>
      </c>
      <c r="K520">
        <f t="shared" si="25"/>
        <v>0</v>
      </c>
      <c r="L520" s="54">
        <v>0</v>
      </c>
      <c r="M520" s="67">
        <f t="shared" si="26"/>
        <v>0</v>
      </c>
    </row>
    <row r="521" spans="2:13" hidden="1" x14ac:dyDescent="0.25">
      <c r="B521" t="str">
        <f t="shared" si="24"/>
        <v>PellezzanoEPC-IPU-G426-02</v>
      </c>
      <c r="C521" s="50" t="s">
        <v>826</v>
      </c>
      <c r="D521" s="51" t="s">
        <v>887</v>
      </c>
      <c r="E521" s="50" t="s">
        <v>910</v>
      </c>
      <c r="F521" s="50" t="s">
        <v>1533</v>
      </c>
      <c r="G521" s="50" t="s">
        <v>1533</v>
      </c>
      <c r="H521" s="57" t="s">
        <v>1711</v>
      </c>
      <c r="I521" s="50" t="s">
        <v>1712</v>
      </c>
      <c r="J521" s="18">
        <f>+_xlfn.XLOOKUP(B521,Sheet3!B:B,Sheet3!J:J,0)</f>
        <v>0</v>
      </c>
      <c r="K521">
        <f t="shared" si="25"/>
        <v>0</v>
      </c>
      <c r="L521" s="54">
        <v>0</v>
      </c>
      <c r="M521" s="67">
        <f t="shared" si="26"/>
        <v>0</v>
      </c>
    </row>
    <row r="522" spans="2:13" hidden="1" x14ac:dyDescent="0.25">
      <c r="B522" t="str">
        <f t="shared" si="24"/>
        <v>FermoEPC-IPU-D542-01</v>
      </c>
      <c r="C522" s="50" t="s">
        <v>958</v>
      </c>
      <c r="D522" s="51" t="s">
        <v>887</v>
      </c>
      <c r="E522" s="50" t="s">
        <v>896</v>
      </c>
      <c r="F522" s="50" t="s">
        <v>1533</v>
      </c>
      <c r="G522" s="50" t="s">
        <v>1533</v>
      </c>
      <c r="H522" s="57" t="s">
        <v>1713</v>
      </c>
      <c r="I522" s="50" t="s">
        <v>1714</v>
      </c>
      <c r="J522" s="18">
        <f>+_xlfn.XLOOKUP(B522,Sheet3!B:B,Sheet3!J:J,0)</f>
        <v>0</v>
      </c>
      <c r="K522">
        <f t="shared" si="25"/>
        <v>0</v>
      </c>
      <c r="L522" s="54">
        <v>0</v>
      </c>
      <c r="M522" s="67">
        <f t="shared" si="26"/>
        <v>0</v>
      </c>
    </row>
    <row r="523" spans="2:13" hidden="1" x14ac:dyDescent="0.25">
      <c r="B523" t="str">
        <f t="shared" si="24"/>
        <v>BressoEPC-IPU-B162-03</v>
      </c>
      <c r="C523" s="50" t="s">
        <v>958</v>
      </c>
      <c r="D523" s="51" t="s">
        <v>887</v>
      </c>
      <c r="E523" s="50" t="s">
        <v>888</v>
      </c>
      <c r="F523" s="50" t="s">
        <v>1533</v>
      </c>
      <c r="G523" s="50" t="s">
        <v>1533</v>
      </c>
      <c r="H523" s="57" t="s">
        <v>1715</v>
      </c>
      <c r="I523" s="50" t="s">
        <v>1716</v>
      </c>
      <c r="J523" s="18">
        <f>+_xlfn.XLOOKUP(B523,Sheet3!B:B,Sheet3!J:J,0)</f>
        <v>4.5116800000000001</v>
      </c>
      <c r="K523">
        <f t="shared" si="25"/>
        <v>6.0155733333333332</v>
      </c>
      <c r="L523" s="54">
        <v>4.5116800000000001</v>
      </c>
      <c r="M523" s="67">
        <f t="shared" si="26"/>
        <v>-1.5038933333333331</v>
      </c>
    </row>
    <row r="524" spans="2:13" hidden="1" x14ac:dyDescent="0.25">
      <c r="B524" t="str">
        <f t="shared" si="24"/>
        <v>PietragallaEPC-IPU-G616-01</v>
      </c>
      <c r="C524" s="50" t="s">
        <v>826</v>
      </c>
      <c r="D524" s="51" t="s">
        <v>887</v>
      </c>
      <c r="E524" s="50" t="s">
        <v>910</v>
      </c>
      <c r="F524" s="50" t="s">
        <v>1533</v>
      </c>
      <c r="G524" s="50" t="s">
        <v>1533</v>
      </c>
      <c r="H524" s="57" t="s">
        <v>1717</v>
      </c>
      <c r="I524" s="50" t="s">
        <v>1296</v>
      </c>
      <c r="J524" s="18">
        <f>+_xlfn.XLOOKUP(B524,Sheet3!B:B,Sheet3!J:J,0)</f>
        <v>0.95189000000000001</v>
      </c>
      <c r="K524">
        <f t="shared" si="25"/>
        <v>1.2691866666666667</v>
      </c>
      <c r="L524" s="54">
        <v>0.95189000000000001</v>
      </c>
      <c r="M524" s="67">
        <f t="shared" si="26"/>
        <v>-0.31729666666666667</v>
      </c>
    </row>
    <row r="525" spans="2:13" hidden="1" x14ac:dyDescent="0.25">
      <c r="B525" t="str">
        <f t="shared" si="24"/>
        <v>LanuvioEPC-IPU-C767-02</v>
      </c>
      <c r="C525" s="50" t="s">
        <v>826</v>
      </c>
      <c r="D525" s="51" t="s">
        <v>887</v>
      </c>
      <c r="E525" s="50" t="s">
        <v>896</v>
      </c>
      <c r="F525" s="50" t="s">
        <v>1533</v>
      </c>
      <c r="G525" s="50" t="s">
        <v>1533</v>
      </c>
      <c r="H525" s="57" t="s">
        <v>1718</v>
      </c>
      <c r="I525" s="50" t="s">
        <v>1178</v>
      </c>
      <c r="J525" s="18">
        <f>+_xlfn.XLOOKUP(B525,Sheet3!B:B,Sheet3!J:J,0)</f>
        <v>0</v>
      </c>
      <c r="K525">
        <f t="shared" si="25"/>
        <v>0</v>
      </c>
      <c r="L525" s="54">
        <v>29</v>
      </c>
      <c r="M525" s="67">
        <f t="shared" si="26"/>
        <v>29</v>
      </c>
    </row>
    <row r="526" spans="2:13" hidden="1" x14ac:dyDescent="0.25">
      <c r="B526" t="str">
        <f t="shared" si="24"/>
        <v>Santa Maria del CedroEPC-IPU-C717-02</v>
      </c>
      <c r="C526" s="50" t="s">
        <v>826</v>
      </c>
      <c r="D526" s="51" t="s">
        <v>887</v>
      </c>
      <c r="E526" s="50" t="s">
        <v>910</v>
      </c>
      <c r="F526" s="50" t="s">
        <v>1533</v>
      </c>
      <c r="G526" s="50" t="s">
        <v>1533</v>
      </c>
      <c r="H526" s="57" t="s">
        <v>1719</v>
      </c>
      <c r="I526" s="50" t="s">
        <v>1373</v>
      </c>
      <c r="J526" s="18">
        <f>+_xlfn.XLOOKUP(B526,Sheet3!B:B,Sheet3!J:J,0)</f>
        <v>20.24071</v>
      </c>
      <c r="K526">
        <f t="shared" si="25"/>
        <v>26.987613333333332</v>
      </c>
      <c r="L526" s="54">
        <v>20.24071</v>
      </c>
      <c r="M526" s="67">
        <f t="shared" si="26"/>
        <v>-6.7469033333333321</v>
      </c>
    </row>
    <row r="527" spans="2:13" hidden="1" x14ac:dyDescent="0.25">
      <c r="B527" t="str">
        <f t="shared" si="24"/>
        <v>SettalaEPC-IPU-I696-01</v>
      </c>
      <c r="C527" s="50" t="s">
        <v>958</v>
      </c>
      <c r="D527" s="51" t="s">
        <v>887</v>
      </c>
      <c r="E527" s="50" t="s">
        <v>888</v>
      </c>
      <c r="F527" s="50" t="s">
        <v>1533</v>
      </c>
      <c r="G527" s="50" t="s">
        <v>1533</v>
      </c>
      <c r="H527" s="57" t="s">
        <v>1720</v>
      </c>
      <c r="I527" s="50" t="s">
        <v>1056</v>
      </c>
      <c r="J527" s="18">
        <f>+_xlfn.XLOOKUP(B527,Sheet3!B:B,Sheet3!J:J,0)</f>
        <v>0</v>
      </c>
      <c r="K527">
        <f t="shared" si="25"/>
        <v>0</v>
      </c>
      <c r="L527" s="54">
        <v>0</v>
      </c>
      <c r="M527" s="67">
        <f t="shared" si="26"/>
        <v>0</v>
      </c>
    </row>
    <row r="528" spans="2:13" hidden="1" x14ac:dyDescent="0.25">
      <c r="B528" t="str">
        <f t="shared" si="24"/>
        <v>Potenza Picena Proroga tecnicaCL3-IPU-F632-01</v>
      </c>
      <c r="C528" s="50" t="s">
        <v>958</v>
      </c>
      <c r="D528" s="51" t="s">
        <v>887</v>
      </c>
      <c r="E528" s="50" t="s">
        <v>896</v>
      </c>
      <c r="F528" s="50" t="s">
        <v>889</v>
      </c>
      <c r="G528" s="50" t="s">
        <v>1016</v>
      </c>
      <c r="H528" s="57" t="s">
        <v>1721</v>
      </c>
      <c r="I528" s="50" t="s">
        <v>1223</v>
      </c>
      <c r="J528" s="18">
        <f>+_xlfn.XLOOKUP(B528,Sheet3!B:B,Sheet3!J:J,0)</f>
        <v>0</v>
      </c>
      <c r="K528">
        <f t="shared" si="25"/>
        <v>0</v>
      </c>
      <c r="L528" s="54">
        <v>97.445830000000001</v>
      </c>
      <c r="M528" s="67">
        <f t="shared" si="26"/>
        <v>97.445830000000001</v>
      </c>
    </row>
    <row r="529" spans="2:13" hidden="1" x14ac:dyDescent="0.25">
      <c r="B529" t="str">
        <f t="shared" si="24"/>
        <v>Illegno SRLEPC-IPU-E951-04</v>
      </c>
      <c r="C529" s="50" t="s">
        <v>826</v>
      </c>
      <c r="D529" s="51" t="s">
        <v>887</v>
      </c>
      <c r="E529" s="50" t="s">
        <v>888</v>
      </c>
      <c r="F529" s="50" t="s">
        <v>1630</v>
      </c>
      <c r="G529" s="50" t="s">
        <v>1630</v>
      </c>
      <c r="H529" s="57" t="s">
        <v>1722</v>
      </c>
      <c r="I529" s="50" t="s">
        <v>1723</v>
      </c>
      <c r="J529" s="18">
        <f>+_xlfn.XLOOKUP(B529,Sheet3!B:B,Sheet3!J:J,0)</f>
        <v>3.53647</v>
      </c>
      <c r="K529">
        <f t="shared" si="25"/>
        <v>4.7152933333333333</v>
      </c>
      <c r="L529" s="54">
        <v>3.53647</v>
      </c>
      <c r="M529" s="67">
        <f t="shared" si="26"/>
        <v>-1.1788233333333333</v>
      </c>
    </row>
    <row r="530" spans="2:13" hidden="1" x14ac:dyDescent="0.25">
      <c r="B530" t="str">
        <f t="shared" si="24"/>
        <v>Potenza PicenaEPC-IPU-F632-02</v>
      </c>
      <c r="C530" s="50" t="s">
        <v>958</v>
      </c>
      <c r="D530" s="51" t="s">
        <v>887</v>
      </c>
      <c r="E530" s="50" t="s">
        <v>896</v>
      </c>
      <c r="F530" s="50" t="s">
        <v>1533</v>
      </c>
      <c r="G530" s="50" t="s">
        <v>1533</v>
      </c>
      <c r="H530" s="57" t="s">
        <v>1724</v>
      </c>
      <c r="I530" s="50" t="s">
        <v>1725</v>
      </c>
      <c r="J530" s="18">
        <f>+_xlfn.XLOOKUP(B530,Sheet3!B:B,Sheet3!J:J,0)</f>
        <v>0</v>
      </c>
      <c r="K530">
        <f t="shared" si="25"/>
        <v>0</v>
      </c>
      <c r="L530" s="54">
        <v>0</v>
      </c>
      <c r="M530" s="67">
        <f t="shared" si="26"/>
        <v>0</v>
      </c>
    </row>
    <row r="531" spans="2:13" hidden="1" x14ac:dyDescent="0.25">
      <c r="B531" t="str">
        <f t="shared" si="24"/>
        <v>GallarateEPC-IPU-D869-02</v>
      </c>
      <c r="C531" s="50" t="s">
        <v>958</v>
      </c>
      <c r="D531" s="51" t="s">
        <v>887</v>
      </c>
      <c r="E531" s="50" t="s">
        <v>888</v>
      </c>
      <c r="F531" s="50" t="s">
        <v>1533</v>
      </c>
      <c r="G531" s="50" t="s">
        <v>1533</v>
      </c>
      <c r="H531" s="57" t="s">
        <v>1726</v>
      </c>
      <c r="I531" s="50" t="s">
        <v>1727</v>
      </c>
      <c r="J531" s="18">
        <f>+_xlfn.XLOOKUP(B531,Sheet3!B:B,Sheet3!J:J,0)</f>
        <v>0</v>
      </c>
      <c r="K531">
        <f t="shared" si="25"/>
        <v>0</v>
      </c>
      <c r="L531" s="54">
        <v>0</v>
      </c>
      <c r="M531" s="67">
        <f t="shared" si="26"/>
        <v>0</v>
      </c>
    </row>
    <row r="532" spans="2:13" hidden="1" x14ac:dyDescent="0.25">
      <c r="B532" t="str">
        <f t="shared" si="24"/>
        <v>ArlunoEPC-IPU-A413-06</v>
      </c>
      <c r="C532" s="50" t="s">
        <v>958</v>
      </c>
      <c r="D532" s="51" t="s">
        <v>887</v>
      </c>
      <c r="E532" s="50" t="s">
        <v>888</v>
      </c>
      <c r="F532" s="50" t="s">
        <v>1533</v>
      </c>
      <c r="G532" s="50" t="s">
        <v>1533</v>
      </c>
      <c r="H532" s="57" t="s">
        <v>1728</v>
      </c>
      <c r="I532" s="50" t="s">
        <v>1020</v>
      </c>
      <c r="J532" s="18">
        <f>+_xlfn.XLOOKUP(B532,Sheet3!B:B,Sheet3!J:J,0)</f>
        <v>0</v>
      </c>
      <c r="K532">
        <f t="shared" si="25"/>
        <v>0</v>
      </c>
      <c r="L532" s="54">
        <v>0</v>
      </c>
      <c r="M532" s="67">
        <f t="shared" si="26"/>
        <v>0</v>
      </c>
    </row>
    <row r="533" spans="2:13" hidden="1" x14ac:dyDescent="0.25">
      <c r="B533" t="str">
        <f t="shared" si="24"/>
        <v>BressoEPC-IPU-B162-04</v>
      </c>
      <c r="C533" s="50" t="s">
        <v>958</v>
      </c>
      <c r="D533" s="51" t="s">
        <v>887</v>
      </c>
      <c r="E533" s="50" t="s">
        <v>888</v>
      </c>
      <c r="F533" s="50" t="s">
        <v>1533</v>
      </c>
      <c r="G533" s="50" t="s">
        <v>1533</v>
      </c>
      <c r="H533" s="57" t="s">
        <v>1729</v>
      </c>
      <c r="I533" s="50" t="s">
        <v>1716</v>
      </c>
      <c r="J533" s="18">
        <f>+_xlfn.XLOOKUP(B533,Sheet3!B:B,Sheet3!J:J,0)</f>
        <v>0</v>
      </c>
      <c r="K533">
        <f t="shared" si="25"/>
        <v>0</v>
      </c>
      <c r="L533" s="54">
        <v>0</v>
      </c>
      <c r="M533" s="67">
        <f t="shared" si="26"/>
        <v>0</v>
      </c>
    </row>
    <row r="534" spans="2:13" hidden="1" x14ac:dyDescent="0.25">
      <c r="B534" t="str">
        <f t="shared" si="24"/>
        <v>AgoraEPC-IPU-F736-02</v>
      </c>
      <c r="C534" s="50" t="s">
        <v>826</v>
      </c>
      <c r="D534" s="51" t="s">
        <v>887</v>
      </c>
      <c r="E534" s="50" t="s">
        <v>888</v>
      </c>
      <c r="F534" s="50" t="s">
        <v>1630</v>
      </c>
      <c r="G534" s="50" t="s">
        <v>1630</v>
      </c>
      <c r="H534" s="57" t="s">
        <v>1730</v>
      </c>
      <c r="I534" s="50" t="s">
        <v>1731</v>
      </c>
      <c r="J534" s="18">
        <f>+_xlfn.XLOOKUP(B534,Sheet3!B:B,Sheet3!J:J,0)</f>
        <v>1.1790999999999998</v>
      </c>
      <c r="K534">
        <f t="shared" si="25"/>
        <v>1.5721333333333332</v>
      </c>
      <c r="L534" s="54">
        <v>1.1790999999999998</v>
      </c>
      <c r="M534" s="67">
        <f t="shared" si="26"/>
        <v>-0.39303333333333335</v>
      </c>
    </row>
    <row r="535" spans="2:13" hidden="1" x14ac:dyDescent="0.25">
      <c r="B535" t="str">
        <f t="shared" si="24"/>
        <v>MondolfoEPC-IPU-F348-04</v>
      </c>
      <c r="C535" s="50" t="s">
        <v>958</v>
      </c>
      <c r="D535" s="51" t="s">
        <v>887</v>
      </c>
      <c r="E535" s="50" t="s">
        <v>896</v>
      </c>
      <c r="F535" s="50" t="s">
        <v>1533</v>
      </c>
      <c r="G535" s="50" t="s">
        <v>1533</v>
      </c>
      <c r="H535" s="57" t="s">
        <v>1732</v>
      </c>
      <c r="I535" s="50" t="s">
        <v>1733</v>
      </c>
      <c r="J535" s="18">
        <f>+_xlfn.XLOOKUP(B535,Sheet3!B:B,Sheet3!J:J,0)</f>
        <v>0</v>
      </c>
      <c r="K535">
        <f t="shared" si="25"/>
        <v>0</v>
      </c>
      <c r="L535" s="54">
        <v>0</v>
      </c>
      <c r="M535" s="67">
        <f t="shared" si="26"/>
        <v>0</v>
      </c>
    </row>
    <row r="536" spans="2:13" hidden="1" x14ac:dyDescent="0.25">
      <c r="B536" t="str">
        <f t="shared" si="24"/>
        <v>MiglionicoEPC-IPU-F201-01</v>
      </c>
      <c r="C536" s="50" t="s">
        <v>826</v>
      </c>
      <c r="D536" s="51" t="s">
        <v>887</v>
      </c>
      <c r="E536" s="50" t="s">
        <v>910</v>
      </c>
      <c r="F536" s="50" t="s">
        <v>1533</v>
      </c>
      <c r="G536" s="50" t="s">
        <v>1533</v>
      </c>
      <c r="H536" s="57" t="s">
        <v>1734</v>
      </c>
      <c r="I536" s="50" t="s">
        <v>1407</v>
      </c>
      <c r="J536" s="18">
        <f>+_xlfn.XLOOKUP(B536,Sheet3!B:B,Sheet3!J:J,0)</f>
        <v>0</v>
      </c>
      <c r="K536">
        <f t="shared" si="25"/>
        <v>0</v>
      </c>
      <c r="L536" s="54">
        <v>0</v>
      </c>
      <c r="M536" s="67">
        <f t="shared" si="26"/>
        <v>0</v>
      </c>
    </row>
    <row r="537" spans="2:13" x14ac:dyDescent="0.25">
      <c r="B537" t="str">
        <f t="shared" si="24"/>
        <v>SaronnoEPC-IPU-I441-04</v>
      </c>
      <c r="C537" s="50" t="s">
        <v>958</v>
      </c>
      <c r="D537" s="51" t="s">
        <v>887</v>
      </c>
      <c r="E537" s="50" t="s">
        <v>888</v>
      </c>
      <c r="F537" s="50" t="s">
        <v>1533</v>
      </c>
      <c r="G537" s="50" t="s">
        <v>1533</v>
      </c>
      <c r="H537" s="57" t="s">
        <v>1735</v>
      </c>
      <c r="I537" s="50" t="s">
        <v>1736</v>
      </c>
      <c r="J537" s="18">
        <f>+_xlfn.XLOOKUP(B537,Sheet3!B:B,Sheet3!J:J,0)</f>
        <v>414.23128000000003</v>
      </c>
      <c r="K537">
        <f t="shared" si="25"/>
        <v>552.30837333333341</v>
      </c>
      <c r="L537" s="54">
        <v>414.84268000000003</v>
      </c>
      <c r="M537" s="67">
        <f t="shared" si="26"/>
        <v>-137.46569333333338</v>
      </c>
    </row>
    <row r="538" spans="2:13" hidden="1" x14ac:dyDescent="0.25">
      <c r="B538" t="str">
        <f t="shared" si="24"/>
        <v>COLCERESAEPC-IPU-M426-02</v>
      </c>
      <c r="C538" s="50" t="s">
        <v>826</v>
      </c>
      <c r="D538" s="51" t="s">
        <v>1493</v>
      </c>
      <c r="E538" s="50" t="s">
        <v>959</v>
      </c>
      <c r="F538" s="50" t="s">
        <v>1533</v>
      </c>
      <c r="G538" s="50" t="s">
        <v>1533</v>
      </c>
      <c r="H538" s="57" t="s">
        <v>1737</v>
      </c>
      <c r="I538" s="50" t="s">
        <v>1738</v>
      </c>
      <c r="J538" s="18">
        <f>+_xlfn.XLOOKUP(B538,Sheet3!B:B,Sheet3!J:J,0)</f>
        <v>1.3806700000000001</v>
      </c>
      <c r="K538">
        <f t="shared" si="25"/>
        <v>1.8408933333333335</v>
      </c>
      <c r="L538" s="54">
        <v>1.3806700000000001</v>
      </c>
      <c r="M538" s="67">
        <f t="shared" si="26"/>
        <v>-0.46022333333333343</v>
      </c>
    </row>
    <row r="539" spans="2:13" hidden="1" x14ac:dyDescent="0.25">
      <c r="B539" t="str">
        <f t="shared" si="24"/>
        <v>SettalaEPC-IPU-I696-02</v>
      </c>
      <c r="C539" s="50" t="s">
        <v>958</v>
      </c>
      <c r="D539" s="51" t="s">
        <v>887</v>
      </c>
      <c r="E539" s="50" t="s">
        <v>888</v>
      </c>
      <c r="F539" s="50" t="s">
        <v>1533</v>
      </c>
      <c r="G539" s="50" t="s">
        <v>1533</v>
      </c>
      <c r="H539" s="57" t="s">
        <v>1739</v>
      </c>
      <c r="I539" s="50" t="s">
        <v>1056</v>
      </c>
      <c r="J539" s="18">
        <f>+_xlfn.XLOOKUP(B539,Sheet3!B:B,Sheet3!J:J,0)</f>
        <v>0</v>
      </c>
      <c r="K539">
        <f t="shared" si="25"/>
        <v>0</v>
      </c>
      <c r="L539" s="54">
        <v>0</v>
      </c>
      <c r="M539" s="67">
        <f t="shared" si="26"/>
        <v>0</v>
      </c>
    </row>
    <row r="540" spans="2:13" hidden="1" x14ac:dyDescent="0.25">
      <c r="B540" t="str">
        <f t="shared" si="24"/>
        <v>MondolfoEPC-IPU-F348-01</v>
      </c>
      <c r="C540" s="50" t="s">
        <v>958</v>
      </c>
      <c r="D540" s="51" t="s">
        <v>887</v>
      </c>
      <c r="E540" s="50" t="s">
        <v>896</v>
      </c>
      <c r="F540" s="50" t="s">
        <v>1533</v>
      </c>
      <c r="G540" s="50" t="s">
        <v>1533</v>
      </c>
      <c r="H540" s="57" t="s">
        <v>1740</v>
      </c>
      <c r="I540" s="50" t="s">
        <v>1733</v>
      </c>
      <c r="J540" s="18">
        <f>+_xlfn.XLOOKUP(B540,Sheet3!B:B,Sheet3!J:J,0)</f>
        <v>0</v>
      </c>
      <c r="K540">
        <f t="shared" si="25"/>
        <v>0</v>
      </c>
      <c r="L540" s="54">
        <v>0</v>
      </c>
      <c r="M540" s="67">
        <f t="shared" si="26"/>
        <v>0</v>
      </c>
    </row>
    <row r="541" spans="2:13" hidden="1" x14ac:dyDescent="0.25">
      <c r="B541" t="str">
        <f t="shared" si="24"/>
        <v>CagliCL3-IPU-B352-01</v>
      </c>
      <c r="C541" s="50" t="s">
        <v>958</v>
      </c>
      <c r="D541" s="51" t="s">
        <v>887</v>
      </c>
      <c r="E541" s="50" t="s">
        <v>896</v>
      </c>
      <c r="F541" s="50" t="s">
        <v>889</v>
      </c>
      <c r="G541" s="50" t="s">
        <v>1016</v>
      </c>
      <c r="H541" s="57" t="s">
        <v>1741</v>
      </c>
      <c r="I541" s="50" t="s">
        <v>1742</v>
      </c>
      <c r="J541" s="18">
        <f>+_xlfn.XLOOKUP(B541,Sheet3!B:B,Sheet3!J:J,0)</f>
        <v>-8.2460000000000004</v>
      </c>
      <c r="K541">
        <f t="shared" si="25"/>
        <v>-10.994666666666667</v>
      </c>
      <c r="L541" s="54">
        <v>-8.2460000000000004</v>
      </c>
      <c r="M541" s="67">
        <f t="shared" si="26"/>
        <v>2.7486666666666668</v>
      </c>
    </row>
    <row r="542" spans="2:13" hidden="1" x14ac:dyDescent="0.25">
      <c r="B542" t="str">
        <f t="shared" si="24"/>
        <v>NovaraEPC-IPU-F952-03</v>
      </c>
      <c r="C542" s="50" t="s">
        <v>958</v>
      </c>
      <c r="D542" s="51" t="s">
        <v>887</v>
      </c>
      <c r="E542" s="50" t="s">
        <v>888</v>
      </c>
      <c r="F542" s="50" t="s">
        <v>1533</v>
      </c>
      <c r="G542" s="50" t="s">
        <v>1533</v>
      </c>
      <c r="H542" s="57" t="s">
        <v>1743</v>
      </c>
      <c r="I542" s="50" t="s">
        <v>1687</v>
      </c>
      <c r="J542" s="18">
        <f>+_xlfn.XLOOKUP(B542,Sheet3!B:B,Sheet3!J:J,0)</f>
        <v>0</v>
      </c>
      <c r="K542">
        <f t="shared" si="25"/>
        <v>0</v>
      </c>
      <c r="L542" s="54">
        <v>0</v>
      </c>
      <c r="M542" s="67">
        <f t="shared" si="26"/>
        <v>0</v>
      </c>
    </row>
    <row r="543" spans="2:13" hidden="1" x14ac:dyDescent="0.25">
      <c r="B543" t="str">
        <f t="shared" si="24"/>
        <v>Mariano ComenseEPC-IPU-E951-03</v>
      </c>
      <c r="C543" s="50" t="s">
        <v>958</v>
      </c>
      <c r="D543" s="51" t="s">
        <v>887</v>
      </c>
      <c r="E543" s="50" t="s">
        <v>888</v>
      </c>
      <c r="F543" s="50" t="s">
        <v>1533</v>
      </c>
      <c r="G543" s="50" t="s">
        <v>1533</v>
      </c>
      <c r="H543" s="57" t="s">
        <v>1744</v>
      </c>
      <c r="I543" s="50" t="s">
        <v>1038</v>
      </c>
      <c r="J543" s="18">
        <f>+_xlfn.XLOOKUP(B543,Sheet3!B:B,Sheet3!J:J,0)</f>
        <v>0</v>
      </c>
      <c r="K543">
        <f t="shared" si="25"/>
        <v>0</v>
      </c>
      <c r="L543" s="54">
        <v>0</v>
      </c>
      <c r="M543" s="67">
        <f t="shared" si="26"/>
        <v>0</v>
      </c>
    </row>
    <row r="544" spans="2:13" hidden="1" x14ac:dyDescent="0.25">
      <c r="B544" t="str">
        <f t="shared" si="24"/>
        <v>PianezzeEPC-IPU-G560-03</v>
      </c>
      <c r="C544" s="50" t="s">
        <v>826</v>
      </c>
      <c r="D544" s="51" t="s">
        <v>1493</v>
      </c>
      <c r="E544" s="50" t="s">
        <v>959</v>
      </c>
      <c r="F544" s="50" t="s">
        <v>1533</v>
      </c>
      <c r="G544" s="50" t="s">
        <v>1533</v>
      </c>
      <c r="H544" s="57" t="s">
        <v>1745</v>
      </c>
      <c r="I544" s="50" t="s">
        <v>1511</v>
      </c>
      <c r="J544" s="18">
        <f>+_xlfn.XLOOKUP(B544,Sheet3!B:B,Sheet3!J:J,0)</f>
        <v>0</v>
      </c>
      <c r="K544">
        <f t="shared" si="25"/>
        <v>0</v>
      </c>
      <c r="L544" s="54">
        <v>0</v>
      </c>
      <c r="M544" s="67">
        <f t="shared" si="26"/>
        <v>0</v>
      </c>
    </row>
    <row r="545" spans="2:13" hidden="1" x14ac:dyDescent="0.25">
      <c r="B545" t="str">
        <f t="shared" si="24"/>
        <v>Potenza PicenaEPC-IPU-F632-01</v>
      </c>
      <c r="C545" s="50" t="s">
        <v>958</v>
      </c>
      <c r="D545" s="51" t="s">
        <v>887</v>
      </c>
      <c r="E545" s="50" t="s">
        <v>896</v>
      </c>
      <c r="F545" s="50" t="s">
        <v>1533</v>
      </c>
      <c r="G545" s="50" t="s">
        <v>1533</v>
      </c>
      <c r="H545" s="57" t="s">
        <v>1746</v>
      </c>
      <c r="I545" s="50" t="s">
        <v>1725</v>
      </c>
      <c r="J545" s="18">
        <f>+_xlfn.XLOOKUP(B545,Sheet3!B:B,Sheet3!J:J,0)</f>
        <v>8.1967099999999995</v>
      </c>
      <c r="K545">
        <f t="shared" si="25"/>
        <v>10.928946666666667</v>
      </c>
      <c r="L545" s="54">
        <v>8.1967099999999995</v>
      </c>
      <c r="M545" s="67">
        <f t="shared" si="26"/>
        <v>-2.7322366666666671</v>
      </c>
    </row>
    <row r="546" spans="2:13" hidden="1" x14ac:dyDescent="0.25">
      <c r="B546" t="str">
        <f t="shared" si="24"/>
        <v>NovaraEPC-IPU-F952-02</v>
      </c>
      <c r="C546" s="50" t="s">
        <v>958</v>
      </c>
      <c r="D546" s="51" t="s">
        <v>887</v>
      </c>
      <c r="E546" s="50" t="s">
        <v>888</v>
      </c>
      <c r="F546" s="50" t="s">
        <v>1533</v>
      </c>
      <c r="G546" s="50" t="s">
        <v>1533</v>
      </c>
      <c r="H546" s="57" t="s">
        <v>1747</v>
      </c>
      <c r="I546" s="50" t="s">
        <v>1687</v>
      </c>
      <c r="J546" s="18">
        <f>+_xlfn.XLOOKUP(B546,Sheet3!B:B,Sheet3!J:J,0)</f>
        <v>16.67953</v>
      </c>
      <c r="K546">
        <f t="shared" si="25"/>
        <v>22.239373333333333</v>
      </c>
      <c r="L546" s="54">
        <v>16.67953</v>
      </c>
      <c r="M546" s="67">
        <f t="shared" si="26"/>
        <v>-5.5598433333333332</v>
      </c>
    </row>
    <row r="547" spans="2:13" hidden="1" x14ac:dyDescent="0.25">
      <c r="B547" t="str">
        <f t="shared" si="24"/>
        <v>OrtelleEPC-IPU-G136-01</v>
      </c>
      <c r="C547" s="50" t="s">
        <v>826</v>
      </c>
      <c r="D547" s="51" t="s">
        <v>887</v>
      </c>
      <c r="E547" s="50" t="s">
        <v>910</v>
      </c>
      <c r="F547" s="50" t="s">
        <v>1533</v>
      </c>
      <c r="G547" s="50" t="s">
        <v>1533</v>
      </c>
      <c r="H547" s="57" t="s">
        <v>1748</v>
      </c>
      <c r="I547" s="50" t="s">
        <v>1419</v>
      </c>
      <c r="J547" s="18">
        <f>+_xlfn.XLOOKUP(B547,Sheet3!B:B,Sheet3!J:J,0)</f>
        <v>0</v>
      </c>
      <c r="K547">
        <f t="shared" si="25"/>
        <v>0</v>
      </c>
      <c r="L547" s="54">
        <v>0</v>
      </c>
      <c r="M547" s="67">
        <f t="shared" si="26"/>
        <v>0</v>
      </c>
    </row>
    <row r="548" spans="2:13" hidden="1" x14ac:dyDescent="0.25">
      <c r="B548" t="str">
        <f t="shared" si="24"/>
        <v>MarateaEPC-IPU-E919-02</v>
      </c>
      <c r="C548" s="50" t="s">
        <v>826</v>
      </c>
      <c r="D548" s="51" t="s">
        <v>887</v>
      </c>
      <c r="E548" s="50" t="s">
        <v>910</v>
      </c>
      <c r="F548" s="50" t="s">
        <v>1533</v>
      </c>
      <c r="G548" s="50" t="s">
        <v>1533</v>
      </c>
      <c r="H548" s="57" t="s">
        <v>1749</v>
      </c>
      <c r="I548" s="50" t="s">
        <v>1403</v>
      </c>
      <c r="J548" s="18">
        <f>+_xlfn.XLOOKUP(B548,Sheet3!B:B,Sheet3!J:J,0)</f>
        <v>11.503629999999999</v>
      </c>
      <c r="K548">
        <f t="shared" si="25"/>
        <v>15.338173333333332</v>
      </c>
      <c r="L548" s="54">
        <v>11.503629999999999</v>
      </c>
      <c r="M548" s="67">
        <f t="shared" si="26"/>
        <v>-3.8345433333333325</v>
      </c>
    </row>
    <row r="549" spans="2:13" hidden="1" x14ac:dyDescent="0.25">
      <c r="B549" t="str">
        <f t="shared" si="24"/>
        <v>SenigalliaEPC-IPU-I608-04</v>
      </c>
      <c r="C549" s="50" t="s">
        <v>958</v>
      </c>
      <c r="D549" s="51" t="s">
        <v>887</v>
      </c>
      <c r="E549" s="50" t="s">
        <v>896</v>
      </c>
      <c r="F549" s="50" t="s">
        <v>1533</v>
      </c>
      <c r="G549" s="50" t="s">
        <v>1533</v>
      </c>
      <c r="H549" s="57" t="s">
        <v>1750</v>
      </c>
      <c r="I549" s="50" t="s">
        <v>1751</v>
      </c>
      <c r="J549" s="18">
        <f>+_xlfn.XLOOKUP(B549,Sheet3!B:B,Sheet3!J:J,0)</f>
        <v>0</v>
      </c>
      <c r="K549">
        <f t="shared" si="25"/>
        <v>0</v>
      </c>
      <c r="L549" s="54">
        <v>0</v>
      </c>
      <c r="M549" s="67">
        <f t="shared" si="26"/>
        <v>0</v>
      </c>
    </row>
    <row r="550" spans="2:13" hidden="1" x14ac:dyDescent="0.25">
      <c r="B550" t="str">
        <f t="shared" si="24"/>
        <v>FaenzaEPC-IPU-D458-01</v>
      </c>
      <c r="C550" s="50" t="s">
        <v>958</v>
      </c>
      <c r="D550" s="51" t="s">
        <v>887</v>
      </c>
      <c r="E550" s="50" t="s">
        <v>896</v>
      </c>
      <c r="F550" s="50" t="s">
        <v>1533</v>
      </c>
      <c r="G550" s="50" t="s">
        <v>1533</v>
      </c>
      <c r="H550" s="57" t="s">
        <v>1752</v>
      </c>
      <c r="I550" s="50" t="s">
        <v>1753</v>
      </c>
      <c r="J550" s="18">
        <f>+_xlfn.XLOOKUP(B550,Sheet3!B:B,Sheet3!J:J,0)</f>
        <v>0</v>
      </c>
      <c r="K550">
        <f t="shared" si="25"/>
        <v>0</v>
      </c>
      <c r="L550" s="54">
        <v>0</v>
      </c>
      <c r="M550" s="67">
        <f t="shared" si="26"/>
        <v>0</v>
      </c>
    </row>
    <row r="551" spans="2:13" hidden="1" x14ac:dyDescent="0.25">
      <c r="B551" t="str">
        <f t="shared" si="24"/>
        <v>Bel GuardoEPC-IPU-F736-03</v>
      </c>
      <c r="C551" s="50" t="s">
        <v>826</v>
      </c>
      <c r="D551" s="51" t="s">
        <v>887</v>
      </c>
      <c r="E551" s="50" t="s">
        <v>888</v>
      </c>
      <c r="F551" s="50" t="s">
        <v>1630</v>
      </c>
      <c r="G551" s="50" t="s">
        <v>1630</v>
      </c>
      <c r="H551" s="57" t="s">
        <v>1754</v>
      </c>
      <c r="I551" s="50" t="s">
        <v>1755</v>
      </c>
      <c r="J551" s="18">
        <f>+_xlfn.XLOOKUP(B551,Sheet3!B:B,Sheet3!J:J,0)</f>
        <v>1.1790999999999998</v>
      </c>
      <c r="K551">
        <f t="shared" si="25"/>
        <v>1.5721333333333332</v>
      </c>
      <c r="L551" s="54">
        <v>1.1790999999999998</v>
      </c>
      <c r="M551" s="67">
        <f t="shared" si="26"/>
        <v>-0.39303333333333335</v>
      </c>
    </row>
    <row r="552" spans="2:13" hidden="1" x14ac:dyDescent="0.25">
      <c r="B552" t="str">
        <f t="shared" si="24"/>
        <v>overheadsSINISTRI</v>
      </c>
      <c r="C552" s="50" t="s">
        <v>826</v>
      </c>
      <c r="D552" s="51" t="s">
        <v>887</v>
      </c>
      <c r="E552" s="50" t="s">
        <v>1756</v>
      </c>
      <c r="F552" s="50" t="s">
        <v>855</v>
      </c>
      <c r="G552" s="50" t="s">
        <v>855</v>
      </c>
      <c r="H552" s="57" t="s">
        <v>1757</v>
      </c>
      <c r="I552" s="50" t="s">
        <v>1758</v>
      </c>
      <c r="J552" s="18">
        <f>+_xlfn.XLOOKUP(B552,Sheet3!B:B,Sheet3!J:J,0)</f>
        <v>0</v>
      </c>
      <c r="K552">
        <f t="shared" si="25"/>
        <v>0</v>
      </c>
      <c r="L552" s="54">
        <v>0</v>
      </c>
      <c r="M552" s="67">
        <f t="shared" si="26"/>
        <v>0</v>
      </c>
    </row>
    <row r="553" spans="2:13" hidden="1" x14ac:dyDescent="0.25">
      <c r="B553" t="str">
        <f t="shared" si="24"/>
        <v>overheadsSTRUTTURA BU NORD</v>
      </c>
      <c r="C553" s="50" t="s">
        <v>826</v>
      </c>
      <c r="D553" s="51" t="s">
        <v>887</v>
      </c>
      <c r="E553" s="50" t="s">
        <v>1756</v>
      </c>
      <c r="F553" s="50" t="s">
        <v>855</v>
      </c>
      <c r="G553" s="50" t="s">
        <v>855</v>
      </c>
      <c r="H553" s="57" t="s">
        <v>1759</v>
      </c>
      <c r="I553" s="50" t="s">
        <v>1758</v>
      </c>
      <c r="J553" s="18">
        <f>+_xlfn.XLOOKUP(B553,Sheet3!B:B,Sheet3!J:J,0)</f>
        <v>0</v>
      </c>
      <c r="K553">
        <f t="shared" si="25"/>
        <v>0</v>
      </c>
      <c r="L553" s="54">
        <v>0</v>
      </c>
      <c r="M553" s="67">
        <f t="shared" si="26"/>
        <v>0</v>
      </c>
    </row>
    <row r="554" spans="2:13" hidden="1" x14ac:dyDescent="0.25">
      <c r="B554" t="str">
        <f t="shared" si="24"/>
        <v>FilianoSEC-CIM-D593-01</v>
      </c>
      <c r="C554" s="50" t="s">
        <v>826</v>
      </c>
      <c r="D554" s="51" t="s">
        <v>887</v>
      </c>
      <c r="E554" s="50" t="s">
        <v>910</v>
      </c>
      <c r="F554" s="50" t="s">
        <v>912</v>
      </c>
      <c r="G554" s="50" t="s">
        <v>912</v>
      </c>
      <c r="H554" s="57" t="s">
        <v>1760</v>
      </c>
      <c r="I554" s="50" t="s">
        <v>1761</v>
      </c>
      <c r="J554" s="18">
        <f>+_xlfn.XLOOKUP(B554,Sheet3!B:B,Sheet3!J:J,0)</f>
        <v>9.4119500000000009</v>
      </c>
      <c r="K554">
        <f t="shared" si="25"/>
        <v>12.549266666666668</v>
      </c>
      <c r="L554" s="54">
        <v>9.4119500000000009</v>
      </c>
      <c r="M554" s="67">
        <f t="shared" si="26"/>
        <v>-3.137316666666667</v>
      </c>
    </row>
    <row r="555" spans="2:13" hidden="1" x14ac:dyDescent="0.25">
      <c r="B555" t="str">
        <f t="shared" si="24"/>
        <v>overheadsCABLAGGIO MLS</v>
      </c>
      <c r="C555" s="50" t="s">
        <v>826</v>
      </c>
      <c r="D555" s="51" t="s">
        <v>887</v>
      </c>
      <c r="E555" s="50" t="s">
        <v>1756</v>
      </c>
      <c r="F555" s="50" t="s">
        <v>855</v>
      </c>
      <c r="G555" s="50" t="s">
        <v>855</v>
      </c>
      <c r="H555" s="57" t="s">
        <v>1762</v>
      </c>
      <c r="I555" s="50" t="s">
        <v>1758</v>
      </c>
      <c r="J555" s="18">
        <f>+_xlfn.XLOOKUP(B555,Sheet3!B:B,Sheet3!J:J,0)</f>
        <v>0</v>
      </c>
      <c r="K555">
        <f t="shared" si="25"/>
        <v>0</v>
      </c>
      <c r="L555" s="54">
        <v>0</v>
      </c>
      <c r="M555" s="67">
        <f t="shared" si="26"/>
        <v>0</v>
      </c>
    </row>
    <row r="556" spans="2:13" hidden="1" x14ac:dyDescent="0.25">
      <c r="B556" t="str">
        <f t="shared" si="24"/>
        <v>FilianoSEC-PHV-D593-01</v>
      </c>
      <c r="C556" s="50" t="s">
        <v>826</v>
      </c>
      <c r="D556" s="51" t="s">
        <v>887</v>
      </c>
      <c r="E556" s="50" t="s">
        <v>910</v>
      </c>
      <c r="F556" s="50" t="s">
        <v>897</v>
      </c>
      <c r="G556" s="50" t="s">
        <v>897</v>
      </c>
      <c r="H556" s="57" t="s">
        <v>1763</v>
      </c>
      <c r="I556" s="50" t="s">
        <v>1761</v>
      </c>
      <c r="J556" s="18">
        <f>+_xlfn.XLOOKUP(B556,Sheet3!B:B,Sheet3!J:J,0)</f>
        <v>0</v>
      </c>
      <c r="K556">
        <f t="shared" si="25"/>
        <v>0</v>
      </c>
      <c r="L556" s="54">
        <v>0</v>
      </c>
      <c r="M556" s="67">
        <f t="shared" si="26"/>
        <v>0</v>
      </c>
    </row>
    <row r="557" spans="2:13" hidden="1" x14ac:dyDescent="0.25">
      <c r="B557" t="str">
        <f t="shared" si="24"/>
        <v>overheadsSTRUTTURA</v>
      </c>
      <c r="C557" s="50" t="s">
        <v>826</v>
      </c>
      <c r="D557" s="51" t="s">
        <v>887</v>
      </c>
      <c r="E557" s="50" t="s">
        <v>1756</v>
      </c>
      <c r="F557" s="50" t="s">
        <v>855</v>
      </c>
      <c r="G557" s="50" t="s">
        <v>855</v>
      </c>
      <c r="H557" s="57" t="s">
        <v>1764</v>
      </c>
      <c r="I557" s="50" t="s">
        <v>1758</v>
      </c>
      <c r="J557" s="18">
        <f>+_xlfn.XLOOKUP(B557,Sheet3!B:B,Sheet3!J:J,0)</f>
        <v>0</v>
      </c>
      <c r="K557">
        <f t="shared" si="25"/>
        <v>0</v>
      </c>
      <c r="L557" s="54">
        <v>0</v>
      </c>
      <c r="M557" s="67">
        <f t="shared" si="26"/>
        <v>0</v>
      </c>
    </row>
    <row r="558" spans="2:13" hidden="1" x14ac:dyDescent="0.25">
      <c r="B558" t="str">
        <f t="shared" si="24"/>
        <v>AviglianoSEC-CIM-A519-01</v>
      </c>
      <c r="C558" s="50" t="s">
        <v>826</v>
      </c>
      <c r="D558" s="51" t="s">
        <v>887</v>
      </c>
      <c r="E558" s="50" t="s">
        <v>910</v>
      </c>
      <c r="F558" s="50" t="s">
        <v>912</v>
      </c>
      <c r="G558" s="50" t="s">
        <v>912</v>
      </c>
      <c r="H558" s="57" t="s">
        <v>1765</v>
      </c>
      <c r="I558" s="50" t="s">
        <v>1766</v>
      </c>
      <c r="J558" s="18">
        <f>+_xlfn.XLOOKUP(B558,Sheet3!B:B,Sheet3!J:J,0)</f>
        <v>-28.56</v>
      </c>
      <c r="K558">
        <f t="shared" si="25"/>
        <v>-38.08</v>
      </c>
      <c r="L558" s="54">
        <v>-28.56</v>
      </c>
      <c r="M558" s="67">
        <f t="shared" si="26"/>
        <v>9.52</v>
      </c>
    </row>
    <row r="559" spans="2:13" hidden="1" x14ac:dyDescent="0.25">
      <c r="B559" t="str">
        <f t="shared" si="24"/>
        <v>GinestraSEC-CIM-E033-01</v>
      </c>
      <c r="C559" s="50" t="s">
        <v>826</v>
      </c>
      <c r="D559" s="51" t="s">
        <v>887</v>
      </c>
      <c r="E559" s="50" t="s">
        <v>910</v>
      </c>
      <c r="F559" s="50" t="s">
        <v>912</v>
      </c>
      <c r="G559" s="50" t="s">
        <v>890</v>
      </c>
      <c r="H559" s="57" t="s">
        <v>1767</v>
      </c>
      <c r="I559" s="50" t="s">
        <v>1391</v>
      </c>
      <c r="J559" s="18">
        <f>+_xlfn.XLOOKUP(B559,Sheet3!B:B,Sheet3!J:J,0)</f>
        <v>0</v>
      </c>
      <c r="K559">
        <f t="shared" si="25"/>
        <v>0</v>
      </c>
      <c r="L559" s="54">
        <v>0</v>
      </c>
      <c r="M559" s="67">
        <f t="shared" si="26"/>
        <v>0</v>
      </c>
    </row>
    <row r="560" spans="2:13" hidden="1" x14ac:dyDescent="0.25">
      <c r="B560" t="str">
        <f t="shared" si="24"/>
        <v>overheadsPREVENTIVI SELETTRA</v>
      </c>
      <c r="C560" s="50" t="s">
        <v>826</v>
      </c>
      <c r="D560" s="51" t="s">
        <v>887</v>
      </c>
      <c r="E560" s="50" t="s">
        <v>1756</v>
      </c>
      <c r="F560" s="50" t="s">
        <v>855</v>
      </c>
      <c r="G560" s="50" t="s">
        <v>855</v>
      </c>
      <c r="H560" s="57" t="s">
        <v>1768</v>
      </c>
      <c r="I560" s="50" t="s">
        <v>1758</v>
      </c>
      <c r="J560" s="18">
        <f>+_xlfn.XLOOKUP(B560,Sheet3!B:B,Sheet3!J:J,0)</f>
        <v>0</v>
      </c>
      <c r="K560">
        <f t="shared" si="25"/>
        <v>0</v>
      </c>
      <c r="L560" s="54">
        <v>0</v>
      </c>
      <c r="M560" s="67">
        <f t="shared" si="26"/>
        <v>0</v>
      </c>
    </row>
    <row r="561" spans="2:13" hidden="1" x14ac:dyDescent="0.25">
      <c r="B561" t="str">
        <f t="shared" si="24"/>
        <v>overheadsSTRUTTURA BU CENTRO</v>
      </c>
      <c r="C561" s="50" t="s">
        <v>826</v>
      </c>
      <c r="D561" s="51" t="s">
        <v>887</v>
      </c>
      <c r="E561" s="50" t="s">
        <v>896</v>
      </c>
      <c r="F561" s="50" t="s">
        <v>855</v>
      </c>
      <c r="G561" s="50" t="s">
        <v>855</v>
      </c>
      <c r="H561" s="57" t="s">
        <v>1769</v>
      </c>
      <c r="I561" s="50" t="s">
        <v>1758</v>
      </c>
      <c r="J561" s="18">
        <f>+_xlfn.XLOOKUP(B561,Sheet3!B:B,Sheet3!J:J,0)</f>
        <v>0</v>
      </c>
      <c r="K561">
        <f t="shared" si="25"/>
        <v>0</v>
      </c>
      <c r="L561" s="54">
        <v>0</v>
      </c>
      <c r="M561" s="67">
        <f t="shared" si="26"/>
        <v>0</v>
      </c>
    </row>
    <row r="562" spans="2:13" hidden="1" x14ac:dyDescent="0.25">
      <c r="B562" t="str">
        <f t="shared" si="24"/>
        <v>overheadsSTRUTTURA BU SUD</v>
      </c>
      <c r="C562" s="50" t="s">
        <v>826</v>
      </c>
      <c r="D562" s="51" t="s">
        <v>887</v>
      </c>
      <c r="E562" s="50" t="s">
        <v>910</v>
      </c>
      <c r="F562" s="50" t="s">
        <v>855</v>
      </c>
      <c r="G562" s="50" t="s">
        <v>855</v>
      </c>
      <c r="H562" s="57" t="s">
        <v>1770</v>
      </c>
      <c r="I562" s="50" t="s">
        <v>1758</v>
      </c>
      <c r="J562" s="18">
        <f>+_xlfn.XLOOKUP(B562,Sheet3!B:B,Sheet3!J:J,0)</f>
        <v>0</v>
      </c>
      <c r="K562">
        <f t="shared" si="25"/>
        <v>0</v>
      </c>
      <c r="L562" s="54">
        <v>0</v>
      </c>
      <c r="M562" s="67">
        <f t="shared" si="26"/>
        <v>0</v>
      </c>
    </row>
    <row r="563" spans="2:13" hidden="1" x14ac:dyDescent="0.25">
      <c r="B563" t="str">
        <f t="shared" si="24"/>
        <v>overheadsMANUTENZIONE MEZZI AZIENDALI</v>
      </c>
      <c r="C563" s="50" t="s">
        <v>826</v>
      </c>
      <c r="D563" s="51" t="s">
        <v>887</v>
      </c>
      <c r="E563" s="50" t="s">
        <v>1756</v>
      </c>
      <c r="F563" s="50" t="s">
        <v>855</v>
      </c>
      <c r="G563" s="50" t="s">
        <v>855</v>
      </c>
      <c r="H563" s="57" t="s">
        <v>1771</v>
      </c>
      <c r="I563" s="50" t="s">
        <v>1758</v>
      </c>
      <c r="J563" s="18">
        <f>+_xlfn.XLOOKUP(B563,Sheet3!B:B,Sheet3!J:J,0)</f>
        <v>0</v>
      </c>
      <c r="K563">
        <f t="shared" si="25"/>
        <v>0</v>
      </c>
      <c r="L563" s="54">
        <v>0</v>
      </c>
      <c r="M563" s="67">
        <f t="shared" si="26"/>
        <v>0</v>
      </c>
    </row>
    <row r="564" spans="2:13" hidden="1" x14ac:dyDescent="0.25">
      <c r="B564" t="str">
        <f t="shared" si="24"/>
        <v>overheadsCONSUMABILI</v>
      </c>
      <c r="C564" s="50" t="s">
        <v>826</v>
      </c>
      <c r="D564" s="51" t="s">
        <v>887</v>
      </c>
      <c r="E564" s="50" t="s">
        <v>1756</v>
      </c>
      <c r="F564" s="50" t="s">
        <v>855</v>
      </c>
      <c r="G564" s="50" t="s">
        <v>855</v>
      </c>
      <c r="H564" s="57" t="s">
        <v>1772</v>
      </c>
      <c r="I564" s="50" t="s">
        <v>1758</v>
      </c>
      <c r="J564" s="18">
        <f>+_xlfn.XLOOKUP(B564,Sheet3!B:B,Sheet3!J:J,0)</f>
        <v>0</v>
      </c>
      <c r="K564">
        <f t="shared" si="25"/>
        <v>0</v>
      </c>
      <c r="L564" s="54">
        <v>0</v>
      </c>
      <c r="M564" s="67">
        <f t="shared" si="26"/>
        <v>0</v>
      </c>
    </row>
    <row r="565" spans="2:13" hidden="1" x14ac:dyDescent="0.25">
      <c r="B565" t="str">
        <f t="shared" si="24"/>
        <v>overheadsSTRUTTURA BU NORD OVEST</v>
      </c>
      <c r="C565" s="50" t="s">
        <v>826</v>
      </c>
      <c r="D565" s="51" t="s">
        <v>887</v>
      </c>
      <c r="E565" s="50" t="s">
        <v>888</v>
      </c>
      <c r="F565" s="50" t="s">
        <v>855</v>
      </c>
      <c r="G565" s="50" t="s">
        <v>855</v>
      </c>
      <c r="H565" s="57" t="s">
        <v>1773</v>
      </c>
      <c r="I565" s="50" t="s">
        <v>1758</v>
      </c>
      <c r="J565" s="18">
        <f>+_xlfn.XLOOKUP(B565,Sheet3!B:B,Sheet3!J:J,0)</f>
        <v>0</v>
      </c>
      <c r="K565">
        <f t="shared" si="25"/>
        <v>0</v>
      </c>
      <c r="L565" s="54">
        <v>0</v>
      </c>
      <c r="M565" s="67">
        <f t="shared" si="26"/>
        <v>0</v>
      </c>
    </row>
    <row r="566" spans="2:13" hidden="1" x14ac:dyDescent="0.25">
      <c r="B566" t="str">
        <f t="shared" si="24"/>
        <v>AviglianoSEC-PHV-A519-06</v>
      </c>
      <c r="C566" s="50" t="s">
        <v>826</v>
      </c>
      <c r="D566" s="51" t="s">
        <v>887</v>
      </c>
      <c r="E566" s="50" t="s">
        <v>910</v>
      </c>
      <c r="F566" s="50" t="s">
        <v>897</v>
      </c>
      <c r="G566" s="50" t="s">
        <v>897</v>
      </c>
      <c r="H566" s="57" t="s">
        <v>1774</v>
      </c>
      <c r="I566" s="50" t="s">
        <v>1766</v>
      </c>
      <c r="J566" s="18">
        <f>+_xlfn.XLOOKUP(B566,Sheet3!B:B,Sheet3!J:J,0)</f>
        <v>0</v>
      </c>
      <c r="K566">
        <f t="shared" si="25"/>
        <v>0</v>
      </c>
      <c r="L566" s="54">
        <v>0</v>
      </c>
      <c r="M566" s="67">
        <f t="shared" si="26"/>
        <v>0</v>
      </c>
    </row>
    <row r="567" spans="2:13" hidden="1" x14ac:dyDescent="0.25">
      <c r="B567" t="str">
        <f t="shared" si="24"/>
        <v>Montalto Delle MarcheSEC-PHV-F415-01</v>
      </c>
      <c r="C567" s="50" t="s">
        <v>826</v>
      </c>
      <c r="D567" s="51" t="s">
        <v>887</v>
      </c>
      <c r="E567" s="50" t="s">
        <v>896</v>
      </c>
      <c r="F567" s="50" t="s">
        <v>897</v>
      </c>
      <c r="G567" s="50" t="s">
        <v>897</v>
      </c>
      <c r="H567" s="57" t="s">
        <v>1775</v>
      </c>
      <c r="I567" s="50" t="s">
        <v>1776</v>
      </c>
      <c r="J567" s="18">
        <f>+_xlfn.XLOOKUP(B567,Sheet3!B:B,Sheet3!J:J,0)</f>
        <v>0</v>
      </c>
      <c r="K567">
        <f t="shared" si="25"/>
        <v>0</v>
      </c>
      <c r="L567" s="54">
        <v>0</v>
      </c>
      <c r="M567" s="67">
        <f t="shared" si="26"/>
        <v>0</v>
      </c>
    </row>
    <row r="568" spans="2:13" hidden="1" x14ac:dyDescent="0.25">
      <c r="B568" t="str">
        <f t="shared" si="24"/>
        <v>PaternoSEC-PHV-M269-01</v>
      </c>
      <c r="C568" s="50" t="s">
        <v>826</v>
      </c>
      <c r="D568" s="51" t="s">
        <v>887</v>
      </c>
      <c r="E568" s="50" t="s">
        <v>910</v>
      </c>
      <c r="F568" s="50" t="s">
        <v>897</v>
      </c>
      <c r="G568" s="50" t="s">
        <v>897</v>
      </c>
      <c r="H568" s="57" t="s">
        <v>1777</v>
      </c>
      <c r="I568" s="50" t="s">
        <v>1284</v>
      </c>
      <c r="J568" s="18">
        <f>+_xlfn.XLOOKUP(B568,Sheet3!B:B,Sheet3!J:J,0)</f>
        <v>0</v>
      </c>
      <c r="K568">
        <f t="shared" si="25"/>
        <v>0</v>
      </c>
      <c r="L568" s="54">
        <v>0</v>
      </c>
      <c r="M568" s="67">
        <f t="shared" si="26"/>
        <v>0</v>
      </c>
    </row>
    <row r="569" spans="2:13" hidden="1" x14ac:dyDescent="0.25">
      <c r="B569" t="str">
        <f t="shared" si="24"/>
        <v>PaternoSEC-PHV-M269-03</v>
      </c>
      <c r="C569" s="50" t="s">
        <v>826</v>
      </c>
      <c r="D569" s="51" t="s">
        <v>887</v>
      </c>
      <c r="E569" s="50" t="s">
        <v>910</v>
      </c>
      <c r="F569" s="50" t="s">
        <v>897</v>
      </c>
      <c r="G569" s="50" t="s">
        <v>897</v>
      </c>
      <c r="H569" s="57" t="s">
        <v>1778</v>
      </c>
      <c r="I569" s="50" t="s">
        <v>1284</v>
      </c>
      <c r="J569" s="18">
        <f>+_xlfn.XLOOKUP(B569,Sheet3!B:B,Sheet3!J:J,0)</f>
        <v>1.6622999999999999</v>
      </c>
      <c r="K569">
        <f t="shared" si="25"/>
        <v>2.2163999999999997</v>
      </c>
      <c r="L569" s="54">
        <v>1.6622999999999999</v>
      </c>
      <c r="M569" s="67">
        <f t="shared" si="26"/>
        <v>-0.55409999999999981</v>
      </c>
    </row>
    <row r="570" spans="2:13" hidden="1" x14ac:dyDescent="0.25">
      <c r="B570" t="str">
        <f t="shared" si="24"/>
        <v>overheadsL104 PERMESSI</v>
      </c>
      <c r="C570" s="50" t="s">
        <v>826</v>
      </c>
      <c r="D570" s="51" t="s">
        <v>887</v>
      </c>
      <c r="E570" s="50" t="s">
        <v>1756</v>
      </c>
      <c r="F570" s="50" t="s">
        <v>855</v>
      </c>
      <c r="G570" s="50" t="s">
        <v>855</v>
      </c>
      <c r="H570" s="57" t="s">
        <v>1779</v>
      </c>
      <c r="I570" s="50" t="s">
        <v>1758</v>
      </c>
      <c r="J570" s="18">
        <f>+_xlfn.XLOOKUP(B570,Sheet3!B:B,Sheet3!J:J,0)</f>
        <v>0</v>
      </c>
      <c r="K570">
        <f t="shared" si="25"/>
        <v>0</v>
      </c>
      <c r="L570" s="54">
        <v>0</v>
      </c>
      <c r="M570" s="67">
        <f t="shared" si="26"/>
        <v>0</v>
      </c>
    </row>
    <row r="571" spans="2:13" x14ac:dyDescent="0.25">
      <c r="B571" t="str">
        <f t="shared" si="24"/>
        <v>Chioggia BuildingPPP-EEE-C638-02</v>
      </c>
      <c r="C571" s="50" t="s">
        <v>958</v>
      </c>
      <c r="D571" s="51" t="s">
        <v>887</v>
      </c>
      <c r="E571" s="50" t="s">
        <v>959</v>
      </c>
      <c r="F571" s="50" t="s">
        <v>965</v>
      </c>
      <c r="G571" s="50" t="s">
        <v>965</v>
      </c>
      <c r="H571" s="57" t="s">
        <v>1780</v>
      </c>
      <c r="I571" s="50" t="s">
        <v>1256</v>
      </c>
      <c r="J571" s="18">
        <f>+_xlfn.XLOOKUP(B571,Sheet3!B:B,Sheet3!J:J,0)</f>
        <v>123.99997999999999</v>
      </c>
      <c r="K571">
        <f t="shared" si="25"/>
        <v>165.33330666666666</v>
      </c>
      <c r="L571" s="54">
        <v>62</v>
      </c>
      <c r="M571" s="67">
        <f t="shared" si="26"/>
        <v>-103.33330666666666</v>
      </c>
    </row>
    <row r="572" spans="2:13" hidden="1" x14ac:dyDescent="0.25">
      <c r="B572" t="str">
        <f t="shared" si="24"/>
        <v>Sasso di CastaldaSEC-PHV-I457-01</v>
      </c>
      <c r="C572" s="50" t="s">
        <v>826</v>
      </c>
      <c r="D572" s="51" t="s">
        <v>887</v>
      </c>
      <c r="E572" s="50" t="s">
        <v>910</v>
      </c>
      <c r="F572" s="50" t="s">
        <v>897</v>
      </c>
      <c r="G572" s="50" t="s">
        <v>897</v>
      </c>
      <c r="H572" s="57" t="s">
        <v>1781</v>
      </c>
      <c r="I572" s="50" t="s">
        <v>1453</v>
      </c>
      <c r="J572" s="18">
        <f>+_xlfn.XLOOKUP(B572,Sheet3!B:B,Sheet3!J:J,0)</f>
        <v>0</v>
      </c>
      <c r="K572">
        <f t="shared" si="25"/>
        <v>0</v>
      </c>
      <c r="L572" s="54">
        <v>0</v>
      </c>
      <c r="M572" s="67">
        <f t="shared" si="26"/>
        <v>0</v>
      </c>
    </row>
    <row r="573" spans="2:13" hidden="1" x14ac:dyDescent="0.25">
      <c r="B573" t="str">
        <f t="shared" si="24"/>
        <v>AviglianoSEC-PHV-A519-05</v>
      </c>
      <c r="C573" s="50" t="s">
        <v>826</v>
      </c>
      <c r="D573" s="51" t="s">
        <v>887</v>
      </c>
      <c r="E573" s="50" t="s">
        <v>910</v>
      </c>
      <c r="F573" s="50" t="s">
        <v>897</v>
      </c>
      <c r="G573" s="50" t="s">
        <v>897</v>
      </c>
      <c r="H573" s="57" t="s">
        <v>1782</v>
      </c>
      <c r="I573" s="50" t="s">
        <v>1766</v>
      </c>
      <c r="J573" s="18">
        <f>+_xlfn.XLOOKUP(B573,Sheet3!B:B,Sheet3!J:J,0)</f>
        <v>0</v>
      </c>
      <c r="K573">
        <f t="shared" si="25"/>
        <v>0</v>
      </c>
      <c r="L573" s="54">
        <v>0</v>
      </c>
      <c r="M573" s="67">
        <f t="shared" si="26"/>
        <v>0</v>
      </c>
    </row>
    <row r="574" spans="2:13" hidden="1" x14ac:dyDescent="0.25">
      <c r="B574" t="str">
        <f t="shared" si="24"/>
        <v>overheadsNUMERO VERDE</v>
      </c>
      <c r="C574" s="50" t="s">
        <v>826</v>
      </c>
      <c r="D574" s="51" t="s">
        <v>887</v>
      </c>
      <c r="E574" s="50" t="s">
        <v>1756</v>
      </c>
      <c r="F574" s="50" t="s">
        <v>855</v>
      </c>
      <c r="G574" s="50" t="s">
        <v>855</v>
      </c>
      <c r="H574" s="57" t="s">
        <v>1783</v>
      </c>
      <c r="I574" s="50" t="s">
        <v>1758</v>
      </c>
      <c r="J574" s="18">
        <f>+_xlfn.XLOOKUP(B574,Sheet3!B:B,Sheet3!J:J,0)</f>
        <v>0</v>
      </c>
      <c r="K574">
        <f t="shared" si="25"/>
        <v>0</v>
      </c>
      <c r="L574" s="54">
        <v>0</v>
      </c>
      <c r="M574" s="67">
        <f t="shared" si="26"/>
        <v>0</v>
      </c>
    </row>
    <row r="575" spans="2:13" hidden="1" x14ac:dyDescent="0.25">
      <c r="B575" t="str">
        <f t="shared" si="24"/>
        <v>overheadsSTRUTTURA BU NORD EST</v>
      </c>
      <c r="C575" s="50" t="s">
        <v>826</v>
      </c>
      <c r="D575" s="51" t="s">
        <v>887</v>
      </c>
      <c r="E575" s="50" t="s">
        <v>959</v>
      </c>
      <c r="F575" s="50" t="s">
        <v>855</v>
      </c>
      <c r="G575" s="50" t="s">
        <v>855</v>
      </c>
      <c r="H575" s="57" t="s">
        <v>1784</v>
      </c>
      <c r="I575" s="50" t="s">
        <v>1758</v>
      </c>
      <c r="J575" s="18">
        <f>+_xlfn.XLOOKUP(B575,Sheet3!B:B,Sheet3!J:J,0)</f>
        <v>0</v>
      </c>
      <c r="K575">
        <f t="shared" si="25"/>
        <v>0</v>
      </c>
      <c r="L575" s="54">
        <v>0</v>
      </c>
      <c r="M575" s="67">
        <f t="shared" si="26"/>
        <v>0</v>
      </c>
    </row>
    <row r="576" spans="2:13" hidden="1" x14ac:dyDescent="0.25">
      <c r="B576" t="str">
        <f t="shared" si="24"/>
        <v>AviglianoSEC-PHV-A519-01</v>
      </c>
      <c r="C576" s="50" t="s">
        <v>826</v>
      </c>
      <c r="D576" s="51" t="s">
        <v>887</v>
      </c>
      <c r="E576" s="50" t="s">
        <v>910</v>
      </c>
      <c r="F576" s="50" t="s">
        <v>897</v>
      </c>
      <c r="G576" s="50" t="s">
        <v>897</v>
      </c>
      <c r="H576" s="57" t="s">
        <v>1785</v>
      </c>
      <c r="I576" s="50" t="s">
        <v>1766</v>
      </c>
      <c r="J576" s="18">
        <f>+_xlfn.XLOOKUP(B576,Sheet3!B:B,Sheet3!J:J,0)</f>
        <v>9.781999999999999E-2</v>
      </c>
      <c r="K576">
        <f t="shared" si="25"/>
        <v>0.13042666666666666</v>
      </c>
      <c r="L576" s="54">
        <v>9.781999999999999E-2</v>
      </c>
      <c r="M576" s="67">
        <f t="shared" si="26"/>
        <v>-3.2606666666666673E-2</v>
      </c>
    </row>
    <row r="577" spans="2:13" hidden="1" x14ac:dyDescent="0.25">
      <c r="B577" t="str">
        <f t="shared" si="24"/>
        <v>overheadsMALATTIA</v>
      </c>
      <c r="C577" s="50" t="s">
        <v>826</v>
      </c>
      <c r="D577" s="51" t="s">
        <v>887</v>
      </c>
      <c r="E577" s="50" t="s">
        <v>1756</v>
      </c>
      <c r="F577" s="50" t="s">
        <v>855</v>
      </c>
      <c r="G577" s="50" t="s">
        <v>855</v>
      </c>
      <c r="H577" s="57" t="s">
        <v>1786</v>
      </c>
      <c r="I577" s="50" t="s">
        <v>1758</v>
      </c>
      <c r="J577" s="18">
        <f>+_xlfn.XLOOKUP(B577,Sheet3!B:B,Sheet3!J:J,0)</f>
        <v>0</v>
      </c>
      <c r="K577">
        <f t="shared" si="25"/>
        <v>0</v>
      </c>
      <c r="L577" s="54">
        <v>0</v>
      </c>
      <c r="M577" s="67">
        <f t="shared" si="26"/>
        <v>0</v>
      </c>
    </row>
    <row r="578" spans="2:13" hidden="1" x14ac:dyDescent="0.25">
      <c r="B578" t="str">
        <f t="shared" si="24"/>
        <v>ElettrosystemEPC-IPU-A683-02</v>
      </c>
      <c r="C578" s="50" t="s">
        <v>826</v>
      </c>
      <c r="D578" s="51" t="s">
        <v>887</v>
      </c>
      <c r="E578" s="50" t="s">
        <v>888</v>
      </c>
      <c r="F578" s="50" t="s">
        <v>1630</v>
      </c>
      <c r="G578" s="50" t="s">
        <v>1630</v>
      </c>
      <c r="H578" s="57" t="s">
        <v>1787</v>
      </c>
      <c r="I578" s="50" t="s">
        <v>1788</v>
      </c>
      <c r="J578" s="18">
        <f>+_xlfn.XLOOKUP(B578,Sheet3!B:B,Sheet3!J:J,0)</f>
        <v>1.5717300000000001</v>
      </c>
      <c r="K578">
        <f t="shared" si="25"/>
        <v>2.0956399999999999</v>
      </c>
      <c r="L578" s="54">
        <v>1.5717300000000001</v>
      </c>
      <c r="M578" s="67">
        <f t="shared" si="26"/>
        <v>-0.52390999999999988</v>
      </c>
    </row>
    <row r="579" spans="2:13" hidden="1" x14ac:dyDescent="0.25">
      <c r="B579" t="str">
        <f t="shared" si="24"/>
        <v>EquipeEPC-IPU-E951-08</v>
      </c>
      <c r="C579" s="50" t="s">
        <v>826</v>
      </c>
      <c r="D579" s="51" t="s">
        <v>887</v>
      </c>
      <c r="E579" s="50" t="s">
        <v>888</v>
      </c>
      <c r="F579" s="50" t="s">
        <v>1630</v>
      </c>
      <c r="G579" s="50" t="s">
        <v>1630</v>
      </c>
      <c r="H579" s="57" t="s">
        <v>1789</v>
      </c>
      <c r="I579" s="50" t="s">
        <v>1790</v>
      </c>
      <c r="J579" s="18">
        <f>+_xlfn.XLOOKUP(B579,Sheet3!B:B,Sheet3!J:J,0)</f>
        <v>0.62673999999999996</v>
      </c>
      <c r="K579">
        <f t="shared" si="25"/>
        <v>0.83565333333333325</v>
      </c>
      <c r="L579" s="54">
        <v>0.62673999999999996</v>
      </c>
      <c r="M579" s="67">
        <f t="shared" si="26"/>
        <v>-0.20891333333333328</v>
      </c>
    </row>
    <row r="580" spans="2:13" hidden="1" x14ac:dyDescent="0.25">
      <c r="B580" t="str">
        <f t="shared" ref="B580:B643" si="27">+I580&amp;H580</f>
        <v>E. GIANTURCOEPC-IPU-A519-04</v>
      </c>
      <c r="C580" s="50" t="s">
        <v>826</v>
      </c>
      <c r="D580" s="51" t="s">
        <v>887</v>
      </c>
      <c r="E580" s="50" t="s">
        <v>910</v>
      </c>
      <c r="F580" s="50" t="s">
        <v>1630</v>
      </c>
      <c r="G580" s="50" t="s">
        <v>1630</v>
      </c>
      <c r="H580" s="57" t="s">
        <v>1791</v>
      </c>
      <c r="I580" s="50" t="s">
        <v>1792</v>
      </c>
      <c r="J580" s="18">
        <f>+_xlfn.XLOOKUP(B580,Sheet3!B:B,Sheet3!J:J,0)</f>
        <v>0</v>
      </c>
      <c r="K580">
        <f t="shared" ref="K580:K643" si="28">+J580/6*8</f>
        <v>0</v>
      </c>
      <c r="L580" s="54">
        <v>0</v>
      </c>
      <c r="M580" s="67">
        <f t="shared" ref="M580:M643" si="29">+L580-K580</f>
        <v>0</v>
      </c>
    </row>
    <row r="581" spans="2:13" hidden="1" x14ac:dyDescent="0.25">
      <c r="B581" t="str">
        <f t="shared" si="27"/>
        <v>BuguggiateEPC-IPU-B258-01</v>
      </c>
      <c r="C581" s="50" t="s">
        <v>826</v>
      </c>
      <c r="D581" s="51" t="s">
        <v>887</v>
      </c>
      <c r="E581" s="50" t="s">
        <v>888</v>
      </c>
      <c r="F581" s="50" t="s">
        <v>1630</v>
      </c>
      <c r="G581" s="50" t="s">
        <v>1630</v>
      </c>
      <c r="H581" s="57" t="s">
        <v>1793</v>
      </c>
      <c r="I581" s="50" t="s">
        <v>1794</v>
      </c>
      <c r="J581" s="18">
        <f>+_xlfn.XLOOKUP(B581,Sheet3!B:B,Sheet3!J:J,0)</f>
        <v>1.8719000000000001</v>
      </c>
      <c r="K581">
        <f t="shared" si="28"/>
        <v>2.4958666666666667</v>
      </c>
      <c r="L581" s="54">
        <v>1.8719000000000001</v>
      </c>
      <c r="M581" s="67">
        <f t="shared" si="29"/>
        <v>-0.62396666666666656</v>
      </c>
    </row>
    <row r="582" spans="2:13" hidden="1" x14ac:dyDescent="0.25">
      <c r="B582" t="str">
        <f t="shared" si="27"/>
        <v>TrecchinaEPC-IPU-L357-01</v>
      </c>
      <c r="C582" s="50" t="s">
        <v>826</v>
      </c>
      <c r="D582" s="51" t="s">
        <v>887</v>
      </c>
      <c r="E582" s="50" t="s">
        <v>910</v>
      </c>
      <c r="F582" s="50" t="s">
        <v>1533</v>
      </c>
      <c r="G582" s="50" t="s">
        <v>1533</v>
      </c>
      <c r="H582" s="57" t="s">
        <v>1795</v>
      </c>
      <c r="I582" s="50" t="s">
        <v>1796</v>
      </c>
      <c r="J582" s="18">
        <f>+_xlfn.XLOOKUP(B582,Sheet3!B:B,Sheet3!J:J,0)</f>
        <v>3.8778999999999999</v>
      </c>
      <c r="K582">
        <f t="shared" si="28"/>
        <v>5.1705333333333332</v>
      </c>
      <c r="L582" s="54">
        <v>7.0778999999999996</v>
      </c>
      <c r="M582" s="67">
        <f t="shared" si="29"/>
        <v>1.9073666666666664</v>
      </c>
    </row>
    <row r="583" spans="2:13" hidden="1" x14ac:dyDescent="0.25">
      <c r="B583" t="str">
        <f t="shared" si="27"/>
        <v>PaternoEPC-IPU-M269-04</v>
      </c>
      <c r="C583" s="50" t="s">
        <v>826</v>
      </c>
      <c r="D583" s="51" t="s">
        <v>887</v>
      </c>
      <c r="E583" s="50" t="s">
        <v>910</v>
      </c>
      <c r="F583" s="50" t="s">
        <v>1630</v>
      </c>
      <c r="G583" s="50" t="s">
        <v>1630</v>
      </c>
      <c r="H583" s="57" t="s">
        <v>1797</v>
      </c>
      <c r="I583" s="50" t="s">
        <v>1284</v>
      </c>
      <c r="J583" s="18">
        <f>+_xlfn.XLOOKUP(B583,Sheet3!B:B,Sheet3!J:J,0)</f>
        <v>11.383850000000001</v>
      </c>
      <c r="K583">
        <f t="shared" si="28"/>
        <v>15.178466666666667</v>
      </c>
      <c r="L583" s="54">
        <v>19.098479999999999</v>
      </c>
      <c r="M583" s="67">
        <f t="shared" si="29"/>
        <v>3.9200133333333316</v>
      </c>
    </row>
    <row r="584" spans="2:13" hidden="1" x14ac:dyDescent="0.25">
      <c r="B584" t="str">
        <f t="shared" si="27"/>
        <v>Costruzioni AcocellaEPC-IPU-C058-01</v>
      </c>
      <c r="C584" s="50" t="s">
        <v>826</v>
      </c>
      <c r="D584" s="51" t="s">
        <v>887</v>
      </c>
      <c r="E584" s="50" t="s">
        <v>910</v>
      </c>
      <c r="F584" s="50" t="s">
        <v>1630</v>
      </c>
      <c r="G584" s="50" t="s">
        <v>1630</v>
      </c>
      <c r="H584" s="57" t="s">
        <v>1798</v>
      </c>
      <c r="I584" s="50" t="s">
        <v>1799</v>
      </c>
      <c r="J584" s="18">
        <f>+_xlfn.XLOOKUP(B584,Sheet3!B:B,Sheet3!J:J,0)</f>
        <v>0</v>
      </c>
      <c r="K584">
        <f t="shared" si="28"/>
        <v>0</v>
      </c>
      <c r="L584" s="54">
        <v>0</v>
      </c>
      <c r="M584" s="67">
        <f t="shared" si="29"/>
        <v>0</v>
      </c>
    </row>
    <row r="585" spans="2:13" hidden="1" x14ac:dyDescent="0.25">
      <c r="B585" t="str">
        <f t="shared" si="27"/>
        <v>Sauze Di CesanaEPC-IPU-I465-01</v>
      </c>
      <c r="C585" s="50" t="s">
        <v>826</v>
      </c>
      <c r="D585" s="51" t="s">
        <v>887</v>
      </c>
      <c r="E585" s="50" t="s">
        <v>888</v>
      </c>
      <c r="F585" s="50" t="s">
        <v>1630</v>
      </c>
      <c r="G585" s="50" t="s">
        <v>1630</v>
      </c>
      <c r="H585" s="57" t="s">
        <v>1800</v>
      </c>
      <c r="I585" s="50" t="s">
        <v>1801</v>
      </c>
      <c r="J585" s="18">
        <f>+_xlfn.XLOOKUP(B585,Sheet3!B:B,Sheet3!J:J,0)</f>
        <v>0</v>
      </c>
      <c r="K585">
        <f t="shared" si="28"/>
        <v>0</v>
      </c>
      <c r="L585" s="54">
        <v>0</v>
      </c>
      <c r="M585" s="67">
        <f t="shared" si="29"/>
        <v>0</v>
      </c>
    </row>
    <row r="586" spans="2:13" hidden="1" x14ac:dyDescent="0.25">
      <c r="B586" t="str">
        <f t="shared" si="27"/>
        <v>ICG srlEPC-IPU-E716-05</v>
      </c>
      <c r="C586" s="50" t="s">
        <v>826</v>
      </c>
      <c r="D586" s="51" t="s">
        <v>887</v>
      </c>
      <c r="E586" s="50" t="s">
        <v>910</v>
      </c>
      <c r="F586" s="50" t="s">
        <v>1630</v>
      </c>
      <c r="G586" s="50" t="s">
        <v>1630</v>
      </c>
      <c r="H586" s="57" t="s">
        <v>1802</v>
      </c>
      <c r="I586" s="50" t="s">
        <v>1803</v>
      </c>
      <c r="J586" s="18">
        <f>+_xlfn.XLOOKUP(B586,Sheet3!B:B,Sheet3!J:J,0)</f>
        <v>13.36717</v>
      </c>
      <c r="K586">
        <f t="shared" si="28"/>
        <v>17.822893333333333</v>
      </c>
      <c r="L586" s="54">
        <v>13.36717</v>
      </c>
      <c r="M586" s="67">
        <f t="shared" si="29"/>
        <v>-4.4557233333333333</v>
      </c>
    </row>
    <row r="587" spans="2:13" hidden="1" x14ac:dyDescent="0.25">
      <c r="B587" t="str">
        <f t="shared" si="27"/>
        <v>PisticciEPC-IPU-G712-01</v>
      </c>
      <c r="C587" s="50" t="s">
        <v>826</v>
      </c>
      <c r="D587" s="51" t="s">
        <v>887</v>
      </c>
      <c r="E587" s="50" t="s">
        <v>910</v>
      </c>
      <c r="F587" s="50" t="s">
        <v>1630</v>
      </c>
      <c r="G587" s="50" t="s">
        <v>1630</v>
      </c>
      <c r="H587" s="57" t="s">
        <v>1804</v>
      </c>
      <c r="I587" s="50" t="s">
        <v>1805</v>
      </c>
      <c r="J587" s="18">
        <f>+_xlfn.XLOOKUP(B587,Sheet3!B:B,Sheet3!J:J,0)</f>
        <v>0</v>
      </c>
      <c r="K587">
        <f t="shared" si="28"/>
        <v>0</v>
      </c>
      <c r="L587" s="54">
        <v>0</v>
      </c>
      <c r="M587" s="67">
        <f t="shared" si="29"/>
        <v>0</v>
      </c>
    </row>
    <row r="588" spans="2:13" hidden="1" x14ac:dyDescent="0.25">
      <c r="B588" t="str">
        <f t="shared" si="27"/>
        <v>FajoEPC-IPU-E951-05</v>
      </c>
      <c r="C588" s="50" t="s">
        <v>826</v>
      </c>
      <c r="D588" s="51" t="s">
        <v>887</v>
      </c>
      <c r="E588" s="50" t="s">
        <v>888</v>
      </c>
      <c r="F588" s="50" t="s">
        <v>1630</v>
      </c>
      <c r="G588" s="50" t="s">
        <v>1630</v>
      </c>
      <c r="H588" s="57" t="s">
        <v>1806</v>
      </c>
      <c r="I588" s="50" t="s">
        <v>1807</v>
      </c>
      <c r="J588" s="18">
        <f>+_xlfn.XLOOKUP(B588,Sheet3!B:B,Sheet3!J:J,0)</f>
        <v>1.4613800000000001</v>
      </c>
      <c r="K588">
        <f t="shared" si="28"/>
        <v>1.9485066666666668</v>
      </c>
      <c r="L588" s="54">
        <v>1.4613800000000001</v>
      </c>
      <c r="M588" s="67">
        <f t="shared" si="29"/>
        <v>-0.48712666666666671</v>
      </c>
    </row>
    <row r="589" spans="2:13" hidden="1" x14ac:dyDescent="0.25">
      <c r="B589" t="str">
        <f t="shared" si="27"/>
        <v>Agrate BrianzaSEC-IPU-A087-01</v>
      </c>
      <c r="C589" s="50" t="s">
        <v>826</v>
      </c>
      <c r="D589" s="51" t="s">
        <v>887</v>
      </c>
      <c r="E589" s="50" t="s">
        <v>888</v>
      </c>
      <c r="F589" s="50" t="s">
        <v>1630</v>
      </c>
      <c r="G589" s="50" t="s">
        <v>1630</v>
      </c>
      <c r="H589" s="57" t="s">
        <v>1808</v>
      </c>
      <c r="I589" s="50" t="s">
        <v>1809</v>
      </c>
      <c r="J589" s="18">
        <f>+_xlfn.XLOOKUP(B589,Sheet3!B:B,Sheet3!J:J,0)</f>
        <v>0.69652000000000003</v>
      </c>
      <c r="K589">
        <f t="shared" si="28"/>
        <v>0.92869333333333337</v>
      </c>
      <c r="L589" s="54">
        <v>0.9286899999999999</v>
      </c>
      <c r="M589" s="67">
        <f t="shared" si="29"/>
        <v>-3.333333333466193E-6</v>
      </c>
    </row>
    <row r="590" spans="2:13" hidden="1" x14ac:dyDescent="0.25">
      <c r="B590" t="str">
        <f t="shared" si="27"/>
        <v>BasianoEPC-IPU-A697-02</v>
      </c>
      <c r="C590" s="50" t="s">
        <v>826</v>
      </c>
      <c r="D590" s="51" t="s">
        <v>887</v>
      </c>
      <c r="E590" s="50" t="s">
        <v>888</v>
      </c>
      <c r="F590" s="50" t="s">
        <v>1533</v>
      </c>
      <c r="G590" s="50" t="s">
        <v>1533</v>
      </c>
      <c r="H590" s="57" t="s">
        <v>1810</v>
      </c>
      <c r="I590" s="50" t="s">
        <v>1062</v>
      </c>
      <c r="J590" s="18">
        <f>+_xlfn.XLOOKUP(B590,Sheet3!B:B,Sheet3!J:J,0)</f>
        <v>0</v>
      </c>
      <c r="K590">
        <f t="shared" si="28"/>
        <v>0</v>
      </c>
      <c r="L590" s="54">
        <v>0</v>
      </c>
      <c r="M590" s="67">
        <f t="shared" si="29"/>
        <v>0</v>
      </c>
    </row>
    <row r="591" spans="2:13" x14ac:dyDescent="0.25">
      <c r="B591" t="str">
        <f t="shared" si="27"/>
        <v>Vier (Ca' Solaro)EPC-PHV-L736-02</v>
      </c>
      <c r="C591" s="50" t="s">
        <v>958</v>
      </c>
      <c r="D591" s="51" t="s">
        <v>887</v>
      </c>
      <c r="E591" s="50" t="s">
        <v>959</v>
      </c>
      <c r="F591" s="50" t="s">
        <v>1630</v>
      </c>
      <c r="G591" s="50" t="s">
        <v>1630</v>
      </c>
      <c r="H591" s="57" t="s">
        <v>1811</v>
      </c>
      <c r="I591" s="50" t="s">
        <v>1812</v>
      </c>
      <c r="J591" s="18">
        <f>+_xlfn.XLOOKUP(B591,Sheet3!B:B,Sheet3!J:J,0)</f>
        <v>355.84944000000002</v>
      </c>
      <c r="K591">
        <f t="shared" si="28"/>
        <v>474.46592000000004</v>
      </c>
      <c r="L591" s="54">
        <v>355.84944000000002</v>
      </c>
      <c r="M591" s="67">
        <f t="shared" si="29"/>
        <v>-118.61648000000002</v>
      </c>
    </row>
    <row r="592" spans="2:13" hidden="1" x14ac:dyDescent="0.25">
      <c r="B592" t="str">
        <f t="shared" si="27"/>
        <v>Provincia MZ-BZEPC-IPU-F704-04</v>
      </c>
      <c r="C592" s="50" t="s">
        <v>958</v>
      </c>
      <c r="D592" s="51" t="s">
        <v>887</v>
      </c>
      <c r="E592" s="50" t="s">
        <v>888</v>
      </c>
      <c r="F592" s="50" t="s">
        <v>1630</v>
      </c>
      <c r="G592" s="50" t="s">
        <v>1630</v>
      </c>
      <c r="H592" s="57" t="s">
        <v>1813</v>
      </c>
      <c r="I592" s="50" t="s">
        <v>1632</v>
      </c>
      <c r="J592" s="18">
        <f>+_xlfn.XLOOKUP(B592,Sheet3!B:B,Sheet3!J:J,0)</f>
        <v>0</v>
      </c>
      <c r="K592">
        <f t="shared" si="28"/>
        <v>0</v>
      </c>
      <c r="L592" s="54">
        <v>1.4847000000000001</v>
      </c>
      <c r="M592" s="67">
        <f t="shared" si="29"/>
        <v>1.4847000000000001</v>
      </c>
    </row>
    <row r="593" spans="2:13" hidden="1" x14ac:dyDescent="0.25">
      <c r="B593" t="str">
        <f t="shared" si="27"/>
        <v>La FeniceEPC-IPU-A512-01</v>
      </c>
      <c r="C593" s="50" t="s">
        <v>826</v>
      </c>
      <c r="D593" s="51" t="s">
        <v>887</v>
      </c>
      <c r="E593" s="50" t="s">
        <v>910</v>
      </c>
      <c r="F593" s="50" t="s">
        <v>1630</v>
      </c>
      <c r="G593" s="50" t="s">
        <v>1630</v>
      </c>
      <c r="H593" s="57" t="s">
        <v>1814</v>
      </c>
      <c r="I593" s="50" t="s">
        <v>1815</v>
      </c>
      <c r="J593" s="18">
        <f>+_xlfn.XLOOKUP(B593,Sheet3!B:B,Sheet3!J:J,0)</f>
        <v>0.73199999999999998</v>
      </c>
      <c r="K593">
        <f t="shared" si="28"/>
        <v>0.97599999999999998</v>
      </c>
      <c r="L593" s="54">
        <v>0.73199999999999998</v>
      </c>
      <c r="M593" s="67">
        <f t="shared" si="29"/>
        <v>-0.24399999999999999</v>
      </c>
    </row>
    <row r="594" spans="2:13" hidden="1" x14ac:dyDescent="0.25">
      <c r="B594" t="str">
        <f t="shared" si="27"/>
        <v>COSTRUZIONI ING. E. PASQUALUCCI SRLEPC-IPU-B162-02</v>
      </c>
      <c r="C594" s="50" t="s">
        <v>826</v>
      </c>
      <c r="D594" s="51" t="s">
        <v>887</v>
      </c>
      <c r="E594" s="50" t="s">
        <v>888</v>
      </c>
      <c r="F594" s="50" t="s">
        <v>1630</v>
      </c>
      <c r="G594" s="50" t="s">
        <v>1630</v>
      </c>
      <c r="H594" s="57" t="s">
        <v>1816</v>
      </c>
      <c r="I594" s="50" t="s">
        <v>1817</v>
      </c>
      <c r="J594" s="18">
        <f>+_xlfn.XLOOKUP(B594,Sheet3!B:B,Sheet3!J:J,0)</f>
        <v>1.0671400000000002</v>
      </c>
      <c r="K594">
        <f t="shared" si="28"/>
        <v>1.4228533333333335</v>
      </c>
      <c r="L594" s="54">
        <v>3.2908600000000003</v>
      </c>
      <c r="M594" s="67">
        <f t="shared" si="29"/>
        <v>1.8680066666666668</v>
      </c>
    </row>
    <row r="595" spans="2:13" hidden="1" x14ac:dyDescent="0.25">
      <c r="B595" t="str">
        <f t="shared" si="27"/>
        <v>GUARDIA PERTICARAEPC-IPU-E246-03</v>
      </c>
      <c r="C595" s="50" t="s">
        <v>826</v>
      </c>
      <c r="D595" s="51" t="s">
        <v>887</v>
      </c>
      <c r="E595" s="50" t="s">
        <v>910</v>
      </c>
      <c r="F595" s="50" t="s">
        <v>1533</v>
      </c>
      <c r="G595" s="50" t="s">
        <v>1533</v>
      </c>
      <c r="H595" s="57" t="s">
        <v>1818</v>
      </c>
      <c r="I595" s="50" t="s">
        <v>1819</v>
      </c>
      <c r="J595" s="18">
        <f>+_xlfn.XLOOKUP(B595,Sheet3!B:B,Sheet3!J:J,0)</f>
        <v>0</v>
      </c>
      <c r="K595">
        <f t="shared" si="28"/>
        <v>0</v>
      </c>
      <c r="L595" s="54">
        <v>0</v>
      </c>
      <c r="M595" s="67">
        <f t="shared" si="29"/>
        <v>0</v>
      </c>
    </row>
    <row r="596" spans="2:13" hidden="1" x14ac:dyDescent="0.25">
      <c r="B596" t="str">
        <f t="shared" si="27"/>
        <v>Delta Impianti srlEPC-IPU-E906-01</v>
      </c>
      <c r="C596" s="50" t="s">
        <v>826</v>
      </c>
      <c r="D596" s="51" t="s">
        <v>887</v>
      </c>
      <c r="E596" s="50" t="s">
        <v>910</v>
      </c>
      <c r="F596" s="50" t="s">
        <v>1630</v>
      </c>
      <c r="G596" s="50" t="s">
        <v>1630</v>
      </c>
      <c r="H596" s="57" t="s">
        <v>1820</v>
      </c>
      <c r="I596" s="50" t="s">
        <v>1821</v>
      </c>
      <c r="J596" s="18">
        <f>+_xlfn.XLOOKUP(B596,Sheet3!B:B,Sheet3!J:J,0)</f>
        <v>1.65933</v>
      </c>
      <c r="K596">
        <f t="shared" si="28"/>
        <v>2.21244</v>
      </c>
      <c r="L596" s="54">
        <v>1.65933</v>
      </c>
      <c r="M596" s="67">
        <f t="shared" si="29"/>
        <v>-0.55310999999999999</v>
      </c>
    </row>
    <row r="597" spans="2:13" hidden="1" x14ac:dyDescent="0.25">
      <c r="B597" t="str">
        <f t="shared" si="27"/>
        <v>PaganiPPP-IPU-G230-02</v>
      </c>
      <c r="C597" s="50" t="s">
        <v>826</v>
      </c>
      <c r="D597" s="51" t="s">
        <v>887</v>
      </c>
      <c r="E597" s="50" t="s">
        <v>910</v>
      </c>
      <c r="F597" s="50" t="s">
        <v>1533</v>
      </c>
      <c r="G597" s="50" t="s">
        <v>1533</v>
      </c>
      <c r="H597" s="57" t="s">
        <v>1822</v>
      </c>
      <c r="I597" s="50" t="s">
        <v>1423</v>
      </c>
      <c r="J597" s="18">
        <f>+_xlfn.XLOOKUP(B597,Sheet3!B:B,Sheet3!J:J,0)</f>
        <v>0</v>
      </c>
      <c r="K597">
        <f t="shared" si="28"/>
        <v>0</v>
      </c>
      <c r="L597" s="54">
        <v>0</v>
      </c>
      <c r="M597" s="67">
        <f t="shared" si="29"/>
        <v>0</v>
      </c>
    </row>
    <row r="598" spans="2:13" hidden="1" x14ac:dyDescent="0.25">
      <c r="B598" t="str">
        <f t="shared" si="27"/>
        <v>Danilo ConsonniEPC-IPU-B731-02</v>
      </c>
      <c r="C598" s="50" t="s">
        <v>826</v>
      </c>
      <c r="D598" s="51" t="s">
        <v>887</v>
      </c>
      <c r="E598" s="50" t="s">
        <v>888</v>
      </c>
      <c r="F598" s="50" t="s">
        <v>1630</v>
      </c>
      <c r="G598" s="50" t="s">
        <v>1630</v>
      </c>
      <c r="H598" s="57" t="s">
        <v>1823</v>
      </c>
      <c r="I598" s="50" t="s">
        <v>1824</v>
      </c>
      <c r="J598" s="18">
        <f>+_xlfn.XLOOKUP(B598,Sheet3!B:B,Sheet3!J:J,0)</f>
        <v>1.19753</v>
      </c>
      <c r="K598">
        <f t="shared" si="28"/>
        <v>1.5967066666666667</v>
      </c>
      <c r="L598" s="54">
        <v>1.19753</v>
      </c>
      <c r="M598" s="67">
        <f t="shared" si="29"/>
        <v>-0.39917666666666674</v>
      </c>
    </row>
    <row r="599" spans="2:13" hidden="1" x14ac:dyDescent="0.25">
      <c r="B599" t="str">
        <f t="shared" si="27"/>
        <v>Spezzano AlbaneseSEC-IPU-I895-01</v>
      </c>
      <c r="C599" s="50" t="s">
        <v>826</v>
      </c>
      <c r="D599" s="51" t="s">
        <v>1488</v>
      </c>
      <c r="E599" s="50" t="s">
        <v>910</v>
      </c>
      <c r="F599" s="50" t="s">
        <v>1630</v>
      </c>
      <c r="G599" s="50" t="s">
        <v>1630</v>
      </c>
      <c r="H599" s="57" t="s">
        <v>1825</v>
      </c>
      <c r="I599" s="50" t="s">
        <v>1522</v>
      </c>
      <c r="J599" s="18">
        <f>+_xlfn.XLOOKUP(B599,Sheet3!B:B,Sheet3!J:J,0)</f>
        <v>0</v>
      </c>
      <c r="K599">
        <f t="shared" si="28"/>
        <v>0</v>
      </c>
      <c r="L599" s="54">
        <v>0.45458999999999999</v>
      </c>
      <c r="M599" s="67">
        <f t="shared" si="29"/>
        <v>0.45458999999999999</v>
      </c>
    </row>
    <row r="600" spans="2:13" hidden="1" x14ac:dyDescent="0.25">
      <c r="B600" t="str">
        <f t="shared" si="27"/>
        <v>Logidice srlEPC-IPU-D010-01</v>
      </c>
      <c r="C600" s="50" t="s">
        <v>826</v>
      </c>
      <c r="D600" s="51" t="s">
        <v>887</v>
      </c>
      <c r="E600" s="50" t="s">
        <v>910</v>
      </c>
      <c r="F600" s="50" t="s">
        <v>1630</v>
      </c>
      <c r="G600" s="50" t="s">
        <v>1630</v>
      </c>
      <c r="H600" s="57" t="s">
        <v>1826</v>
      </c>
      <c r="I600" s="50" t="s">
        <v>1827</v>
      </c>
      <c r="J600" s="18">
        <f>+_xlfn.XLOOKUP(B600,Sheet3!B:B,Sheet3!J:J,0)</f>
        <v>0.36280000000000001</v>
      </c>
      <c r="K600">
        <f t="shared" si="28"/>
        <v>0.48373333333333335</v>
      </c>
      <c r="L600" s="54">
        <v>0.36280000000000001</v>
      </c>
      <c r="M600" s="67">
        <f t="shared" si="29"/>
        <v>-0.12093333333333334</v>
      </c>
    </row>
    <row r="601" spans="2:13" hidden="1" x14ac:dyDescent="0.25">
      <c r="B601" t="str">
        <f t="shared" si="27"/>
        <v>ClaviereEPC-IPU-C793-01</v>
      </c>
      <c r="C601" s="50" t="s">
        <v>826</v>
      </c>
      <c r="D601" s="51" t="s">
        <v>887</v>
      </c>
      <c r="E601" s="50" t="s">
        <v>888</v>
      </c>
      <c r="F601" s="50" t="s">
        <v>1630</v>
      </c>
      <c r="G601" s="50" t="s">
        <v>1630</v>
      </c>
      <c r="H601" s="57" t="s">
        <v>1828</v>
      </c>
      <c r="I601" s="50" t="s">
        <v>1829</v>
      </c>
      <c r="J601" s="18">
        <f>+_xlfn.XLOOKUP(B601,Sheet3!B:B,Sheet3!J:J,0)</f>
        <v>0</v>
      </c>
      <c r="K601">
        <f t="shared" si="28"/>
        <v>0</v>
      </c>
      <c r="L601" s="54">
        <v>0</v>
      </c>
      <c r="M601" s="67">
        <f t="shared" si="29"/>
        <v>0</v>
      </c>
    </row>
    <row r="602" spans="2:13" hidden="1" x14ac:dyDescent="0.25">
      <c r="B602" t="str">
        <f t="shared" si="27"/>
        <v>BorgoroseSEC-PHV-B008-01</v>
      </c>
      <c r="C602" s="50" t="s">
        <v>826</v>
      </c>
      <c r="D602" s="51" t="s">
        <v>887</v>
      </c>
      <c r="E602" s="50" t="s">
        <v>896</v>
      </c>
      <c r="F602" s="50" t="s">
        <v>897</v>
      </c>
      <c r="G602" s="50" t="s">
        <v>897</v>
      </c>
      <c r="H602" s="57" t="s">
        <v>1830</v>
      </c>
      <c r="I602" s="50" t="s">
        <v>1831</v>
      </c>
      <c r="J602" s="18">
        <f>+_xlfn.XLOOKUP(B602,Sheet3!B:B,Sheet3!J:J,0)</f>
        <v>0</v>
      </c>
      <c r="K602">
        <f t="shared" si="28"/>
        <v>0</v>
      </c>
      <c r="L602" s="54">
        <v>0</v>
      </c>
      <c r="M602" s="67">
        <f t="shared" si="29"/>
        <v>0</v>
      </c>
    </row>
    <row r="603" spans="2:13" hidden="1" x14ac:dyDescent="0.25">
      <c r="B603" t="str">
        <f t="shared" si="27"/>
        <v>Campi Salentina PVSEC-PHV-B506-05</v>
      </c>
      <c r="C603" s="50" t="s">
        <v>826</v>
      </c>
      <c r="D603" s="51" t="s">
        <v>887</v>
      </c>
      <c r="E603" s="50" t="s">
        <v>910</v>
      </c>
      <c r="F603" s="50" t="s">
        <v>897</v>
      </c>
      <c r="G603" s="50" t="s">
        <v>897</v>
      </c>
      <c r="H603" s="57" t="s">
        <v>1832</v>
      </c>
      <c r="I603" s="50" t="s">
        <v>1833</v>
      </c>
      <c r="J603" s="18">
        <f>+_xlfn.XLOOKUP(B603,Sheet3!B:B,Sheet3!J:J,0)</f>
        <v>0</v>
      </c>
      <c r="K603">
        <f t="shared" si="28"/>
        <v>0</v>
      </c>
      <c r="L603" s="54">
        <v>0</v>
      </c>
      <c r="M603" s="67">
        <f t="shared" si="29"/>
        <v>0</v>
      </c>
    </row>
    <row r="604" spans="2:13" hidden="1" x14ac:dyDescent="0.25">
      <c r="B604" t="str">
        <f t="shared" si="27"/>
        <v>CollarmeleSEC-PHV-C844-01</v>
      </c>
      <c r="C604" s="50" t="s">
        <v>826</v>
      </c>
      <c r="D604" s="51" t="s">
        <v>887</v>
      </c>
      <c r="E604" s="50" t="s">
        <v>896</v>
      </c>
      <c r="F604" s="50" t="s">
        <v>897</v>
      </c>
      <c r="G604" s="50" t="s">
        <v>897</v>
      </c>
      <c r="H604" s="57" t="s">
        <v>1834</v>
      </c>
      <c r="I604" s="50" t="s">
        <v>1835</v>
      </c>
      <c r="J604" s="18">
        <f>+_xlfn.XLOOKUP(B604,Sheet3!B:B,Sheet3!J:J,0)</f>
        <v>0</v>
      </c>
      <c r="K604">
        <f t="shared" si="28"/>
        <v>0</v>
      </c>
      <c r="L604" s="54">
        <v>0</v>
      </c>
      <c r="M604" s="67">
        <f t="shared" si="29"/>
        <v>0</v>
      </c>
    </row>
    <row r="605" spans="2:13" hidden="1" x14ac:dyDescent="0.25">
      <c r="B605" t="str">
        <f t="shared" si="27"/>
        <v>CorfinioSEC-PHV-C999-01</v>
      </c>
      <c r="C605" s="50" t="s">
        <v>826</v>
      </c>
      <c r="D605" s="51" t="s">
        <v>887</v>
      </c>
      <c r="E605" s="50" t="s">
        <v>896</v>
      </c>
      <c r="F605" s="50" t="s">
        <v>897</v>
      </c>
      <c r="G605" s="50" t="s">
        <v>897</v>
      </c>
      <c r="H605" s="57" t="s">
        <v>1836</v>
      </c>
      <c r="I605" s="50" t="s">
        <v>1837</v>
      </c>
      <c r="J605" s="18">
        <f>+_xlfn.XLOOKUP(B605,Sheet3!B:B,Sheet3!J:J,0)</f>
        <v>0</v>
      </c>
      <c r="K605">
        <f t="shared" si="28"/>
        <v>0</v>
      </c>
      <c r="L605" s="54">
        <v>0</v>
      </c>
      <c r="M605" s="67">
        <f t="shared" si="29"/>
        <v>0</v>
      </c>
    </row>
    <row r="606" spans="2:13" hidden="1" x14ac:dyDescent="0.25">
      <c r="B606" t="str">
        <f t="shared" si="27"/>
        <v>VARANOPPP-IPU-B357-01</v>
      </c>
      <c r="C606" s="50" t="s">
        <v>826</v>
      </c>
      <c r="D606" s="51" t="s">
        <v>887</v>
      </c>
      <c r="E606" s="50" t="s">
        <v>896</v>
      </c>
      <c r="F606" s="50" t="s">
        <v>889</v>
      </c>
      <c r="G606" s="50" t="s">
        <v>890</v>
      </c>
      <c r="H606" s="57" t="s">
        <v>1838</v>
      </c>
      <c r="I606" s="50" t="s">
        <v>1839</v>
      </c>
      <c r="J606" s="18">
        <f>+_xlfn.XLOOKUP(B606,Sheet3!B:B,Sheet3!J:J,0)</f>
        <v>0</v>
      </c>
      <c r="K606">
        <f t="shared" si="28"/>
        <v>0</v>
      </c>
      <c r="L606" s="54">
        <v>0</v>
      </c>
      <c r="M606" s="67">
        <f t="shared" si="29"/>
        <v>0</v>
      </c>
    </row>
    <row r="607" spans="2:13" hidden="1" x14ac:dyDescent="0.25">
      <c r="B607" t="str">
        <f t="shared" si="27"/>
        <v>BorgettoPPP-IPU-A991-01</v>
      </c>
      <c r="C607" s="50" t="s">
        <v>826</v>
      </c>
      <c r="D607" s="51" t="s">
        <v>887</v>
      </c>
      <c r="E607" s="50" t="s">
        <v>910</v>
      </c>
      <c r="F607" s="50" t="s">
        <v>889</v>
      </c>
      <c r="G607" s="50" t="s">
        <v>890</v>
      </c>
      <c r="H607" s="57" t="s">
        <v>1840</v>
      </c>
      <c r="I607" s="50" t="s">
        <v>1841</v>
      </c>
      <c r="J607" s="18">
        <f>+_xlfn.XLOOKUP(B607,Sheet3!B:B,Sheet3!J:J,0)</f>
        <v>0</v>
      </c>
      <c r="K607">
        <f t="shared" si="28"/>
        <v>0</v>
      </c>
      <c r="L607" s="54">
        <v>0</v>
      </c>
      <c r="M607" s="67">
        <f t="shared" si="29"/>
        <v>0</v>
      </c>
    </row>
    <row r="608" spans="2:13" hidden="1" x14ac:dyDescent="0.25">
      <c r="B608" t="str">
        <f t="shared" si="27"/>
        <v>Campi Salentina (Pj Elena)PPP-EEE-B506-02</v>
      </c>
      <c r="C608" s="50" t="s">
        <v>826</v>
      </c>
      <c r="D608" s="51" t="s">
        <v>887</v>
      </c>
      <c r="E608" s="50" t="s">
        <v>910</v>
      </c>
      <c r="F608" s="50" t="s">
        <v>965</v>
      </c>
      <c r="G608" s="50" t="s">
        <v>965</v>
      </c>
      <c r="H608" s="57" t="s">
        <v>1842</v>
      </c>
      <c r="I608" s="50" t="s">
        <v>1654</v>
      </c>
      <c r="J608" s="18">
        <f>+_xlfn.XLOOKUP(B608,Sheet3!B:B,Sheet3!J:J,0)</f>
        <v>0</v>
      </c>
      <c r="K608">
        <f t="shared" si="28"/>
        <v>0</v>
      </c>
      <c r="L608" s="54">
        <v>0</v>
      </c>
      <c r="M608" s="67">
        <f t="shared" si="29"/>
        <v>0</v>
      </c>
    </row>
    <row r="609" spans="2:13" hidden="1" x14ac:dyDescent="0.25">
      <c r="B609" t="str">
        <f t="shared" si="27"/>
        <v>Campi Salentina (Pj Elena)PPP-EEE-B506-03</v>
      </c>
      <c r="C609" s="50" t="s">
        <v>826</v>
      </c>
      <c r="D609" s="51" t="s">
        <v>887</v>
      </c>
      <c r="E609" s="50" t="s">
        <v>910</v>
      </c>
      <c r="F609" s="50" t="s">
        <v>965</v>
      </c>
      <c r="G609" s="50" t="s">
        <v>965</v>
      </c>
      <c r="H609" s="57" t="s">
        <v>1843</v>
      </c>
      <c r="I609" s="50" t="s">
        <v>1654</v>
      </c>
      <c r="J609" s="18">
        <f>+_xlfn.XLOOKUP(B609,Sheet3!B:B,Sheet3!J:J,0)</f>
        <v>0</v>
      </c>
      <c r="K609">
        <f t="shared" si="28"/>
        <v>0</v>
      </c>
      <c r="L609" s="54">
        <v>0</v>
      </c>
      <c r="M609" s="67">
        <f t="shared" si="29"/>
        <v>0</v>
      </c>
    </row>
    <row r="610" spans="2:13" hidden="1" x14ac:dyDescent="0.25">
      <c r="B610" t="str">
        <f t="shared" si="27"/>
        <v>Campi Salentina (Pj Elena)PPP-EEE-B506-01</v>
      </c>
      <c r="C610" s="50" t="s">
        <v>826</v>
      </c>
      <c r="D610" s="51" t="s">
        <v>887</v>
      </c>
      <c r="E610" s="50" t="s">
        <v>910</v>
      </c>
      <c r="F610" s="50" t="s">
        <v>965</v>
      </c>
      <c r="G610" s="50" t="s">
        <v>965</v>
      </c>
      <c r="H610" s="57" t="s">
        <v>1844</v>
      </c>
      <c r="I610" s="50" t="s">
        <v>1654</v>
      </c>
      <c r="J610" s="18">
        <f>+_xlfn.XLOOKUP(B610,Sheet3!B:B,Sheet3!J:J,0)</f>
        <v>0</v>
      </c>
      <c r="K610">
        <f t="shared" si="28"/>
        <v>0</v>
      </c>
      <c r="L610" s="54">
        <v>0</v>
      </c>
      <c r="M610" s="67">
        <f t="shared" si="29"/>
        <v>0</v>
      </c>
    </row>
    <row r="611" spans="2:13" hidden="1" x14ac:dyDescent="0.25">
      <c r="B611" t="str">
        <f t="shared" si="27"/>
        <v>CanegratePPP-IPU-B593-01</v>
      </c>
      <c r="C611" s="50" t="s">
        <v>958</v>
      </c>
      <c r="D611" s="51" t="s">
        <v>887</v>
      </c>
      <c r="E611" s="50" t="s">
        <v>888</v>
      </c>
      <c r="F611" s="50" t="s">
        <v>889</v>
      </c>
      <c r="G611" s="50" t="s">
        <v>890</v>
      </c>
      <c r="H611" s="57" t="s">
        <v>1845</v>
      </c>
      <c r="I611" s="50" t="s">
        <v>1846</v>
      </c>
      <c r="J611" s="18">
        <f>+_xlfn.XLOOKUP(B611,Sheet3!B:B,Sheet3!J:J,0)</f>
        <v>0</v>
      </c>
      <c r="K611">
        <f t="shared" si="28"/>
        <v>0</v>
      </c>
      <c r="L611" s="54">
        <v>0</v>
      </c>
      <c r="M611" s="67">
        <f t="shared" si="29"/>
        <v>0</v>
      </c>
    </row>
    <row r="612" spans="2:13" hidden="1" x14ac:dyDescent="0.25">
      <c r="B612" t="str">
        <f t="shared" si="27"/>
        <v>CARDINALEPPP-IPU-B758-01</v>
      </c>
      <c r="C612" s="50" t="s">
        <v>826</v>
      </c>
      <c r="D612" s="51" t="s">
        <v>887</v>
      </c>
      <c r="E612" s="50" t="s">
        <v>910</v>
      </c>
      <c r="F612" s="50" t="s">
        <v>889</v>
      </c>
      <c r="G612" s="50" t="s">
        <v>890</v>
      </c>
      <c r="H612" s="57" t="s">
        <v>1847</v>
      </c>
      <c r="I612" s="50" t="s">
        <v>1848</v>
      </c>
      <c r="J612" s="18">
        <f>+_xlfn.XLOOKUP(B612,Sheet3!B:B,Sheet3!J:J,0)</f>
        <v>0</v>
      </c>
      <c r="K612">
        <f t="shared" si="28"/>
        <v>0</v>
      </c>
      <c r="L612" s="54">
        <v>0</v>
      </c>
      <c r="M612" s="67">
        <f t="shared" si="29"/>
        <v>0</v>
      </c>
    </row>
    <row r="613" spans="2:13" hidden="1" x14ac:dyDescent="0.25">
      <c r="B613" t="str">
        <f t="shared" si="27"/>
        <v>CASTELLAMMARE DEL GOLFOPPP-IPU-C130-01</v>
      </c>
      <c r="C613" s="50" t="s">
        <v>826</v>
      </c>
      <c r="D613" s="51" t="s">
        <v>887</v>
      </c>
      <c r="E613" s="50" t="s">
        <v>910</v>
      </c>
      <c r="F613" s="50" t="s">
        <v>889</v>
      </c>
      <c r="G613" s="50" t="s">
        <v>890</v>
      </c>
      <c r="H613" s="57" t="s">
        <v>1849</v>
      </c>
      <c r="I613" s="50" t="s">
        <v>1850</v>
      </c>
      <c r="J613" s="18">
        <f>+_xlfn.XLOOKUP(B613,Sheet3!B:B,Sheet3!J:J,0)</f>
        <v>0</v>
      </c>
      <c r="K613">
        <f t="shared" si="28"/>
        <v>0</v>
      </c>
      <c r="L613" s="54">
        <v>0</v>
      </c>
      <c r="M613" s="67">
        <f t="shared" si="29"/>
        <v>0</v>
      </c>
    </row>
    <row r="614" spans="2:13" hidden="1" x14ac:dyDescent="0.25">
      <c r="B614" t="str">
        <f t="shared" si="27"/>
        <v>FAGGIANOPPP-IPU-D463-01</v>
      </c>
      <c r="C614" s="50" t="s">
        <v>826</v>
      </c>
      <c r="D614" s="51" t="s">
        <v>887</v>
      </c>
      <c r="E614" s="50" t="s">
        <v>910</v>
      </c>
      <c r="F614" s="50" t="s">
        <v>889</v>
      </c>
      <c r="G614" s="50" t="s">
        <v>890</v>
      </c>
      <c r="H614" s="57" t="s">
        <v>1851</v>
      </c>
      <c r="I614" s="50" t="s">
        <v>1852</v>
      </c>
      <c r="J614" s="18">
        <f>+_xlfn.XLOOKUP(B614,Sheet3!B:B,Sheet3!J:J,0)</f>
        <v>0</v>
      </c>
      <c r="K614">
        <f t="shared" si="28"/>
        <v>0</v>
      </c>
      <c r="L614" s="54">
        <v>0</v>
      </c>
      <c r="M614" s="67">
        <f t="shared" si="29"/>
        <v>0</v>
      </c>
    </row>
    <row r="615" spans="2:13" hidden="1" x14ac:dyDescent="0.25">
      <c r="B615" t="str">
        <f t="shared" si="27"/>
        <v>GROTTAGLIEPPP-IPU-E205-01</v>
      </c>
      <c r="C615" s="50" t="s">
        <v>826</v>
      </c>
      <c r="D615" s="51" t="s">
        <v>887</v>
      </c>
      <c r="E615" s="50" t="s">
        <v>910</v>
      </c>
      <c r="F615" s="50" t="s">
        <v>889</v>
      </c>
      <c r="G615" s="50" t="s">
        <v>890</v>
      </c>
      <c r="H615" s="57" t="s">
        <v>1853</v>
      </c>
      <c r="I615" s="50" t="s">
        <v>1854</v>
      </c>
      <c r="J615" s="18">
        <f>+_xlfn.XLOOKUP(B615,Sheet3!B:B,Sheet3!J:J,0)</f>
        <v>0</v>
      </c>
      <c r="K615">
        <f t="shared" si="28"/>
        <v>0</v>
      </c>
      <c r="L615" s="54">
        <v>0</v>
      </c>
      <c r="M615" s="67">
        <f t="shared" si="29"/>
        <v>0</v>
      </c>
    </row>
    <row r="616" spans="2:13" hidden="1" x14ac:dyDescent="0.25">
      <c r="B616" t="str">
        <f t="shared" si="27"/>
        <v>Guardia PerticaraPPP-IPU-E246-01</v>
      </c>
      <c r="C616" s="50" t="s">
        <v>826</v>
      </c>
      <c r="D616" s="51" t="s">
        <v>887</v>
      </c>
      <c r="E616" s="50" t="s">
        <v>910</v>
      </c>
      <c r="F616" s="50" t="s">
        <v>889</v>
      </c>
      <c r="G616" s="50" t="s">
        <v>890</v>
      </c>
      <c r="H616" s="57" t="s">
        <v>1855</v>
      </c>
      <c r="I616" s="50" t="s">
        <v>1856</v>
      </c>
      <c r="J616" s="18">
        <f>+_xlfn.XLOOKUP(B616,Sheet3!B:B,Sheet3!J:J,0)</f>
        <v>0</v>
      </c>
      <c r="K616">
        <f t="shared" si="28"/>
        <v>0</v>
      </c>
      <c r="L616" s="54">
        <v>0</v>
      </c>
      <c r="M616" s="67">
        <f t="shared" si="29"/>
        <v>0</v>
      </c>
    </row>
    <row r="617" spans="2:13" hidden="1" x14ac:dyDescent="0.25">
      <c r="B617" t="str">
        <f t="shared" si="27"/>
        <v>LACEDONIAPPP-IPU-E397-01</v>
      </c>
      <c r="C617" s="50" t="s">
        <v>826</v>
      </c>
      <c r="D617" s="51" t="s">
        <v>887</v>
      </c>
      <c r="E617" s="50" t="s">
        <v>910</v>
      </c>
      <c r="F617" s="50" t="s">
        <v>889</v>
      </c>
      <c r="G617" s="50" t="s">
        <v>890</v>
      </c>
      <c r="H617" s="57" t="s">
        <v>1857</v>
      </c>
      <c r="I617" s="50" t="s">
        <v>1858</v>
      </c>
      <c r="J617" s="18">
        <f>+_xlfn.XLOOKUP(B617,Sheet3!B:B,Sheet3!J:J,0)</f>
        <v>0</v>
      </c>
      <c r="K617">
        <f t="shared" si="28"/>
        <v>0</v>
      </c>
      <c r="L617" s="54">
        <v>0</v>
      </c>
      <c r="M617" s="67">
        <f t="shared" si="29"/>
        <v>0</v>
      </c>
    </row>
    <row r="618" spans="2:13" hidden="1" x14ac:dyDescent="0.25">
      <c r="B618" t="str">
        <f t="shared" si="27"/>
        <v>LAVELLOPPP-IPU-E493-01</v>
      </c>
      <c r="C618" s="50" t="s">
        <v>826</v>
      </c>
      <c r="D618" s="51" t="s">
        <v>887</v>
      </c>
      <c r="E618" s="50" t="s">
        <v>910</v>
      </c>
      <c r="F618" s="50" t="s">
        <v>889</v>
      </c>
      <c r="G618" s="50" t="s">
        <v>890</v>
      </c>
      <c r="H618" s="57" t="s">
        <v>1859</v>
      </c>
      <c r="I618" s="50" t="s">
        <v>1860</v>
      </c>
      <c r="J618" s="18">
        <f>+_xlfn.XLOOKUP(B618,Sheet3!B:B,Sheet3!J:J,0)</f>
        <v>0</v>
      </c>
      <c r="K618">
        <f t="shared" si="28"/>
        <v>0</v>
      </c>
      <c r="L618" s="54">
        <v>0</v>
      </c>
      <c r="M618" s="67">
        <f t="shared" si="29"/>
        <v>0</v>
      </c>
    </row>
    <row r="619" spans="2:13" hidden="1" x14ac:dyDescent="0.25">
      <c r="B619" t="str">
        <f t="shared" si="27"/>
        <v>MESSINAPPP-IPU-F158-01</v>
      </c>
      <c r="C619" s="50" t="s">
        <v>826</v>
      </c>
      <c r="D619" s="51" t="s">
        <v>887</v>
      </c>
      <c r="E619" s="50" t="s">
        <v>910</v>
      </c>
      <c r="F619" s="50" t="s">
        <v>889</v>
      </c>
      <c r="G619" s="50" t="s">
        <v>890</v>
      </c>
      <c r="H619" s="57" t="s">
        <v>1861</v>
      </c>
      <c r="I619" s="50" t="s">
        <v>1862</v>
      </c>
      <c r="J619" s="18">
        <f>+_xlfn.XLOOKUP(B619,Sheet3!B:B,Sheet3!J:J,0)</f>
        <v>0</v>
      </c>
      <c r="K619">
        <f t="shared" si="28"/>
        <v>0</v>
      </c>
      <c r="L619" s="54">
        <v>0</v>
      </c>
      <c r="M619" s="67">
        <f t="shared" si="29"/>
        <v>0</v>
      </c>
    </row>
    <row r="620" spans="2:13" hidden="1" x14ac:dyDescent="0.25">
      <c r="B620" t="str">
        <f t="shared" si="27"/>
        <v>Pietragalla RinnovoPPP-IPU-G616-01</v>
      </c>
      <c r="C620" s="50" t="s">
        <v>826</v>
      </c>
      <c r="D620" s="51" t="s">
        <v>887</v>
      </c>
      <c r="E620" s="50" t="s">
        <v>910</v>
      </c>
      <c r="F620" s="50" t="s">
        <v>889</v>
      </c>
      <c r="G620" s="50" t="s">
        <v>890</v>
      </c>
      <c r="H620" s="57" t="s">
        <v>1863</v>
      </c>
      <c r="I620" s="50" t="s">
        <v>1485</v>
      </c>
      <c r="J620" s="18">
        <f>+_xlfn.XLOOKUP(B620,Sheet3!B:B,Sheet3!J:J,0)</f>
        <v>0</v>
      </c>
      <c r="K620">
        <f t="shared" si="28"/>
        <v>0</v>
      </c>
      <c r="L620" s="54">
        <v>0</v>
      </c>
      <c r="M620" s="67">
        <f t="shared" si="29"/>
        <v>0</v>
      </c>
    </row>
    <row r="621" spans="2:13" hidden="1" x14ac:dyDescent="0.25">
      <c r="B621" t="str">
        <f t="shared" si="27"/>
        <v>PIETRAVAIRANOPPP-IPU-G630-01</v>
      </c>
      <c r="C621" s="50" t="s">
        <v>826</v>
      </c>
      <c r="D621" s="51" t="s">
        <v>887</v>
      </c>
      <c r="E621" s="50" t="s">
        <v>910</v>
      </c>
      <c r="F621" s="50" t="s">
        <v>889</v>
      </c>
      <c r="G621" s="50" t="s">
        <v>890</v>
      </c>
      <c r="H621" s="57" t="s">
        <v>1864</v>
      </c>
      <c r="I621" s="50" t="s">
        <v>1865</v>
      </c>
      <c r="J621" s="18">
        <f>+_xlfn.XLOOKUP(B621,Sheet3!B:B,Sheet3!J:J,0)</f>
        <v>0</v>
      </c>
      <c r="K621">
        <f t="shared" si="28"/>
        <v>0</v>
      </c>
      <c r="L621" s="54">
        <v>0</v>
      </c>
      <c r="M621" s="67">
        <f t="shared" si="29"/>
        <v>0</v>
      </c>
    </row>
    <row r="622" spans="2:13" hidden="1" x14ac:dyDescent="0.25">
      <c r="B622" t="str">
        <f t="shared" si="27"/>
        <v>REGALBUTOPPP-IPU-H221-01</v>
      </c>
      <c r="C622" s="50" t="s">
        <v>826</v>
      </c>
      <c r="D622" s="51" t="s">
        <v>887</v>
      </c>
      <c r="E622" s="50" t="s">
        <v>910</v>
      </c>
      <c r="F622" s="50" t="s">
        <v>889</v>
      </c>
      <c r="G622" s="50" t="s">
        <v>890</v>
      </c>
      <c r="H622" s="57" t="s">
        <v>1866</v>
      </c>
      <c r="I622" s="50" t="s">
        <v>1867</v>
      </c>
      <c r="J622" s="18">
        <f>+_xlfn.XLOOKUP(B622,Sheet3!B:B,Sheet3!J:J,0)</f>
        <v>0</v>
      </c>
      <c r="K622">
        <f t="shared" si="28"/>
        <v>0</v>
      </c>
      <c r="L622" s="54">
        <v>0</v>
      </c>
      <c r="M622" s="67">
        <f t="shared" si="29"/>
        <v>0</v>
      </c>
    </row>
    <row r="623" spans="2:13" hidden="1" x14ac:dyDescent="0.25">
      <c r="B623" t="str">
        <f t="shared" si="27"/>
        <v>SAN GIULIANO MILANESEPPP-IPU-H930-01</v>
      </c>
      <c r="C623" s="50" t="s">
        <v>958</v>
      </c>
      <c r="D623" s="51" t="s">
        <v>887</v>
      </c>
      <c r="E623" s="50" t="s">
        <v>888</v>
      </c>
      <c r="F623" s="50" t="s">
        <v>889</v>
      </c>
      <c r="G623" s="50" t="s">
        <v>890</v>
      </c>
      <c r="H623" s="57" t="s">
        <v>1868</v>
      </c>
      <c r="I623" s="50" t="s">
        <v>1869</v>
      </c>
      <c r="J623" s="18">
        <f>+_xlfn.XLOOKUP(B623,Sheet3!B:B,Sheet3!J:J,0)</f>
        <v>0</v>
      </c>
      <c r="K623">
        <f t="shared" si="28"/>
        <v>0</v>
      </c>
      <c r="L623" s="54">
        <v>0</v>
      </c>
      <c r="M623" s="67">
        <f t="shared" si="29"/>
        <v>0</v>
      </c>
    </row>
    <row r="624" spans="2:13" hidden="1" x14ac:dyDescent="0.25">
      <c r="B624" t="str">
        <f t="shared" si="27"/>
        <v>SAN TEODOROPPP-IPU-I329-01</v>
      </c>
      <c r="C624" s="50" t="s">
        <v>826</v>
      </c>
      <c r="D624" s="51" t="s">
        <v>887</v>
      </c>
      <c r="E624" s="50" t="s">
        <v>896</v>
      </c>
      <c r="F624" s="50" t="s">
        <v>889</v>
      </c>
      <c r="G624" s="50" t="s">
        <v>890</v>
      </c>
      <c r="H624" s="57" t="s">
        <v>1870</v>
      </c>
      <c r="I624" s="50" t="s">
        <v>1871</v>
      </c>
      <c r="J624" s="18">
        <f>+_xlfn.XLOOKUP(B624,Sheet3!B:B,Sheet3!J:J,0)</f>
        <v>0</v>
      </c>
      <c r="K624">
        <f t="shared" si="28"/>
        <v>0</v>
      </c>
      <c r="L624" s="54">
        <v>0</v>
      </c>
      <c r="M624" s="67">
        <f t="shared" si="29"/>
        <v>0</v>
      </c>
    </row>
    <row r="625" spans="2:13" hidden="1" x14ac:dyDescent="0.25">
      <c r="B625" t="str">
        <f t="shared" si="27"/>
        <v>SAN VITO SULLO IONIOPPP-IPU-I393-01</v>
      </c>
      <c r="C625" s="50" t="s">
        <v>826</v>
      </c>
      <c r="D625" s="51" t="s">
        <v>887</v>
      </c>
      <c r="E625" s="50" t="s">
        <v>910</v>
      </c>
      <c r="F625" s="50" t="s">
        <v>889</v>
      </c>
      <c r="G625" s="50" t="s">
        <v>890</v>
      </c>
      <c r="H625" s="57" t="s">
        <v>1872</v>
      </c>
      <c r="I625" s="50" t="s">
        <v>1873</v>
      </c>
      <c r="J625" s="18">
        <f>+_xlfn.XLOOKUP(B625,Sheet3!B:B,Sheet3!J:J,0)</f>
        <v>0</v>
      </c>
      <c r="K625">
        <f t="shared" si="28"/>
        <v>0</v>
      </c>
      <c r="L625" s="54">
        <v>0</v>
      </c>
      <c r="M625" s="67">
        <f t="shared" si="29"/>
        <v>0</v>
      </c>
    </row>
    <row r="626" spans="2:13" hidden="1" x14ac:dyDescent="0.25">
      <c r="B626" t="str">
        <f t="shared" si="27"/>
        <v>SANT'ANGELO LE FRATTEPPP-IPU-I288-01</v>
      </c>
      <c r="C626" s="50" t="s">
        <v>826</v>
      </c>
      <c r="D626" s="51" t="s">
        <v>887</v>
      </c>
      <c r="E626" s="50" t="s">
        <v>910</v>
      </c>
      <c r="F626" s="50" t="s">
        <v>889</v>
      </c>
      <c r="G626" s="50" t="s">
        <v>890</v>
      </c>
      <c r="H626" s="57" t="s">
        <v>1874</v>
      </c>
      <c r="I626" s="50" t="s">
        <v>1875</v>
      </c>
      <c r="J626" s="18">
        <f>+_xlfn.XLOOKUP(B626,Sheet3!B:B,Sheet3!J:J,0)</f>
        <v>0</v>
      </c>
      <c r="K626">
        <f t="shared" si="28"/>
        <v>0</v>
      </c>
      <c r="L626" s="54">
        <v>0</v>
      </c>
      <c r="M626" s="67">
        <f t="shared" si="29"/>
        <v>0</v>
      </c>
    </row>
    <row r="627" spans="2:13" hidden="1" x14ac:dyDescent="0.25">
      <c r="B627" t="str">
        <f t="shared" si="27"/>
        <v>SOMMATINOPPP-IPU-I824-01</v>
      </c>
      <c r="C627" s="50" t="s">
        <v>826</v>
      </c>
      <c r="D627" s="51" t="s">
        <v>887</v>
      </c>
      <c r="E627" s="50" t="s">
        <v>910</v>
      </c>
      <c r="F627" s="50" t="s">
        <v>889</v>
      </c>
      <c r="G627" s="50" t="s">
        <v>890</v>
      </c>
      <c r="H627" s="57" t="s">
        <v>1876</v>
      </c>
      <c r="I627" s="50" t="s">
        <v>1877</v>
      </c>
      <c r="J627" s="18">
        <f>+_xlfn.XLOOKUP(B627,Sheet3!B:B,Sheet3!J:J,0)</f>
        <v>0</v>
      </c>
      <c r="K627">
        <f t="shared" si="28"/>
        <v>0</v>
      </c>
      <c r="L627" s="54">
        <v>0</v>
      </c>
      <c r="M627" s="67">
        <f t="shared" si="29"/>
        <v>0</v>
      </c>
    </row>
    <row r="628" spans="2:13" hidden="1" x14ac:dyDescent="0.25">
      <c r="B628" t="str">
        <f t="shared" si="27"/>
        <v>TRECCHINAPPP-IPU-L357-01</v>
      </c>
      <c r="C628" s="50" t="s">
        <v>826</v>
      </c>
      <c r="D628" s="51" t="s">
        <v>887</v>
      </c>
      <c r="E628" s="50" t="s">
        <v>910</v>
      </c>
      <c r="F628" s="50" t="s">
        <v>889</v>
      </c>
      <c r="G628" s="50" t="s">
        <v>890</v>
      </c>
      <c r="H628" s="57" t="s">
        <v>1878</v>
      </c>
      <c r="I628" s="50" t="s">
        <v>1879</v>
      </c>
      <c r="J628" s="18">
        <f>+_xlfn.XLOOKUP(B628,Sheet3!B:B,Sheet3!J:J,0)</f>
        <v>0</v>
      </c>
      <c r="K628">
        <f t="shared" si="28"/>
        <v>0</v>
      </c>
      <c r="L628" s="54">
        <v>0</v>
      </c>
      <c r="M628" s="67">
        <f t="shared" si="29"/>
        <v>0</v>
      </c>
    </row>
    <row r="629" spans="2:13" hidden="1" x14ac:dyDescent="0.25">
      <c r="B629" t="str">
        <f t="shared" si="27"/>
        <v>GUARDIA PIEMONTESEPPP-IPU-E242-01</v>
      </c>
      <c r="C629" s="50" t="s">
        <v>826</v>
      </c>
      <c r="D629" s="51" t="s">
        <v>887</v>
      </c>
      <c r="E629" s="50" t="s">
        <v>910</v>
      </c>
      <c r="F629" s="50" t="s">
        <v>889</v>
      </c>
      <c r="G629" s="50" t="s">
        <v>890</v>
      </c>
      <c r="H629" s="57" t="s">
        <v>1880</v>
      </c>
      <c r="I629" s="50" t="s">
        <v>1881</v>
      </c>
      <c r="J629" s="18">
        <f>+_xlfn.XLOOKUP(B629,Sheet3!B:B,Sheet3!J:J,0)</f>
        <v>0</v>
      </c>
      <c r="K629">
        <f t="shared" si="28"/>
        <v>0</v>
      </c>
      <c r="L629" s="54">
        <v>0</v>
      </c>
      <c r="M629" s="67">
        <f t="shared" si="29"/>
        <v>0</v>
      </c>
    </row>
    <row r="630" spans="2:13" hidden="1" x14ac:dyDescent="0.25">
      <c r="B630" t="str">
        <f t="shared" si="27"/>
        <v>galleries - savona provPPP-IPU-I480-01</v>
      </c>
      <c r="C630" s="50" t="s">
        <v>826</v>
      </c>
      <c r="D630" s="51" t="s">
        <v>887</v>
      </c>
      <c r="E630" s="50" t="s">
        <v>888</v>
      </c>
      <c r="F630" s="50" t="s">
        <v>889</v>
      </c>
      <c r="G630" s="50" t="s">
        <v>890</v>
      </c>
      <c r="H630" s="57" t="s">
        <v>1882</v>
      </c>
      <c r="I630" s="50" t="s">
        <v>1883</v>
      </c>
      <c r="J630" s="18">
        <f>+_xlfn.XLOOKUP(B630,Sheet3!B:B,Sheet3!J:J,0)</f>
        <v>0</v>
      </c>
      <c r="K630">
        <f t="shared" si="28"/>
        <v>0</v>
      </c>
      <c r="L630" s="54">
        <v>0</v>
      </c>
      <c r="M630" s="67">
        <f t="shared" si="29"/>
        <v>0</v>
      </c>
    </row>
    <row r="631" spans="2:13" hidden="1" x14ac:dyDescent="0.25">
      <c r="B631" t="str">
        <f t="shared" si="27"/>
        <v>SenigalliaCL3-IPU-I608-01</v>
      </c>
      <c r="C631" s="50" t="s">
        <v>958</v>
      </c>
      <c r="D631" s="51" t="s">
        <v>887</v>
      </c>
      <c r="E631" s="50" t="s">
        <v>896</v>
      </c>
      <c r="F631" s="50" t="s">
        <v>889</v>
      </c>
      <c r="G631" s="50" t="s">
        <v>1016</v>
      </c>
      <c r="H631" s="57" t="s">
        <v>1884</v>
      </c>
      <c r="I631" s="50" t="s">
        <v>1751</v>
      </c>
      <c r="J631" s="18">
        <f>+_xlfn.XLOOKUP(B631,Sheet3!B:B,Sheet3!J:J,0)</f>
        <v>0</v>
      </c>
      <c r="K631">
        <f t="shared" si="28"/>
        <v>0</v>
      </c>
      <c r="L631" s="54">
        <v>0</v>
      </c>
      <c r="M631" s="67">
        <f t="shared" si="29"/>
        <v>0</v>
      </c>
    </row>
    <row r="632" spans="2:13" hidden="1" x14ac:dyDescent="0.25">
      <c r="B632" t="str">
        <f t="shared" si="27"/>
        <v>TribianoEPC-IPU-L415-04</v>
      </c>
      <c r="C632" s="50" t="s">
        <v>958</v>
      </c>
      <c r="D632" s="51" t="s">
        <v>887</v>
      </c>
      <c r="E632" s="50" t="s">
        <v>888</v>
      </c>
      <c r="F632" s="50" t="s">
        <v>1533</v>
      </c>
      <c r="G632" s="50" t="s">
        <v>1533</v>
      </c>
      <c r="H632" s="57" t="s">
        <v>1885</v>
      </c>
      <c r="I632" s="50" t="s">
        <v>1886</v>
      </c>
      <c r="J632" s="18">
        <f>+_xlfn.XLOOKUP(B632,Sheet3!B:B,Sheet3!J:J,0)</f>
        <v>3.6619200000000003</v>
      </c>
      <c r="K632">
        <f t="shared" si="28"/>
        <v>4.8825600000000007</v>
      </c>
      <c r="L632" s="54">
        <v>3.6619200000000003</v>
      </c>
      <c r="M632" s="67">
        <f t="shared" si="29"/>
        <v>-1.2206400000000004</v>
      </c>
    </row>
    <row r="633" spans="2:13" hidden="1" x14ac:dyDescent="0.25">
      <c r="B633" t="str">
        <f t="shared" si="27"/>
        <v>Eco+Eco srlPPP-IPU-L736-01</v>
      </c>
      <c r="C633" s="50" t="s">
        <v>958</v>
      </c>
      <c r="D633" s="51" t="s">
        <v>887</v>
      </c>
      <c r="E633" s="50" t="s">
        <v>959</v>
      </c>
      <c r="F633" s="50" t="s">
        <v>889</v>
      </c>
      <c r="G633" s="50" t="s">
        <v>890</v>
      </c>
      <c r="H633" s="57" t="s">
        <v>1887</v>
      </c>
      <c r="I633" s="50" t="s">
        <v>1888</v>
      </c>
      <c r="J633" s="18">
        <f>+_xlfn.XLOOKUP(B633,Sheet3!B:B,Sheet3!J:J,0)</f>
        <v>0</v>
      </c>
      <c r="K633">
        <f t="shared" si="28"/>
        <v>0</v>
      </c>
      <c r="L633" s="54">
        <v>0</v>
      </c>
      <c r="M633" s="67">
        <f t="shared" si="29"/>
        <v>0</v>
      </c>
    </row>
    <row r="634" spans="2:13" hidden="1" x14ac:dyDescent="0.25">
      <c r="B634" t="str">
        <f t="shared" si="27"/>
        <v>MelissanoPPP-IPU-F109-01</v>
      </c>
      <c r="C634" s="50" t="s">
        <v>826</v>
      </c>
      <c r="D634" s="51" t="s">
        <v>887</v>
      </c>
      <c r="E634" s="50" t="s">
        <v>910</v>
      </c>
      <c r="F634" s="50" t="s">
        <v>889</v>
      </c>
      <c r="G634" s="50" t="s">
        <v>890</v>
      </c>
      <c r="H634" s="57" t="s">
        <v>1889</v>
      </c>
      <c r="I634" s="50" t="s">
        <v>1290</v>
      </c>
      <c r="J634" s="18">
        <f>+_xlfn.XLOOKUP(B634,Sheet3!B:B,Sheet3!J:J,0)</f>
        <v>0</v>
      </c>
      <c r="K634">
        <f t="shared" si="28"/>
        <v>0</v>
      </c>
      <c r="L634" s="54">
        <v>0</v>
      </c>
      <c r="M634" s="67">
        <f t="shared" si="29"/>
        <v>0</v>
      </c>
    </row>
    <row r="635" spans="2:13" hidden="1" x14ac:dyDescent="0.25">
      <c r="B635" t="str">
        <f t="shared" si="27"/>
        <v>Brindisi di MontagnaPPP-IPU-B181-01</v>
      </c>
      <c r="C635" s="50" t="s">
        <v>826</v>
      </c>
      <c r="D635" s="51" t="s">
        <v>887</v>
      </c>
      <c r="E635" s="50" t="s">
        <v>910</v>
      </c>
      <c r="F635" s="50" t="s">
        <v>889</v>
      </c>
      <c r="G635" s="50" t="s">
        <v>890</v>
      </c>
      <c r="H635" s="57" t="s">
        <v>1890</v>
      </c>
      <c r="I635" s="50" t="s">
        <v>1891</v>
      </c>
      <c r="J635" s="18">
        <f>+_xlfn.XLOOKUP(B635,Sheet3!B:B,Sheet3!J:J,0)</f>
        <v>0</v>
      </c>
      <c r="K635">
        <f t="shared" si="28"/>
        <v>0</v>
      </c>
      <c r="L635" s="54">
        <v>0</v>
      </c>
      <c r="M635" s="67">
        <f t="shared" si="29"/>
        <v>0</v>
      </c>
    </row>
    <row r="636" spans="2:13" hidden="1" x14ac:dyDescent="0.25">
      <c r="B636" t="str">
        <f t="shared" si="27"/>
        <v>TribianoEPC-IPU-L415-05</v>
      </c>
      <c r="C636" s="50" t="s">
        <v>958</v>
      </c>
      <c r="D636" s="51" t="s">
        <v>887</v>
      </c>
      <c r="E636" s="50" t="s">
        <v>888</v>
      </c>
      <c r="F636" s="50" t="s">
        <v>1533</v>
      </c>
      <c r="G636" s="50" t="s">
        <v>1533</v>
      </c>
      <c r="H636" s="57" t="s">
        <v>1892</v>
      </c>
      <c r="I636" s="50" t="s">
        <v>1886</v>
      </c>
      <c r="J636" s="18">
        <f>+_xlfn.XLOOKUP(B636,Sheet3!B:B,Sheet3!J:J,0)</f>
        <v>1.9234100000000001</v>
      </c>
      <c r="K636">
        <f t="shared" si="28"/>
        <v>2.5645466666666668</v>
      </c>
      <c r="L636" s="54">
        <v>1.9234100000000001</v>
      </c>
      <c r="M636" s="67">
        <f t="shared" si="29"/>
        <v>-0.64113666666666669</v>
      </c>
    </row>
    <row r="637" spans="2:13" hidden="1" x14ac:dyDescent="0.25">
      <c r="B637" t="str">
        <f t="shared" si="27"/>
        <v>Alliste HMPPP-EEE-A208-02</v>
      </c>
      <c r="C637" s="50" t="s">
        <v>826</v>
      </c>
      <c r="D637" s="51" t="s">
        <v>887</v>
      </c>
      <c r="E637" s="50" t="s">
        <v>910</v>
      </c>
      <c r="F637" s="50" t="s">
        <v>965</v>
      </c>
      <c r="G637" s="50" t="s">
        <v>965</v>
      </c>
      <c r="H637" s="57" t="s">
        <v>1893</v>
      </c>
      <c r="I637" s="50" t="s">
        <v>1894</v>
      </c>
      <c r="J637" s="18">
        <f>+_xlfn.XLOOKUP(B637,Sheet3!B:B,Sheet3!J:J,0)</f>
        <v>0</v>
      </c>
      <c r="K637">
        <f t="shared" si="28"/>
        <v>0</v>
      </c>
      <c r="L637" s="54">
        <v>0</v>
      </c>
      <c r="M637" s="67">
        <f t="shared" si="29"/>
        <v>0</v>
      </c>
    </row>
    <row r="638" spans="2:13" hidden="1" x14ac:dyDescent="0.25">
      <c r="B638" t="str">
        <f t="shared" si="27"/>
        <v>ArlunoEPC-IPU-A413-03</v>
      </c>
      <c r="C638" s="50" t="s">
        <v>958</v>
      </c>
      <c r="D638" s="51" t="s">
        <v>887</v>
      </c>
      <c r="E638" s="50" t="s">
        <v>888</v>
      </c>
      <c r="F638" s="50" t="s">
        <v>1533</v>
      </c>
      <c r="G638" s="50" t="s">
        <v>1533</v>
      </c>
      <c r="H638" s="57" t="s">
        <v>1895</v>
      </c>
      <c r="I638" s="50" t="s">
        <v>1020</v>
      </c>
      <c r="J638" s="18">
        <f>+_xlfn.XLOOKUP(B638,Sheet3!B:B,Sheet3!J:J,0)</f>
        <v>0</v>
      </c>
      <c r="K638">
        <f t="shared" si="28"/>
        <v>0</v>
      </c>
      <c r="L638" s="54">
        <v>0</v>
      </c>
      <c r="M638" s="67">
        <f t="shared" si="29"/>
        <v>0</v>
      </c>
    </row>
    <row r="639" spans="2:13" hidden="1" x14ac:dyDescent="0.25">
      <c r="B639" t="str">
        <f t="shared" si="27"/>
        <v>MondolfoEPC-IPU-F348-05</v>
      </c>
      <c r="C639" s="50" t="s">
        <v>958</v>
      </c>
      <c r="D639" s="51" t="s">
        <v>887</v>
      </c>
      <c r="E639" s="50" t="s">
        <v>896</v>
      </c>
      <c r="F639" s="50" t="s">
        <v>1533</v>
      </c>
      <c r="G639" s="50" t="s">
        <v>1533</v>
      </c>
      <c r="H639" s="57" t="s">
        <v>1896</v>
      </c>
      <c r="I639" s="50" t="s">
        <v>1733</v>
      </c>
      <c r="J639" s="18">
        <f>+_xlfn.XLOOKUP(B639,Sheet3!B:B,Sheet3!J:J,0)</f>
        <v>0</v>
      </c>
      <c r="K639">
        <f t="shared" si="28"/>
        <v>0</v>
      </c>
      <c r="L639" s="54">
        <v>0</v>
      </c>
      <c r="M639" s="67">
        <f t="shared" si="29"/>
        <v>0</v>
      </c>
    </row>
    <row r="640" spans="2:13" hidden="1" x14ac:dyDescent="0.25">
      <c r="B640" t="str">
        <f t="shared" si="27"/>
        <v>ArlunoEPC-IPU-A413-05</v>
      </c>
      <c r="C640" s="50" t="s">
        <v>958</v>
      </c>
      <c r="D640" s="51" t="s">
        <v>887</v>
      </c>
      <c r="E640" s="50" t="s">
        <v>888</v>
      </c>
      <c r="F640" s="50" t="s">
        <v>1533</v>
      </c>
      <c r="G640" s="50" t="s">
        <v>1533</v>
      </c>
      <c r="H640" s="57" t="s">
        <v>1897</v>
      </c>
      <c r="I640" s="50" t="s">
        <v>1020</v>
      </c>
      <c r="J640" s="18">
        <f>+_xlfn.XLOOKUP(B640,Sheet3!B:B,Sheet3!J:J,0)</f>
        <v>0</v>
      </c>
      <c r="K640">
        <f t="shared" si="28"/>
        <v>0</v>
      </c>
      <c r="L640" s="54">
        <v>0</v>
      </c>
      <c r="M640" s="67">
        <f t="shared" si="29"/>
        <v>0</v>
      </c>
    </row>
    <row r="641" spans="2:13" hidden="1" x14ac:dyDescent="0.25">
      <c r="B641" t="str">
        <f t="shared" si="27"/>
        <v>San Giuliano MilaneseEPC-IPU-H930-02</v>
      </c>
      <c r="C641" s="50" t="s">
        <v>958</v>
      </c>
      <c r="D641" s="51" t="s">
        <v>887</v>
      </c>
      <c r="E641" s="50" t="s">
        <v>888</v>
      </c>
      <c r="F641" s="50" t="s">
        <v>1533</v>
      </c>
      <c r="G641" s="50" t="s">
        <v>1533</v>
      </c>
      <c r="H641" s="57" t="s">
        <v>1898</v>
      </c>
      <c r="I641" s="50" t="s">
        <v>1899</v>
      </c>
      <c r="J641" s="18">
        <f>+_xlfn.XLOOKUP(B641,Sheet3!B:B,Sheet3!J:J,0)</f>
        <v>31.855919999999998</v>
      </c>
      <c r="K641">
        <f t="shared" si="28"/>
        <v>42.474559999999997</v>
      </c>
      <c r="L641" s="54">
        <v>31.294499999999999</v>
      </c>
      <c r="M641" s="67">
        <f t="shared" si="29"/>
        <v>-11.180059999999997</v>
      </c>
    </row>
    <row r="642" spans="2:13" hidden="1" x14ac:dyDescent="0.25">
      <c r="B642" t="str">
        <f t="shared" si="27"/>
        <v>Mariano ComenseEPC-IPU-E951-07</v>
      </c>
      <c r="C642" s="50" t="s">
        <v>958</v>
      </c>
      <c r="D642" s="51" t="s">
        <v>887</v>
      </c>
      <c r="E642" s="50" t="s">
        <v>888</v>
      </c>
      <c r="F642" s="50" t="s">
        <v>1533</v>
      </c>
      <c r="G642" s="50" t="s">
        <v>1533</v>
      </c>
      <c r="H642" s="57" t="s">
        <v>1900</v>
      </c>
      <c r="I642" s="50" t="s">
        <v>1038</v>
      </c>
      <c r="J642" s="18">
        <f>+_xlfn.XLOOKUP(B642,Sheet3!B:B,Sheet3!J:J,0)</f>
        <v>0</v>
      </c>
      <c r="K642">
        <f t="shared" si="28"/>
        <v>0</v>
      </c>
      <c r="L642" s="54">
        <v>0</v>
      </c>
      <c r="M642" s="67">
        <f t="shared" si="29"/>
        <v>0</v>
      </c>
    </row>
    <row r="643" spans="2:13" hidden="1" x14ac:dyDescent="0.25">
      <c r="B643" t="str">
        <f t="shared" si="27"/>
        <v>BellaEPC-IPU-A743-07</v>
      </c>
      <c r="C643" s="50" t="s">
        <v>826</v>
      </c>
      <c r="D643" s="51" t="s">
        <v>887</v>
      </c>
      <c r="E643" s="50" t="s">
        <v>910</v>
      </c>
      <c r="F643" s="50" t="s">
        <v>1533</v>
      </c>
      <c r="G643" s="50" t="s">
        <v>1533</v>
      </c>
      <c r="H643" s="57" t="s">
        <v>1901</v>
      </c>
      <c r="I643" s="50" t="s">
        <v>1347</v>
      </c>
      <c r="J643" s="18">
        <f>+_xlfn.XLOOKUP(B643,Sheet3!B:B,Sheet3!J:J,0)</f>
        <v>1.3</v>
      </c>
      <c r="K643">
        <f t="shared" si="28"/>
        <v>1.7333333333333334</v>
      </c>
      <c r="L643" s="54">
        <v>1.3</v>
      </c>
      <c r="M643" s="67">
        <f t="shared" si="29"/>
        <v>-0.43333333333333335</v>
      </c>
    </row>
    <row r="644" spans="2:13" hidden="1" x14ac:dyDescent="0.25">
      <c r="B644" t="str">
        <f t="shared" ref="B644:B707" si="30">+I644&amp;H644</f>
        <v>CrispianoEPC-IPU-D171-02</v>
      </c>
      <c r="C644" s="50" t="s">
        <v>826</v>
      </c>
      <c r="D644" s="51" t="s">
        <v>887</v>
      </c>
      <c r="E644" s="50" t="s">
        <v>910</v>
      </c>
      <c r="F644" s="50" t="s">
        <v>1533</v>
      </c>
      <c r="G644" s="50" t="s">
        <v>1533</v>
      </c>
      <c r="H644" s="57" t="s">
        <v>1902</v>
      </c>
      <c r="I644" s="50" t="s">
        <v>1375</v>
      </c>
      <c r="J644" s="18">
        <f>+_xlfn.XLOOKUP(B644,Sheet3!B:B,Sheet3!J:J,0)</f>
        <v>0</v>
      </c>
      <c r="K644">
        <f t="shared" ref="K644:K707" si="31">+J644/6*8</f>
        <v>0</v>
      </c>
      <c r="L644" s="54">
        <v>0</v>
      </c>
      <c r="M644" s="67">
        <f t="shared" ref="M644:M707" si="32">+L644-K644</f>
        <v>0</v>
      </c>
    </row>
    <row r="645" spans="2:13" hidden="1" x14ac:dyDescent="0.25">
      <c r="B645" t="str">
        <f t="shared" si="30"/>
        <v>San Giuliano MilaneseEPC-IPU-H930-03</v>
      </c>
      <c r="C645" s="50" t="s">
        <v>958</v>
      </c>
      <c r="D645" s="51" t="s">
        <v>887</v>
      </c>
      <c r="E645" s="50" t="s">
        <v>888</v>
      </c>
      <c r="F645" s="50" t="s">
        <v>1533</v>
      </c>
      <c r="G645" s="50" t="s">
        <v>1533</v>
      </c>
      <c r="H645" s="57" t="s">
        <v>1903</v>
      </c>
      <c r="I645" s="50" t="s">
        <v>1899</v>
      </c>
      <c r="J645" s="18">
        <f>+_xlfn.XLOOKUP(B645,Sheet3!B:B,Sheet3!J:J,0)</f>
        <v>0</v>
      </c>
      <c r="K645">
        <f t="shared" si="31"/>
        <v>0</v>
      </c>
      <c r="L645" s="54">
        <v>16.038979999999999</v>
      </c>
      <c r="M645" s="67">
        <f t="shared" si="32"/>
        <v>16.038979999999999</v>
      </c>
    </row>
    <row r="646" spans="2:13" hidden="1" x14ac:dyDescent="0.25">
      <c r="B646" t="str">
        <f t="shared" si="30"/>
        <v>TribianoEPC-IPU-L415-03</v>
      </c>
      <c r="C646" s="50" t="s">
        <v>958</v>
      </c>
      <c r="D646" s="51" t="s">
        <v>887</v>
      </c>
      <c r="E646" s="50" t="s">
        <v>888</v>
      </c>
      <c r="F646" s="50" t="s">
        <v>1533</v>
      </c>
      <c r="G646" s="50" t="s">
        <v>1533</v>
      </c>
      <c r="H646" s="57" t="s">
        <v>1904</v>
      </c>
      <c r="I646" s="50" t="s">
        <v>1886</v>
      </c>
      <c r="J646" s="18">
        <f>+_xlfn.XLOOKUP(B646,Sheet3!B:B,Sheet3!J:J,0)</f>
        <v>15.640040000000001</v>
      </c>
      <c r="K646">
        <f t="shared" si="31"/>
        <v>20.853386666666669</v>
      </c>
      <c r="L646" s="54">
        <v>0</v>
      </c>
      <c r="M646" s="67">
        <f t="shared" si="32"/>
        <v>-20.853386666666669</v>
      </c>
    </row>
    <row r="647" spans="2:13" hidden="1" x14ac:dyDescent="0.25">
      <c r="B647" t="str">
        <f t="shared" si="30"/>
        <v>Palma CampaniaEPC-IPU-G283-01</v>
      </c>
      <c r="C647" s="50" t="s">
        <v>958</v>
      </c>
      <c r="D647" s="51" t="s">
        <v>887</v>
      </c>
      <c r="E647" s="50" t="s">
        <v>910</v>
      </c>
      <c r="F647" s="50" t="s">
        <v>1533</v>
      </c>
      <c r="G647" s="50" t="s">
        <v>1533</v>
      </c>
      <c r="H647" s="57" t="s">
        <v>1905</v>
      </c>
      <c r="I647" s="50" t="s">
        <v>1317</v>
      </c>
      <c r="J647" s="18">
        <f>+_xlfn.XLOOKUP(B647,Sheet3!B:B,Sheet3!J:J,0)</f>
        <v>4.0384099999999998</v>
      </c>
      <c r="K647">
        <f t="shared" si="31"/>
        <v>5.3845466666666661</v>
      </c>
      <c r="L647" s="54">
        <v>6.3142399999999999</v>
      </c>
      <c r="M647" s="67">
        <f t="shared" si="32"/>
        <v>0.9296933333333337</v>
      </c>
    </row>
    <row r="648" spans="2:13" hidden="1" x14ac:dyDescent="0.25">
      <c r="B648" t="str">
        <f t="shared" si="30"/>
        <v>MasateEPC-IPU-F003-01</v>
      </c>
      <c r="C648" s="50" t="s">
        <v>826</v>
      </c>
      <c r="D648" s="51" t="s">
        <v>887</v>
      </c>
      <c r="E648" s="50" t="s">
        <v>888</v>
      </c>
      <c r="F648" s="50" t="s">
        <v>1533</v>
      </c>
      <c r="G648" s="50" t="s">
        <v>1533</v>
      </c>
      <c r="H648" s="57" t="s">
        <v>1906</v>
      </c>
      <c r="I648" s="50" t="s">
        <v>1907</v>
      </c>
      <c r="J648" s="18">
        <f>+_xlfn.XLOOKUP(B648,Sheet3!B:B,Sheet3!J:J,0)</f>
        <v>0</v>
      </c>
      <c r="K648">
        <f t="shared" si="31"/>
        <v>0</v>
      </c>
      <c r="L648" s="54">
        <v>0</v>
      </c>
      <c r="M648" s="67">
        <f t="shared" si="32"/>
        <v>0</v>
      </c>
    </row>
    <row r="649" spans="2:13" hidden="1" x14ac:dyDescent="0.25">
      <c r="B649" t="str">
        <f t="shared" si="30"/>
        <v>FossòEPC-IPU-D748-02</v>
      </c>
      <c r="C649" s="50" t="s">
        <v>826</v>
      </c>
      <c r="D649" s="51" t="s">
        <v>887</v>
      </c>
      <c r="E649" s="50" t="s">
        <v>959</v>
      </c>
      <c r="F649" s="50" t="s">
        <v>1533</v>
      </c>
      <c r="G649" s="50" t="s">
        <v>1533</v>
      </c>
      <c r="H649" s="57" t="s">
        <v>1908</v>
      </c>
      <c r="I649" s="50" t="s">
        <v>1242</v>
      </c>
      <c r="J649" s="18">
        <f>+_xlfn.XLOOKUP(B649,Sheet3!B:B,Sheet3!J:J,0)</f>
        <v>0</v>
      </c>
      <c r="K649">
        <f t="shared" si="31"/>
        <v>0</v>
      </c>
      <c r="L649" s="54">
        <v>0</v>
      </c>
      <c r="M649" s="67">
        <f t="shared" si="32"/>
        <v>0</v>
      </c>
    </row>
    <row r="650" spans="2:13" hidden="1" x14ac:dyDescent="0.25">
      <c r="B650" t="str">
        <f t="shared" si="30"/>
        <v>MontemurroEPC-IPU-F573-07</v>
      </c>
      <c r="C650" s="50" t="s">
        <v>826</v>
      </c>
      <c r="D650" s="51" t="s">
        <v>887</v>
      </c>
      <c r="E650" s="50" t="s">
        <v>910</v>
      </c>
      <c r="F650" s="50" t="s">
        <v>1533</v>
      </c>
      <c r="G650" s="50" t="s">
        <v>1533</v>
      </c>
      <c r="H650" s="57" t="s">
        <v>1909</v>
      </c>
      <c r="I650" s="50" t="s">
        <v>1473</v>
      </c>
      <c r="J650" s="18">
        <f>+_xlfn.XLOOKUP(B650,Sheet3!B:B,Sheet3!J:J,0)</f>
        <v>0</v>
      </c>
      <c r="K650">
        <f t="shared" si="31"/>
        <v>0</v>
      </c>
      <c r="L650" s="54">
        <v>0</v>
      </c>
      <c r="M650" s="67">
        <f t="shared" si="32"/>
        <v>0</v>
      </c>
    </row>
    <row r="651" spans="2:13" hidden="1" x14ac:dyDescent="0.25">
      <c r="B651" t="str">
        <f t="shared" si="30"/>
        <v>Silvano RenatoEPC-IPU-G942-02</v>
      </c>
      <c r="C651" s="50" t="s">
        <v>826</v>
      </c>
      <c r="D651" s="51" t="s">
        <v>887</v>
      </c>
      <c r="E651" s="50" t="s">
        <v>910</v>
      </c>
      <c r="F651" s="50" t="s">
        <v>1630</v>
      </c>
      <c r="G651" s="50" t="s">
        <v>1630</v>
      </c>
      <c r="H651" s="57" t="s">
        <v>1910</v>
      </c>
      <c r="I651" s="50" t="s">
        <v>1911</v>
      </c>
      <c r="J651" s="18">
        <f>+_xlfn.XLOOKUP(B651,Sheet3!B:B,Sheet3!J:J,0)</f>
        <v>2.4470000000000001</v>
      </c>
      <c r="K651">
        <f t="shared" si="31"/>
        <v>3.2626666666666666</v>
      </c>
      <c r="L651" s="54">
        <v>2.4470000000000001</v>
      </c>
      <c r="M651" s="67">
        <f t="shared" si="32"/>
        <v>-0.81566666666666654</v>
      </c>
    </row>
    <row r="652" spans="2:13" hidden="1" x14ac:dyDescent="0.25">
      <c r="B652" t="str">
        <f t="shared" si="30"/>
        <v>Torrevecchia PiaEPC-IPU-L285-02</v>
      </c>
      <c r="C652" s="50" t="s">
        <v>826</v>
      </c>
      <c r="D652" s="51" t="s">
        <v>887</v>
      </c>
      <c r="E652" s="50" t="s">
        <v>888</v>
      </c>
      <c r="F652" s="50" t="s">
        <v>1533</v>
      </c>
      <c r="G652" s="50" t="s">
        <v>1533</v>
      </c>
      <c r="H652" s="57" t="s">
        <v>1912</v>
      </c>
      <c r="I652" s="50" t="s">
        <v>1074</v>
      </c>
      <c r="J652" s="18">
        <f>+_xlfn.XLOOKUP(B652,Sheet3!B:B,Sheet3!J:J,0)</f>
        <v>0</v>
      </c>
      <c r="K652">
        <f t="shared" si="31"/>
        <v>0</v>
      </c>
      <c r="L652" s="54">
        <v>30</v>
      </c>
      <c r="M652" s="67">
        <f t="shared" si="32"/>
        <v>30</v>
      </c>
    </row>
    <row r="653" spans="2:13" hidden="1" x14ac:dyDescent="0.25">
      <c r="B653" t="str">
        <f t="shared" si="30"/>
        <v>Sant'Egidio del Monte AlbinoEPC-IPU-I317-02</v>
      </c>
      <c r="C653" s="50" t="s">
        <v>826</v>
      </c>
      <c r="D653" s="51" t="s">
        <v>887</v>
      </c>
      <c r="E653" s="50" t="s">
        <v>910</v>
      </c>
      <c r="F653" s="50" t="s">
        <v>1533</v>
      </c>
      <c r="G653" s="50" t="s">
        <v>1533</v>
      </c>
      <c r="H653" s="57" t="s">
        <v>1913</v>
      </c>
      <c r="I653" s="50" t="s">
        <v>1914</v>
      </c>
      <c r="J653" s="18">
        <f>+_xlfn.XLOOKUP(B653,Sheet3!B:B,Sheet3!J:J,0)</f>
        <v>2.6890800000000001</v>
      </c>
      <c r="K653">
        <f t="shared" si="31"/>
        <v>3.5854400000000002</v>
      </c>
      <c r="L653" s="54">
        <v>2.6890800000000001</v>
      </c>
      <c r="M653" s="67">
        <f t="shared" si="32"/>
        <v>-0.89636000000000005</v>
      </c>
    </row>
    <row r="654" spans="2:13" hidden="1" x14ac:dyDescent="0.25">
      <c r="B654" t="str">
        <f t="shared" si="30"/>
        <v>TolentinoEPC-IPU-L191-05</v>
      </c>
      <c r="C654" s="50" t="s">
        <v>958</v>
      </c>
      <c r="D654" s="51" t="s">
        <v>887</v>
      </c>
      <c r="E654" s="50" t="s">
        <v>896</v>
      </c>
      <c r="F654" s="50" t="s">
        <v>1533</v>
      </c>
      <c r="G654" s="50" t="s">
        <v>1533</v>
      </c>
      <c r="H654" s="57" t="s">
        <v>1915</v>
      </c>
      <c r="I654" s="50" t="s">
        <v>1133</v>
      </c>
      <c r="J654" s="18">
        <f>+_xlfn.XLOOKUP(B654,Sheet3!B:B,Sheet3!J:J,0)</f>
        <v>1.6124499999999999</v>
      </c>
      <c r="K654">
        <f t="shared" si="31"/>
        <v>2.1499333333333333</v>
      </c>
      <c r="L654" s="54">
        <v>1.6124499999999999</v>
      </c>
      <c r="M654" s="67">
        <f t="shared" si="32"/>
        <v>-0.53748333333333331</v>
      </c>
    </row>
    <row r="655" spans="2:13" hidden="1" x14ac:dyDescent="0.25">
      <c r="B655" t="str">
        <f t="shared" si="30"/>
        <v>ArlunoEPC-IPU-A413-07</v>
      </c>
      <c r="C655" s="50" t="s">
        <v>958</v>
      </c>
      <c r="D655" s="51" t="s">
        <v>887</v>
      </c>
      <c r="E655" s="50" t="s">
        <v>888</v>
      </c>
      <c r="F655" s="50" t="s">
        <v>1533</v>
      </c>
      <c r="G655" s="50" t="s">
        <v>1533</v>
      </c>
      <c r="H655" s="57" t="s">
        <v>1916</v>
      </c>
      <c r="I655" s="50" t="s">
        <v>1020</v>
      </c>
      <c r="J655" s="18">
        <f>+_xlfn.XLOOKUP(B655,Sheet3!B:B,Sheet3!J:J,0)</f>
        <v>0.49986000000000003</v>
      </c>
      <c r="K655">
        <f t="shared" si="31"/>
        <v>0.66648000000000007</v>
      </c>
      <c r="L655" s="54">
        <v>0.49986000000000003</v>
      </c>
      <c r="M655" s="67">
        <f t="shared" si="32"/>
        <v>-0.16662000000000005</v>
      </c>
    </row>
    <row r="656" spans="2:13" hidden="1" x14ac:dyDescent="0.25">
      <c r="B656" t="str">
        <f t="shared" si="30"/>
        <v>overheadsFERIE</v>
      </c>
      <c r="C656" s="50" t="s">
        <v>826</v>
      </c>
      <c r="D656" s="51" t="s">
        <v>887</v>
      </c>
      <c r="E656" s="50" t="s">
        <v>1756</v>
      </c>
      <c r="F656" s="50" t="s">
        <v>855</v>
      </c>
      <c r="G656" s="50" t="s">
        <v>855</v>
      </c>
      <c r="H656" s="57" t="s">
        <v>1917</v>
      </c>
      <c r="I656" s="50" t="s">
        <v>1758</v>
      </c>
      <c r="J656" s="18">
        <f>+_xlfn.XLOOKUP(B656,Sheet3!B:B,Sheet3!J:J,0)</f>
        <v>0</v>
      </c>
      <c r="K656">
        <f t="shared" si="31"/>
        <v>0</v>
      </c>
      <c r="L656" s="54">
        <v>0</v>
      </c>
      <c r="M656" s="67">
        <f t="shared" si="32"/>
        <v>0</v>
      </c>
    </row>
    <row r="657" spans="2:13" hidden="1" x14ac:dyDescent="0.25">
      <c r="B657" t="str">
        <f t="shared" si="30"/>
        <v>overheadsMATERNITA'</v>
      </c>
      <c r="C657" s="50" t="s">
        <v>826</v>
      </c>
      <c r="D657" s="51" t="s">
        <v>887</v>
      </c>
      <c r="E657" s="50" t="s">
        <v>1756</v>
      </c>
      <c r="F657" s="50" t="s">
        <v>855</v>
      </c>
      <c r="G657" s="50" t="s">
        <v>855</v>
      </c>
      <c r="H657" s="57" t="s">
        <v>1918</v>
      </c>
      <c r="I657" s="50" t="s">
        <v>1758</v>
      </c>
      <c r="J657" s="18">
        <f>+_xlfn.XLOOKUP(B657,Sheet3!B:B,Sheet3!J:J,0)</f>
        <v>0</v>
      </c>
      <c r="K657">
        <f t="shared" si="31"/>
        <v>0</v>
      </c>
      <c r="L657" s="54">
        <v>0</v>
      </c>
      <c r="M657" s="67">
        <f t="shared" si="32"/>
        <v>0</v>
      </c>
    </row>
    <row r="658" spans="2:13" hidden="1" x14ac:dyDescent="0.25">
      <c r="B658" t="str">
        <f t="shared" si="30"/>
        <v>FilianoSEC-PHV-D593-04</v>
      </c>
      <c r="C658" s="50" t="s">
        <v>826</v>
      </c>
      <c r="D658" s="51" t="s">
        <v>887</v>
      </c>
      <c r="E658" s="50" t="s">
        <v>910</v>
      </c>
      <c r="F658" s="50" t="s">
        <v>897</v>
      </c>
      <c r="G658" s="50" t="s">
        <v>897</v>
      </c>
      <c r="H658" s="57" t="s">
        <v>1919</v>
      </c>
      <c r="I658" s="50" t="s">
        <v>1761</v>
      </c>
      <c r="J658" s="18">
        <f>+_xlfn.XLOOKUP(B658,Sheet3!B:B,Sheet3!J:J,0)</f>
        <v>3.2820000000000002E-2</v>
      </c>
      <c r="K658">
        <f t="shared" si="31"/>
        <v>4.376E-2</v>
      </c>
      <c r="L658" s="54">
        <v>3.2820000000000002E-2</v>
      </c>
      <c r="M658" s="67">
        <f t="shared" si="32"/>
        <v>-1.0939999999999998E-2</v>
      </c>
    </row>
    <row r="659" spans="2:13" hidden="1" x14ac:dyDescent="0.25">
      <c r="B659" t="str">
        <f t="shared" si="30"/>
        <v>TolentinoEPC-IPU-L191-07</v>
      </c>
      <c r="C659" s="50" t="s">
        <v>958</v>
      </c>
      <c r="D659" s="51" t="s">
        <v>887</v>
      </c>
      <c r="E659" s="50" t="s">
        <v>896</v>
      </c>
      <c r="F659" s="50" t="s">
        <v>1533</v>
      </c>
      <c r="G659" s="50" t="s">
        <v>1533</v>
      </c>
      <c r="H659" s="57" t="s">
        <v>1920</v>
      </c>
      <c r="I659" s="50" t="s">
        <v>1133</v>
      </c>
      <c r="J659" s="18">
        <f>+_xlfn.XLOOKUP(B659,Sheet3!B:B,Sheet3!J:J,0)</f>
        <v>2.7850000000000001</v>
      </c>
      <c r="K659">
        <f t="shared" si="31"/>
        <v>3.7133333333333334</v>
      </c>
      <c r="L659" s="54">
        <v>2.7850000000000001</v>
      </c>
      <c r="M659" s="67">
        <f t="shared" si="32"/>
        <v>-0.92833333333333323</v>
      </c>
    </row>
    <row r="660" spans="2:13" hidden="1" x14ac:dyDescent="0.25">
      <c r="B660" t="str">
        <f t="shared" si="30"/>
        <v>FilianoSEC-PHV-D593-05</v>
      </c>
      <c r="C660" s="50" t="s">
        <v>826</v>
      </c>
      <c r="D660" s="51" t="s">
        <v>887</v>
      </c>
      <c r="E660" s="50" t="s">
        <v>910</v>
      </c>
      <c r="F660" s="50" t="s">
        <v>897</v>
      </c>
      <c r="G660" s="50" t="s">
        <v>897</v>
      </c>
      <c r="H660" s="57" t="s">
        <v>1921</v>
      </c>
      <c r="I660" s="50" t="s">
        <v>1761</v>
      </c>
      <c r="J660" s="18">
        <f>+_xlfn.XLOOKUP(B660,Sheet3!B:B,Sheet3!J:J,0)</f>
        <v>0.24468000000000001</v>
      </c>
      <c r="K660">
        <f t="shared" si="31"/>
        <v>0.32624000000000003</v>
      </c>
      <c r="L660" s="54">
        <v>0.24468000000000001</v>
      </c>
      <c r="M660" s="67">
        <f t="shared" si="32"/>
        <v>-8.1560000000000021E-2</v>
      </c>
    </row>
    <row r="661" spans="2:13" hidden="1" x14ac:dyDescent="0.25">
      <c r="B661" t="str">
        <f t="shared" si="30"/>
        <v>AviglianoSEC-PHV-A519-07</v>
      </c>
      <c r="C661" s="50" t="s">
        <v>826</v>
      </c>
      <c r="D661" s="51" t="s">
        <v>887</v>
      </c>
      <c r="E661" s="50" t="s">
        <v>910</v>
      </c>
      <c r="F661" s="50" t="s">
        <v>897</v>
      </c>
      <c r="G661" s="50" t="s">
        <v>897</v>
      </c>
      <c r="H661" s="57" t="s">
        <v>1922</v>
      </c>
      <c r="I661" s="50" t="s">
        <v>1766</v>
      </c>
      <c r="J661" s="18">
        <f>+_xlfn.XLOOKUP(B661,Sheet3!B:B,Sheet3!J:J,0)</f>
        <v>0</v>
      </c>
      <c r="K661">
        <f t="shared" si="31"/>
        <v>0</v>
      </c>
      <c r="L661" s="54">
        <v>0</v>
      </c>
      <c r="M661" s="67">
        <f t="shared" si="32"/>
        <v>0</v>
      </c>
    </row>
    <row r="662" spans="2:13" hidden="1" x14ac:dyDescent="0.25">
      <c r="B662" t="str">
        <f t="shared" si="30"/>
        <v>AviglianoSEC-PHV-A519-08</v>
      </c>
      <c r="C662" s="50" t="s">
        <v>826</v>
      </c>
      <c r="D662" s="51" t="s">
        <v>887</v>
      </c>
      <c r="E662" s="50" t="s">
        <v>910</v>
      </c>
      <c r="F662" s="50" t="s">
        <v>897</v>
      </c>
      <c r="G662" s="50" t="s">
        <v>897</v>
      </c>
      <c r="H662" s="57" t="s">
        <v>1923</v>
      </c>
      <c r="I662" s="50" t="s">
        <v>1766</v>
      </c>
      <c r="J662" s="18">
        <f>+_xlfn.XLOOKUP(B662,Sheet3!B:B,Sheet3!J:J,0)</f>
        <v>0</v>
      </c>
      <c r="K662">
        <f t="shared" si="31"/>
        <v>0</v>
      </c>
      <c r="L662" s="54">
        <v>0</v>
      </c>
      <c r="M662" s="67">
        <f t="shared" si="32"/>
        <v>0</v>
      </c>
    </row>
    <row r="663" spans="2:13" hidden="1" x14ac:dyDescent="0.25">
      <c r="B663" t="str">
        <f t="shared" si="30"/>
        <v>TolentinoEPC-IPU-L191-06</v>
      </c>
      <c r="C663" s="50" t="s">
        <v>958</v>
      </c>
      <c r="D663" s="51" t="s">
        <v>887</v>
      </c>
      <c r="E663" s="50" t="s">
        <v>896</v>
      </c>
      <c r="F663" s="50" t="s">
        <v>1533</v>
      </c>
      <c r="G663" s="50" t="s">
        <v>1533</v>
      </c>
      <c r="H663" s="57" t="s">
        <v>1924</v>
      </c>
      <c r="I663" s="50" t="s">
        <v>1133</v>
      </c>
      <c r="J663" s="18">
        <f>+_xlfn.XLOOKUP(B663,Sheet3!B:B,Sheet3!J:J,0)</f>
        <v>1.88645</v>
      </c>
      <c r="K663">
        <f t="shared" si="31"/>
        <v>2.5152666666666668</v>
      </c>
      <c r="L663" s="54">
        <v>1.88645</v>
      </c>
      <c r="M663" s="67">
        <f t="shared" si="32"/>
        <v>-0.6288166666666668</v>
      </c>
    </row>
    <row r="664" spans="2:13" hidden="1" x14ac:dyDescent="0.25">
      <c r="B664" t="str">
        <f t="shared" si="30"/>
        <v>ChioggiaPPP-IPU-C638-05</v>
      </c>
      <c r="C664" s="50" t="s">
        <v>958</v>
      </c>
      <c r="D664" s="51" t="s">
        <v>887</v>
      </c>
      <c r="E664" s="50" t="s">
        <v>959</v>
      </c>
      <c r="F664" s="50" t="s">
        <v>889</v>
      </c>
      <c r="G664" s="50" t="s">
        <v>890</v>
      </c>
      <c r="H664" s="57" t="s">
        <v>1925</v>
      </c>
      <c r="I664" s="50" t="s">
        <v>1258</v>
      </c>
      <c r="J664" s="18">
        <f>+_xlfn.XLOOKUP(B664,Sheet3!B:B,Sheet3!J:J,0)</f>
        <v>0</v>
      </c>
      <c r="K664">
        <f t="shared" si="31"/>
        <v>0</v>
      </c>
      <c r="L664" s="54">
        <v>459.59015999999997</v>
      </c>
      <c r="M664" s="67">
        <f t="shared" si="32"/>
        <v>459.59015999999997</v>
      </c>
    </row>
    <row r="665" spans="2:13" hidden="1" x14ac:dyDescent="0.25">
      <c r="B665" t="str">
        <f t="shared" si="30"/>
        <v>AlassioPPP-IPU-A122-01</v>
      </c>
      <c r="C665" s="50" t="s">
        <v>826</v>
      </c>
      <c r="D665" s="51" t="s">
        <v>887</v>
      </c>
      <c r="E665" s="50" t="s">
        <v>888</v>
      </c>
      <c r="F665" s="50" t="s">
        <v>889</v>
      </c>
      <c r="G665" s="50" t="s">
        <v>890</v>
      </c>
      <c r="H665" s="57" t="s">
        <v>1926</v>
      </c>
      <c r="I665" s="50" t="s">
        <v>1927</v>
      </c>
      <c r="J665" s="18">
        <f>+_xlfn.XLOOKUP(B665,Sheet3!B:B,Sheet3!J:J,0)</f>
        <v>0</v>
      </c>
      <c r="K665">
        <f t="shared" si="31"/>
        <v>0</v>
      </c>
      <c r="L665" s="54">
        <v>0</v>
      </c>
      <c r="M665" s="67">
        <f t="shared" si="32"/>
        <v>0</v>
      </c>
    </row>
    <row r="666" spans="2:13" hidden="1" x14ac:dyDescent="0.25">
      <c r="B666" t="str">
        <f t="shared" si="30"/>
        <v>CaltanissettaPPP-IPU-B429-01</v>
      </c>
      <c r="C666" s="50" t="s">
        <v>826</v>
      </c>
      <c r="D666" s="51" t="s">
        <v>887</v>
      </c>
      <c r="E666" s="50" t="s">
        <v>910</v>
      </c>
      <c r="F666" s="50" t="s">
        <v>889</v>
      </c>
      <c r="G666" s="50" t="s">
        <v>890</v>
      </c>
      <c r="H666" s="57" t="s">
        <v>1928</v>
      </c>
      <c r="I666" s="50" t="s">
        <v>1929</v>
      </c>
      <c r="J666" s="18">
        <f>+_xlfn.XLOOKUP(B666,Sheet3!B:B,Sheet3!J:J,0)</f>
        <v>0</v>
      </c>
      <c r="K666">
        <f t="shared" si="31"/>
        <v>0</v>
      </c>
      <c r="L666" s="54">
        <v>0</v>
      </c>
      <c r="M666" s="67">
        <f t="shared" si="32"/>
        <v>0</v>
      </c>
    </row>
    <row r="667" spans="2:13" hidden="1" x14ac:dyDescent="0.25">
      <c r="B667" t="str">
        <f t="shared" si="30"/>
        <v>Canosa Di PugliaPPP-IPU-B619-01</v>
      </c>
      <c r="C667" s="50" t="s">
        <v>826</v>
      </c>
      <c r="D667" s="51" t="s">
        <v>887</v>
      </c>
      <c r="E667" s="50" t="s">
        <v>910</v>
      </c>
      <c r="F667" s="50" t="s">
        <v>889</v>
      </c>
      <c r="G667" s="50" t="s">
        <v>890</v>
      </c>
      <c r="H667" s="57" t="s">
        <v>1930</v>
      </c>
      <c r="I667" s="50" t="s">
        <v>1931</v>
      </c>
      <c r="J667" s="18">
        <f>+_xlfn.XLOOKUP(B667,Sheet3!B:B,Sheet3!J:J,0)</f>
        <v>0</v>
      </c>
      <c r="K667">
        <f t="shared" si="31"/>
        <v>0</v>
      </c>
      <c r="L667" s="54">
        <v>0</v>
      </c>
      <c r="M667" s="67">
        <f t="shared" si="32"/>
        <v>0</v>
      </c>
    </row>
    <row r="668" spans="2:13" hidden="1" x14ac:dyDescent="0.25">
      <c r="B668" t="str">
        <f t="shared" si="30"/>
        <v>GirifalcoPPP-IPU-E050-01</v>
      </c>
      <c r="C668" s="50" t="s">
        <v>826</v>
      </c>
      <c r="D668" s="51" t="s">
        <v>887</v>
      </c>
      <c r="E668" s="50" t="s">
        <v>910</v>
      </c>
      <c r="F668" s="50" t="s">
        <v>889</v>
      </c>
      <c r="G668" s="50" t="s">
        <v>890</v>
      </c>
      <c r="H668" s="57" t="s">
        <v>1932</v>
      </c>
      <c r="I668" s="50" t="s">
        <v>1933</v>
      </c>
      <c r="J668" s="18">
        <f>+_xlfn.XLOOKUP(B668,Sheet3!B:B,Sheet3!J:J,0)</f>
        <v>0</v>
      </c>
      <c r="K668">
        <f t="shared" si="31"/>
        <v>0</v>
      </c>
      <c r="L668" s="54">
        <v>0</v>
      </c>
      <c r="M668" s="67">
        <f t="shared" si="32"/>
        <v>0</v>
      </c>
    </row>
    <row r="669" spans="2:13" hidden="1" x14ac:dyDescent="0.25">
      <c r="B669" t="str">
        <f t="shared" si="30"/>
        <v>LuzziPPP-IPU-E773-01</v>
      </c>
      <c r="C669" s="50" t="s">
        <v>826</v>
      </c>
      <c r="D669" s="51" t="s">
        <v>887</v>
      </c>
      <c r="E669" s="50" t="s">
        <v>910</v>
      </c>
      <c r="F669" s="50" t="s">
        <v>889</v>
      </c>
      <c r="G669" s="50" t="s">
        <v>890</v>
      </c>
      <c r="H669" s="57" t="s">
        <v>1934</v>
      </c>
      <c r="I669" s="50" t="s">
        <v>1935</v>
      </c>
      <c r="J669" s="18">
        <f>+_xlfn.XLOOKUP(B669,Sheet3!B:B,Sheet3!J:J,0)</f>
        <v>0</v>
      </c>
      <c r="K669">
        <f t="shared" si="31"/>
        <v>0</v>
      </c>
      <c r="L669" s="54">
        <v>0</v>
      </c>
      <c r="M669" s="67">
        <f t="shared" si="32"/>
        <v>0</v>
      </c>
    </row>
    <row r="670" spans="2:13" hidden="1" x14ac:dyDescent="0.25">
      <c r="B670" t="str">
        <f t="shared" si="30"/>
        <v>MiglionicoPPP-EEE-F201-03</v>
      </c>
      <c r="C670" s="50" t="s">
        <v>826</v>
      </c>
      <c r="D670" s="51" t="s">
        <v>887</v>
      </c>
      <c r="E670" s="50" t="s">
        <v>910</v>
      </c>
      <c r="F670" s="50" t="s">
        <v>965</v>
      </c>
      <c r="G670" s="50" t="s">
        <v>965</v>
      </c>
      <c r="H670" s="57" t="s">
        <v>1936</v>
      </c>
      <c r="I670" s="50" t="s">
        <v>1407</v>
      </c>
      <c r="J670" s="18">
        <f>+_xlfn.XLOOKUP(B670,Sheet3!B:B,Sheet3!J:J,0)</f>
        <v>0</v>
      </c>
      <c r="K670">
        <f t="shared" si="31"/>
        <v>0</v>
      </c>
      <c r="L670" s="54">
        <v>0</v>
      </c>
      <c r="M670" s="67">
        <f t="shared" si="32"/>
        <v>0</v>
      </c>
    </row>
    <row r="671" spans="2:13" hidden="1" x14ac:dyDescent="0.25">
      <c r="B671" t="str">
        <f t="shared" si="30"/>
        <v>PattadaPPP-IPU-G376-01</v>
      </c>
      <c r="C671" s="50" t="s">
        <v>826</v>
      </c>
      <c r="D671" s="51" t="s">
        <v>887</v>
      </c>
      <c r="E671" s="50" t="s">
        <v>896</v>
      </c>
      <c r="F671" s="50" t="s">
        <v>889</v>
      </c>
      <c r="G671" s="50" t="s">
        <v>890</v>
      </c>
      <c r="H671" s="57" t="s">
        <v>1937</v>
      </c>
      <c r="I671" s="50" t="s">
        <v>1938</v>
      </c>
      <c r="J671" s="18">
        <f>+_xlfn.XLOOKUP(B671,Sheet3!B:B,Sheet3!J:J,0)</f>
        <v>0</v>
      </c>
      <c r="K671">
        <f t="shared" si="31"/>
        <v>0</v>
      </c>
      <c r="L671" s="54">
        <v>0</v>
      </c>
      <c r="M671" s="67">
        <f t="shared" si="32"/>
        <v>0</v>
      </c>
    </row>
    <row r="672" spans="2:13" hidden="1" x14ac:dyDescent="0.25">
      <c r="B672" t="str">
        <f t="shared" si="30"/>
        <v>Pellezzano HMPPP-EEE-G426-03</v>
      </c>
      <c r="C672" s="50" t="s">
        <v>826</v>
      </c>
      <c r="D672" s="51" t="s">
        <v>887</v>
      </c>
      <c r="E672" s="50" t="s">
        <v>910</v>
      </c>
      <c r="F672" s="50" t="s">
        <v>965</v>
      </c>
      <c r="G672" s="50" t="s">
        <v>965</v>
      </c>
      <c r="H672" s="57" t="s">
        <v>1939</v>
      </c>
      <c r="I672" s="50" t="s">
        <v>1940</v>
      </c>
      <c r="J672" s="18">
        <f>+_xlfn.XLOOKUP(B672,Sheet3!B:B,Sheet3!J:J,0)</f>
        <v>0</v>
      </c>
      <c r="K672">
        <f t="shared" si="31"/>
        <v>0</v>
      </c>
      <c r="L672" s="54">
        <v>0</v>
      </c>
      <c r="M672" s="67">
        <f t="shared" si="32"/>
        <v>0</v>
      </c>
    </row>
    <row r="673" spans="2:13" hidden="1" x14ac:dyDescent="0.25">
      <c r="B673" t="str">
        <f t="shared" si="30"/>
        <v>RiesiPPP-IPU-H281-01</v>
      </c>
      <c r="C673" s="50" t="s">
        <v>826</v>
      </c>
      <c r="D673" s="51" t="s">
        <v>887</v>
      </c>
      <c r="E673" s="50" t="s">
        <v>910</v>
      </c>
      <c r="F673" s="50" t="s">
        <v>889</v>
      </c>
      <c r="G673" s="50" t="s">
        <v>890</v>
      </c>
      <c r="H673" s="57" t="s">
        <v>1941</v>
      </c>
      <c r="I673" s="50" t="s">
        <v>1942</v>
      </c>
      <c r="J673" s="18">
        <f>+_xlfn.XLOOKUP(B673,Sheet3!B:B,Sheet3!J:J,0)</f>
        <v>0</v>
      </c>
      <c r="K673">
        <f t="shared" si="31"/>
        <v>0</v>
      </c>
      <c r="L673" s="54">
        <v>0</v>
      </c>
      <c r="M673" s="67">
        <f t="shared" si="32"/>
        <v>0</v>
      </c>
    </row>
    <row r="674" spans="2:13" hidden="1" x14ac:dyDescent="0.25">
      <c r="B674" t="str">
        <f t="shared" si="30"/>
        <v>Roggiano GravinaPPP-IPU-H488-01</v>
      </c>
      <c r="C674" s="50" t="s">
        <v>826</v>
      </c>
      <c r="D674" s="51" t="s">
        <v>887</v>
      </c>
      <c r="E674" s="50" t="s">
        <v>910</v>
      </c>
      <c r="F674" s="50" t="s">
        <v>889</v>
      </c>
      <c r="G674" s="50" t="s">
        <v>890</v>
      </c>
      <c r="H674" s="57" t="s">
        <v>1943</v>
      </c>
      <c r="I674" s="50" t="s">
        <v>1944</v>
      </c>
      <c r="J674" s="18">
        <f>+_xlfn.XLOOKUP(B674,Sheet3!B:B,Sheet3!J:J,0)</f>
        <v>0</v>
      </c>
      <c r="K674">
        <f t="shared" si="31"/>
        <v>0</v>
      </c>
      <c r="L674" s="54">
        <v>0</v>
      </c>
      <c r="M674" s="67">
        <f t="shared" si="32"/>
        <v>0</v>
      </c>
    </row>
    <row r="675" spans="2:13" hidden="1" x14ac:dyDescent="0.25">
      <c r="B675" t="str">
        <f t="shared" si="30"/>
        <v>Sala ConsilinaPPP-EEE-H683-01</v>
      </c>
      <c r="C675" s="50" t="s">
        <v>826</v>
      </c>
      <c r="D675" s="51" t="s">
        <v>887</v>
      </c>
      <c r="E675" s="50" t="s">
        <v>910</v>
      </c>
      <c r="F675" s="50" t="s">
        <v>965</v>
      </c>
      <c r="G675" s="50" t="s">
        <v>965</v>
      </c>
      <c r="H675" s="57" t="s">
        <v>1945</v>
      </c>
      <c r="I675" s="50" t="s">
        <v>1946</v>
      </c>
      <c r="J675" s="18">
        <f>+_xlfn.XLOOKUP(B675,Sheet3!B:B,Sheet3!J:J,0)</f>
        <v>0</v>
      </c>
      <c r="K675">
        <f t="shared" si="31"/>
        <v>0</v>
      </c>
      <c r="L675" s="54">
        <v>0</v>
      </c>
      <c r="M675" s="67">
        <f t="shared" si="32"/>
        <v>0</v>
      </c>
    </row>
    <row r="676" spans="2:13" hidden="1" x14ac:dyDescent="0.25">
      <c r="B676" t="str">
        <f t="shared" si="30"/>
        <v>San Marco D'alunzioPPP-IPU-H982-01</v>
      </c>
      <c r="C676" s="50" t="s">
        <v>826</v>
      </c>
      <c r="D676" s="51" t="s">
        <v>887</v>
      </c>
      <c r="E676" s="50" t="s">
        <v>910</v>
      </c>
      <c r="F676" s="50" t="s">
        <v>889</v>
      </c>
      <c r="G676" s="50" t="s">
        <v>890</v>
      </c>
      <c r="H676" s="57" t="s">
        <v>1947</v>
      </c>
      <c r="I676" s="50" t="s">
        <v>1948</v>
      </c>
      <c r="J676" s="18">
        <f>+_xlfn.XLOOKUP(B676,Sheet3!B:B,Sheet3!J:J,0)</f>
        <v>0</v>
      </c>
      <c r="K676">
        <f t="shared" si="31"/>
        <v>0</v>
      </c>
      <c r="L676" s="54">
        <v>0</v>
      </c>
      <c r="M676" s="67">
        <f t="shared" si="32"/>
        <v>0</v>
      </c>
    </row>
    <row r="677" spans="2:13" hidden="1" x14ac:dyDescent="0.25">
      <c r="B677" t="str">
        <f t="shared" si="30"/>
        <v>Scanzano JonicoPPP-IPU-M256-01</v>
      </c>
      <c r="C677" s="50" t="s">
        <v>826</v>
      </c>
      <c r="D677" s="51" t="s">
        <v>887</v>
      </c>
      <c r="E677" s="50" t="s">
        <v>910</v>
      </c>
      <c r="F677" s="50" t="s">
        <v>889</v>
      </c>
      <c r="G677" s="50" t="s">
        <v>890</v>
      </c>
      <c r="H677" s="57" t="s">
        <v>1949</v>
      </c>
      <c r="I677" s="50" t="s">
        <v>1950</v>
      </c>
      <c r="J677" s="18">
        <f>+_xlfn.XLOOKUP(B677,Sheet3!B:B,Sheet3!J:J,0)</f>
        <v>0</v>
      </c>
      <c r="K677">
        <f t="shared" si="31"/>
        <v>0</v>
      </c>
      <c r="L677" s="54">
        <v>0</v>
      </c>
      <c r="M677" s="67">
        <f t="shared" si="32"/>
        <v>0</v>
      </c>
    </row>
    <row r="678" spans="2:13" hidden="1" x14ac:dyDescent="0.25">
      <c r="B678" t="str">
        <f t="shared" si="30"/>
        <v>ScordiaPPP-IPU-I548-01</v>
      </c>
      <c r="C678" s="50" t="s">
        <v>826</v>
      </c>
      <c r="D678" s="51" t="s">
        <v>887</v>
      </c>
      <c r="E678" s="50" t="s">
        <v>910</v>
      </c>
      <c r="F678" s="50" t="s">
        <v>889</v>
      </c>
      <c r="G678" s="50" t="s">
        <v>890</v>
      </c>
      <c r="H678" s="57" t="s">
        <v>1951</v>
      </c>
      <c r="I678" s="50" t="s">
        <v>1952</v>
      </c>
      <c r="J678" s="18">
        <f>+_xlfn.XLOOKUP(B678,Sheet3!B:B,Sheet3!J:J,0)</f>
        <v>0</v>
      </c>
      <c r="K678">
        <f t="shared" si="31"/>
        <v>0</v>
      </c>
      <c r="L678" s="54">
        <v>0</v>
      </c>
      <c r="M678" s="67">
        <f t="shared" si="32"/>
        <v>0</v>
      </c>
    </row>
    <row r="679" spans="2:13" hidden="1" x14ac:dyDescent="0.25">
      <c r="B679" t="str">
        <f t="shared" si="30"/>
        <v>CarmianoSEC-PHV-B792-01</v>
      </c>
      <c r="C679" s="50" t="s">
        <v>826</v>
      </c>
      <c r="D679" s="51" t="s">
        <v>887</v>
      </c>
      <c r="E679" s="50" t="s">
        <v>910</v>
      </c>
      <c r="F679" s="50" t="s">
        <v>897</v>
      </c>
      <c r="G679" s="50" t="s">
        <v>897</v>
      </c>
      <c r="H679" s="57" t="s">
        <v>1953</v>
      </c>
      <c r="I679" s="50" t="s">
        <v>1954</v>
      </c>
      <c r="J679" s="18">
        <f>+_xlfn.XLOOKUP(B679,Sheet3!B:B,Sheet3!J:J,0)</f>
        <v>0</v>
      </c>
      <c r="K679">
        <f t="shared" si="31"/>
        <v>0</v>
      </c>
      <c r="L679" s="54">
        <v>0</v>
      </c>
      <c r="M679" s="67">
        <f t="shared" si="32"/>
        <v>0</v>
      </c>
    </row>
    <row r="680" spans="2:13" hidden="1" x14ac:dyDescent="0.25">
      <c r="B680" t="str">
        <f t="shared" si="30"/>
        <v>Chioggia videosorveglianzaEPC-VS-C638-01</v>
      </c>
      <c r="C680" s="50" t="s">
        <v>958</v>
      </c>
      <c r="D680" s="51" t="s">
        <v>887</v>
      </c>
      <c r="E680" s="50" t="s">
        <v>959</v>
      </c>
      <c r="F680" s="50" t="s">
        <v>1533</v>
      </c>
      <c r="G680" s="50" t="s">
        <v>1533</v>
      </c>
      <c r="H680" s="57" t="s">
        <v>1955</v>
      </c>
      <c r="I680" s="50" t="s">
        <v>1703</v>
      </c>
      <c r="J680" s="18">
        <f>+_xlfn.XLOOKUP(B680,Sheet3!B:B,Sheet3!J:J,0)</f>
        <v>0</v>
      </c>
      <c r="K680">
        <f t="shared" si="31"/>
        <v>0</v>
      </c>
      <c r="L680" s="54">
        <v>0</v>
      </c>
      <c r="M680" s="67">
        <f t="shared" si="32"/>
        <v>0</v>
      </c>
    </row>
    <row r="681" spans="2:13" hidden="1" x14ac:dyDescent="0.25">
      <c r="B681" t="str">
        <f t="shared" si="30"/>
        <v>Venezia HMPPP-EEE-L736-02</v>
      </c>
      <c r="C681" s="50" t="s">
        <v>958</v>
      </c>
      <c r="D681" s="51" t="s">
        <v>887</v>
      </c>
      <c r="E681" s="50" t="s">
        <v>959</v>
      </c>
      <c r="F681" s="50" t="s">
        <v>965</v>
      </c>
      <c r="G681" s="50" t="s">
        <v>965</v>
      </c>
      <c r="H681" s="57" t="s">
        <v>1956</v>
      </c>
      <c r="I681" s="50" t="s">
        <v>1238</v>
      </c>
      <c r="J681" s="18">
        <f>+_xlfn.XLOOKUP(B681,Sheet3!B:B,Sheet3!J:J,0)</f>
        <v>0</v>
      </c>
      <c r="K681">
        <f t="shared" si="31"/>
        <v>0</v>
      </c>
      <c r="L681" s="54">
        <v>225.06887</v>
      </c>
      <c r="M681" s="67">
        <f t="shared" si="32"/>
        <v>225.06887</v>
      </c>
    </row>
    <row r="682" spans="2:13" hidden="1" x14ac:dyDescent="0.25">
      <c r="B682" t="str">
        <f t="shared" si="30"/>
        <v>PresicceEPC-IPU-M428-01</v>
      </c>
      <c r="C682" s="50" t="s">
        <v>826</v>
      </c>
      <c r="D682" s="51" t="s">
        <v>887</v>
      </c>
      <c r="E682" s="50" t="s">
        <v>910</v>
      </c>
      <c r="F682" s="50" t="s">
        <v>1533</v>
      </c>
      <c r="G682" s="50" t="s">
        <v>1533</v>
      </c>
      <c r="H682" s="57" t="s">
        <v>1957</v>
      </c>
      <c r="I682" s="50" t="s">
        <v>1685</v>
      </c>
      <c r="J682" s="18">
        <f>+_xlfn.XLOOKUP(B682,Sheet3!B:B,Sheet3!J:J,0)</f>
        <v>0</v>
      </c>
      <c r="K682">
        <f t="shared" si="31"/>
        <v>0</v>
      </c>
      <c r="L682" s="54">
        <v>0</v>
      </c>
      <c r="M682" s="67">
        <f t="shared" si="32"/>
        <v>0</v>
      </c>
    </row>
    <row r="683" spans="2:13" hidden="1" x14ac:dyDescent="0.25">
      <c r="B683" t="str">
        <f t="shared" si="30"/>
        <v>Venezia PLPPP-IPU-C638-02</v>
      </c>
      <c r="C683" s="50" t="s">
        <v>958</v>
      </c>
      <c r="D683" s="51" t="s">
        <v>887</v>
      </c>
      <c r="E683" s="50" t="s">
        <v>959</v>
      </c>
      <c r="F683" s="50" t="s">
        <v>889</v>
      </c>
      <c r="G683" s="50" t="s">
        <v>890</v>
      </c>
      <c r="H683" s="57" t="s">
        <v>1958</v>
      </c>
      <c r="I683" s="50" t="s">
        <v>1254</v>
      </c>
      <c r="J683" s="18">
        <f>+_xlfn.XLOOKUP(B683,Sheet3!B:B,Sheet3!J:J,0)</f>
        <v>0</v>
      </c>
      <c r="K683">
        <f t="shared" si="31"/>
        <v>0</v>
      </c>
      <c r="L683" s="54">
        <v>135</v>
      </c>
      <c r="M683" s="67">
        <f t="shared" si="32"/>
        <v>135</v>
      </c>
    </row>
    <row r="684" spans="2:13" hidden="1" x14ac:dyDescent="0.25">
      <c r="B684" t="str">
        <f t="shared" si="30"/>
        <v>RacalePPP-IPU-H147-02</v>
      </c>
      <c r="C684" s="50" t="s">
        <v>826</v>
      </c>
      <c r="D684" s="51" t="s">
        <v>887</v>
      </c>
      <c r="E684" s="50" t="s">
        <v>910</v>
      </c>
      <c r="F684" s="50" t="s">
        <v>889</v>
      </c>
      <c r="G684" s="50" t="s">
        <v>890</v>
      </c>
      <c r="H684" s="57" t="s">
        <v>1959</v>
      </c>
      <c r="I684" s="50" t="s">
        <v>1439</v>
      </c>
      <c r="J684" s="18">
        <f>+_xlfn.XLOOKUP(B684,Sheet3!B:B,Sheet3!J:J,0)</f>
        <v>0</v>
      </c>
      <c r="K684">
        <f t="shared" si="31"/>
        <v>0</v>
      </c>
      <c r="L684" s="54">
        <v>0</v>
      </c>
      <c r="M684" s="67">
        <f t="shared" si="32"/>
        <v>0</v>
      </c>
    </row>
    <row r="685" spans="2:13" hidden="1" x14ac:dyDescent="0.25">
      <c r="B685" t="str">
        <f t="shared" si="30"/>
        <v>Francavilla MarittimaPPP-IPU-D764-01</v>
      </c>
      <c r="C685" s="50" t="s">
        <v>826</v>
      </c>
      <c r="D685" s="51" t="s">
        <v>887</v>
      </c>
      <c r="E685" s="50" t="s">
        <v>910</v>
      </c>
      <c r="F685" s="50" t="s">
        <v>889</v>
      </c>
      <c r="G685" s="50" t="s">
        <v>890</v>
      </c>
      <c r="H685" s="57" t="s">
        <v>1960</v>
      </c>
      <c r="I685" s="50" t="s">
        <v>1961</v>
      </c>
      <c r="J685" s="18">
        <f>+_xlfn.XLOOKUP(B685,Sheet3!B:B,Sheet3!J:J,0)</f>
        <v>0</v>
      </c>
      <c r="K685">
        <f t="shared" si="31"/>
        <v>0</v>
      </c>
      <c r="L685" s="54">
        <v>0</v>
      </c>
      <c r="M685" s="67">
        <f t="shared" si="32"/>
        <v>0</v>
      </c>
    </row>
    <row r="686" spans="2:13" hidden="1" x14ac:dyDescent="0.25">
      <c r="B686" t="str">
        <f t="shared" si="30"/>
        <v>BellaEPC-IPU-A743-04</v>
      </c>
      <c r="C686" s="50" t="s">
        <v>826</v>
      </c>
      <c r="D686" s="51" t="s">
        <v>887</v>
      </c>
      <c r="E686" s="50" t="s">
        <v>910</v>
      </c>
      <c r="F686" s="50" t="s">
        <v>1533</v>
      </c>
      <c r="G686" s="50" t="s">
        <v>1533</v>
      </c>
      <c r="H686" s="57" t="s">
        <v>1962</v>
      </c>
      <c r="I686" s="50" t="s">
        <v>1347</v>
      </c>
      <c r="J686" s="18">
        <f>+_xlfn.XLOOKUP(B686,Sheet3!B:B,Sheet3!J:J,0)</f>
        <v>0</v>
      </c>
      <c r="K686">
        <f t="shared" si="31"/>
        <v>0</v>
      </c>
      <c r="L686" s="54">
        <v>0</v>
      </c>
      <c r="M686" s="67">
        <f t="shared" si="32"/>
        <v>0</v>
      </c>
    </row>
    <row r="687" spans="2:13" hidden="1" x14ac:dyDescent="0.25">
      <c r="B687" t="str">
        <f t="shared" si="30"/>
        <v>San Martino In PensilisEPC-IPU-H990-01</v>
      </c>
      <c r="C687" s="50" t="s">
        <v>826</v>
      </c>
      <c r="D687" s="51" t="s">
        <v>887</v>
      </c>
      <c r="E687" s="50" t="s">
        <v>896</v>
      </c>
      <c r="F687" s="50" t="s">
        <v>1533</v>
      </c>
      <c r="G687" s="50" t="s">
        <v>1533</v>
      </c>
      <c r="H687" s="57" t="s">
        <v>1963</v>
      </c>
      <c r="I687" s="50" t="s">
        <v>1198</v>
      </c>
      <c r="J687" s="18">
        <f>+_xlfn.XLOOKUP(B687,Sheet3!B:B,Sheet3!J:J,0)</f>
        <v>0</v>
      </c>
      <c r="K687">
        <f t="shared" si="31"/>
        <v>0</v>
      </c>
      <c r="L687" s="54">
        <v>0</v>
      </c>
      <c r="M687" s="67">
        <f t="shared" si="32"/>
        <v>0</v>
      </c>
    </row>
    <row r="688" spans="2:13" hidden="1" x14ac:dyDescent="0.25">
      <c r="B688" t="str">
        <f t="shared" si="30"/>
        <v>PetrianoEPC-IPU-G514-01</v>
      </c>
      <c r="C688" s="50" t="s">
        <v>958</v>
      </c>
      <c r="D688" s="51" t="s">
        <v>887</v>
      </c>
      <c r="E688" s="50" t="s">
        <v>896</v>
      </c>
      <c r="F688" s="50" t="s">
        <v>1533</v>
      </c>
      <c r="G688" s="50" t="s">
        <v>1533</v>
      </c>
      <c r="H688" s="57" t="s">
        <v>1964</v>
      </c>
      <c r="I688" s="50" t="s">
        <v>1696</v>
      </c>
      <c r="J688" s="18">
        <f>+_xlfn.XLOOKUP(B688,Sheet3!B:B,Sheet3!J:J,0)</f>
        <v>0</v>
      </c>
      <c r="K688">
        <f t="shared" si="31"/>
        <v>0</v>
      </c>
      <c r="L688" s="54">
        <v>0</v>
      </c>
      <c r="M688" s="67">
        <f t="shared" si="32"/>
        <v>0</v>
      </c>
    </row>
    <row r="689" spans="2:13" hidden="1" x14ac:dyDescent="0.25">
      <c r="B689" t="str">
        <f t="shared" si="30"/>
        <v>PulsanoEPC-IPU-H090-02</v>
      </c>
      <c r="C689" s="50" t="s">
        <v>826</v>
      </c>
      <c r="D689" s="51" t="s">
        <v>1514</v>
      </c>
      <c r="E689" s="50" t="s">
        <v>910</v>
      </c>
      <c r="F689" s="50" t="s">
        <v>1533</v>
      </c>
      <c r="G689" s="50" t="s">
        <v>1533</v>
      </c>
      <c r="H689" s="57" t="s">
        <v>1965</v>
      </c>
      <c r="I689" s="50" t="s">
        <v>1516</v>
      </c>
      <c r="J689" s="18">
        <f>+_xlfn.XLOOKUP(B689,Sheet3!B:B,Sheet3!J:J,0)</f>
        <v>5.7131400000000001</v>
      </c>
      <c r="K689">
        <f t="shared" si="31"/>
        <v>7.6175199999999998</v>
      </c>
      <c r="L689" s="54">
        <v>5.7131400000000001</v>
      </c>
      <c r="M689" s="67">
        <f t="shared" si="32"/>
        <v>-1.9043799999999997</v>
      </c>
    </row>
    <row r="690" spans="2:13" hidden="1" x14ac:dyDescent="0.25">
      <c r="B690" t="str">
        <f t="shared" si="30"/>
        <v>Marsico NuovoEPC-IPU-E976-01</v>
      </c>
      <c r="C690" s="50" t="s">
        <v>826</v>
      </c>
      <c r="D690" s="51" t="s">
        <v>887</v>
      </c>
      <c r="E690" s="50" t="s">
        <v>910</v>
      </c>
      <c r="F690" s="50" t="s">
        <v>1533</v>
      </c>
      <c r="G690" s="50" t="s">
        <v>1533</v>
      </c>
      <c r="H690" s="57" t="s">
        <v>1966</v>
      </c>
      <c r="I690" s="50" t="s">
        <v>1405</v>
      </c>
      <c r="J690" s="18">
        <f>+_xlfn.XLOOKUP(B690,Sheet3!B:B,Sheet3!J:J,0)</f>
        <v>3.9475599999999997</v>
      </c>
      <c r="K690">
        <f t="shared" si="31"/>
        <v>5.2634133333333333</v>
      </c>
      <c r="L690" s="54">
        <v>3.9475599999999997</v>
      </c>
      <c r="M690" s="67">
        <f t="shared" si="32"/>
        <v>-1.3158533333333335</v>
      </c>
    </row>
    <row r="691" spans="2:13" hidden="1" x14ac:dyDescent="0.25">
      <c r="B691" t="str">
        <f t="shared" si="30"/>
        <v>BressoEPC-IPU-B162-05</v>
      </c>
      <c r="C691" s="50" t="s">
        <v>958</v>
      </c>
      <c r="D691" s="51" t="s">
        <v>887</v>
      </c>
      <c r="E691" s="50" t="s">
        <v>888</v>
      </c>
      <c r="F691" s="50" t="s">
        <v>1533</v>
      </c>
      <c r="G691" s="50" t="s">
        <v>1533</v>
      </c>
      <c r="H691" s="57" t="s">
        <v>1967</v>
      </c>
      <c r="I691" s="50" t="s">
        <v>1716</v>
      </c>
      <c r="J691" s="18">
        <f>+_xlfn.XLOOKUP(B691,Sheet3!B:B,Sheet3!J:J,0)</f>
        <v>0</v>
      </c>
      <c r="K691">
        <f t="shared" si="31"/>
        <v>0</v>
      </c>
      <c r="L691" s="54">
        <v>0</v>
      </c>
      <c r="M691" s="67">
        <f t="shared" si="32"/>
        <v>0</v>
      </c>
    </row>
    <row r="692" spans="2:13" hidden="1" x14ac:dyDescent="0.25">
      <c r="B692" t="str">
        <f t="shared" si="30"/>
        <v>Mariano ComenseEPC-IPU-E951-06</v>
      </c>
      <c r="C692" s="50" t="s">
        <v>958</v>
      </c>
      <c r="D692" s="51" t="s">
        <v>887</v>
      </c>
      <c r="E692" s="50" t="s">
        <v>888</v>
      </c>
      <c r="F692" s="50" t="s">
        <v>1533</v>
      </c>
      <c r="G692" s="50" t="s">
        <v>1533</v>
      </c>
      <c r="H692" s="57" t="s">
        <v>1968</v>
      </c>
      <c r="I692" s="50" t="s">
        <v>1038</v>
      </c>
      <c r="J692" s="18">
        <f>+_xlfn.XLOOKUP(B692,Sheet3!B:B,Sheet3!J:J,0)</f>
        <v>0</v>
      </c>
      <c r="K692">
        <f t="shared" si="31"/>
        <v>0</v>
      </c>
      <c r="L692" s="54">
        <v>0</v>
      </c>
      <c r="M692" s="67">
        <f t="shared" si="32"/>
        <v>0</v>
      </c>
    </row>
    <row r="693" spans="2:13" hidden="1" x14ac:dyDescent="0.25">
      <c r="B693" t="str">
        <f t="shared" si="30"/>
        <v>GiuggianelloEPC-IPU-E053-01</v>
      </c>
      <c r="C693" s="50" t="s">
        <v>826</v>
      </c>
      <c r="D693" s="51" t="s">
        <v>887</v>
      </c>
      <c r="E693" s="50" t="s">
        <v>910</v>
      </c>
      <c r="F693" s="50" t="s">
        <v>1533</v>
      </c>
      <c r="G693" s="50" t="s">
        <v>1533</v>
      </c>
      <c r="H693" s="57" t="s">
        <v>1969</v>
      </c>
      <c r="I693" s="50" t="s">
        <v>1393</v>
      </c>
      <c r="J693" s="18">
        <f>+_xlfn.XLOOKUP(B693,Sheet3!B:B,Sheet3!J:J,0)</f>
        <v>0</v>
      </c>
      <c r="K693">
        <f t="shared" si="31"/>
        <v>0</v>
      </c>
      <c r="L693" s="54">
        <v>0</v>
      </c>
      <c r="M693" s="67">
        <f t="shared" si="32"/>
        <v>0</v>
      </c>
    </row>
    <row r="694" spans="2:13" hidden="1" x14ac:dyDescent="0.25">
      <c r="B694" t="str">
        <f t="shared" si="30"/>
        <v>Castelnuovo CilentoEPC-IPU-C231-02</v>
      </c>
      <c r="C694" s="50" t="s">
        <v>826</v>
      </c>
      <c r="D694" s="51" t="s">
        <v>887</v>
      </c>
      <c r="E694" s="50" t="s">
        <v>910</v>
      </c>
      <c r="F694" s="50" t="s">
        <v>1533</v>
      </c>
      <c r="G694" s="50" t="s">
        <v>1533</v>
      </c>
      <c r="H694" s="57" t="s">
        <v>1970</v>
      </c>
      <c r="I694" s="50" t="s">
        <v>1365</v>
      </c>
      <c r="J694" s="18">
        <f>+_xlfn.XLOOKUP(B694,Sheet3!B:B,Sheet3!J:J,0)</f>
        <v>2.5998699999999997</v>
      </c>
      <c r="K694">
        <f t="shared" si="31"/>
        <v>3.4664933333333328</v>
      </c>
      <c r="L694" s="54">
        <v>2.5998699999999997</v>
      </c>
      <c r="M694" s="67">
        <f t="shared" si="32"/>
        <v>-0.86662333333333308</v>
      </c>
    </row>
    <row r="695" spans="2:13" hidden="1" x14ac:dyDescent="0.25">
      <c r="B695" t="str">
        <f t="shared" si="30"/>
        <v>VeneziaEPC-IPU-L736-02</v>
      </c>
      <c r="C695" s="50" t="s">
        <v>958</v>
      </c>
      <c r="D695" s="51" t="s">
        <v>887</v>
      </c>
      <c r="E695" s="50" t="s">
        <v>959</v>
      </c>
      <c r="F695" s="50" t="s">
        <v>1533</v>
      </c>
      <c r="G695" s="50" t="s">
        <v>1533</v>
      </c>
      <c r="H695" s="57" t="s">
        <v>1971</v>
      </c>
      <c r="I695" s="50" t="s">
        <v>1972</v>
      </c>
      <c r="J695" s="18">
        <f>+_xlfn.XLOOKUP(B695,Sheet3!B:B,Sheet3!J:J,0)</f>
        <v>6.57158</v>
      </c>
      <c r="K695">
        <f t="shared" si="31"/>
        <v>8.762106666666666</v>
      </c>
      <c r="L695" s="54">
        <v>6.57158</v>
      </c>
      <c r="M695" s="67">
        <f t="shared" si="32"/>
        <v>-2.1905266666666661</v>
      </c>
    </row>
    <row r="696" spans="2:13" hidden="1" x14ac:dyDescent="0.25">
      <c r="B696" t="str">
        <f t="shared" si="30"/>
        <v>TolentinoEPC-IPU-L191-02</v>
      </c>
      <c r="C696" s="50" t="s">
        <v>958</v>
      </c>
      <c r="D696" s="51" t="s">
        <v>887</v>
      </c>
      <c r="E696" s="50" t="s">
        <v>896</v>
      </c>
      <c r="F696" s="50" t="s">
        <v>1533</v>
      </c>
      <c r="G696" s="50" t="s">
        <v>1533</v>
      </c>
      <c r="H696" s="57" t="s">
        <v>1973</v>
      </c>
      <c r="I696" s="50" t="s">
        <v>1133</v>
      </c>
      <c r="J696" s="18">
        <f>+_xlfn.XLOOKUP(B696,Sheet3!B:B,Sheet3!J:J,0)</f>
        <v>0</v>
      </c>
      <c r="K696">
        <f t="shared" si="31"/>
        <v>0</v>
      </c>
      <c r="L696" s="54">
        <v>0</v>
      </c>
      <c r="M696" s="67">
        <f t="shared" si="32"/>
        <v>0</v>
      </c>
    </row>
    <row r="697" spans="2:13" hidden="1" x14ac:dyDescent="0.25">
      <c r="B697" t="str">
        <f t="shared" si="30"/>
        <v>Potenza PicenaEPC-IPU-F632-03</v>
      </c>
      <c r="C697" s="50" t="s">
        <v>958</v>
      </c>
      <c r="D697" s="51" t="s">
        <v>887</v>
      </c>
      <c r="E697" s="50" t="s">
        <v>896</v>
      </c>
      <c r="F697" s="50" t="s">
        <v>1533</v>
      </c>
      <c r="G697" s="50" t="s">
        <v>1533</v>
      </c>
      <c r="H697" s="57" t="s">
        <v>1974</v>
      </c>
      <c r="I697" s="50" t="s">
        <v>1725</v>
      </c>
      <c r="J697" s="18">
        <f>+_xlfn.XLOOKUP(B697,Sheet3!B:B,Sheet3!J:J,0)</f>
        <v>1.0535699999999999</v>
      </c>
      <c r="K697">
        <f t="shared" si="31"/>
        <v>1.4047599999999998</v>
      </c>
      <c r="L697" s="54">
        <v>1.0535699999999999</v>
      </c>
      <c r="M697" s="67">
        <f t="shared" si="32"/>
        <v>-0.35118999999999989</v>
      </c>
    </row>
    <row r="698" spans="2:13" hidden="1" x14ac:dyDescent="0.25">
      <c r="B698" t="str">
        <f t="shared" si="30"/>
        <v>OriggioEPC-IPU-G103-02</v>
      </c>
      <c r="C698" s="50" t="s">
        <v>958</v>
      </c>
      <c r="D698" s="51" t="s">
        <v>887</v>
      </c>
      <c r="E698" s="50" t="s">
        <v>888</v>
      </c>
      <c r="F698" s="50" t="s">
        <v>1533</v>
      </c>
      <c r="G698" s="50" t="s">
        <v>1533</v>
      </c>
      <c r="H698" s="57" t="s">
        <v>1975</v>
      </c>
      <c r="I698" s="50" t="s">
        <v>1044</v>
      </c>
      <c r="J698" s="18">
        <f>+_xlfn.XLOOKUP(B698,Sheet3!B:B,Sheet3!J:J,0)</f>
        <v>14.31423</v>
      </c>
      <c r="K698">
        <f t="shared" si="31"/>
        <v>19.085640000000001</v>
      </c>
      <c r="L698" s="54">
        <v>14.31423</v>
      </c>
      <c r="M698" s="67">
        <f t="shared" si="32"/>
        <v>-4.7714100000000013</v>
      </c>
    </row>
    <row r="699" spans="2:13" hidden="1" x14ac:dyDescent="0.25">
      <c r="B699" t="str">
        <f t="shared" si="30"/>
        <v>SenigalliaEPC-IPU-I608-05</v>
      </c>
      <c r="C699" s="50" t="s">
        <v>958</v>
      </c>
      <c r="D699" s="51" t="s">
        <v>887</v>
      </c>
      <c r="E699" s="50" t="s">
        <v>896</v>
      </c>
      <c r="F699" s="50" t="s">
        <v>1533</v>
      </c>
      <c r="G699" s="50" t="s">
        <v>1533</v>
      </c>
      <c r="H699" s="57" t="s">
        <v>1976</v>
      </c>
      <c r="I699" s="50" t="s">
        <v>1751</v>
      </c>
      <c r="J699" s="18">
        <f>+_xlfn.XLOOKUP(B699,Sheet3!B:B,Sheet3!J:J,0)</f>
        <v>1.64463</v>
      </c>
      <c r="K699">
        <f t="shared" si="31"/>
        <v>2.1928399999999999</v>
      </c>
      <c r="L699" s="54">
        <v>1.64463</v>
      </c>
      <c r="M699" s="67">
        <f t="shared" si="32"/>
        <v>-0.54820999999999986</v>
      </c>
    </row>
    <row r="700" spans="2:13" hidden="1" x14ac:dyDescent="0.25">
      <c r="B700" t="str">
        <f t="shared" si="30"/>
        <v>PoggiomarinoEPC-IPU-G762-01</v>
      </c>
      <c r="C700" s="50" t="s">
        <v>958</v>
      </c>
      <c r="D700" s="51" t="s">
        <v>887</v>
      </c>
      <c r="E700" s="50" t="s">
        <v>910</v>
      </c>
      <c r="F700" s="50" t="s">
        <v>1533</v>
      </c>
      <c r="G700" s="50" t="s">
        <v>1533</v>
      </c>
      <c r="H700" s="57" t="s">
        <v>1977</v>
      </c>
      <c r="I700" s="50" t="s">
        <v>1319</v>
      </c>
      <c r="J700" s="18">
        <f>+_xlfn.XLOOKUP(B700,Sheet3!B:B,Sheet3!J:J,0)</f>
        <v>4.9885099999999998</v>
      </c>
      <c r="K700">
        <f t="shared" si="31"/>
        <v>6.6513466666666661</v>
      </c>
      <c r="L700" s="54">
        <v>4.9885099999999998</v>
      </c>
      <c r="M700" s="67">
        <f t="shared" si="32"/>
        <v>-1.6628366666666663</v>
      </c>
    </row>
    <row r="701" spans="2:13" hidden="1" x14ac:dyDescent="0.25">
      <c r="B701" t="str">
        <f t="shared" si="30"/>
        <v>Provincia MZ-BZEPC-IPU-F704-02</v>
      </c>
      <c r="C701" s="50" t="s">
        <v>958</v>
      </c>
      <c r="D701" s="51" t="s">
        <v>887</v>
      </c>
      <c r="E701" s="50" t="s">
        <v>888</v>
      </c>
      <c r="F701" s="50" t="s">
        <v>1630</v>
      </c>
      <c r="G701" s="50" t="s">
        <v>1630</v>
      </c>
      <c r="H701" s="57" t="s">
        <v>1978</v>
      </c>
      <c r="I701" s="50" t="s">
        <v>1632</v>
      </c>
      <c r="J701" s="18">
        <f>+_xlfn.XLOOKUP(B701,Sheet3!B:B,Sheet3!J:J,0)</f>
        <v>0</v>
      </c>
      <c r="K701">
        <f t="shared" si="31"/>
        <v>0</v>
      </c>
      <c r="L701" s="54">
        <v>0</v>
      </c>
      <c r="M701" s="67">
        <f t="shared" si="32"/>
        <v>0</v>
      </c>
    </row>
    <row r="702" spans="2:13" hidden="1" x14ac:dyDescent="0.25">
      <c r="B702" t="str">
        <f t="shared" si="30"/>
        <v>Edil Condotte srlEPC-IPU-L124-01</v>
      </c>
      <c r="C702" s="50" t="s">
        <v>826</v>
      </c>
      <c r="D702" s="51" t="s">
        <v>887</v>
      </c>
      <c r="E702" s="50" t="s">
        <v>910</v>
      </c>
      <c r="F702" s="50" t="s">
        <v>1630</v>
      </c>
      <c r="G702" s="50" t="s">
        <v>1630</v>
      </c>
      <c r="H702" s="57" t="s">
        <v>1979</v>
      </c>
      <c r="I702" s="50" t="s">
        <v>1980</v>
      </c>
      <c r="J702" s="18">
        <f>+_xlfn.XLOOKUP(B702,Sheet3!B:B,Sheet3!J:J,0)</f>
        <v>3.4665599999999999</v>
      </c>
      <c r="K702">
        <f t="shared" si="31"/>
        <v>4.6220799999999995</v>
      </c>
      <c r="L702" s="54">
        <v>3.4665599999999999</v>
      </c>
      <c r="M702" s="67">
        <f t="shared" si="32"/>
        <v>-1.1555199999999997</v>
      </c>
    </row>
    <row r="703" spans="2:13" hidden="1" x14ac:dyDescent="0.25">
      <c r="B703" t="str">
        <f t="shared" si="30"/>
        <v>Ubaldi LucianaEPC-IPU-M367-02</v>
      </c>
      <c r="C703" s="50" t="s">
        <v>826</v>
      </c>
      <c r="D703" s="51" t="s">
        <v>887</v>
      </c>
      <c r="E703" s="50" t="s">
        <v>896</v>
      </c>
      <c r="F703" s="50" t="s">
        <v>1630</v>
      </c>
      <c r="G703" s="50" t="s">
        <v>1630</v>
      </c>
      <c r="H703" s="57" t="s">
        <v>1981</v>
      </c>
      <c r="I703" s="50" t="s">
        <v>1982</v>
      </c>
      <c r="J703" s="18">
        <f>+_xlfn.XLOOKUP(B703,Sheet3!B:B,Sheet3!J:J,0)</f>
        <v>1.5</v>
      </c>
      <c r="K703">
        <f t="shared" si="31"/>
        <v>2</v>
      </c>
      <c r="L703" s="54">
        <v>1.5</v>
      </c>
      <c r="M703" s="67">
        <f t="shared" si="32"/>
        <v>-0.5</v>
      </c>
    </row>
    <row r="704" spans="2:13" hidden="1" x14ac:dyDescent="0.25">
      <c r="B704" t="str">
        <f t="shared" si="30"/>
        <v>MondolfoEPC-IPU-F348-06</v>
      </c>
      <c r="C704" s="50" t="s">
        <v>958</v>
      </c>
      <c r="D704" s="51" t="s">
        <v>887</v>
      </c>
      <c r="E704" s="50" t="s">
        <v>896</v>
      </c>
      <c r="F704" s="50" t="s">
        <v>1533</v>
      </c>
      <c r="G704" s="50" t="s">
        <v>1533</v>
      </c>
      <c r="H704" s="57" t="s">
        <v>1983</v>
      </c>
      <c r="I704" s="50" t="s">
        <v>1733</v>
      </c>
      <c r="J704" s="18">
        <f>+_xlfn.XLOOKUP(B704,Sheet3!B:B,Sheet3!J:J,0)</f>
        <v>2.4109600000000002</v>
      </c>
      <c r="K704">
        <f t="shared" si="31"/>
        <v>3.2146133333333338</v>
      </c>
      <c r="L704" s="54">
        <v>2.4109600000000002</v>
      </c>
      <c r="M704" s="67">
        <f t="shared" si="32"/>
        <v>-0.80365333333333355</v>
      </c>
    </row>
    <row r="705" spans="2:13" hidden="1" x14ac:dyDescent="0.25">
      <c r="B705" t="str">
        <f t="shared" si="30"/>
        <v>C.A. GroupEPC-IPU-I332-02</v>
      </c>
      <c r="C705" s="50" t="s">
        <v>826</v>
      </c>
      <c r="D705" s="51" t="s">
        <v>887</v>
      </c>
      <c r="E705" s="50" t="s">
        <v>896</v>
      </c>
      <c r="F705" s="50" t="s">
        <v>1630</v>
      </c>
      <c r="G705" s="50" t="s">
        <v>1630</v>
      </c>
      <c r="H705" s="57" t="s">
        <v>1984</v>
      </c>
      <c r="I705" s="50" t="s">
        <v>1985</v>
      </c>
      <c r="J705" s="18">
        <f>+_xlfn.XLOOKUP(B705,Sheet3!B:B,Sheet3!J:J,0)</f>
        <v>5.7313299999999998</v>
      </c>
      <c r="K705">
        <f t="shared" si="31"/>
        <v>7.6417733333333331</v>
      </c>
      <c r="L705" s="54">
        <v>5.7313299999999998</v>
      </c>
      <c r="M705" s="67">
        <f t="shared" si="32"/>
        <v>-1.9104433333333333</v>
      </c>
    </row>
    <row r="706" spans="2:13" hidden="1" x14ac:dyDescent="0.25">
      <c r="B706" t="str">
        <f t="shared" si="30"/>
        <v>Mennekes Electric Italia SrlEPC-IPU-F205-01</v>
      </c>
      <c r="C706" s="50" t="s">
        <v>826</v>
      </c>
      <c r="D706" s="51" t="s">
        <v>887</v>
      </c>
      <c r="E706" s="50" t="s">
        <v>888</v>
      </c>
      <c r="F706" s="50" t="s">
        <v>1533</v>
      </c>
      <c r="G706" s="50" t="s">
        <v>1533</v>
      </c>
      <c r="H706" s="57" t="s">
        <v>1986</v>
      </c>
      <c r="I706" s="50" t="s">
        <v>1987</v>
      </c>
      <c r="J706" s="18">
        <f>+_xlfn.XLOOKUP(B706,Sheet3!B:B,Sheet3!J:J,0)</f>
        <v>0</v>
      </c>
      <c r="K706">
        <f t="shared" si="31"/>
        <v>0</v>
      </c>
      <c r="L706" s="54">
        <v>0</v>
      </c>
      <c r="M706" s="67">
        <f t="shared" si="32"/>
        <v>0</v>
      </c>
    </row>
    <row r="707" spans="2:13" hidden="1" x14ac:dyDescent="0.25">
      <c r="B707" t="str">
        <f t="shared" si="30"/>
        <v>De Luca AmaliaEPC-IPU-G878-02</v>
      </c>
      <c r="C707" s="50" t="s">
        <v>826</v>
      </c>
      <c r="D707" s="51" t="s">
        <v>887</v>
      </c>
      <c r="E707" s="50" t="s">
        <v>896</v>
      </c>
      <c r="F707" s="50" t="s">
        <v>1630</v>
      </c>
      <c r="G707" s="50" t="s">
        <v>1630</v>
      </c>
      <c r="H707" s="57" t="s">
        <v>1988</v>
      </c>
      <c r="I707" s="50" t="s">
        <v>1989</v>
      </c>
      <c r="J707" s="18">
        <f>+_xlfn.XLOOKUP(B707,Sheet3!B:B,Sheet3!J:J,0)</f>
        <v>1.9316300000000002</v>
      </c>
      <c r="K707">
        <f t="shared" si="31"/>
        <v>2.5755066666666671</v>
      </c>
      <c r="L707" s="54">
        <v>1.9316300000000002</v>
      </c>
      <c r="M707" s="67">
        <f t="shared" si="32"/>
        <v>-0.64387666666666687</v>
      </c>
    </row>
    <row r="708" spans="2:13" hidden="1" x14ac:dyDescent="0.25">
      <c r="B708" t="str">
        <f t="shared" ref="B708:B771" si="33">+I708&amp;H708</f>
        <v>Sorem FornitureEPC-IPU-I089-01</v>
      </c>
      <c r="C708" s="50" t="s">
        <v>826</v>
      </c>
      <c r="D708" s="51" t="s">
        <v>887</v>
      </c>
      <c r="E708" s="50" t="s">
        <v>910</v>
      </c>
      <c r="F708" s="50" t="s">
        <v>1630</v>
      </c>
      <c r="G708" s="50" t="s">
        <v>1630</v>
      </c>
      <c r="H708" s="57" t="s">
        <v>1990</v>
      </c>
      <c r="I708" s="50" t="s">
        <v>1991</v>
      </c>
      <c r="J708" s="18">
        <f>+_xlfn.XLOOKUP(B708,Sheet3!B:B,Sheet3!J:J,0)</f>
        <v>0.55000000000000004</v>
      </c>
      <c r="K708">
        <f t="shared" ref="K708:K771" si="34">+J708/6*8</f>
        <v>0.73333333333333339</v>
      </c>
      <c r="L708" s="54">
        <v>0.55000000000000004</v>
      </c>
      <c r="M708" s="67">
        <f t="shared" ref="M708:M771" si="35">+L708-K708</f>
        <v>-0.18333333333333335</v>
      </c>
    </row>
    <row r="709" spans="2:13" hidden="1" x14ac:dyDescent="0.25">
      <c r="B709" t="str">
        <f t="shared" si="33"/>
        <v>AviglianoSEC-PHV-A519-02</v>
      </c>
      <c r="C709" s="50" t="s">
        <v>826</v>
      </c>
      <c r="D709" s="51" t="s">
        <v>887</v>
      </c>
      <c r="E709" s="50" t="s">
        <v>910</v>
      </c>
      <c r="F709" s="50" t="s">
        <v>897</v>
      </c>
      <c r="G709" s="50" t="s">
        <v>897</v>
      </c>
      <c r="H709" s="57" t="s">
        <v>1992</v>
      </c>
      <c r="I709" s="50" t="s">
        <v>1766</v>
      </c>
      <c r="J709" s="18">
        <f>+_xlfn.XLOOKUP(B709,Sheet3!B:B,Sheet3!J:J,0)</f>
        <v>0</v>
      </c>
      <c r="K709">
        <f t="shared" si="34"/>
        <v>0</v>
      </c>
      <c r="L709" s="54">
        <v>0</v>
      </c>
      <c r="M709" s="67">
        <f t="shared" si="35"/>
        <v>0</v>
      </c>
    </row>
    <row r="710" spans="2:13" hidden="1" x14ac:dyDescent="0.25">
      <c r="B710" t="str">
        <f t="shared" si="33"/>
        <v>PaternoSEC-PHV-M269-02</v>
      </c>
      <c r="C710" s="50" t="s">
        <v>826</v>
      </c>
      <c r="D710" s="51" t="s">
        <v>887</v>
      </c>
      <c r="E710" s="50" t="s">
        <v>910</v>
      </c>
      <c r="F710" s="50" t="s">
        <v>897</v>
      </c>
      <c r="G710" s="50" t="s">
        <v>897</v>
      </c>
      <c r="H710" s="57" t="s">
        <v>1993</v>
      </c>
      <c r="I710" s="50" t="s">
        <v>1284</v>
      </c>
      <c r="J710" s="18">
        <f>+_xlfn.XLOOKUP(B710,Sheet3!B:B,Sheet3!J:J,0)</f>
        <v>0</v>
      </c>
      <c r="K710">
        <f t="shared" si="34"/>
        <v>0</v>
      </c>
      <c r="L710" s="54">
        <v>0</v>
      </c>
      <c r="M710" s="67">
        <f t="shared" si="35"/>
        <v>0</v>
      </c>
    </row>
    <row r="711" spans="2:13" hidden="1" x14ac:dyDescent="0.25">
      <c r="B711" t="str">
        <f t="shared" si="33"/>
        <v>FilianoSEC-PHV-D593-02</v>
      </c>
      <c r="C711" s="50" t="s">
        <v>826</v>
      </c>
      <c r="D711" s="51" t="s">
        <v>887</v>
      </c>
      <c r="E711" s="50" t="s">
        <v>910</v>
      </c>
      <c r="F711" s="50" t="s">
        <v>897</v>
      </c>
      <c r="G711" s="50" t="s">
        <v>897</v>
      </c>
      <c r="H711" s="57" t="s">
        <v>1994</v>
      </c>
      <c r="I711" s="50" t="s">
        <v>1761</v>
      </c>
      <c r="J711" s="18">
        <f>+_xlfn.XLOOKUP(B711,Sheet3!B:B,Sheet3!J:J,0)</f>
        <v>0</v>
      </c>
      <c r="K711">
        <f t="shared" si="34"/>
        <v>0</v>
      </c>
      <c r="L711" s="54">
        <v>0</v>
      </c>
      <c r="M711" s="67">
        <f t="shared" si="35"/>
        <v>0</v>
      </c>
    </row>
    <row r="712" spans="2:13" hidden="1" x14ac:dyDescent="0.25">
      <c r="B712" t="str">
        <f t="shared" si="33"/>
        <v>BraPPP-IPU-B111-01</v>
      </c>
      <c r="C712" s="50" t="s">
        <v>958</v>
      </c>
      <c r="D712" s="51" t="s">
        <v>887</v>
      </c>
      <c r="E712" s="50" t="s">
        <v>888</v>
      </c>
      <c r="F712" s="50" t="s">
        <v>889</v>
      </c>
      <c r="G712" s="50" t="s">
        <v>890</v>
      </c>
      <c r="H712" s="57" t="s">
        <v>1995</v>
      </c>
      <c r="I712" s="50" t="s">
        <v>1996</v>
      </c>
      <c r="J712" s="18">
        <f>+_xlfn.XLOOKUP(B712,Sheet3!B:B,Sheet3!J:J,0)</f>
        <v>0</v>
      </c>
      <c r="K712">
        <f t="shared" si="34"/>
        <v>0</v>
      </c>
      <c r="L712" s="54">
        <v>0</v>
      </c>
      <c r="M712" s="67">
        <f t="shared" si="35"/>
        <v>0</v>
      </c>
    </row>
    <row r="713" spans="2:13" hidden="1" x14ac:dyDescent="0.25">
      <c r="B713" t="str">
        <f t="shared" si="33"/>
        <v>BuonabitacoloPPP-IPU-B266-01</v>
      </c>
      <c r="C713" s="50" t="s">
        <v>826</v>
      </c>
      <c r="D713" s="51" t="s">
        <v>887</v>
      </c>
      <c r="E713" s="50" t="s">
        <v>910</v>
      </c>
      <c r="F713" s="50" t="s">
        <v>889</v>
      </c>
      <c r="G713" s="50" t="s">
        <v>890</v>
      </c>
      <c r="H713" s="57" t="s">
        <v>1997</v>
      </c>
      <c r="I713" s="50" t="s">
        <v>1998</v>
      </c>
      <c r="J713" s="18">
        <f>+_xlfn.XLOOKUP(B713,Sheet3!B:B,Sheet3!J:J,0)</f>
        <v>0</v>
      </c>
      <c r="K713">
        <f t="shared" si="34"/>
        <v>0</v>
      </c>
      <c r="L713" s="54">
        <v>0</v>
      </c>
      <c r="M713" s="67">
        <f t="shared" si="35"/>
        <v>0</v>
      </c>
    </row>
    <row r="714" spans="2:13" hidden="1" x14ac:dyDescent="0.25">
      <c r="B714" t="str">
        <f t="shared" si="33"/>
        <v>Corte BrugnatellaPPP-IPU-D054-01</v>
      </c>
      <c r="C714" s="50" t="s">
        <v>826</v>
      </c>
      <c r="D714" s="51" t="s">
        <v>887</v>
      </c>
      <c r="E714" s="50" t="s">
        <v>896</v>
      </c>
      <c r="F714" s="50" t="s">
        <v>889</v>
      </c>
      <c r="G714" s="50" t="s">
        <v>890</v>
      </c>
      <c r="H714" s="57" t="s">
        <v>1999</v>
      </c>
      <c r="I714" s="50" t="s">
        <v>2000</v>
      </c>
      <c r="J714" s="18">
        <f>+_xlfn.XLOOKUP(B714,Sheet3!B:B,Sheet3!J:J,0)</f>
        <v>0</v>
      </c>
      <c r="K714">
        <f t="shared" si="34"/>
        <v>0</v>
      </c>
      <c r="L714" s="54">
        <v>0</v>
      </c>
      <c r="M714" s="67">
        <f t="shared" si="35"/>
        <v>0</v>
      </c>
    </row>
    <row r="715" spans="2:13" hidden="1" x14ac:dyDescent="0.25">
      <c r="B715" t="str">
        <f t="shared" si="33"/>
        <v>CremonaPPP-IPU-D150-01</v>
      </c>
      <c r="C715" s="50" t="s">
        <v>826</v>
      </c>
      <c r="D715" s="51" t="s">
        <v>887</v>
      </c>
      <c r="E715" s="50" t="s">
        <v>888</v>
      </c>
      <c r="F715" s="50" t="s">
        <v>889</v>
      </c>
      <c r="G715" s="50" t="s">
        <v>890</v>
      </c>
      <c r="H715" s="57" t="s">
        <v>2001</v>
      </c>
      <c r="I715" s="50" t="s">
        <v>2002</v>
      </c>
      <c r="J715" s="18">
        <f>+_xlfn.XLOOKUP(B715,Sheet3!B:B,Sheet3!J:J,0)</f>
        <v>0</v>
      </c>
      <c r="K715">
        <f t="shared" si="34"/>
        <v>0</v>
      </c>
      <c r="L715" s="54">
        <v>0</v>
      </c>
      <c r="M715" s="67">
        <f t="shared" si="35"/>
        <v>0</v>
      </c>
    </row>
    <row r="716" spans="2:13" hidden="1" x14ac:dyDescent="0.25">
      <c r="B716" t="str">
        <f t="shared" si="33"/>
        <v>CurtiPPP-IPU-D228-01</v>
      </c>
      <c r="C716" s="50" t="s">
        <v>826</v>
      </c>
      <c r="D716" s="51" t="s">
        <v>887</v>
      </c>
      <c r="E716" s="50" t="s">
        <v>910</v>
      </c>
      <c r="F716" s="50" t="s">
        <v>889</v>
      </c>
      <c r="G716" s="50" t="s">
        <v>890</v>
      </c>
      <c r="H716" s="57" t="s">
        <v>2003</v>
      </c>
      <c r="I716" s="50" t="s">
        <v>2004</v>
      </c>
      <c r="J716" s="18">
        <f>+_xlfn.XLOOKUP(B716,Sheet3!B:B,Sheet3!J:J,0)</f>
        <v>0</v>
      </c>
      <c r="K716">
        <f t="shared" si="34"/>
        <v>0</v>
      </c>
      <c r="L716" s="54">
        <v>0</v>
      </c>
      <c r="M716" s="67">
        <f t="shared" si="35"/>
        <v>0</v>
      </c>
    </row>
    <row r="717" spans="2:13" hidden="1" x14ac:dyDescent="0.25">
      <c r="B717" t="str">
        <f t="shared" si="33"/>
        <v>Isola Di Capo RizzutoPPP-IPU-E339-01</v>
      </c>
      <c r="C717" s="50" t="s">
        <v>826</v>
      </c>
      <c r="D717" s="51" t="s">
        <v>887</v>
      </c>
      <c r="E717" s="50" t="s">
        <v>910</v>
      </c>
      <c r="F717" s="50" t="s">
        <v>889</v>
      </c>
      <c r="G717" s="50" t="s">
        <v>890</v>
      </c>
      <c r="H717" s="57" t="s">
        <v>2005</v>
      </c>
      <c r="I717" s="50" t="s">
        <v>2006</v>
      </c>
      <c r="J717" s="18">
        <f>+_xlfn.XLOOKUP(B717,Sheet3!B:B,Sheet3!J:J,0)</f>
        <v>0</v>
      </c>
      <c r="K717">
        <f t="shared" si="34"/>
        <v>0</v>
      </c>
      <c r="L717" s="54">
        <v>0</v>
      </c>
      <c r="M717" s="67">
        <f t="shared" si="35"/>
        <v>0</v>
      </c>
    </row>
    <row r="718" spans="2:13" hidden="1" x14ac:dyDescent="0.25">
      <c r="B718" t="str">
        <f t="shared" si="33"/>
        <v>PompeiPPP-IPU-G813-01</v>
      </c>
      <c r="C718" s="50" t="s">
        <v>826</v>
      </c>
      <c r="D718" s="51" t="s">
        <v>887</v>
      </c>
      <c r="E718" s="50" t="s">
        <v>910</v>
      </c>
      <c r="F718" s="50" t="s">
        <v>889</v>
      </c>
      <c r="G718" s="50" t="s">
        <v>890</v>
      </c>
      <c r="H718" s="57" t="s">
        <v>2007</v>
      </c>
      <c r="I718" s="50" t="s">
        <v>2008</v>
      </c>
      <c r="J718" s="18">
        <f>+_xlfn.XLOOKUP(B718,Sheet3!B:B,Sheet3!J:J,0)</f>
        <v>0</v>
      </c>
      <c r="K718">
        <f t="shared" si="34"/>
        <v>0</v>
      </c>
      <c r="L718" s="54">
        <v>0</v>
      </c>
      <c r="M718" s="67">
        <f t="shared" si="35"/>
        <v>0</v>
      </c>
    </row>
    <row r="719" spans="2:13" hidden="1" x14ac:dyDescent="0.25">
      <c r="B719" t="str">
        <f t="shared" si="33"/>
        <v>RivoliPPP-IPU-H355-01</v>
      </c>
      <c r="C719" s="50" t="s">
        <v>826</v>
      </c>
      <c r="D719" s="51" t="s">
        <v>887</v>
      </c>
      <c r="E719" s="50" t="s">
        <v>888</v>
      </c>
      <c r="F719" s="50" t="s">
        <v>889</v>
      </c>
      <c r="G719" s="50" t="s">
        <v>890</v>
      </c>
      <c r="H719" s="57" t="s">
        <v>2009</v>
      </c>
      <c r="I719" s="50" t="s">
        <v>2010</v>
      </c>
      <c r="J719" s="18">
        <f>+_xlfn.XLOOKUP(B719,Sheet3!B:B,Sheet3!J:J,0)</f>
        <v>0</v>
      </c>
      <c r="K719">
        <f t="shared" si="34"/>
        <v>0</v>
      </c>
      <c r="L719" s="54">
        <v>0</v>
      </c>
      <c r="M719" s="67">
        <f t="shared" si="35"/>
        <v>0</v>
      </c>
    </row>
    <row r="720" spans="2:13" hidden="1" x14ac:dyDescent="0.25">
      <c r="B720" t="str">
        <f t="shared" si="33"/>
        <v>Rodi GarganicoPPP-IPU-H480-01</v>
      </c>
      <c r="C720" s="50" t="s">
        <v>826</v>
      </c>
      <c r="D720" s="51" t="s">
        <v>887</v>
      </c>
      <c r="E720" s="50" t="s">
        <v>910</v>
      </c>
      <c r="F720" s="50" t="s">
        <v>889</v>
      </c>
      <c r="G720" s="50" t="s">
        <v>890</v>
      </c>
      <c r="H720" s="57" t="s">
        <v>2011</v>
      </c>
      <c r="I720" s="50" t="s">
        <v>2012</v>
      </c>
      <c r="J720" s="18">
        <f>+_xlfn.XLOOKUP(B720,Sheet3!B:B,Sheet3!J:J,0)</f>
        <v>0</v>
      </c>
      <c r="K720">
        <f t="shared" si="34"/>
        <v>0</v>
      </c>
      <c r="L720" s="54">
        <v>0</v>
      </c>
      <c r="M720" s="67">
        <f t="shared" si="35"/>
        <v>0</v>
      </c>
    </row>
    <row r="721" spans="2:13" hidden="1" x14ac:dyDescent="0.25">
      <c r="B721" t="str">
        <f t="shared" si="33"/>
        <v>SacilePPP-IPU-H657-01</v>
      </c>
      <c r="C721" s="50" t="s">
        <v>826</v>
      </c>
      <c r="D721" s="51" t="s">
        <v>887</v>
      </c>
      <c r="E721" s="50" t="s">
        <v>959</v>
      </c>
      <c r="F721" s="50" t="s">
        <v>889</v>
      </c>
      <c r="G721" s="50" t="s">
        <v>890</v>
      </c>
      <c r="H721" s="57" t="s">
        <v>2013</v>
      </c>
      <c r="I721" s="50" t="s">
        <v>2014</v>
      </c>
      <c r="J721" s="18">
        <f>+_xlfn.XLOOKUP(B721,Sheet3!B:B,Sheet3!J:J,0)</f>
        <v>0</v>
      </c>
      <c r="K721">
        <f t="shared" si="34"/>
        <v>0</v>
      </c>
      <c r="L721" s="54">
        <v>0</v>
      </c>
      <c r="M721" s="67">
        <f t="shared" si="35"/>
        <v>0</v>
      </c>
    </row>
    <row r="722" spans="2:13" hidden="1" x14ac:dyDescent="0.25">
      <c r="B722" t="str">
        <f t="shared" si="33"/>
        <v>SaronnoPPP-IPU-I441-01</v>
      </c>
      <c r="C722" s="50" t="s">
        <v>958</v>
      </c>
      <c r="D722" s="51" t="s">
        <v>887</v>
      </c>
      <c r="E722" s="50" t="s">
        <v>888</v>
      </c>
      <c r="F722" s="50" t="s">
        <v>889</v>
      </c>
      <c r="G722" s="50" t="s">
        <v>890</v>
      </c>
      <c r="H722" s="57" t="s">
        <v>2015</v>
      </c>
      <c r="I722" s="50" t="s">
        <v>1736</v>
      </c>
      <c r="J722" s="18">
        <f>+_xlfn.XLOOKUP(B722,Sheet3!B:B,Sheet3!J:J,0)</f>
        <v>0</v>
      </c>
      <c r="K722">
        <f t="shared" si="34"/>
        <v>0</v>
      </c>
      <c r="L722" s="54">
        <v>0</v>
      </c>
      <c r="M722" s="67">
        <f t="shared" si="35"/>
        <v>0</v>
      </c>
    </row>
    <row r="723" spans="2:13" hidden="1" x14ac:dyDescent="0.25">
      <c r="B723" t="str">
        <f t="shared" si="33"/>
        <v>ScorranoPPP-IPU-I549-01</v>
      </c>
      <c r="C723" s="50" t="s">
        <v>826</v>
      </c>
      <c r="D723" s="51" t="s">
        <v>887</v>
      </c>
      <c r="E723" s="50" t="s">
        <v>910</v>
      </c>
      <c r="F723" s="50" t="s">
        <v>889</v>
      </c>
      <c r="G723" s="50" t="s">
        <v>890</v>
      </c>
      <c r="H723" s="57" t="s">
        <v>2016</v>
      </c>
      <c r="I723" s="50" t="s">
        <v>2017</v>
      </c>
      <c r="J723" s="18">
        <f>+_xlfn.XLOOKUP(B723,Sheet3!B:B,Sheet3!J:J,0)</f>
        <v>0</v>
      </c>
      <c r="K723">
        <f t="shared" si="34"/>
        <v>0</v>
      </c>
      <c r="L723" s="54">
        <v>0</v>
      </c>
      <c r="M723" s="67">
        <f t="shared" si="35"/>
        <v>0</v>
      </c>
    </row>
    <row r="724" spans="2:13" hidden="1" x14ac:dyDescent="0.25">
      <c r="B724" t="str">
        <f t="shared" si="33"/>
        <v>Vairano PatenoraPPP-IPU-L540-01</v>
      </c>
      <c r="C724" s="50" t="s">
        <v>958</v>
      </c>
      <c r="D724" s="51" t="s">
        <v>887</v>
      </c>
      <c r="E724" s="50" t="s">
        <v>910</v>
      </c>
      <c r="F724" s="50" t="s">
        <v>889</v>
      </c>
      <c r="G724" s="50" t="s">
        <v>890</v>
      </c>
      <c r="H724" s="57" t="s">
        <v>2018</v>
      </c>
      <c r="I724" s="50" t="s">
        <v>2019</v>
      </c>
      <c r="J724" s="18">
        <f>+_xlfn.XLOOKUP(B724,Sheet3!B:B,Sheet3!J:J,0)</f>
        <v>0</v>
      </c>
      <c r="K724">
        <f t="shared" si="34"/>
        <v>0</v>
      </c>
      <c r="L724" s="54">
        <v>0</v>
      </c>
      <c r="M724" s="67">
        <f t="shared" si="35"/>
        <v>0</v>
      </c>
    </row>
    <row r="725" spans="2:13" hidden="1" x14ac:dyDescent="0.25">
      <c r="B725" t="str">
        <f t="shared" si="33"/>
        <v>Vigarano MainardaPPP-EEE-L868-01</v>
      </c>
      <c r="C725" s="50" t="s">
        <v>826</v>
      </c>
      <c r="D725" s="51" t="s">
        <v>887</v>
      </c>
      <c r="E725" s="50" t="s">
        <v>896</v>
      </c>
      <c r="F725" s="50" t="s">
        <v>965</v>
      </c>
      <c r="G725" s="50" t="s">
        <v>965</v>
      </c>
      <c r="H725" s="57" t="s">
        <v>2020</v>
      </c>
      <c r="I725" s="50" t="s">
        <v>2021</v>
      </c>
      <c r="J725" s="18">
        <f>+_xlfn.XLOOKUP(B725,Sheet3!B:B,Sheet3!J:J,0)</f>
        <v>0</v>
      </c>
      <c r="K725">
        <f t="shared" si="34"/>
        <v>0</v>
      </c>
      <c r="L725" s="54">
        <v>0</v>
      </c>
      <c r="M725" s="67">
        <f t="shared" si="35"/>
        <v>0</v>
      </c>
    </row>
    <row r="726" spans="2:13" hidden="1" x14ac:dyDescent="0.25">
      <c r="B726" t="str">
        <f t="shared" si="33"/>
        <v>RaianoSEC-PHV-H166-01</v>
      </c>
      <c r="C726" s="50" t="s">
        <v>826</v>
      </c>
      <c r="D726" s="51" t="s">
        <v>887</v>
      </c>
      <c r="E726" s="50" t="s">
        <v>896</v>
      </c>
      <c r="F726" s="50" t="s">
        <v>897</v>
      </c>
      <c r="G726" s="50" t="s">
        <v>897</v>
      </c>
      <c r="H726" s="57" t="s">
        <v>2022</v>
      </c>
      <c r="I726" s="50" t="s">
        <v>2023</v>
      </c>
      <c r="J726" s="18">
        <f>+_xlfn.XLOOKUP(B726,Sheet3!B:B,Sheet3!J:J,0)</f>
        <v>0</v>
      </c>
      <c r="K726">
        <f t="shared" si="34"/>
        <v>0</v>
      </c>
      <c r="L726" s="54">
        <v>0</v>
      </c>
      <c r="M726" s="67">
        <f t="shared" si="35"/>
        <v>0</v>
      </c>
    </row>
    <row r="727" spans="2:13" hidden="1" x14ac:dyDescent="0.25">
      <c r="B727" t="str">
        <f t="shared" si="33"/>
        <v>RaianoSEC-PHV-H166-02</v>
      </c>
      <c r="C727" s="50" t="s">
        <v>826</v>
      </c>
      <c r="D727" s="51" t="s">
        <v>887</v>
      </c>
      <c r="E727" s="50" t="s">
        <v>896</v>
      </c>
      <c r="F727" s="50" t="s">
        <v>897</v>
      </c>
      <c r="G727" s="50" t="s">
        <v>897</v>
      </c>
      <c r="H727" s="57" t="s">
        <v>2024</v>
      </c>
      <c r="I727" s="50" t="s">
        <v>2023</v>
      </c>
      <c r="J727" s="18">
        <f>+_xlfn.XLOOKUP(B727,Sheet3!B:B,Sheet3!J:J,0)</f>
        <v>0</v>
      </c>
      <c r="K727">
        <f t="shared" si="34"/>
        <v>0</v>
      </c>
      <c r="L727" s="54">
        <v>0</v>
      </c>
      <c r="M727" s="67">
        <f t="shared" si="35"/>
        <v>0</v>
      </c>
    </row>
    <row r="728" spans="2:13" hidden="1" x14ac:dyDescent="0.25">
      <c r="B728" t="str">
        <f t="shared" si="33"/>
        <v>Tricase PVSEC-PHV-L419-01</v>
      </c>
      <c r="C728" s="50" t="s">
        <v>826</v>
      </c>
      <c r="D728" s="51" t="s">
        <v>887</v>
      </c>
      <c r="E728" s="50" t="s">
        <v>910</v>
      </c>
      <c r="F728" s="50" t="s">
        <v>897</v>
      </c>
      <c r="G728" s="50" t="s">
        <v>897</v>
      </c>
      <c r="H728" s="57" t="s">
        <v>2025</v>
      </c>
      <c r="I728" s="50" t="s">
        <v>2026</v>
      </c>
      <c r="J728" s="18">
        <f>+_xlfn.XLOOKUP(B728,Sheet3!B:B,Sheet3!J:J,0)</f>
        <v>0</v>
      </c>
      <c r="K728">
        <f t="shared" si="34"/>
        <v>0</v>
      </c>
      <c r="L728" s="54">
        <v>0</v>
      </c>
      <c r="M728" s="67">
        <f t="shared" si="35"/>
        <v>0</v>
      </c>
    </row>
    <row r="729" spans="2:13" hidden="1" x14ac:dyDescent="0.25">
      <c r="B729" t="str">
        <f t="shared" si="33"/>
        <v>Civate rinnovo</v>
      </c>
      <c r="C729" s="50" t="s">
        <v>826</v>
      </c>
      <c r="D729" s="51" t="s">
        <v>887</v>
      </c>
      <c r="E729" s="52" t="s">
        <v>888</v>
      </c>
      <c r="F729" s="50" t="s">
        <v>889</v>
      </c>
      <c r="G729" s="50" t="s">
        <v>890</v>
      </c>
      <c r="H729" s="53"/>
      <c r="I729" s="50" t="s">
        <v>2027</v>
      </c>
      <c r="J729" s="18">
        <f>+_xlfn.XLOOKUP(B729,Sheet3!B:B,Sheet3!J:J,0)</f>
        <v>0</v>
      </c>
      <c r="K729">
        <f t="shared" si="34"/>
        <v>0</v>
      </c>
      <c r="L729" s="54">
        <v>0</v>
      </c>
      <c r="M729" s="67">
        <f t="shared" si="35"/>
        <v>0</v>
      </c>
    </row>
    <row r="730" spans="2:13" hidden="1" x14ac:dyDescent="0.25">
      <c r="B730" t="str">
        <f t="shared" si="33"/>
        <v>Albinea Proroga Tecnica</v>
      </c>
      <c r="C730" s="50" t="s">
        <v>958</v>
      </c>
      <c r="D730" s="51" t="s">
        <v>887</v>
      </c>
      <c r="E730" s="52" t="s">
        <v>896</v>
      </c>
      <c r="F730" s="50" t="s">
        <v>889</v>
      </c>
      <c r="G730" s="50" t="s">
        <v>1016</v>
      </c>
      <c r="H730" s="53"/>
      <c r="I730" s="50" t="s">
        <v>2028</v>
      </c>
      <c r="J730" s="18">
        <f>+_xlfn.XLOOKUP(B730,Sheet3!B:B,Sheet3!J:J,0)</f>
        <v>0</v>
      </c>
      <c r="K730">
        <f t="shared" si="34"/>
        <v>0</v>
      </c>
      <c r="L730" s="54">
        <v>0</v>
      </c>
      <c r="M730" s="67">
        <f t="shared" si="35"/>
        <v>0</v>
      </c>
    </row>
    <row r="731" spans="2:13" hidden="1" x14ac:dyDescent="0.25">
      <c r="B731" t="str">
        <f t="shared" si="33"/>
        <v>Falconara Marittima Proroga Tecnica</v>
      </c>
      <c r="C731" s="50" t="s">
        <v>958</v>
      </c>
      <c r="D731" s="51" t="s">
        <v>887</v>
      </c>
      <c r="E731" s="50" t="s">
        <v>910</v>
      </c>
      <c r="F731" s="50" t="s">
        <v>889</v>
      </c>
      <c r="G731" s="50" t="s">
        <v>1016</v>
      </c>
      <c r="H731" s="53"/>
      <c r="I731" s="50" t="s">
        <v>2029</v>
      </c>
      <c r="J731" s="18">
        <f>+_xlfn.XLOOKUP(B731,Sheet3!B:B,Sheet3!J:J,0)</f>
        <v>0</v>
      </c>
      <c r="K731">
        <f t="shared" si="34"/>
        <v>0</v>
      </c>
      <c r="L731" s="54">
        <v>0</v>
      </c>
      <c r="M731" s="67">
        <f t="shared" si="35"/>
        <v>0</v>
      </c>
    </row>
    <row r="732" spans="2:13" hidden="1" x14ac:dyDescent="0.25">
      <c r="B732" t="str">
        <f t="shared" si="33"/>
        <v>Fermo Proroga tecnica</v>
      </c>
      <c r="C732" s="50" t="s">
        <v>958</v>
      </c>
      <c r="D732" s="51" t="s">
        <v>887</v>
      </c>
      <c r="E732" s="52" t="s">
        <v>896</v>
      </c>
      <c r="F732" s="50" t="s">
        <v>889</v>
      </c>
      <c r="G732" s="50" t="s">
        <v>1016</v>
      </c>
      <c r="H732" s="53"/>
      <c r="I732" s="50" t="s">
        <v>2030</v>
      </c>
      <c r="J732" s="18">
        <f>+_xlfn.XLOOKUP(B732,Sheet3!B:B,Sheet3!J:J,0)</f>
        <v>0</v>
      </c>
      <c r="K732">
        <f t="shared" si="34"/>
        <v>0</v>
      </c>
      <c r="L732" s="54">
        <v>0</v>
      </c>
      <c r="M732" s="67">
        <f t="shared" si="35"/>
        <v>0</v>
      </c>
    </row>
    <row r="733" spans="2:13" hidden="1" x14ac:dyDescent="0.25">
      <c r="B733" t="str">
        <f t="shared" si="33"/>
        <v>Scheggia e Pascelupo Proroga tecnica</v>
      </c>
      <c r="C733" s="50" t="s">
        <v>958</v>
      </c>
      <c r="D733" s="51" t="s">
        <v>887</v>
      </c>
      <c r="E733" s="52" t="s">
        <v>896</v>
      </c>
      <c r="F733" s="50" t="s">
        <v>889</v>
      </c>
      <c r="G733" s="50" t="s">
        <v>1016</v>
      </c>
      <c r="H733" s="53"/>
      <c r="I733" s="50" t="s">
        <v>2031</v>
      </c>
      <c r="J733" s="18">
        <f>+_xlfn.XLOOKUP(B733,Sheet3!B:B,Sheet3!J:J,0)</f>
        <v>0</v>
      </c>
      <c r="K733">
        <f t="shared" si="34"/>
        <v>0</v>
      </c>
      <c r="L733" s="54">
        <v>0</v>
      </c>
      <c r="M733" s="67">
        <f t="shared" si="35"/>
        <v>0</v>
      </c>
    </row>
    <row r="734" spans="2:13" hidden="1" x14ac:dyDescent="0.25">
      <c r="B734" t="str">
        <f t="shared" si="33"/>
        <v>Cagli PPP</v>
      </c>
      <c r="C734" s="50" t="s">
        <v>826</v>
      </c>
      <c r="D734" s="51" t="s">
        <v>887</v>
      </c>
      <c r="E734" s="52" t="s">
        <v>896</v>
      </c>
      <c r="F734" s="50" t="s">
        <v>889</v>
      </c>
      <c r="G734" s="50" t="s">
        <v>890</v>
      </c>
      <c r="H734" s="53"/>
      <c r="I734" s="50" t="s">
        <v>2032</v>
      </c>
      <c r="J734" s="18">
        <f>+_xlfn.XLOOKUP(B734,Sheet3!B:B,Sheet3!J:J,0)</f>
        <v>0</v>
      </c>
      <c r="K734">
        <f t="shared" si="34"/>
        <v>0</v>
      </c>
      <c r="L734" s="54">
        <v>0</v>
      </c>
      <c r="M734" s="67">
        <f t="shared" si="35"/>
        <v>0</v>
      </c>
    </row>
    <row r="735" spans="2:13" hidden="1" x14ac:dyDescent="0.25">
      <c r="B735" t="str">
        <f t="shared" si="33"/>
        <v>Faenza Proroga tecnica</v>
      </c>
      <c r="C735" s="50" t="s">
        <v>958</v>
      </c>
      <c r="D735" s="51" t="s">
        <v>887</v>
      </c>
      <c r="E735" s="52" t="s">
        <v>896</v>
      </c>
      <c r="F735" s="50" t="s">
        <v>889</v>
      </c>
      <c r="G735" s="50" t="s">
        <v>1016</v>
      </c>
      <c r="H735" s="53"/>
      <c r="I735" s="50" t="s">
        <v>2033</v>
      </c>
      <c r="J735" s="18">
        <f>+_xlfn.XLOOKUP(B735,Sheet3!B:B,Sheet3!J:J,0)</f>
        <v>0</v>
      </c>
      <c r="K735">
        <f t="shared" si="34"/>
        <v>0</v>
      </c>
      <c r="L735" s="54">
        <v>0</v>
      </c>
      <c r="M735" s="67">
        <f t="shared" si="35"/>
        <v>0</v>
      </c>
    </row>
    <row r="736" spans="2:13" hidden="1" x14ac:dyDescent="0.25">
      <c r="B736" t="str">
        <f t="shared" si="33"/>
        <v>Urbania</v>
      </c>
      <c r="C736" s="50" t="s">
        <v>958</v>
      </c>
      <c r="D736" s="51" t="s">
        <v>887</v>
      </c>
      <c r="E736" s="52" t="s">
        <v>896</v>
      </c>
      <c r="F736" s="50" t="s">
        <v>889</v>
      </c>
      <c r="G736" s="50" t="s">
        <v>961</v>
      </c>
      <c r="H736" s="53"/>
      <c r="I736" s="50" t="s">
        <v>2034</v>
      </c>
      <c r="J736" s="18">
        <f>+_xlfn.XLOOKUP(B736,Sheet3!B:B,Sheet3!J:J,0)</f>
        <v>0</v>
      </c>
      <c r="K736">
        <f t="shared" si="34"/>
        <v>0</v>
      </c>
      <c r="L736" s="54">
        <v>0</v>
      </c>
      <c r="M736" s="67">
        <f t="shared" si="35"/>
        <v>0</v>
      </c>
    </row>
    <row r="737" spans="2:13" hidden="1" x14ac:dyDescent="0.25">
      <c r="B737" t="str">
        <f t="shared" si="33"/>
        <v>Esperia</v>
      </c>
      <c r="C737" s="50" t="s">
        <v>826</v>
      </c>
      <c r="D737" s="51" t="s">
        <v>887</v>
      </c>
      <c r="E737" s="52" t="s">
        <v>896</v>
      </c>
      <c r="F737" s="50" t="s">
        <v>889</v>
      </c>
      <c r="G737" s="50" t="s">
        <v>890</v>
      </c>
      <c r="H737" s="53"/>
      <c r="I737" s="50" t="s">
        <v>2035</v>
      </c>
      <c r="J737" s="18">
        <f>+_xlfn.XLOOKUP(B737,Sheet3!B:B,Sheet3!J:J,0)</f>
        <v>0</v>
      </c>
      <c r="K737">
        <f t="shared" si="34"/>
        <v>0</v>
      </c>
      <c r="L737" s="54">
        <v>0</v>
      </c>
      <c r="M737" s="67">
        <f t="shared" si="35"/>
        <v>0</v>
      </c>
    </row>
    <row r="738" spans="2:13" hidden="1" x14ac:dyDescent="0.25">
      <c r="B738" t="str">
        <f t="shared" si="33"/>
        <v>Monteleone Sabino</v>
      </c>
      <c r="C738" s="50" t="s">
        <v>826</v>
      </c>
      <c r="D738" s="51" t="s">
        <v>887</v>
      </c>
      <c r="E738" s="52" t="s">
        <v>896</v>
      </c>
      <c r="F738" s="50" t="s">
        <v>889</v>
      </c>
      <c r="G738" s="50" t="s">
        <v>890</v>
      </c>
      <c r="H738" s="53"/>
      <c r="I738" s="50" t="s">
        <v>2036</v>
      </c>
      <c r="J738" s="18">
        <f>+_xlfn.XLOOKUP(B738,Sheet3!B:B,Sheet3!J:J,0)</f>
        <v>0</v>
      </c>
      <c r="K738">
        <f t="shared" si="34"/>
        <v>0</v>
      </c>
      <c r="L738" s="54">
        <v>0</v>
      </c>
      <c r="M738" s="67">
        <f t="shared" si="35"/>
        <v>0</v>
      </c>
    </row>
    <row r="739" spans="2:13" hidden="1" x14ac:dyDescent="0.25">
      <c r="B739" t="str">
        <f t="shared" si="33"/>
        <v>Villa Santa Lucia</v>
      </c>
      <c r="C739" s="50" t="s">
        <v>826</v>
      </c>
      <c r="D739" s="51" t="s">
        <v>887</v>
      </c>
      <c r="E739" s="52" t="s">
        <v>896</v>
      </c>
      <c r="F739" s="50" t="s">
        <v>889</v>
      </c>
      <c r="G739" s="50" t="s">
        <v>890</v>
      </c>
      <c r="H739" s="53"/>
      <c r="I739" s="50" t="s">
        <v>2037</v>
      </c>
      <c r="J739" s="18">
        <f>+_xlfn.XLOOKUP(B739,Sheet3!B:B,Sheet3!J:J,0)</f>
        <v>0</v>
      </c>
      <c r="K739">
        <f t="shared" si="34"/>
        <v>0</v>
      </c>
      <c r="L739" s="54">
        <v>0</v>
      </c>
      <c r="M739" s="67">
        <f t="shared" si="35"/>
        <v>0</v>
      </c>
    </row>
    <row r="740" spans="2:13" hidden="1" x14ac:dyDescent="0.25">
      <c r="B740" t="str">
        <f t="shared" si="33"/>
        <v>Loreto Aprutino</v>
      </c>
      <c r="C740" s="50" t="s">
        <v>826</v>
      </c>
      <c r="D740" s="51" t="s">
        <v>887</v>
      </c>
      <c r="E740" s="52" t="s">
        <v>896</v>
      </c>
      <c r="F740" s="50" t="s">
        <v>889</v>
      </c>
      <c r="G740" s="50" t="s">
        <v>890</v>
      </c>
      <c r="H740" s="53"/>
      <c r="I740" s="50" t="s">
        <v>2038</v>
      </c>
      <c r="J740" s="18">
        <f>+_xlfn.XLOOKUP(B740,Sheet3!B:B,Sheet3!J:J,0)</f>
        <v>0</v>
      </c>
      <c r="K740">
        <f t="shared" si="34"/>
        <v>0</v>
      </c>
      <c r="L740" s="54">
        <v>0</v>
      </c>
      <c r="M740" s="67">
        <f t="shared" si="35"/>
        <v>0</v>
      </c>
    </row>
    <row r="741" spans="2:13" hidden="1" x14ac:dyDescent="0.25">
      <c r="B741" t="str">
        <f t="shared" si="33"/>
        <v>Penne</v>
      </c>
      <c r="C741" s="50" t="s">
        <v>826</v>
      </c>
      <c r="D741" s="51" t="s">
        <v>887</v>
      </c>
      <c r="E741" s="52" t="s">
        <v>896</v>
      </c>
      <c r="F741" s="50" t="s">
        <v>889</v>
      </c>
      <c r="G741" s="50" t="s">
        <v>890</v>
      </c>
      <c r="H741" s="53"/>
      <c r="I741" s="50" t="s">
        <v>2039</v>
      </c>
      <c r="J741" s="18">
        <f>+_xlfn.XLOOKUP(B741,Sheet3!B:B,Sheet3!J:J,0)</f>
        <v>0</v>
      </c>
      <c r="K741">
        <f t="shared" si="34"/>
        <v>0</v>
      </c>
      <c r="L741" s="54">
        <v>0</v>
      </c>
      <c r="M741" s="67">
        <f t="shared" si="35"/>
        <v>0</v>
      </c>
    </row>
    <row r="742" spans="2:13" hidden="1" x14ac:dyDescent="0.25">
      <c r="B742" t="str">
        <f t="shared" si="33"/>
        <v>Bellante HM</v>
      </c>
      <c r="C742" s="50" t="s">
        <v>826</v>
      </c>
      <c r="D742" s="51" t="s">
        <v>887</v>
      </c>
      <c r="E742" s="52" t="s">
        <v>896</v>
      </c>
      <c r="F742" s="50" t="s">
        <v>965</v>
      </c>
      <c r="G742" s="50" t="s">
        <v>890</v>
      </c>
      <c r="H742" s="53"/>
      <c r="I742" s="50" t="s">
        <v>2040</v>
      </c>
      <c r="J742" s="18">
        <f>+_xlfn.XLOOKUP(B742,Sheet3!B:B,Sheet3!J:J,0)</f>
        <v>0</v>
      </c>
      <c r="K742">
        <f t="shared" si="34"/>
        <v>0</v>
      </c>
      <c r="L742" s="54">
        <v>0</v>
      </c>
      <c r="M742" s="67">
        <f t="shared" si="35"/>
        <v>0</v>
      </c>
    </row>
    <row r="743" spans="2:13" hidden="1" x14ac:dyDescent="0.25">
      <c r="B743" t="str">
        <f t="shared" si="33"/>
        <v>SerronePPP-IPU-I669-01</v>
      </c>
      <c r="C743" s="50" t="s">
        <v>826</v>
      </c>
      <c r="D743" s="51" t="s">
        <v>887</v>
      </c>
      <c r="E743" s="52" t="s">
        <v>896</v>
      </c>
      <c r="F743" s="50" t="s">
        <v>889</v>
      </c>
      <c r="G743" s="50" t="s">
        <v>890</v>
      </c>
      <c r="H743" s="50" t="s">
        <v>2041</v>
      </c>
      <c r="I743" s="50" t="s">
        <v>2042</v>
      </c>
      <c r="J743" s="18">
        <f>+_xlfn.XLOOKUP(B743,Sheet3!B:B,Sheet3!J:J,0)</f>
        <v>0</v>
      </c>
      <c r="K743">
        <f t="shared" si="34"/>
        <v>0</v>
      </c>
      <c r="L743" s="54">
        <v>0</v>
      </c>
      <c r="M743" s="67">
        <f t="shared" si="35"/>
        <v>0</v>
      </c>
    </row>
    <row r="744" spans="2:13" hidden="1" x14ac:dyDescent="0.25">
      <c r="B744" t="str">
        <f t="shared" si="33"/>
        <v>ArtenaPPP-IPU-A449-01</v>
      </c>
      <c r="C744" s="50" t="s">
        <v>826</v>
      </c>
      <c r="D744" s="51" t="s">
        <v>887</v>
      </c>
      <c r="E744" s="52" t="s">
        <v>896</v>
      </c>
      <c r="F744" s="50" t="s">
        <v>889</v>
      </c>
      <c r="G744" s="50" t="s">
        <v>890</v>
      </c>
      <c r="H744" s="50" t="s">
        <v>2043</v>
      </c>
      <c r="I744" s="50" t="s">
        <v>2044</v>
      </c>
      <c r="J744" s="18">
        <f>+_xlfn.XLOOKUP(B744,Sheet3!B:B,Sheet3!J:J,0)</f>
        <v>0</v>
      </c>
      <c r="K744">
        <f t="shared" si="34"/>
        <v>0</v>
      </c>
      <c r="L744" s="54">
        <v>0</v>
      </c>
      <c r="M744" s="67">
        <f t="shared" si="35"/>
        <v>0</v>
      </c>
    </row>
    <row r="745" spans="2:13" hidden="1" x14ac:dyDescent="0.25">
      <c r="B745" t="str">
        <f t="shared" si="33"/>
        <v>Gavignano</v>
      </c>
      <c r="C745" s="50" t="s">
        <v>826</v>
      </c>
      <c r="D745" s="51" t="s">
        <v>887</v>
      </c>
      <c r="E745" s="52" t="s">
        <v>896</v>
      </c>
      <c r="F745" s="50" t="s">
        <v>889</v>
      </c>
      <c r="G745" s="50" t="s">
        <v>890</v>
      </c>
      <c r="H745" s="53"/>
      <c r="I745" s="50" t="s">
        <v>2045</v>
      </c>
      <c r="J745" s="18">
        <f>+_xlfn.XLOOKUP(B745,Sheet3!B:B,Sheet3!J:J,0)</f>
        <v>0</v>
      </c>
      <c r="K745">
        <f t="shared" si="34"/>
        <v>0</v>
      </c>
      <c r="L745" s="54">
        <v>0</v>
      </c>
      <c r="M745" s="67">
        <f t="shared" si="35"/>
        <v>0</v>
      </c>
    </row>
    <row r="746" spans="2:13" hidden="1" x14ac:dyDescent="0.25">
      <c r="B746" t="str">
        <f t="shared" si="33"/>
        <v>Cantalice</v>
      </c>
      <c r="C746" s="50" t="s">
        <v>826</v>
      </c>
      <c r="D746" s="51" t="s">
        <v>887</v>
      </c>
      <c r="E746" s="52" t="s">
        <v>896</v>
      </c>
      <c r="F746" s="50" t="s">
        <v>889</v>
      </c>
      <c r="G746" s="50" t="s">
        <v>890</v>
      </c>
      <c r="H746" s="53"/>
      <c r="I746" s="50" t="s">
        <v>2046</v>
      </c>
      <c r="J746" s="18">
        <f>+_xlfn.XLOOKUP(B746,Sheet3!B:B,Sheet3!J:J,0)</f>
        <v>0</v>
      </c>
      <c r="K746">
        <f t="shared" si="34"/>
        <v>0</v>
      </c>
      <c r="L746" s="54">
        <v>0</v>
      </c>
      <c r="M746" s="67">
        <f t="shared" si="35"/>
        <v>0</v>
      </c>
    </row>
    <row r="747" spans="2:13" hidden="1" x14ac:dyDescent="0.25">
      <c r="B747" t="str">
        <f t="shared" si="33"/>
        <v xml:space="preserve">Poggio San Lorenzo </v>
      </c>
      <c r="C747" s="50" t="s">
        <v>826</v>
      </c>
      <c r="D747" s="51" t="s">
        <v>887</v>
      </c>
      <c r="E747" s="52" t="s">
        <v>896</v>
      </c>
      <c r="F747" s="50" t="s">
        <v>889</v>
      </c>
      <c r="G747" s="50" t="s">
        <v>890</v>
      </c>
      <c r="H747" s="53"/>
      <c r="I747" s="50" t="s">
        <v>2047</v>
      </c>
      <c r="J747" s="18">
        <f>+_xlfn.XLOOKUP(B747,Sheet3!B:B,Sheet3!J:J,0)</f>
        <v>0</v>
      </c>
      <c r="K747">
        <f t="shared" si="34"/>
        <v>0</v>
      </c>
      <c r="L747" s="54">
        <v>0</v>
      </c>
      <c r="M747" s="67">
        <f t="shared" si="35"/>
        <v>0</v>
      </c>
    </row>
    <row r="748" spans="2:13" hidden="1" x14ac:dyDescent="0.25">
      <c r="B748" t="str">
        <f t="shared" si="33"/>
        <v>Cervara di RomaPPP-IPU-C543-01</v>
      </c>
      <c r="C748" s="50" t="s">
        <v>826</v>
      </c>
      <c r="D748" s="51" t="s">
        <v>887</v>
      </c>
      <c r="E748" s="52" t="s">
        <v>896</v>
      </c>
      <c r="F748" s="50" t="s">
        <v>889</v>
      </c>
      <c r="G748" s="50" t="s">
        <v>890</v>
      </c>
      <c r="H748" s="50" t="s">
        <v>2048</v>
      </c>
      <c r="I748" s="50" t="s">
        <v>2049</v>
      </c>
      <c r="J748" s="18">
        <f>+_xlfn.XLOOKUP(B748,Sheet3!B:B,Sheet3!J:J,0)</f>
        <v>0</v>
      </c>
      <c r="K748">
        <f t="shared" si="34"/>
        <v>0</v>
      </c>
      <c r="L748" s="54">
        <v>0</v>
      </c>
      <c r="M748" s="67">
        <f t="shared" si="35"/>
        <v>0</v>
      </c>
    </row>
    <row r="749" spans="2:13" hidden="1" x14ac:dyDescent="0.25">
      <c r="B749" t="str">
        <f t="shared" si="33"/>
        <v>MoroloPPP-IPU-F740-01</v>
      </c>
      <c r="C749" s="50" t="s">
        <v>826</v>
      </c>
      <c r="D749" s="51" t="s">
        <v>887</v>
      </c>
      <c r="E749" s="52" t="s">
        <v>896</v>
      </c>
      <c r="F749" s="50" t="s">
        <v>889</v>
      </c>
      <c r="G749" s="50" t="s">
        <v>890</v>
      </c>
      <c r="H749" s="50" t="s">
        <v>2050</v>
      </c>
      <c r="I749" s="50" t="s">
        <v>2051</v>
      </c>
      <c r="J749" s="18">
        <f>+_xlfn.XLOOKUP(B749,Sheet3!B:B,Sheet3!J:J,0)</f>
        <v>0</v>
      </c>
      <c r="K749">
        <f t="shared" si="34"/>
        <v>0</v>
      </c>
      <c r="L749" s="54">
        <v>0</v>
      </c>
      <c r="M749" s="67">
        <f t="shared" si="35"/>
        <v>0</v>
      </c>
    </row>
    <row r="750" spans="2:13" hidden="1" x14ac:dyDescent="0.25">
      <c r="B750" t="str">
        <f t="shared" si="33"/>
        <v>Nettuno</v>
      </c>
      <c r="C750" s="50" t="s">
        <v>958</v>
      </c>
      <c r="D750" s="51" t="s">
        <v>887</v>
      </c>
      <c r="E750" s="52" t="s">
        <v>896</v>
      </c>
      <c r="F750" s="50" t="s">
        <v>889</v>
      </c>
      <c r="G750" s="50" t="s">
        <v>961</v>
      </c>
      <c r="H750" s="53"/>
      <c r="I750" s="50" t="s">
        <v>2052</v>
      </c>
      <c r="J750" s="18">
        <f>+_xlfn.XLOOKUP(B750,Sheet3!B:B,Sheet3!J:J,0)</f>
        <v>0</v>
      </c>
      <c r="K750">
        <f t="shared" si="34"/>
        <v>0</v>
      </c>
      <c r="L750" s="54">
        <v>0</v>
      </c>
      <c r="M750" s="67">
        <f t="shared" si="35"/>
        <v>0</v>
      </c>
    </row>
    <row r="751" spans="2:13" hidden="1" x14ac:dyDescent="0.25">
      <c r="B751" t="str">
        <f t="shared" si="33"/>
        <v>Massa Martana</v>
      </c>
      <c r="C751" s="50" t="s">
        <v>826</v>
      </c>
      <c r="D751" s="51" t="s">
        <v>887</v>
      </c>
      <c r="E751" s="52" t="s">
        <v>896</v>
      </c>
      <c r="F751" s="50" t="s">
        <v>889</v>
      </c>
      <c r="G751" s="50" t="s">
        <v>890</v>
      </c>
      <c r="H751" s="53"/>
      <c r="I751" s="50" t="s">
        <v>2053</v>
      </c>
      <c r="J751" s="18">
        <f>+_xlfn.XLOOKUP(B751,Sheet3!B:B,Sheet3!J:J,0)</f>
        <v>0</v>
      </c>
      <c r="K751">
        <f t="shared" si="34"/>
        <v>0</v>
      </c>
      <c r="L751" s="54">
        <v>0</v>
      </c>
      <c r="M751" s="67">
        <f t="shared" si="35"/>
        <v>0</v>
      </c>
    </row>
    <row r="752" spans="2:13" hidden="1" x14ac:dyDescent="0.25">
      <c r="B752" t="str">
        <f t="shared" si="33"/>
        <v>Pietragalla Proroga Tecnica</v>
      </c>
      <c r="C752" s="50" t="s">
        <v>826</v>
      </c>
      <c r="D752" s="51" t="s">
        <v>887</v>
      </c>
      <c r="E752" s="52" t="s">
        <v>910</v>
      </c>
      <c r="F752" s="50" t="s">
        <v>889</v>
      </c>
      <c r="G752" s="50" t="s">
        <v>890</v>
      </c>
      <c r="H752" s="53"/>
      <c r="I752" s="50" t="s">
        <v>2054</v>
      </c>
      <c r="J752" s="18">
        <f>+_xlfn.XLOOKUP(B752,Sheet3!B:B,Sheet3!J:J,0)</f>
        <v>0</v>
      </c>
      <c r="K752">
        <f t="shared" si="34"/>
        <v>0</v>
      </c>
      <c r="L752" s="54">
        <v>0</v>
      </c>
      <c r="M752" s="67">
        <f t="shared" si="35"/>
        <v>0</v>
      </c>
    </row>
    <row r="753" spans="2:13" hidden="1" x14ac:dyDescent="0.25">
      <c r="B753" t="str">
        <f t="shared" si="33"/>
        <v>Pellezzano Buildings</v>
      </c>
      <c r="C753" s="50" t="s">
        <v>826</v>
      </c>
      <c r="D753" s="51" t="s">
        <v>887</v>
      </c>
      <c r="E753" s="52" t="s">
        <v>910</v>
      </c>
      <c r="F753" s="50" t="s">
        <v>965</v>
      </c>
      <c r="G753" s="50" t="s">
        <v>890</v>
      </c>
      <c r="H753" s="53"/>
      <c r="I753" s="50" t="s">
        <v>2055</v>
      </c>
      <c r="J753" s="18">
        <f>+_xlfn.XLOOKUP(B753,Sheet3!B:B,Sheet3!J:J,0)</f>
        <v>0</v>
      </c>
      <c r="K753">
        <f t="shared" si="34"/>
        <v>0</v>
      </c>
      <c r="L753" s="54">
        <v>0</v>
      </c>
      <c r="M753" s="67">
        <f t="shared" si="35"/>
        <v>0</v>
      </c>
    </row>
    <row r="754" spans="2:13" hidden="1" x14ac:dyDescent="0.25">
      <c r="B754" t="str">
        <f t="shared" si="33"/>
        <v>AcriPPP-IPU-A053-01</v>
      </c>
      <c r="C754" s="50" t="s">
        <v>826</v>
      </c>
      <c r="D754" s="51" t="s">
        <v>887</v>
      </c>
      <c r="E754" s="52" t="s">
        <v>910</v>
      </c>
      <c r="F754" s="50" t="s">
        <v>889</v>
      </c>
      <c r="G754" s="50" t="s">
        <v>890</v>
      </c>
      <c r="H754" s="50" t="s">
        <v>2056</v>
      </c>
      <c r="I754" s="50" t="s">
        <v>2057</v>
      </c>
      <c r="J754" s="18">
        <f>+_xlfn.XLOOKUP(B754,Sheet3!B:B,Sheet3!J:J,0)</f>
        <v>0</v>
      </c>
      <c r="K754">
        <f t="shared" si="34"/>
        <v>0</v>
      </c>
      <c r="L754" s="54">
        <v>0</v>
      </c>
      <c r="M754" s="67">
        <f t="shared" si="35"/>
        <v>0</v>
      </c>
    </row>
    <row r="755" spans="2:13" hidden="1" x14ac:dyDescent="0.25">
      <c r="B755" t="str">
        <f t="shared" si="33"/>
        <v>Teramo</v>
      </c>
      <c r="C755" s="50" t="s">
        <v>826</v>
      </c>
      <c r="D755" s="51" t="s">
        <v>2058</v>
      </c>
      <c r="E755" s="52" t="s">
        <v>896</v>
      </c>
      <c r="F755" s="50" t="s">
        <v>889</v>
      </c>
      <c r="G755" s="50" t="s">
        <v>890</v>
      </c>
      <c r="H755" s="53"/>
      <c r="I755" s="50" t="s">
        <v>2059</v>
      </c>
      <c r="J755" s="18">
        <f>+_xlfn.XLOOKUP(B755,Sheet3!B:B,Sheet3!J:J,0)</f>
        <v>0</v>
      </c>
      <c r="K755">
        <f t="shared" si="34"/>
        <v>0</v>
      </c>
      <c r="L755" s="54">
        <v>0</v>
      </c>
      <c r="M755" s="67">
        <f t="shared" si="35"/>
        <v>0</v>
      </c>
    </row>
    <row r="756" spans="2:13" hidden="1" x14ac:dyDescent="0.25">
      <c r="B756" t="str">
        <f t="shared" si="33"/>
        <v>Torricella</v>
      </c>
      <c r="C756" s="50" t="s">
        <v>826</v>
      </c>
      <c r="D756" s="51" t="s">
        <v>2058</v>
      </c>
      <c r="E756" s="52" t="s">
        <v>896</v>
      </c>
      <c r="F756" s="50" t="s">
        <v>889</v>
      </c>
      <c r="G756" s="50" t="s">
        <v>890</v>
      </c>
      <c r="H756" s="53"/>
      <c r="I756" s="50" t="s">
        <v>2060</v>
      </c>
      <c r="J756" s="18">
        <f>+_xlfn.XLOOKUP(B756,Sheet3!B:B,Sheet3!J:J,0)</f>
        <v>0</v>
      </c>
      <c r="K756">
        <f t="shared" si="34"/>
        <v>0</v>
      </c>
      <c r="L756" s="54">
        <v>0</v>
      </c>
      <c r="M756" s="67">
        <f t="shared" si="35"/>
        <v>0</v>
      </c>
    </row>
    <row r="757" spans="2:13" hidden="1" x14ac:dyDescent="0.25">
      <c r="B757" t="str">
        <f t="shared" si="33"/>
        <v>GranSasso</v>
      </c>
      <c r="C757" s="50" t="s">
        <v>826</v>
      </c>
      <c r="D757" s="51" t="s">
        <v>2058</v>
      </c>
      <c r="E757" s="52" t="s">
        <v>896</v>
      </c>
      <c r="F757" s="50" t="s">
        <v>889</v>
      </c>
      <c r="G757" s="50" t="s">
        <v>890</v>
      </c>
      <c r="H757" s="53"/>
      <c r="I757" s="50" t="s">
        <v>2061</v>
      </c>
      <c r="J757" s="18">
        <f>+_xlfn.XLOOKUP(B757,Sheet3!B:B,Sheet3!J:J,0)</f>
        <v>0</v>
      </c>
      <c r="K757">
        <f t="shared" si="34"/>
        <v>0</v>
      </c>
      <c r="L757" s="54">
        <v>0</v>
      </c>
      <c r="M757" s="67">
        <f t="shared" si="35"/>
        <v>0</v>
      </c>
    </row>
    <row r="758" spans="2:13" hidden="1" x14ac:dyDescent="0.25">
      <c r="B758" t="str">
        <f t="shared" si="33"/>
        <v>Tossicia</v>
      </c>
      <c r="C758" s="50" t="s">
        <v>826</v>
      </c>
      <c r="D758" s="51" t="s">
        <v>2058</v>
      </c>
      <c r="E758" s="52" t="s">
        <v>896</v>
      </c>
      <c r="F758" s="50" t="s">
        <v>889</v>
      </c>
      <c r="G758" s="50" t="s">
        <v>890</v>
      </c>
      <c r="H758" s="53"/>
      <c r="I758" s="50" t="s">
        <v>2062</v>
      </c>
      <c r="J758" s="18">
        <f>+_xlfn.XLOOKUP(B758,Sheet3!B:B,Sheet3!J:J,0)</f>
        <v>0</v>
      </c>
      <c r="K758">
        <f t="shared" si="34"/>
        <v>0</v>
      </c>
      <c r="L758" s="54">
        <v>0</v>
      </c>
      <c r="M758" s="67">
        <f t="shared" si="35"/>
        <v>0</v>
      </c>
    </row>
    <row r="759" spans="2:13" hidden="1" x14ac:dyDescent="0.25">
      <c r="B759" t="str">
        <f t="shared" si="33"/>
        <v>Colledara</v>
      </c>
      <c r="C759" s="50" t="s">
        <v>826</v>
      </c>
      <c r="D759" s="51" t="s">
        <v>2058</v>
      </c>
      <c r="E759" s="52" t="s">
        <v>896</v>
      </c>
      <c r="F759" s="50" t="s">
        <v>889</v>
      </c>
      <c r="G759" s="50" t="s">
        <v>890</v>
      </c>
      <c r="H759" s="53"/>
      <c r="I759" s="50" t="s">
        <v>2063</v>
      </c>
      <c r="J759" s="18">
        <f>+_xlfn.XLOOKUP(B759,Sheet3!B:B,Sheet3!J:J,0)</f>
        <v>0</v>
      </c>
      <c r="K759">
        <f t="shared" si="34"/>
        <v>0</v>
      </c>
      <c r="L759" s="54">
        <v>0</v>
      </c>
      <c r="M759" s="67">
        <f t="shared" si="35"/>
        <v>0</v>
      </c>
    </row>
    <row r="760" spans="2:13" hidden="1" x14ac:dyDescent="0.25">
      <c r="B760" t="str">
        <f t="shared" si="33"/>
        <v>RoccaSMaria</v>
      </c>
      <c r="C760" s="50" t="s">
        <v>826</v>
      </c>
      <c r="D760" s="51" t="s">
        <v>2058</v>
      </c>
      <c r="E760" s="52" t="s">
        <v>896</v>
      </c>
      <c r="F760" s="50" t="s">
        <v>889</v>
      </c>
      <c r="G760" s="50" t="s">
        <v>890</v>
      </c>
      <c r="H760" s="53"/>
      <c r="I760" s="50" t="s">
        <v>2064</v>
      </c>
      <c r="J760" s="18">
        <f>+_xlfn.XLOOKUP(B760,Sheet3!B:B,Sheet3!J:J,0)</f>
        <v>0</v>
      </c>
      <c r="K760">
        <f t="shared" si="34"/>
        <v>0</v>
      </c>
      <c r="L760" s="54">
        <v>0</v>
      </c>
      <c r="M760" s="67">
        <f t="shared" si="35"/>
        <v>0</v>
      </c>
    </row>
    <row r="761" spans="2:13" hidden="1" x14ac:dyDescent="0.25">
      <c r="B761" t="str">
        <f t="shared" si="33"/>
        <v>CastelCastagna</v>
      </c>
      <c r="C761" s="50" t="s">
        <v>826</v>
      </c>
      <c r="D761" s="51" t="s">
        <v>2058</v>
      </c>
      <c r="E761" s="52" t="s">
        <v>896</v>
      </c>
      <c r="F761" s="50" t="s">
        <v>889</v>
      </c>
      <c r="G761" s="50" t="s">
        <v>890</v>
      </c>
      <c r="H761" s="53"/>
      <c r="I761" s="50" t="s">
        <v>2065</v>
      </c>
      <c r="J761" s="18">
        <f>+_xlfn.XLOOKUP(B761,Sheet3!B:B,Sheet3!J:J,0)</f>
        <v>0</v>
      </c>
      <c r="K761">
        <f t="shared" si="34"/>
        <v>0</v>
      </c>
      <c r="L761" s="54">
        <v>0</v>
      </c>
      <c r="M761" s="67">
        <f t="shared" si="35"/>
        <v>0</v>
      </c>
    </row>
    <row r="762" spans="2:13" hidden="1" x14ac:dyDescent="0.25">
      <c r="B762" t="str">
        <f t="shared" si="33"/>
        <v>Crognaleto</v>
      </c>
      <c r="C762" s="50" t="s">
        <v>826</v>
      </c>
      <c r="D762" s="51" t="s">
        <v>2058</v>
      </c>
      <c r="E762" s="52" t="s">
        <v>896</v>
      </c>
      <c r="F762" s="50" t="s">
        <v>889</v>
      </c>
      <c r="G762" s="50" t="s">
        <v>890</v>
      </c>
      <c r="H762" s="53"/>
      <c r="I762" s="50" t="s">
        <v>2066</v>
      </c>
      <c r="J762" s="18">
        <f>+_xlfn.XLOOKUP(B762,Sheet3!B:B,Sheet3!J:J,0)</f>
        <v>0</v>
      </c>
      <c r="K762">
        <f t="shared" si="34"/>
        <v>0</v>
      </c>
      <c r="L762" s="54">
        <v>0</v>
      </c>
      <c r="M762" s="67">
        <f t="shared" si="35"/>
        <v>0</v>
      </c>
    </row>
    <row r="763" spans="2:13" hidden="1" x14ac:dyDescent="0.25">
      <c r="B763" t="str">
        <f t="shared" si="33"/>
        <v>Castelli</v>
      </c>
      <c r="C763" s="50" t="s">
        <v>826</v>
      </c>
      <c r="D763" s="51" t="s">
        <v>2058</v>
      </c>
      <c r="E763" s="52" t="s">
        <v>896</v>
      </c>
      <c r="F763" s="50" t="s">
        <v>889</v>
      </c>
      <c r="G763" s="50" t="s">
        <v>890</v>
      </c>
      <c r="H763" s="53"/>
      <c r="I763" s="50" t="s">
        <v>2067</v>
      </c>
      <c r="J763" s="18">
        <f>+_xlfn.XLOOKUP(B763,Sheet3!B:B,Sheet3!J:J,0)</f>
        <v>0</v>
      </c>
      <c r="K763">
        <f t="shared" si="34"/>
        <v>0</v>
      </c>
      <c r="L763" s="54">
        <v>0</v>
      </c>
      <c r="M763" s="67">
        <f t="shared" si="35"/>
        <v>0</v>
      </c>
    </row>
    <row r="764" spans="2:13" hidden="1" x14ac:dyDescent="0.25">
      <c r="B764" t="str">
        <f t="shared" si="33"/>
        <v>PennaSAndrea</v>
      </c>
      <c r="C764" s="50" t="s">
        <v>826</v>
      </c>
      <c r="D764" s="51" t="s">
        <v>2058</v>
      </c>
      <c r="E764" s="52" t="s">
        <v>896</v>
      </c>
      <c r="F764" s="50" t="s">
        <v>889</v>
      </c>
      <c r="G764" s="50" t="s">
        <v>890</v>
      </c>
      <c r="H764" s="53"/>
      <c r="I764" s="50" t="s">
        <v>2068</v>
      </c>
      <c r="J764" s="18">
        <f>+_xlfn.XLOOKUP(B764,Sheet3!B:B,Sheet3!J:J,0)</f>
        <v>0</v>
      </c>
      <c r="K764">
        <f t="shared" si="34"/>
        <v>0</v>
      </c>
      <c r="L764" s="54">
        <v>0</v>
      </c>
      <c r="M764" s="67">
        <f t="shared" si="35"/>
        <v>0</v>
      </c>
    </row>
    <row r="765" spans="2:13" hidden="1" x14ac:dyDescent="0.25">
      <c r="B765" t="str">
        <f t="shared" si="33"/>
        <v>FanoAdriano</v>
      </c>
      <c r="C765" s="50" t="s">
        <v>826</v>
      </c>
      <c r="D765" s="51" t="s">
        <v>2058</v>
      </c>
      <c r="E765" s="52" t="s">
        <v>896</v>
      </c>
      <c r="F765" s="50" t="s">
        <v>889</v>
      </c>
      <c r="G765" s="50" t="s">
        <v>890</v>
      </c>
      <c r="H765" s="53"/>
      <c r="I765" s="50" t="s">
        <v>2069</v>
      </c>
      <c r="J765" s="18">
        <f>+_xlfn.XLOOKUP(B765,Sheet3!B:B,Sheet3!J:J,0)</f>
        <v>0</v>
      </c>
      <c r="K765">
        <f t="shared" si="34"/>
        <v>0</v>
      </c>
      <c r="L765" s="54">
        <v>0</v>
      </c>
      <c r="M765" s="67">
        <f t="shared" si="35"/>
        <v>0</v>
      </c>
    </row>
    <row r="766" spans="2:13" hidden="1" x14ac:dyDescent="0.25">
      <c r="B766" t="str">
        <f t="shared" si="33"/>
        <v>Benevento</v>
      </c>
      <c r="C766" s="50" t="s">
        <v>826</v>
      </c>
      <c r="D766" s="51" t="s">
        <v>2070</v>
      </c>
      <c r="E766" s="52" t="s">
        <v>910</v>
      </c>
      <c r="F766" s="50" t="s">
        <v>889</v>
      </c>
      <c r="G766" s="50" t="s">
        <v>890</v>
      </c>
      <c r="H766" s="53"/>
      <c r="I766" s="50" t="s">
        <v>2071</v>
      </c>
      <c r="J766" s="18">
        <f>+_xlfn.XLOOKUP(B766,Sheet3!B:B,Sheet3!J:J,0)</f>
        <v>0</v>
      </c>
      <c r="K766">
        <f t="shared" si="34"/>
        <v>0</v>
      </c>
      <c r="L766" s="54">
        <v>0</v>
      </c>
      <c r="M766" s="67">
        <f t="shared" si="35"/>
        <v>0</v>
      </c>
    </row>
    <row r="767" spans="2:13" hidden="1" x14ac:dyDescent="0.25">
      <c r="B767" t="str">
        <f t="shared" si="33"/>
        <v>Santarcangelo</v>
      </c>
      <c r="C767" s="50" t="s">
        <v>826</v>
      </c>
      <c r="D767" s="51" t="s">
        <v>2070</v>
      </c>
      <c r="E767" s="52" t="s">
        <v>910</v>
      </c>
      <c r="F767" s="50" t="s">
        <v>889</v>
      </c>
      <c r="G767" s="50" t="s">
        <v>890</v>
      </c>
      <c r="H767" s="53"/>
      <c r="I767" s="50" t="s">
        <v>2072</v>
      </c>
      <c r="J767" s="18">
        <f>+_xlfn.XLOOKUP(B767,Sheet3!B:B,Sheet3!J:J,0)</f>
        <v>0</v>
      </c>
      <c r="K767">
        <f t="shared" si="34"/>
        <v>0</v>
      </c>
      <c r="L767" s="54">
        <v>0</v>
      </c>
      <c r="M767" s="67">
        <f t="shared" si="35"/>
        <v>0</v>
      </c>
    </row>
    <row r="768" spans="2:13" hidden="1" x14ac:dyDescent="0.25">
      <c r="B768" t="str">
        <f t="shared" si="33"/>
        <v>Pontelandolfo</v>
      </c>
      <c r="C768" s="50" t="s">
        <v>826</v>
      </c>
      <c r="D768" s="51" t="s">
        <v>2070</v>
      </c>
      <c r="E768" s="52" t="s">
        <v>910</v>
      </c>
      <c r="F768" s="50" t="s">
        <v>889</v>
      </c>
      <c r="G768" s="50" t="s">
        <v>890</v>
      </c>
      <c r="H768" s="53"/>
      <c r="I768" s="50" t="s">
        <v>2073</v>
      </c>
      <c r="J768" s="18">
        <f>+_xlfn.XLOOKUP(B768,Sheet3!B:B,Sheet3!J:J,0)</f>
        <v>0</v>
      </c>
      <c r="K768">
        <f t="shared" si="34"/>
        <v>0</v>
      </c>
      <c r="L768" s="54">
        <v>0</v>
      </c>
      <c r="M768" s="67">
        <f t="shared" si="35"/>
        <v>0</v>
      </c>
    </row>
    <row r="769" spans="2:13" hidden="1" x14ac:dyDescent="0.25">
      <c r="B769" t="str">
        <f t="shared" si="33"/>
        <v>Paupisi</v>
      </c>
      <c r="C769" s="50" t="s">
        <v>826</v>
      </c>
      <c r="D769" s="51" t="s">
        <v>2070</v>
      </c>
      <c r="E769" s="52" t="s">
        <v>910</v>
      </c>
      <c r="F769" s="50" t="s">
        <v>889</v>
      </c>
      <c r="G769" s="50" t="s">
        <v>890</v>
      </c>
      <c r="H769" s="53"/>
      <c r="I769" s="50" t="s">
        <v>2074</v>
      </c>
      <c r="J769" s="18">
        <f>+_xlfn.XLOOKUP(B769,Sheet3!B:B,Sheet3!J:J,0)</f>
        <v>0</v>
      </c>
      <c r="K769">
        <f t="shared" si="34"/>
        <v>0</v>
      </c>
      <c r="L769" s="54">
        <v>0</v>
      </c>
      <c r="M769" s="67">
        <f t="shared" si="35"/>
        <v>0</v>
      </c>
    </row>
    <row r="770" spans="2:13" hidden="1" x14ac:dyDescent="0.25">
      <c r="B770" t="str">
        <f t="shared" si="33"/>
        <v>Torrecuso</v>
      </c>
      <c r="C770" s="50" t="s">
        <v>826</v>
      </c>
      <c r="D770" s="51" t="s">
        <v>2070</v>
      </c>
      <c r="E770" s="52" t="s">
        <v>910</v>
      </c>
      <c r="F770" s="50" t="s">
        <v>889</v>
      </c>
      <c r="G770" s="50" t="s">
        <v>890</v>
      </c>
      <c r="H770" s="53"/>
      <c r="I770" s="50" t="s">
        <v>2075</v>
      </c>
      <c r="J770" s="18">
        <f>+_xlfn.XLOOKUP(B770,Sheet3!B:B,Sheet3!J:J,0)</f>
        <v>0</v>
      </c>
      <c r="K770">
        <f t="shared" si="34"/>
        <v>0</v>
      </c>
      <c r="L770" s="54">
        <v>0</v>
      </c>
      <c r="M770" s="67">
        <f t="shared" si="35"/>
        <v>0</v>
      </c>
    </row>
    <row r="771" spans="2:13" hidden="1" x14ac:dyDescent="0.25">
      <c r="B771" t="str">
        <f t="shared" si="33"/>
        <v>SanBartolomeo</v>
      </c>
      <c r="C771" s="50" t="s">
        <v>826</v>
      </c>
      <c r="D771" s="51" t="s">
        <v>2070</v>
      </c>
      <c r="E771" s="52" t="s">
        <v>910</v>
      </c>
      <c r="F771" s="50" t="s">
        <v>889</v>
      </c>
      <c r="G771" s="50" t="s">
        <v>890</v>
      </c>
      <c r="H771" s="53"/>
      <c r="I771" s="50" t="s">
        <v>2076</v>
      </c>
      <c r="J771" s="18">
        <f>+_xlfn.XLOOKUP(B771,Sheet3!B:B,Sheet3!J:J,0)</f>
        <v>0</v>
      </c>
      <c r="K771">
        <f t="shared" si="34"/>
        <v>0</v>
      </c>
      <c r="L771" s="54">
        <v>0</v>
      </c>
      <c r="M771" s="67">
        <f t="shared" si="35"/>
        <v>0</v>
      </c>
    </row>
    <row r="772" spans="2:13" hidden="1" x14ac:dyDescent="0.25">
      <c r="B772" t="str">
        <f t="shared" ref="B772:B835" si="36">+I772&amp;H772</f>
        <v>Sanleucio</v>
      </c>
      <c r="C772" s="50" t="s">
        <v>826</v>
      </c>
      <c r="D772" s="51" t="s">
        <v>2070</v>
      </c>
      <c r="E772" s="52" t="s">
        <v>910</v>
      </c>
      <c r="F772" s="50" t="s">
        <v>889</v>
      </c>
      <c r="G772" s="50" t="s">
        <v>890</v>
      </c>
      <c r="H772" s="53"/>
      <c r="I772" s="50" t="s">
        <v>2077</v>
      </c>
      <c r="J772" s="18">
        <f>+_xlfn.XLOOKUP(B772,Sheet3!B:B,Sheet3!J:J,0)</f>
        <v>0</v>
      </c>
      <c r="K772">
        <f t="shared" ref="K772:K835" si="37">+J772/6*8</f>
        <v>0</v>
      </c>
      <c r="L772" s="54">
        <v>0</v>
      </c>
      <c r="M772" s="67">
        <f t="shared" ref="M772:M835" si="38">+L772-K772</f>
        <v>0</v>
      </c>
    </row>
    <row r="773" spans="2:13" hidden="1" x14ac:dyDescent="0.25">
      <c r="B773" t="str">
        <f t="shared" si="36"/>
        <v>Molinara</v>
      </c>
      <c r="C773" s="50" t="s">
        <v>826</v>
      </c>
      <c r="D773" s="51" t="s">
        <v>2070</v>
      </c>
      <c r="E773" s="52" t="s">
        <v>910</v>
      </c>
      <c r="F773" s="50" t="s">
        <v>889</v>
      </c>
      <c r="G773" s="50" t="s">
        <v>890</v>
      </c>
      <c r="H773" s="53"/>
      <c r="I773" s="50" t="s">
        <v>2078</v>
      </c>
      <c r="J773" s="18">
        <f>+_xlfn.XLOOKUP(B773,Sheet3!B:B,Sheet3!J:J,0)</f>
        <v>0</v>
      </c>
      <c r="K773">
        <f t="shared" si="37"/>
        <v>0</v>
      </c>
      <c r="L773" s="54">
        <v>0</v>
      </c>
      <c r="M773" s="67">
        <f t="shared" si="38"/>
        <v>0</v>
      </c>
    </row>
    <row r="774" spans="2:13" hidden="1" x14ac:dyDescent="0.25">
      <c r="B774" t="str">
        <f t="shared" si="36"/>
        <v>Calvi</v>
      </c>
      <c r="C774" s="50" t="s">
        <v>826</v>
      </c>
      <c r="D774" s="51" t="s">
        <v>2070</v>
      </c>
      <c r="E774" s="52" t="s">
        <v>910</v>
      </c>
      <c r="F774" s="50" t="s">
        <v>889</v>
      </c>
      <c r="G774" s="50" t="s">
        <v>890</v>
      </c>
      <c r="H774" s="53"/>
      <c r="I774" s="50" t="s">
        <v>2079</v>
      </c>
      <c r="J774" s="18">
        <f>+_xlfn.XLOOKUP(B774,Sheet3!B:B,Sheet3!J:J,0)</f>
        <v>0</v>
      </c>
      <c r="K774">
        <f t="shared" si="37"/>
        <v>0</v>
      </c>
      <c r="L774" s="54">
        <v>0</v>
      </c>
      <c r="M774" s="67">
        <f t="shared" si="38"/>
        <v>0</v>
      </c>
    </row>
    <row r="775" spans="2:13" hidden="1" x14ac:dyDescent="0.25">
      <c r="B775" t="str">
        <f t="shared" si="36"/>
        <v>Ponte</v>
      </c>
      <c r="C775" s="50" t="s">
        <v>826</v>
      </c>
      <c r="D775" s="51" t="s">
        <v>2070</v>
      </c>
      <c r="E775" s="52" t="s">
        <v>910</v>
      </c>
      <c r="F775" s="50" t="s">
        <v>889</v>
      </c>
      <c r="G775" s="50" t="s">
        <v>890</v>
      </c>
      <c r="H775" s="53"/>
      <c r="I775" s="50" t="s">
        <v>2080</v>
      </c>
      <c r="J775" s="18">
        <f>+_xlfn.XLOOKUP(B775,Sheet3!B:B,Sheet3!J:J,0)</f>
        <v>0</v>
      </c>
      <c r="K775">
        <f t="shared" si="37"/>
        <v>0</v>
      </c>
      <c r="L775" s="54">
        <v>0</v>
      </c>
      <c r="M775" s="67">
        <f t="shared" si="38"/>
        <v>0</v>
      </c>
    </row>
    <row r="776" spans="2:13" hidden="1" x14ac:dyDescent="0.25">
      <c r="B776" t="str">
        <f t="shared" si="36"/>
        <v>Boscotrecase</v>
      </c>
      <c r="C776" s="50" t="s">
        <v>826</v>
      </c>
      <c r="D776" s="51" t="s">
        <v>2081</v>
      </c>
      <c r="E776" s="52" t="s">
        <v>910</v>
      </c>
      <c r="F776" s="50" t="s">
        <v>889</v>
      </c>
      <c r="G776" s="50" t="s">
        <v>890</v>
      </c>
      <c r="H776" s="53"/>
      <c r="I776" s="50" t="s">
        <v>2082</v>
      </c>
      <c r="J776" s="18">
        <f>+_xlfn.XLOOKUP(B776,Sheet3!B:B,Sheet3!J:J,0)</f>
        <v>0</v>
      </c>
      <c r="K776">
        <f t="shared" si="37"/>
        <v>0</v>
      </c>
      <c r="L776" s="54">
        <v>0</v>
      </c>
      <c r="M776" s="67">
        <f t="shared" si="38"/>
        <v>0</v>
      </c>
    </row>
    <row r="777" spans="2:13" hidden="1" x14ac:dyDescent="0.25">
      <c r="B777" t="str">
        <f t="shared" si="36"/>
        <v>Sant'Antimo</v>
      </c>
      <c r="C777" s="50" t="s">
        <v>826</v>
      </c>
      <c r="D777" s="51" t="s">
        <v>2081</v>
      </c>
      <c r="E777" s="52" t="s">
        <v>910</v>
      </c>
      <c r="F777" s="50" t="s">
        <v>889</v>
      </c>
      <c r="G777" s="50" t="s">
        <v>890</v>
      </c>
      <c r="H777" s="53"/>
      <c r="I777" s="50" t="s">
        <v>2083</v>
      </c>
      <c r="J777" s="18">
        <f>+_xlfn.XLOOKUP(B777,Sheet3!B:B,Sheet3!J:J,0)</f>
        <v>0</v>
      </c>
      <c r="K777">
        <f t="shared" si="37"/>
        <v>0</v>
      </c>
      <c r="L777" s="54">
        <v>0</v>
      </c>
      <c r="M777" s="67">
        <f t="shared" si="38"/>
        <v>0</v>
      </c>
    </row>
    <row r="778" spans="2:13" hidden="1" x14ac:dyDescent="0.25">
      <c r="B778" t="str">
        <f t="shared" si="36"/>
        <v>Zelo Buon Persico</v>
      </c>
      <c r="C778" s="50" t="s">
        <v>826</v>
      </c>
      <c r="D778" s="51" t="s">
        <v>2084</v>
      </c>
      <c r="E778" s="52" t="s">
        <v>888</v>
      </c>
      <c r="F778" s="50" t="s">
        <v>889</v>
      </c>
      <c r="G778" s="50" t="s">
        <v>890</v>
      </c>
      <c r="H778" s="53"/>
      <c r="I778" s="50" t="s">
        <v>2085</v>
      </c>
      <c r="J778" s="18">
        <f>+_xlfn.XLOOKUP(B778,Sheet3!B:B,Sheet3!J:J,0)</f>
        <v>0</v>
      </c>
      <c r="K778">
        <f t="shared" si="37"/>
        <v>0</v>
      </c>
      <c r="L778" s="54">
        <v>0</v>
      </c>
      <c r="M778" s="67">
        <f t="shared" si="38"/>
        <v>0</v>
      </c>
    </row>
    <row r="779" spans="2:13" hidden="1" x14ac:dyDescent="0.25">
      <c r="B779" t="str">
        <f t="shared" si="36"/>
        <v>Maletto</v>
      </c>
      <c r="C779" s="50" t="s">
        <v>826</v>
      </c>
      <c r="D779" s="51" t="s">
        <v>2086</v>
      </c>
      <c r="E779" s="52" t="s">
        <v>910</v>
      </c>
      <c r="F779" s="50" t="s">
        <v>889</v>
      </c>
      <c r="G779" s="50" t="s">
        <v>890</v>
      </c>
      <c r="H779" s="53"/>
      <c r="I779" s="50" t="s">
        <v>2087</v>
      </c>
      <c r="J779" s="18">
        <f>+_xlfn.XLOOKUP(B779,Sheet3!B:B,Sheet3!J:J,0)</f>
        <v>0</v>
      </c>
      <c r="K779">
        <f t="shared" si="37"/>
        <v>0</v>
      </c>
      <c r="L779" s="54">
        <v>0</v>
      </c>
      <c r="M779" s="67">
        <f t="shared" si="38"/>
        <v>0</v>
      </c>
    </row>
    <row r="780" spans="2:13" hidden="1" x14ac:dyDescent="0.25">
      <c r="B780" t="str">
        <f t="shared" si="36"/>
        <v>Villa</v>
      </c>
      <c r="C780" s="50" t="s">
        <v>826</v>
      </c>
      <c r="D780" s="51" t="s">
        <v>2086</v>
      </c>
      <c r="E780" s="52" t="s">
        <v>888</v>
      </c>
      <c r="F780" s="50" t="s">
        <v>889</v>
      </c>
      <c r="G780" s="50" t="s">
        <v>890</v>
      </c>
      <c r="H780" s="53"/>
      <c r="I780" s="50" t="s">
        <v>2088</v>
      </c>
      <c r="J780" s="18">
        <f>+_xlfn.XLOOKUP(B780,Sheet3!B:B,Sheet3!J:J,0)</f>
        <v>0</v>
      </c>
      <c r="K780">
        <f t="shared" si="37"/>
        <v>0</v>
      </c>
      <c r="L780" s="54">
        <v>0</v>
      </c>
      <c r="M780" s="67">
        <f t="shared" si="38"/>
        <v>0</v>
      </c>
    </row>
    <row r="781" spans="2:13" hidden="1" x14ac:dyDescent="0.25">
      <c r="B781" t="str">
        <f t="shared" si="36"/>
        <v>Colorina</v>
      </c>
      <c r="C781" s="50" t="s">
        <v>826</v>
      </c>
      <c r="D781" s="51" t="s">
        <v>2086</v>
      </c>
      <c r="E781" s="52" t="s">
        <v>888</v>
      </c>
      <c r="F781" s="50" t="s">
        <v>889</v>
      </c>
      <c r="G781" s="50" t="s">
        <v>890</v>
      </c>
      <c r="H781" s="53"/>
      <c r="I781" s="50" t="s">
        <v>2089</v>
      </c>
      <c r="J781" s="18">
        <f>+_xlfn.XLOOKUP(B781,Sheet3!B:B,Sheet3!J:J,0)</f>
        <v>0</v>
      </c>
      <c r="K781">
        <f t="shared" si="37"/>
        <v>0</v>
      </c>
      <c r="L781" s="54">
        <v>0</v>
      </c>
      <c r="M781" s="67">
        <f t="shared" si="38"/>
        <v>0</v>
      </c>
    </row>
    <row r="782" spans="2:13" hidden="1" x14ac:dyDescent="0.25">
      <c r="B782" t="str">
        <f t="shared" si="36"/>
        <v>Tito</v>
      </c>
      <c r="C782" s="50" t="s">
        <v>826</v>
      </c>
      <c r="D782" s="51" t="s">
        <v>2086</v>
      </c>
      <c r="E782" s="52" t="s">
        <v>910</v>
      </c>
      <c r="F782" s="50" t="s">
        <v>889</v>
      </c>
      <c r="G782" s="50" t="s">
        <v>890</v>
      </c>
      <c r="H782" s="53"/>
      <c r="I782" s="50" t="s">
        <v>2090</v>
      </c>
      <c r="J782" s="18">
        <f>+_xlfn.XLOOKUP(B782,Sheet3!B:B,Sheet3!J:J,0)</f>
        <v>0</v>
      </c>
      <c r="K782">
        <f t="shared" si="37"/>
        <v>0</v>
      </c>
      <c r="L782" s="54">
        <v>0</v>
      </c>
      <c r="M782" s="67">
        <f t="shared" si="38"/>
        <v>0</v>
      </c>
    </row>
    <row r="783" spans="2:13" hidden="1" x14ac:dyDescent="0.25">
      <c r="B783" t="str">
        <f t="shared" si="36"/>
        <v>Sapri</v>
      </c>
      <c r="C783" s="50" t="s">
        <v>826</v>
      </c>
      <c r="D783" s="51" t="s">
        <v>2086</v>
      </c>
      <c r="E783" s="52" t="s">
        <v>910</v>
      </c>
      <c r="F783" s="50" t="s">
        <v>889</v>
      </c>
      <c r="G783" s="50" t="s">
        <v>890</v>
      </c>
      <c r="H783" s="53"/>
      <c r="I783" s="50" t="s">
        <v>2091</v>
      </c>
      <c r="J783" s="18">
        <f>+_xlfn.XLOOKUP(B783,Sheet3!B:B,Sheet3!J:J,0)</f>
        <v>0</v>
      </c>
      <c r="K783">
        <f t="shared" si="37"/>
        <v>0</v>
      </c>
      <c r="L783" s="54">
        <v>0</v>
      </c>
      <c r="M783" s="67">
        <f t="shared" si="38"/>
        <v>0</v>
      </c>
    </row>
    <row r="784" spans="2:13" hidden="1" x14ac:dyDescent="0.25">
      <c r="B784" t="str">
        <f t="shared" si="36"/>
        <v>Tagliacozzo</v>
      </c>
      <c r="C784" s="50" t="s">
        <v>826</v>
      </c>
      <c r="D784" s="51" t="s">
        <v>2092</v>
      </c>
      <c r="E784" s="52" t="s">
        <v>896</v>
      </c>
      <c r="F784" s="50" t="s">
        <v>889</v>
      </c>
      <c r="G784" s="50" t="s">
        <v>890</v>
      </c>
      <c r="H784" s="53"/>
      <c r="I784" s="50" t="s">
        <v>2093</v>
      </c>
      <c r="J784" s="18">
        <f>+_xlfn.XLOOKUP(B784,Sheet3!B:B,Sheet3!J:J,0)</f>
        <v>0</v>
      </c>
      <c r="K784">
        <f t="shared" si="37"/>
        <v>0</v>
      </c>
      <c r="L784" s="54">
        <v>0</v>
      </c>
      <c r="M784" s="67">
        <f t="shared" si="38"/>
        <v>0</v>
      </c>
    </row>
    <row r="785" spans="2:13" hidden="1" x14ac:dyDescent="0.25">
      <c r="B785" t="str">
        <f t="shared" si="36"/>
        <v>Ischia 2</v>
      </c>
      <c r="C785" s="50" t="s">
        <v>826</v>
      </c>
      <c r="D785" s="51" t="s">
        <v>978</v>
      </c>
      <c r="E785" s="52" t="s">
        <v>910</v>
      </c>
      <c r="F785" s="50" t="s">
        <v>889</v>
      </c>
      <c r="G785" s="50" t="s">
        <v>890</v>
      </c>
      <c r="H785" s="53"/>
      <c r="I785" s="50" t="s">
        <v>2094</v>
      </c>
      <c r="J785" s="18">
        <f>+_xlfn.XLOOKUP(B785,Sheet3!B:B,Sheet3!J:J,0)</f>
        <v>0</v>
      </c>
      <c r="K785">
        <f t="shared" si="37"/>
        <v>0</v>
      </c>
      <c r="L785" s="54">
        <v>0</v>
      </c>
      <c r="M785" s="67">
        <f t="shared" si="38"/>
        <v>0</v>
      </c>
    </row>
    <row r="786" spans="2:13" hidden="1" x14ac:dyDescent="0.25">
      <c r="B786" t="str">
        <f t="shared" si="36"/>
        <v>Somma Vesuviana 2</v>
      </c>
      <c r="C786" s="50" t="s">
        <v>826</v>
      </c>
      <c r="D786" s="51" t="s">
        <v>2095</v>
      </c>
      <c r="E786" s="52" t="s">
        <v>910</v>
      </c>
      <c r="F786" s="50" t="s">
        <v>889</v>
      </c>
      <c r="G786" s="50" t="s">
        <v>890</v>
      </c>
      <c r="H786" s="53"/>
      <c r="I786" s="50" t="s">
        <v>2096</v>
      </c>
      <c r="J786" s="18">
        <f>+_xlfn.XLOOKUP(B786,Sheet3!B:B,Sheet3!J:J,0)</f>
        <v>0</v>
      </c>
      <c r="K786">
        <f t="shared" si="37"/>
        <v>0</v>
      </c>
      <c r="L786" s="54">
        <v>0</v>
      </c>
      <c r="M786" s="67">
        <f t="shared" si="38"/>
        <v>0</v>
      </c>
    </row>
    <row r="787" spans="2:13" hidden="1" x14ac:dyDescent="0.25">
      <c r="B787" t="str">
        <f t="shared" si="36"/>
        <v>Vietri sul Mare 2</v>
      </c>
      <c r="C787" s="50" t="s">
        <v>826</v>
      </c>
      <c r="D787" s="51" t="s">
        <v>2097</v>
      </c>
      <c r="E787" s="52" t="s">
        <v>910</v>
      </c>
      <c r="F787" s="50" t="s">
        <v>889</v>
      </c>
      <c r="G787" s="50" t="s">
        <v>890</v>
      </c>
      <c r="H787" s="53"/>
      <c r="I787" s="50" t="s">
        <v>2098</v>
      </c>
      <c r="J787" s="18">
        <f>+_xlfn.XLOOKUP(B787,Sheet3!B:B,Sheet3!J:J,0)</f>
        <v>0</v>
      </c>
      <c r="K787">
        <f t="shared" si="37"/>
        <v>0</v>
      </c>
      <c r="L787" s="54">
        <v>0</v>
      </c>
      <c r="M787" s="67">
        <f t="shared" si="38"/>
        <v>0</v>
      </c>
    </row>
    <row r="788" spans="2:13" hidden="1" x14ac:dyDescent="0.25">
      <c r="B788" t="str">
        <f t="shared" si="36"/>
        <v>Comune1 PL</v>
      </c>
      <c r="C788" s="50" t="s">
        <v>826</v>
      </c>
      <c r="D788" s="51" t="s">
        <v>2099</v>
      </c>
      <c r="E788" s="52" t="s">
        <v>888</v>
      </c>
      <c r="F788" s="50" t="s">
        <v>889</v>
      </c>
      <c r="G788" s="50" t="s">
        <v>890</v>
      </c>
      <c r="H788" s="53"/>
      <c r="I788" s="50" t="s">
        <v>2100</v>
      </c>
      <c r="J788" s="18">
        <f>+_xlfn.XLOOKUP(B788,Sheet3!B:B,Sheet3!J:J,0)</f>
        <v>0</v>
      </c>
      <c r="K788">
        <f t="shared" si="37"/>
        <v>0</v>
      </c>
      <c r="L788" s="54">
        <v>0</v>
      </c>
      <c r="M788" s="67">
        <f t="shared" si="38"/>
        <v>0</v>
      </c>
    </row>
    <row r="789" spans="2:13" hidden="1" x14ac:dyDescent="0.25">
      <c r="B789" t="str">
        <f t="shared" si="36"/>
        <v>Comune2 PL</v>
      </c>
      <c r="C789" s="50" t="s">
        <v>826</v>
      </c>
      <c r="D789" s="51" t="s">
        <v>2099</v>
      </c>
      <c r="E789" s="52" t="s">
        <v>888</v>
      </c>
      <c r="F789" s="50" t="s">
        <v>889</v>
      </c>
      <c r="G789" s="50" t="s">
        <v>890</v>
      </c>
      <c r="H789" s="53"/>
      <c r="I789" s="50" t="s">
        <v>2101</v>
      </c>
      <c r="J789" s="18">
        <f>+_xlfn.XLOOKUP(B789,Sheet3!B:B,Sheet3!J:J,0)</f>
        <v>0</v>
      </c>
      <c r="K789">
        <f t="shared" si="37"/>
        <v>0</v>
      </c>
      <c r="L789" s="54">
        <v>0</v>
      </c>
      <c r="M789" s="67">
        <f t="shared" si="38"/>
        <v>0</v>
      </c>
    </row>
    <row r="790" spans="2:13" hidden="1" x14ac:dyDescent="0.25">
      <c r="B790" t="str">
        <f t="shared" si="36"/>
        <v>Comune3 PL</v>
      </c>
      <c r="C790" s="50" t="s">
        <v>826</v>
      </c>
      <c r="D790" s="51" t="s">
        <v>2099</v>
      </c>
      <c r="E790" s="52" t="s">
        <v>888</v>
      </c>
      <c r="F790" s="50" t="s">
        <v>889</v>
      </c>
      <c r="G790" s="50" t="s">
        <v>890</v>
      </c>
      <c r="H790" s="53"/>
      <c r="I790" s="50" t="s">
        <v>2102</v>
      </c>
      <c r="J790" s="18">
        <f>+_xlfn.XLOOKUP(B790,Sheet3!B:B,Sheet3!J:J,0)</f>
        <v>0</v>
      </c>
      <c r="K790">
        <f t="shared" si="37"/>
        <v>0</v>
      </c>
      <c r="L790" s="54">
        <v>0</v>
      </c>
      <c r="M790" s="67">
        <f t="shared" si="38"/>
        <v>0</v>
      </c>
    </row>
    <row r="791" spans="2:13" hidden="1" x14ac:dyDescent="0.25">
      <c r="B791" t="str">
        <f t="shared" si="36"/>
        <v>Piedimonte Etneo</v>
      </c>
      <c r="C791" s="50" t="s">
        <v>826</v>
      </c>
      <c r="D791" s="51" t="s">
        <v>2103</v>
      </c>
      <c r="E791" s="52" t="s">
        <v>910</v>
      </c>
      <c r="F791" s="50" t="s">
        <v>889</v>
      </c>
      <c r="G791" s="50" t="s">
        <v>890</v>
      </c>
      <c r="H791" s="53"/>
      <c r="I791" s="50" t="s">
        <v>2104</v>
      </c>
      <c r="J791" s="18">
        <f>+_xlfn.XLOOKUP(B791,Sheet3!B:B,Sheet3!J:J,0)</f>
        <v>0</v>
      </c>
      <c r="K791">
        <f t="shared" si="37"/>
        <v>0</v>
      </c>
      <c r="L791" s="54">
        <v>0</v>
      </c>
      <c r="M791" s="67">
        <f t="shared" si="38"/>
        <v>0</v>
      </c>
    </row>
    <row r="792" spans="2:13" hidden="1" x14ac:dyDescent="0.25">
      <c r="B792" t="str">
        <f t="shared" si="36"/>
        <v>Sant'Agata Li Battiati</v>
      </c>
      <c r="C792" s="50" t="s">
        <v>826</v>
      </c>
      <c r="D792" s="51" t="s">
        <v>2103</v>
      </c>
      <c r="E792" s="52" t="s">
        <v>910</v>
      </c>
      <c r="F792" s="50" t="s">
        <v>889</v>
      </c>
      <c r="G792" s="50" t="s">
        <v>890</v>
      </c>
      <c r="H792" s="53"/>
      <c r="I792" s="50" t="s">
        <v>2105</v>
      </c>
      <c r="J792" s="18">
        <f>+_xlfn.XLOOKUP(B792,Sheet3!B:B,Sheet3!J:J,0)</f>
        <v>0</v>
      </c>
      <c r="K792">
        <f t="shared" si="37"/>
        <v>0</v>
      </c>
      <c r="L792" s="54">
        <v>0</v>
      </c>
      <c r="M792" s="67">
        <f t="shared" si="38"/>
        <v>0</v>
      </c>
    </row>
    <row r="793" spans="2:13" hidden="1" x14ac:dyDescent="0.25">
      <c r="B793" t="str">
        <f t="shared" si="36"/>
        <v>Milo</v>
      </c>
      <c r="C793" s="50" t="s">
        <v>826</v>
      </c>
      <c r="D793" s="51" t="s">
        <v>2103</v>
      </c>
      <c r="E793" s="52" t="s">
        <v>910</v>
      </c>
      <c r="F793" s="50" t="s">
        <v>889</v>
      </c>
      <c r="G793" s="50" t="s">
        <v>890</v>
      </c>
      <c r="H793" s="53"/>
      <c r="I793" s="50" t="s">
        <v>2106</v>
      </c>
      <c r="J793" s="18">
        <f>+_xlfn.XLOOKUP(B793,Sheet3!B:B,Sheet3!J:J,0)</f>
        <v>0</v>
      </c>
      <c r="K793">
        <f t="shared" si="37"/>
        <v>0</v>
      </c>
      <c r="L793" s="54">
        <v>0</v>
      </c>
      <c r="M793" s="67">
        <f t="shared" si="38"/>
        <v>0</v>
      </c>
    </row>
    <row r="794" spans="2:13" hidden="1" x14ac:dyDescent="0.25">
      <c r="B794" t="str">
        <f t="shared" si="36"/>
        <v>X-Bus</v>
      </c>
      <c r="C794" s="50" t="s">
        <v>826</v>
      </c>
      <c r="D794" s="51" t="s">
        <v>2107</v>
      </c>
      <c r="E794" s="52" t="s">
        <v>896</v>
      </c>
      <c r="F794" s="50" t="s">
        <v>2108</v>
      </c>
      <c r="G794" s="50" t="s">
        <v>890</v>
      </c>
      <c r="H794" s="53"/>
      <c r="I794" s="50" t="s">
        <v>2107</v>
      </c>
      <c r="J794" s="18">
        <f>+_xlfn.XLOOKUP(B794,Sheet3!B:B,Sheet3!J:J,0)</f>
        <v>0</v>
      </c>
      <c r="K794">
        <f t="shared" si="37"/>
        <v>0</v>
      </c>
      <c r="L794" s="54">
        <v>0</v>
      </c>
      <c r="M794" s="67">
        <f t="shared" si="38"/>
        <v>0</v>
      </c>
    </row>
    <row r="795" spans="2:13" hidden="1" x14ac:dyDescent="0.25">
      <c r="B795" t="str">
        <f t="shared" si="36"/>
        <v>San Giorgio Jonico PV</v>
      </c>
      <c r="C795" s="50" t="s">
        <v>826</v>
      </c>
      <c r="D795" s="51" t="s">
        <v>887</v>
      </c>
      <c r="E795" s="52" t="s">
        <v>910</v>
      </c>
      <c r="F795" s="50" t="s">
        <v>897</v>
      </c>
      <c r="G795" s="50" t="s">
        <v>890</v>
      </c>
      <c r="H795" s="53"/>
      <c r="I795" s="50" t="s">
        <v>2109</v>
      </c>
      <c r="J795" s="18">
        <f>+_xlfn.XLOOKUP(B795,Sheet3!B:B,Sheet3!J:J,0)</f>
        <v>0</v>
      </c>
      <c r="K795">
        <f t="shared" si="37"/>
        <v>0</v>
      </c>
      <c r="L795" s="54">
        <v>0</v>
      </c>
      <c r="M795" s="67">
        <f t="shared" si="38"/>
        <v>0</v>
      </c>
    </row>
    <row r="796" spans="2:13" hidden="1" x14ac:dyDescent="0.25">
      <c r="B796" t="str">
        <f t="shared" si="36"/>
        <v>Taviano PV</v>
      </c>
      <c r="C796" s="50" t="s">
        <v>826</v>
      </c>
      <c r="D796" s="51" t="s">
        <v>887</v>
      </c>
      <c r="E796" s="52" t="s">
        <v>910</v>
      </c>
      <c r="F796" s="50" t="s">
        <v>897</v>
      </c>
      <c r="G796" s="50" t="s">
        <v>890</v>
      </c>
      <c r="H796" s="53"/>
      <c r="I796" s="50" t="s">
        <v>2110</v>
      </c>
      <c r="J796" s="18">
        <f>+_xlfn.XLOOKUP(B796,Sheet3!B:B,Sheet3!J:J,0)</f>
        <v>0</v>
      </c>
      <c r="K796">
        <f t="shared" si="37"/>
        <v>0</v>
      </c>
      <c r="L796" s="54">
        <v>0</v>
      </c>
      <c r="M796" s="67">
        <f t="shared" si="38"/>
        <v>0</v>
      </c>
    </row>
    <row r="797" spans="2:13" hidden="1" x14ac:dyDescent="0.25">
      <c r="B797" t="str">
        <f t="shared" si="36"/>
        <v>Tricase PV</v>
      </c>
      <c r="C797" s="50" t="s">
        <v>826</v>
      </c>
      <c r="D797" s="51" t="s">
        <v>887</v>
      </c>
      <c r="E797" s="52" t="s">
        <v>910</v>
      </c>
      <c r="F797" s="50" t="s">
        <v>897</v>
      </c>
      <c r="G797" s="50" t="s">
        <v>890</v>
      </c>
      <c r="H797" s="53"/>
      <c r="I797" s="50" t="s">
        <v>2026</v>
      </c>
      <c r="J797" s="18">
        <f>+_xlfn.XLOOKUP(B797,Sheet3!B:B,Sheet3!J:J,0)</f>
        <v>0</v>
      </c>
      <c r="K797">
        <f t="shared" si="37"/>
        <v>0</v>
      </c>
      <c r="L797" s="54">
        <v>0</v>
      </c>
      <c r="M797" s="67">
        <f t="shared" si="38"/>
        <v>0</v>
      </c>
    </row>
    <row r="798" spans="2:13" hidden="1" x14ac:dyDescent="0.25">
      <c r="B798" t="str">
        <f t="shared" si="36"/>
        <v>Ugento PV</v>
      </c>
      <c r="C798" s="50" t="s">
        <v>826</v>
      </c>
      <c r="D798" s="51" t="s">
        <v>887</v>
      </c>
      <c r="E798" s="52" t="s">
        <v>910</v>
      </c>
      <c r="F798" s="50" t="s">
        <v>897</v>
      </c>
      <c r="G798" s="50" t="s">
        <v>890</v>
      </c>
      <c r="H798" s="53"/>
      <c r="I798" s="50" t="s">
        <v>2111</v>
      </c>
      <c r="J798" s="18">
        <f>+_xlfn.XLOOKUP(B798,Sheet3!B:B,Sheet3!J:J,0)</f>
        <v>0</v>
      </c>
      <c r="K798">
        <f t="shared" si="37"/>
        <v>0</v>
      </c>
      <c r="L798" s="54">
        <v>0</v>
      </c>
      <c r="M798" s="67">
        <f t="shared" si="38"/>
        <v>0</v>
      </c>
    </row>
    <row r="799" spans="2:13" hidden="1" x14ac:dyDescent="0.25">
      <c r="B799" t="str">
        <f t="shared" si="36"/>
        <v>Casarano</v>
      </c>
      <c r="C799" s="50" t="s">
        <v>826</v>
      </c>
      <c r="D799" s="51" t="s">
        <v>2112</v>
      </c>
      <c r="E799" s="52" t="s">
        <v>910</v>
      </c>
      <c r="F799" s="50" t="s">
        <v>889</v>
      </c>
      <c r="G799" s="50" t="s">
        <v>890</v>
      </c>
      <c r="H799" s="53"/>
      <c r="I799" s="50" t="s">
        <v>2113</v>
      </c>
      <c r="J799" s="18">
        <f>+_xlfn.XLOOKUP(B799,Sheet3!B:B,Sheet3!J:J,0)</f>
        <v>0</v>
      </c>
      <c r="K799">
        <f t="shared" si="37"/>
        <v>0</v>
      </c>
      <c r="L799" s="54">
        <v>0</v>
      </c>
      <c r="M799" s="67">
        <f t="shared" si="38"/>
        <v>0</v>
      </c>
    </row>
    <row r="800" spans="2:13" hidden="1" x14ac:dyDescent="0.25">
      <c r="B800" t="str">
        <f t="shared" si="36"/>
        <v>Castrignano</v>
      </c>
      <c r="C800" s="50" t="s">
        <v>826</v>
      </c>
      <c r="D800" s="51" t="s">
        <v>2112</v>
      </c>
      <c r="E800" s="52" t="s">
        <v>910</v>
      </c>
      <c r="F800" s="50" t="s">
        <v>889</v>
      </c>
      <c r="G800" s="50" t="s">
        <v>890</v>
      </c>
      <c r="H800" s="53"/>
      <c r="I800" s="50" t="s">
        <v>2114</v>
      </c>
      <c r="J800" s="18">
        <f>+_xlfn.XLOOKUP(B800,Sheet3!B:B,Sheet3!J:J,0)</f>
        <v>0</v>
      </c>
      <c r="K800">
        <f t="shared" si="37"/>
        <v>0</v>
      </c>
      <c r="L800" s="54">
        <v>0</v>
      </c>
      <c r="M800" s="67">
        <f t="shared" si="38"/>
        <v>0</v>
      </c>
    </row>
    <row r="801" spans="2:13" hidden="1" x14ac:dyDescent="0.25">
      <c r="B801" t="str">
        <f t="shared" si="36"/>
        <v>Comune1 PB</v>
      </c>
      <c r="C801" s="50" t="s">
        <v>826</v>
      </c>
      <c r="D801" s="51" t="s">
        <v>2099</v>
      </c>
      <c r="E801" s="52" t="s">
        <v>888</v>
      </c>
      <c r="F801" s="50" t="s">
        <v>965</v>
      </c>
      <c r="G801" s="50" t="s">
        <v>890</v>
      </c>
      <c r="H801" s="53"/>
      <c r="I801" s="50" t="s">
        <v>2115</v>
      </c>
      <c r="J801" s="18">
        <f>+_xlfn.XLOOKUP(B801,Sheet3!B:B,Sheet3!J:J,0)</f>
        <v>0</v>
      </c>
      <c r="K801">
        <f t="shared" si="37"/>
        <v>0</v>
      </c>
      <c r="L801" s="54">
        <v>0</v>
      </c>
      <c r="M801" s="67">
        <f t="shared" si="38"/>
        <v>0</v>
      </c>
    </row>
    <row r="802" spans="2:13" hidden="1" x14ac:dyDescent="0.25">
      <c r="B802" t="str">
        <f t="shared" si="36"/>
        <v>Comune2 PB</v>
      </c>
      <c r="C802" s="50" t="s">
        <v>826</v>
      </c>
      <c r="D802" s="51" t="s">
        <v>2099</v>
      </c>
      <c r="E802" s="52" t="s">
        <v>888</v>
      </c>
      <c r="F802" s="50" t="s">
        <v>965</v>
      </c>
      <c r="G802" s="50" t="s">
        <v>890</v>
      </c>
      <c r="H802" s="53"/>
      <c r="I802" s="50" t="s">
        <v>2116</v>
      </c>
      <c r="J802" s="18">
        <f>+_xlfn.XLOOKUP(B802,Sheet3!B:B,Sheet3!J:J,0)</f>
        <v>0</v>
      </c>
      <c r="K802">
        <f t="shared" si="37"/>
        <v>0</v>
      </c>
      <c r="L802" s="54">
        <v>0</v>
      </c>
      <c r="M802" s="67">
        <f t="shared" si="38"/>
        <v>0</v>
      </c>
    </row>
    <row r="803" spans="2:13" hidden="1" x14ac:dyDescent="0.25">
      <c r="B803" t="str">
        <f t="shared" si="36"/>
        <v>Comune3 PB</v>
      </c>
      <c r="C803" s="50" t="s">
        <v>826</v>
      </c>
      <c r="D803" s="51" t="s">
        <v>2099</v>
      </c>
      <c r="E803" s="52" t="s">
        <v>888</v>
      </c>
      <c r="F803" s="50" t="s">
        <v>965</v>
      </c>
      <c r="G803" s="50" t="s">
        <v>890</v>
      </c>
      <c r="H803" s="53"/>
      <c r="I803" s="50" t="s">
        <v>2117</v>
      </c>
      <c r="J803" s="18">
        <f>+_xlfn.XLOOKUP(B803,Sheet3!B:B,Sheet3!J:J,0)</f>
        <v>0</v>
      </c>
      <c r="K803">
        <f t="shared" si="37"/>
        <v>0</v>
      </c>
      <c r="L803" s="54">
        <v>0</v>
      </c>
      <c r="M803" s="67">
        <f t="shared" si="38"/>
        <v>0</v>
      </c>
    </row>
    <row r="804" spans="2:13" hidden="1" x14ac:dyDescent="0.25">
      <c r="B804" t="str">
        <f t="shared" si="36"/>
        <v>Comune4 PB</v>
      </c>
      <c r="C804" s="50" t="s">
        <v>826</v>
      </c>
      <c r="D804" s="51" t="s">
        <v>2099</v>
      </c>
      <c r="E804" s="52" t="s">
        <v>888</v>
      </c>
      <c r="F804" s="50" t="s">
        <v>965</v>
      </c>
      <c r="G804" s="50" t="s">
        <v>890</v>
      </c>
      <c r="H804" s="53"/>
      <c r="I804" s="50" t="s">
        <v>2118</v>
      </c>
      <c r="J804" s="18">
        <f>+_xlfn.XLOOKUP(B804,Sheet3!B:B,Sheet3!J:J,0)</f>
        <v>0</v>
      </c>
      <c r="K804">
        <f t="shared" si="37"/>
        <v>0</v>
      </c>
      <c r="L804" s="54">
        <v>0</v>
      </c>
      <c r="M804" s="67">
        <f t="shared" si="38"/>
        <v>0</v>
      </c>
    </row>
    <row r="805" spans="2:13" hidden="1" x14ac:dyDescent="0.25">
      <c r="B805" t="str">
        <f t="shared" si="36"/>
        <v>Comune5 PB</v>
      </c>
      <c r="C805" s="50" t="s">
        <v>826</v>
      </c>
      <c r="D805" s="51" t="s">
        <v>2099</v>
      </c>
      <c r="E805" s="52" t="s">
        <v>888</v>
      </c>
      <c r="F805" s="50" t="s">
        <v>965</v>
      </c>
      <c r="G805" s="50" t="s">
        <v>890</v>
      </c>
      <c r="H805" s="53"/>
      <c r="I805" s="50" t="s">
        <v>2119</v>
      </c>
      <c r="J805" s="18">
        <f>+_xlfn.XLOOKUP(B805,Sheet3!B:B,Sheet3!J:J,0)</f>
        <v>0</v>
      </c>
      <c r="K805">
        <f t="shared" si="37"/>
        <v>0</v>
      </c>
      <c r="L805" s="54">
        <v>0</v>
      </c>
      <c r="M805" s="67">
        <f t="shared" si="38"/>
        <v>0</v>
      </c>
    </row>
    <row r="806" spans="2:13" hidden="1" x14ac:dyDescent="0.25">
      <c r="B806" t="str">
        <f t="shared" si="36"/>
        <v>Comune6 PB</v>
      </c>
      <c r="C806" s="50" t="s">
        <v>826</v>
      </c>
      <c r="D806" s="51" t="s">
        <v>2099</v>
      </c>
      <c r="E806" s="52" t="s">
        <v>888</v>
      </c>
      <c r="F806" s="50" t="s">
        <v>965</v>
      </c>
      <c r="G806" s="50" t="s">
        <v>890</v>
      </c>
      <c r="H806" s="53"/>
      <c r="I806" s="50" t="s">
        <v>2120</v>
      </c>
      <c r="J806" s="18">
        <f>+_xlfn.XLOOKUP(B806,Sheet3!B:B,Sheet3!J:J,0)</f>
        <v>0</v>
      </c>
      <c r="K806">
        <f t="shared" si="37"/>
        <v>0</v>
      </c>
      <c r="L806" s="54">
        <v>0</v>
      </c>
      <c r="M806" s="67">
        <f t="shared" si="38"/>
        <v>0</v>
      </c>
    </row>
    <row r="807" spans="2:13" hidden="1" x14ac:dyDescent="0.25">
      <c r="B807" t="str">
        <f t="shared" si="36"/>
        <v>Comune7 PB</v>
      </c>
      <c r="C807" s="50" t="s">
        <v>826</v>
      </c>
      <c r="D807" s="51" t="s">
        <v>2099</v>
      </c>
      <c r="E807" s="52" t="s">
        <v>888</v>
      </c>
      <c r="F807" s="50" t="s">
        <v>965</v>
      </c>
      <c r="G807" s="50" t="s">
        <v>890</v>
      </c>
      <c r="H807" s="53"/>
      <c r="I807" s="50" t="s">
        <v>2121</v>
      </c>
      <c r="J807" s="18">
        <f>+_xlfn.XLOOKUP(B807,Sheet3!B:B,Sheet3!J:J,0)</f>
        <v>0</v>
      </c>
      <c r="K807">
        <f t="shared" si="37"/>
        <v>0</v>
      </c>
      <c r="L807" s="54">
        <v>0</v>
      </c>
      <c r="M807" s="67">
        <f t="shared" si="38"/>
        <v>0</v>
      </c>
    </row>
    <row r="808" spans="2:13" hidden="1" x14ac:dyDescent="0.25">
      <c r="B808" t="str">
        <f t="shared" si="36"/>
        <v>Comune8 PB</v>
      </c>
      <c r="C808" s="50" t="s">
        <v>826</v>
      </c>
      <c r="D808" s="51" t="s">
        <v>2099</v>
      </c>
      <c r="E808" s="52" t="s">
        <v>888</v>
      </c>
      <c r="F808" s="50" t="s">
        <v>965</v>
      </c>
      <c r="G808" s="50" t="s">
        <v>890</v>
      </c>
      <c r="H808" s="53"/>
      <c r="I808" s="50" t="s">
        <v>2122</v>
      </c>
      <c r="J808" s="18">
        <f>+_xlfn.XLOOKUP(B808,Sheet3!B:B,Sheet3!J:J,0)</f>
        <v>0</v>
      </c>
      <c r="K808">
        <f t="shared" si="37"/>
        <v>0</v>
      </c>
      <c r="L808" s="54">
        <v>0</v>
      </c>
      <c r="M808" s="67">
        <f t="shared" si="38"/>
        <v>0</v>
      </c>
    </row>
    <row r="809" spans="2:13" hidden="1" x14ac:dyDescent="0.25">
      <c r="B809" t="str">
        <f t="shared" si="36"/>
        <v>Comune9 PB</v>
      </c>
      <c r="C809" s="50" t="s">
        <v>826</v>
      </c>
      <c r="D809" s="51" t="s">
        <v>2099</v>
      </c>
      <c r="E809" s="52" t="s">
        <v>888</v>
      </c>
      <c r="F809" s="50" t="s">
        <v>965</v>
      </c>
      <c r="G809" s="50" t="s">
        <v>890</v>
      </c>
      <c r="H809" s="53"/>
      <c r="I809" s="50" t="s">
        <v>2123</v>
      </c>
      <c r="J809" s="18">
        <f>+_xlfn.XLOOKUP(B809,Sheet3!B:B,Sheet3!J:J,0)</f>
        <v>0</v>
      </c>
      <c r="K809">
        <f t="shared" si="37"/>
        <v>0</v>
      </c>
      <c r="L809" s="54">
        <v>0</v>
      </c>
      <c r="M809" s="67">
        <f t="shared" si="38"/>
        <v>0</v>
      </c>
    </row>
    <row r="810" spans="2:13" hidden="1" x14ac:dyDescent="0.25">
      <c r="B810" t="str">
        <f t="shared" si="36"/>
        <v>Comune10 PB</v>
      </c>
      <c r="C810" s="50" t="s">
        <v>826</v>
      </c>
      <c r="D810" s="51" t="s">
        <v>2099</v>
      </c>
      <c r="E810" s="52" t="s">
        <v>888</v>
      </c>
      <c r="F810" s="50" t="s">
        <v>965</v>
      </c>
      <c r="G810" s="50" t="s">
        <v>890</v>
      </c>
      <c r="H810" s="53"/>
      <c r="I810" s="50" t="s">
        <v>2124</v>
      </c>
      <c r="J810" s="18">
        <f>+_xlfn.XLOOKUP(B810,Sheet3!B:B,Sheet3!J:J,0)</f>
        <v>0</v>
      </c>
      <c r="K810">
        <f t="shared" si="37"/>
        <v>0</v>
      </c>
      <c r="L810" s="54">
        <v>0</v>
      </c>
      <c r="M810" s="67">
        <f t="shared" si="38"/>
        <v>0</v>
      </c>
    </row>
    <row r="811" spans="2:13" hidden="1" x14ac:dyDescent="0.25">
      <c r="B811" t="str">
        <f t="shared" si="36"/>
        <v>Comune11 PB</v>
      </c>
      <c r="C811" s="50" t="s">
        <v>826</v>
      </c>
      <c r="D811" s="51" t="s">
        <v>2099</v>
      </c>
      <c r="E811" s="52" t="s">
        <v>888</v>
      </c>
      <c r="F811" s="50" t="s">
        <v>965</v>
      </c>
      <c r="G811" s="50" t="s">
        <v>890</v>
      </c>
      <c r="H811" s="53"/>
      <c r="I811" s="50" t="s">
        <v>2125</v>
      </c>
      <c r="J811" s="18">
        <f>+_xlfn.XLOOKUP(B811,Sheet3!B:B,Sheet3!J:J,0)</f>
        <v>0</v>
      </c>
      <c r="K811">
        <f t="shared" si="37"/>
        <v>0</v>
      </c>
      <c r="L811" s="54">
        <v>0</v>
      </c>
      <c r="M811" s="67">
        <f t="shared" si="38"/>
        <v>0</v>
      </c>
    </row>
    <row r="812" spans="2:13" hidden="1" x14ac:dyDescent="0.25">
      <c r="B812" t="str">
        <f t="shared" si="36"/>
        <v>Comune12 PB</v>
      </c>
      <c r="C812" s="50" t="s">
        <v>826</v>
      </c>
      <c r="D812" s="51" t="s">
        <v>2099</v>
      </c>
      <c r="E812" s="52" t="s">
        <v>888</v>
      </c>
      <c r="F812" s="50" t="s">
        <v>965</v>
      </c>
      <c r="G812" s="50" t="s">
        <v>890</v>
      </c>
      <c r="H812" s="53"/>
      <c r="I812" s="50" t="s">
        <v>2126</v>
      </c>
      <c r="J812" s="18">
        <f>+_xlfn.XLOOKUP(B812,Sheet3!B:B,Sheet3!J:J,0)</f>
        <v>0</v>
      </c>
      <c r="K812">
        <f t="shared" si="37"/>
        <v>0</v>
      </c>
      <c r="L812" s="54">
        <v>0</v>
      </c>
      <c r="M812" s="67">
        <f t="shared" si="38"/>
        <v>0</v>
      </c>
    </row>
    <row r="813" spans="2:13" hidden="1" x14ac:dyDescent="0.25">
      <c r="B813" t="str">
        <f t="shared" si="36"/>
        <v>Comune13 PB</v>
      </c>
      <c r="C813" s="50" t="s">
        <v>826</v>
      </c>
      <c r="D813" s="51" t="s">
        <v>2099</v>
      </c>
      <c r="E813" s="52" t="s">
        <v>888</v>
      </c>
      <c r="F813" s="50" t="s">
        <v>965</v>
      </c>
      <c r="G813" s="50" t="s">
        <v>890</v>
      </c>
      <c r="H813" s="53"/>
      <c r="I813" s="50" t="s">
        <v>2127</v>
      </c>
      <c r="J813" s="18">
        <f>+_xlfn.XLOOKUP(B813,Sheet3!B:B,Sheet3!J:J,0)</f>
        <v>0</v>
      </c>
      <c r="K813">
        <f t="shared" si="37"/>
        <v>0</v>
      </c>
      <c r="L813" s="54">
        <v>0</v>
      </c>
      <c r="M813" s="67">
        <f t="shared" si="38"/>
        <v>0</v>
      </c>
    </row>
    <row r="814" spans="2:13" hidden="1" x14ac:dyDescent="0.25">
      <c r="B814" t="str">
        <f t="shared" si="36"/>
        <v>Comune14 PB</v>
      </c>
      <c r="C814" s="50" t="s">
        <v>826</v>
      </c>
      <c r="D814" s="51" t="s">
        <v>2099</v>
      </c>
      <c r="E814" s="52" t="s">
        <v>888</v>
      </c>
      <c r="F814" s="50" t="s">
        <v>965</v>
      </c>
      <c r="G814" s="50" t="s">
        <v>890</v>
      </c>
      <c r="H814" s="53"/>
      <c r="I814" s="50" t="s">
        <v>2128</v>
      </c>
      <c r="J814" s="18">
        <f>+_xlfn.XLOOKUP(B814,Sheet3!B:B,Sheet3!J:J,0)</f>
        <v>0</v>
      </c>
      <c r="K814">
        <f t="shared" si="37"/>
        <v>0</v>
      </c>
      <c r="L814" s="54">
        <v>0</v>
      </c>
      <c r="M814" s="67">
        <f t="shared" si="38"/>
        <v>0</v>
      </c>
    </row>
    <row r="815" spans="2:13" hidden="1" x14ac:dyDescent="0.25">
      <c r="B815" t="str">
        <f t="shared" si="36"/>
        <v>Civate rinnovo</v>
      </c>
      <c r="C815" s="50" t="s">
        <v>826</v>
      </c>
      <c r="D815" s="51" t="s">
        <v>887</v>
      </c>
      <c r="E815" s="52" t="s">
        <v>888</v>
      </c>
      <c r="F815" s="50" t="s">
        <v>1533</v>
      </c>
      <c r="G815" s="50" t="s">
        <v>1533</v>
      </c>
      <c r="H815" s="53"/>
      <c r="I815" s="50" t="s">
        <v>2027</v>
      </c>
      <c r="J815" s="18">
        <f>+_xlfn.XLOOKUP(B815,Sheet3!B:B,Sheet3!J:J,0)</f>
        <v>0</v>
      </c>
      <c r="K815">
        <f t="shared" si="37"/>
        <v>0</v>
      </c>
      <c r="L815" s="54">
        <v>0</v>
      </c>
      <c r="M815" s="67">
        <f t="shared" si="38"/>
        <v>0</v>
      </c>
    </row>
    <row r="816" spans="2:13" hidden="1" x14ac:dyDescent="0.25">
      <c r="B816" t="str">
        <f t="shared" si="36"/>
        <v>Albinea Proroga Tecnica</v>
      </c>
      <c r="C816" s="50" t="s">
        <v>958</v>
      </c>
      <c r="D816" s="51" t="s">
        <v>887</v>
      </c>
      <c r="E816" s="52" t="s">
        <v>896</v>
      </c>
      <c r="F816" s="50" t="s">
        <v>1533</v>
      </c>
      <c r="G816" s="50" t="s">
        <v>1533</v>
      </c>
      <c r="H816" s="53"/>
      <c r="I816" s="50" t="s">
        <v>2028</v>
      </c>
      <c r="J816" s="18">
        <f>+_xlfn.XLOOKUP(B816,Sheet3!B:B,Sheet3!J:J,0)</f>
        <v>0</v>
      </c>
      <c r="K816">
        <f t="shared" si="37"/>
        <v>0</v>
      </c>
      <c r="L816" s="54">
        <v>0</v>
      </c>
      <c r="M816" s="67">
        <f t="shared" si="38"/>
        <v>0</v>
      </c>
    </row>
    <row r="817" spans="2:13" hidden="1" x14ac:dyDescent="0.25">
      <c r="B817" t="str">
        <f t="shared" si="36"/>
        <v>Falconara Marittima Proroga Tecnica</v>
      </c>
      <c r="C817" s="50" t="s">
        <v>958</v>
      </c>
      <c r="D817" s="51" t="s">
        <v>887</v>
      </c>
      <c r="E817" s="50" t="s">
        <v>910</v>
      </c>
      <c r="F817" s="50" t="s">
        <v>1533</v>
      </c>
      <c r="G817" s="50" t="s">
        <v>1533</v>
      </c>
      <c r="H817" s="53"/>
      <c r="I817" s="50" t="s">
        <v>2029</v>
      </c>
      <c r="J817" s="18">
        <f>+_xlfn.XLOOKUP(B817,Sheet3!B:B,Sheet3!J:J,0)</f>
        <v>0</v>
      </c>
      <c r="K817">
        <f t="shared" si="37"/>
        <v>0</v>
      </c>
      <c r="L817" s="54">
        <v>0</v>
      </c>
      <c r="M817" s="67">
        <f t="shared" si="38"/>
        <v>0</v>
      </c>
    </row>
    <row r="818" spans="2:13" hidden="1" x14ac:dyDescent="0.25">
      <c r="B818" t="str">
        <f t="shared" si="36"/>
        <v>Fermo Proroga tecnica</v>
      </c>
      <c r="C818" s="50" t="s">
        <v>958</v>
      </c>
      <c r="D818" s="51" t="s">
        <v>887</v>
      </c>
      <c r="E818" s="52" t="s">
        <v>896</v>
      </c>
      <c r="F818" s="50" t="s">
        <v>1533</v>
      </c>
      <c r="G818" s="50" t="s">
        <v>1533</v>
      </c>
      <c r="H818" s="53"/>
      <c r="I818" s="50" t="s">
        <v>2030</v>
      </c>
      <c r="J818" s="18">
        <f>+_xlfn.XLOOKUP(B818,Sheet3!B:B,Sheet3!J:J,0)</f>
        <v>0</v>
      </c>
      <c r="K818">
        <f t="shared" si="37"/>
        <v>0</v>
      </c>
      <c r="L818" s="54">
        <v>0</v>
      </c>
      <c r="M818" s="67">
        <f t="shared" si="38"/>
        <v>0</v>
      </c>
    </row>
    <row r="819" spans="2:13" hidden="1" x14ac:dyDescent="0.25">
      <c r="B819" t="str">
        <f t="shared" si="36"/>
        <v>Scheggia e Pascelupo Proroga tecnica</v>
      </c>
      <c r="C819" s="50" t="s">
        <v>958</v>
      </c>
      <c r="D819" s="51" t="s">
        <v>887</v>
      </c>
      <c r="E819" s="52" t="s">
        <v>896</v>
      </c>
      <c r="F819" s="50" t="s">
        <v>1533</v>
      </c>
      <c r="G819" s="50" t="s">
        <v>1533</v>
      </c>
      <c r="H819" s="53"/>
      <c r="I819" s="50" t="s">
        <v>2031</v>
      </c>
      <c r="J819" s="18">
        <f>+_xlfn.XLOOKUP(B819,Sheet3!B:B,Sheet3!J:J,0)</f>
        <v>0</v>
      </c>
      <c r="K819">
        <f t="shared" si="37"/>
        <v>0</v>
      </c>
      <c r="L819" s="54">
        <v>0</v>
      </c>
      <c r="M819" s="67">
        <f t="shared" si="38"/>
        <v>0</v>
      </c>
    </row>
    <row r="820" spans="2:13" hidden="1" x14ac:dyDescent="0.25">
      <c r="B820" t="str">
        <f t="shared" si="36"/>
        <v>Cagli PPP</v>
      </c>
      <c r="C820" s="50" t="s">
        <v>826</v>
      </c>
      <c r="D820" s="51" t="s">
        <v>887</v>
      </c>
      <c r="E820" s="52" t="s">
        <v>896</v>
      </c>
      <c r="F820" s="50" t="s">
        <v>1533</v>
      </c>
      <c r="G820" s="50" t="s">
        <v>1533</v>
      </c>
      <c r="H820" s="53"/>
      <c r="I820" s="50" t="s">
        <v>2032</v>
      </c>
      <c r="J820" s="18">
        <f>+_xlfn.XLOOKUP(B820,Sheet3!B:B,Sheet3!J:J,0)</f>
        <v>0</v>
      </c>
      <c r="K820">
        <f t="shared" si="37"/>
        <v>0</v>
      </c>
      <c r="L820" s="54">
        <v>0</v>
      </c>
      <c r="M820" s="67">
        <f t="shared" si="38"/>
        <v>0</v>
      </c>
    </row>
    <row r="821" spans="2:13" hidden="1" x14ac:dyDescent="0.25">
      <c r="B821" t="str">
        <f t="shared" si="36"/>
        <v>Faenza Proroga tecnica</v>
      </c>
      <c r="C821" s="50" t="s">
        <v>958</v>
      </c>
      <c r="D821" s="51" t="s">
        <v>887</v>
      </c>
      <c r="E821" s="52" t="s">
        <v>896</v>
      </c>
      <c r="F821" s="50" t="s">
        <v>1533</v>
      </c>
      <c r="G821" s="50" t="s">
        <v>1533</v>
      </c>
      <c r="H821" s="53"/>
      <c r="I821" s="50" t="s">
        <v>2033</v>
      </c>
      <c r="J821" s="18">
        <f>+_xlfn.XLOOKUP(B821,Sheet3!B:B,Sheet3!J:J,0)</f>
        <v>0</v>
      </c>
      <c r="K821">
        <f t="shared" si="37"/>
        <v>0</v>
      </c>
      <c r="L821" s="54">
        <v>0</v>
      </c>
      <c r="M821" s="67">
        <f t="shared" si="38"/>
        <v>0</v>
      </c>
    </row>
    <row r="822" spans="2:13" hidden="1" x14ac:dyDescent="0.25">
      <c r="B822" t="str">
        <f t="shared" si="36"/>
        <v>Urbania</v>
      </c>
      <c r="C822" s="50" t="s">
        <v>958</v>
      </c>
      <c r="D822" s="51" t="s">
        <v>887</v>
      </c>
      <c r="E822" s="52" t="s">
        <v>896</v>
      </c>
      <c r="F822" s="50" t="s">
        <v>1533</v>
      </c>
      <c r="G822" s="50" t="s">
        <v>1533</v>
      </c>
      <c r="H822" s="53"/>
      <c r="I822" s="50" t="s">
        <v>2034</v>
      </c>
      <c r="J822" s="18">
        <f>+_xlfn.XLOOKUP(B822,Sheet3!B:B,Sheet3!J:J,0)</f>
        <v>0</v>
      </c>
      <c r="K822">
        <f t="shared" si="37"/>
        <v>0</v>
      </c>
      <c r="L822" s="54">
        <v>0</v>
      </c>
      <c r="M822" s="67">
        <f t="shared" si="38"/>
        <v>0</v>
      </c>
    </row>
    <row r="823" spans="2:13" hidden="1" x14ac:dyDescent="0.25">
      <c r="B823" t="str">
        <f t="shared" si="36"/>
        <v>Esperia</v>
      </c>
      <c r="C823" s="50" t="s">
        <v>826</v>
      </c>
      <c r="D823" s="51" t="s">
        <v>887</v>
      </c>
      <c r="E823" s="52" t="s">
        <v>896</v>
      </c>
      <c r="F823" s="50" t="s">
        <v>1533</v>
      </c>
      <c r="G823" s="50" t="s">
        <v>1533</v>
      </c>
      <c r="H823" s="53"/>
      <c r="I823" s="50" t="s">
        <v>2035</v>
      </c>
      <c r="J823" s="18">
        <f>+_xlfn.XLOOKUP(B823,Sheet3!B:B,Sheet3!J:J,0)</f>
        <v>0</v>
      </c>
      <c r="K823">
        <f t="shared" si="37"/>
        <v>0</v>
      </c>
      <c r="L823" s="54">
        <v>0</v>
      </c>
      <c r="M823" s="67">
        <f t="shared" si="38"/>
        <v>0</v>
      </c>
    </row>
    <row r="824" spans="2:13" hidden="1" x14ac:dyDescent="0.25">
      <c r="B824" t="str">
        <f t="shared" si="36"/>
        <v>Monteleone Sabino</v>
      </c>
      <c r="C824" s="50" t="s">
        <v>826</v>
      </c>
      <c r="D824" s="51" t="s">
        <v>887</v>
      </c>
      <c r="E824" s="52" t="s">
        <v>896</v>
      </c>
      <c r="F824" s="50" t="s">
        <v>1533</v>
      </c>
      <c r="G824" s="50" t="s">
        <v>1533</v>
      </c>
      <c r="H824" s="53"/>
      <c r="I824" s="50" t="s">
        <v>2036</v>
      </c>
      <c r="J824" s="18">
        <f>+_xlfn.XLOOKUP(B824,Sheet3!B:B,Sheet3!J:J,0)</f>
        <v>0</v>
      </c>
      <c r="K824">
        <f t="shared" si="37"/>
        <v>0</v>
      </c>
      <c r="L824" s="54">
        <v>0</v>
      </c>
      <c r="M824" s="67">
        <f t="shared" si="38"/>
        <v>0</v>
      </c>
    </row>
    <row r="825" spans="2:13" hidden="1" x14ac:dyDescent="0.25">
      <c r="B825" t="str">
        <f t="shared" si="36"/>
        <v>Villa Santa Lucia</v>
      </c>
      <c r="C825" s="50" t="s">
        <v>826</v>
      </c>
      <c r="D825" s="51" t="s">
        <v>887</v>
      </c>
      <c r="E825" s="52" t="s">
        <v>896</v>
      </c>
      <c r="F825" s="50" t="s">
        <v>1533</v>
      </c>
      <c r="G825" s="50" t="s">
        <v>1533</v>
      </c>
      <c r="H825" s="53"/>
      <c r="I825" s="50" t="s">
        <v>2037</v>
      </c>
      <c r="J825" s="18">
        <f>+_xlfn.XLOOKUP(B825,Sheet3!B:B,Sheet3!J:J,0)</f>
        <v>0</v>
      </c>
      <c r="K825">
        <f t="shared" si="37"/>
        <v>0</v>
      </c>
      <c r="L825" s="54">
        <v>0</v>
      </c>
      <c r="M825" s="67">
        <f t="shared" si="38"/>
        <v>0</v>
      </c>
    </row>
    <row r="826" spans="2:13" hidden="1" x14ac:dyDescent="0.25">
      <c r="B826" t="str">
        <f t="shared" si="36"/>
        <v>Loreto Aprutino</v>
      </c>
      <c r="C826" s="50" t="s">
        <v>826</v>
      </c>
      <c r="D826" s="51" t="s">
        <v>887</v>
      </c>
      <c r="E826" s="52" t="s">
        <v>896</v>
      </c>
      <c r="F826" s="50" t="s">
        <v>1533</v>
      </c>
      <c r="G826" s="50" t="s">
        <v>1533</v>
      </c>
      <c r="H826" s="53"/>
      <c r="I826" s="50" t="s">
        <v>2038</v>
      </c>
      <c r="J826" s="18">
        <f>+_xlfn.XLOOKUP(B826,Sheet3!B:B,Sheet3!J:J,0)</f>
        <v>0</v>
      </c>
      <c r="K826">
        <f t="shared" si="37"/>
        <v>0</v>
      </c>
      <c r="L826" s="54">
        <v>0</v>
      </c>
      <c r="M826" s="67">
        <f t="shared" si="38"/>
        <v>0</v>
      </c>
    </row>
    <row r="827" spans="2:13" hidden="1" x14ac:dyDescent="0.25">
      <c r="B827" t="str">
        <f t="shared" si="36"/>
        <v>Penne</v>
      </c>
      <c r="C827" s="50" t="s">
        <v>826</v>
      </c>
      <c r="D827" s="51" t="s">
        <v>887</v>
      </c>
      <c r="E827" s="52" t="s">
        <v>896</v>
      </c>
      <c r="F827" s="50" t="s">
        <v>1533</v>
      </c>
      <c r="G827" s="50" t="s">
        <v>1533</v>
      </c>
      <c r="H827" s="53"/>
      <c r="I827" s="50" t="s">
        <v>2039</v>
      </c>
      <c r="J827" s="18">
        <f>+_xlfn.XLOOKUP(B827,Sheet3!B:B,Sheet3!J:J,0)</f>
        <v>0</v>
      </c>
      <c r="K827">
        <f t="shared" si="37"/>
        <v>0</v>
      </c>
      <c r="L827" s="54">
        <v>0</v>
      </c>
      <c r="M827" s="67">
        <f t="shared" si="38"/>
        <v>0</v>
      </c>
    </row>
    <row r="828" spans="2:13" hidden="1" x14ac:dyDescent="0.25">
      <c r="B828" t="str">
        <f t="shared" si="36"/>
        <v>Bellante HM</v>
      </c>
      <c r="C828" s="50" t="s">
        <v>826</v>
      </c>
      <c r="D828" s="51" t="s">
        <v>887</v>
      </c>
      <c r="E828" s="52" t="s">
        <v>896</v>
      </c>
      <c r="F828" s="50" t="s">
        <v>1533</v>
      </c>
      <c r="G828" s="50" t="s">
        <v>1533</v>
      </c>
      <c r="H828" s="53"/>
      <c r="I828" s="50" t="s">
        <v>2040</v>
      </c>
      <c r="J828" s="18">
        <f>+_xlfn.XLOOKUP(B828,Sheet3!B:B,Sheet3!J:J,0)</f>
        <v>0</v>
      </c>
      <c r="K828">
        <f t="shared" si="37"/>
        <v>0</v>
      </c>
      <c r="L828" s="54">
        <v>0</v>
      </c>
      <c r="M828" s="67">
        <f t="shared" si="38"/>
        <v>0</v>
      </c>
    </row>
    <row r="829" spans="2:13" hidden="1" x14ac:dyDescent="0.25">
      <c r="B829" t="str">
        <f t="shared" si="36"/>
        <v>Serrone</v>
      </c>
      <c r="C829" s="50" t="s">
        <v>826</v>
      </c>
      <c r="D829" s="51" t="s">
        <v>887</v>
      </c>
      <c r="E829" s="52" t="s">
        <v>896</v>
      </c>
      <c r="F829" s="50" t="s">
        <v>1533</v>
      </c>
      <c r="G829" s="50" t="s">
        <v>1533</v>
      </c>
      <c r="H829" s="53"/>
      <c r="I829" s="50" t="s">
        <v>2042</v>
      </c>
      <c r="J829" s="18">
        <f>+_xlfn.XLOOKUP(B829,Sheet3!B:B,Sheet3!J:J,0)</f>
        <v>0</v>
      </c>
      <c r="K829">
        <f t="shared" si="37"/>
        <v>0</v>
      </c>
      <c r="L829" s="54">
        <v>0</v>
      </c>
      <c r="M829" s="67">
        <f t="shared" si="38"/>
        <v>0</v>
      </c>
    </row>
    <row r="830" spans="2:13" hidden="1" x14ac:dyDescent="0.25">
      <c r="B830" t="str">
        <f t="shared" si="36"/>
        <v>Artena</v>
      </c>
      <c r="C830" s="50" t="s">
        <v>826</v>
      </c>
      <c r="D830" s="51" t="s">
        <v>887</v>
      </c>
      <c r="E830" s="52" t="s">
        <v>896</v>
      </c>
      <c r="F830" s="50" t="s">
        <v>1533</v>
      </c>
      <c r="G830" s="50" t="s">
        <v>1533</v>
      </c>
      <c r="H830" s="53"/>
      <c r="I830" s="50" t="s">
        <v>2044</v>
      </c>
      <c r="J830" s="18">
        <f>+_xlfn.XLOOKUP(B830,Sheet3!B:B,Sheet3!J:J,0)</f>
        <v>0</v>
      </c>
      <c r="K830">
        <f t="shared" si="37"/>
        <v>0</v>
      </c>
      <c r="L830" s="54">
        <v>0</v>
      </c>
      <c r="M830" s="67">
        <f t="shared" si="38"/>
        <v>0</v>
      </c>
    </row>
    <row r="831" spans="2:13" hidden="1" x14ac:dyDescent="0.25">
      <c r="B831" t="str">
        <f t="shared" si="36"/>
        <v>Gavignano</v>
      </c>
      <c r="C831" s="50" t="s">
        <v>826</v>
      </c>
      <c r="D831" s="51" t="s">
        <v>887</v>
      </c>
      <c r="E831" s="52" t="s">
        <v>896</v>
      </c>
      <c r="F831" s="50" t="s">
        <v>1533</v>
      </c>
      <c r="G831" s="50" t="s">
        <v>1533</v>
      </c>
      <c r="H831" s="53"/>
      <c r="I831" s="50" t="s">
        <v>2045</v>
      </c>
      <c r="J831" s="18">
        <f>+_xlfn.XLOOKUP(B831,Sheet3!B:B,Sheet3!J:J,0)</f>
        <v>0</v>
      </c>
      <c r="K831">
        <f t="shared" si="37"/>
        <v>0</v>
      </c>
      <c r="L831" s="54">
        <v>0</v>
      </c>
      <c r="M831" s="67">
        <f t="shared" si="38"/>
        <v>0</v>
      </c>
    </row>
    <row r="832" spans="2:13" hidden="1" x14ac:dyDescent="0.25">
      <c r="B832" t="str">
        <f t="shared" si="36"/>
        <v>Cantalice</v>
      </c>
      <c r="C832" s="50" t="s">
        <v>826</v>
      </c>
      <c r="D832" s="51" t="s">
        <v>887</v>
      </c>
      <c r="E832" s="52" t="s">
        <v>896</v>
      </c>
      <c r="F832" s="50" t="s">
        <v>1533</v>
      </c>
      <c r="G832" s="50" t="s">
        <v>1533</v>
      </c>
      <c r="H832" s="53"/>
      <c r="I832" s="50" t="s">
        <v>2046</v>
      </c>
      <c r="J832" s="18">
        <f>+_xlfn.XLOOKUP(B832,Sheet3!B:B,Sheet3!J:J,0)</f>
        <v>0</v>
      </c>
      <c r="K832">
        <f t="shared" si="37"/>
        <v>0</v>
      </c>
      <c r="L832" s="54">
        <v>0</v>
      </c>
      <c r="M832" s="67">
        <f t="shared" si="38"/>
        <v>0</v>
      </c>
    </row>
    <row r="833" spans="2:13" hidden="1" x14ac:dyDescent="0.25">
      <c r="B833" t="str">
        <f t="shared" si="36"/>
        <v xml:space="preserve">Poggio San Lorenzo </v>
      </c>
      <c r="C833" s="50" t="s">
        <v>826</v>
      </c>
      <c r="D833" s="51" t="s">
        <v>887</v>
      </c>
      <c r="E833" s="52" t="s">
        <v>896</v>
      </c>
      <c r="F833" s="50" t="s">
        <v>1533</v>
      </c>
      <c r="G833" s="50" t="s">
        <v>1533</v>
      </c>
      <c r="H833" s="53"/>
      <c r="I833" s="50" t="s">
        <v>2047</v>
      </c>
      <c r="J833" s="18">
        <f>+_xlfn.XLOOKUP(B833,Sheet3!B:B,Sheet3!J:J,0)</f>
        <v>0</v>
      </c>
      <c r="K833">
        <f t="shared" si="37"/>
        <v>0</v>
      </c>
      <c r="L833" s="54">
        <v>0</v>
      </c>
      <c r="M833" s="67">
        <f t="shared" si="38"/>
        <v>0</v>
      </c>
    </row>
    <row r="834" spans="2:13" hidden="1" x14ac:dyDescent="0.25">
      <c r="B834" t="str">
        <f t="shared" si="36"/>
        <v>Cervara di Roma</v>
      </c>
      <c r="C834" s="50" t="s">
        <v>826</v>
      </c>
      <c r="D834" s="51" t="s">
        <v>887</v>
      </c>
      <c r="E834" s="52" t="s">
        <v>896</v>
      </c>
      <c r="F834" s="50" t="s">
        <v>1533</v>
      </c>
      <c r="G834" s="50" t="s">
        <v>1533</v>
      </c>
      <c r="H834" s="53"/>
      <c r="I834" s="50" t="s">
        <v>2049</v>
      </c>
      <c r="J834" s="18">
        <f>+_xlfn.XLOOKUP(B834,Sheet3!B:B,Sheet3!J:J,0)</f>
        <v>0</v>
      </c>
      <c r="K834">
        <f t="shared" si="37"/>
        <v>0</v>
      </c>
      <c r="L834" s="54">
        <v>0</v>
      </c>
      <c r="M834" s="67">
        <f t="shared" si="38"/>
        <v>0</v>
      </c>
    </row>
    <row r="835" spans="2:13" hidden="1" x14ac:dyDescent="0.25">
      <c r="B835" t="str">
        <f t="shared" si="36"/>
        <v>Morolo</v>
      </c>
      <c r="C835" s="50" t="s">
        <v>826</v>
      </c>
      <c r="D835" s="51" t="s">
        <v>887</v>
      </c>
      <c r="E835" s="52" t="s">
        <v>896</v>
      </c>
      <c r="F835" s="50" t="s">
        <v>1533</v>
      </c>
      <c r="G835" s="50" t="s">
        <v>1533</v>
      </c>
      <c r="H835" s="53"/>
      <c r="I835" s="50" t="s">
        <v>2051</v>
      </c>
      <c r="J835" s="18">
        <f>+_xlfn.XLOOKUP(B835,Sheet3!B:B,Sheet3!J:J,0)</f>
        <v>0</v>
      </c>
      <c r="K835">
        <f t="shared" si="37"/>
        <v>0</v>
      </c>
      <c r="L835" s="54">
        <v>0</v>
      </c>
      <c r="M835" s="67">
        <f t="shared" si="38"/>
        <v>0</v>
      </c>
    </row>
    <row r="836" spans="2:13" hidden="1" x14ac:dyDescent="0.25">
      <c r="B836" t="str">
        <f t="shared" ref="B836:B899" si="39">+I836&amp;H836</f>
        <v>Nettuno</v>
      </c>
      <c r="C836" s="50" t="s">
        <v>958</v>
      </c>
      <c r="D836" s="51" t="s">
        <v>887</v>
      </c>
      <c r="E836" s="52" t="s">
        <v>896</v>
      </c>
      <c r="F836" s="50" t="s">
        <v>1533</v>
      </c>
      <c r="G836" s="50" t="s">
        <v>1533</v>
      </c>
      <c r="H836" s="53"/>
      <c r="I836" s="50" t="s">
        <v>2052</v>
      </c>
      <c r="J836" s="18">
        <f>+_xlfn.XLOOKUP(B836,Sheet3!B:B,Sheet3!J:J,0)</f>
        <v>0</v>
      </c>
      <c r="K836">
        <f t="shared" ref="K836:K899" si="40">+J836/6*8</f>
        <v>0</v>
      </c>
      <c r="L836" s="54">
        <v>0</v>
      </c>
      <c r="M836" s="67">
        <f t="shared" ref="M836:M899" si="41">+L836-K836</f>
        <v>0</v>
      </c>
    </row>
    <row r="837" spans="2:13" hidden="1" x14ac:dyDescent="0.25">
      <c r="B837" t="str">
        <f t="shared" si="39"/>
        <v>Massa Martana</v>
      </c>
      <c r="C837" s="50" t="s">
        <v>826</v>
      </c>
      <c r="D837" s="51" t="s">
        <v>887</v>
      </c>
      <c r="E837" s="52" t="s">
        <v>896</v>
      </c>
      <c r="F837" s="50" t="s">
        <v>1533</v>
      </c>
      <c r="G837" s="50" t="s">
        <v>1533</v>
      </c>
      <c r="H837" s="53"/>
      <c r="I837" s="50" t="s">
        <v>2053</v>
      </c>
      <c r="J837" s="18">
        <f>+_xlfn.XLOOKUP(B837,Sheet3!B:B,Sheet3!J:J,0)</f>
        <v>0</v>
      </c>
      <c r="K837">
        <f t="shared" si="40"/>
        <v>0</v>
      </c>
      <c r="L837" s="54">
        <v>0</v>
      </c>
      <c r="M837" s="67">
        <f t="shared" si="41"/>
        <v>0</v>
      </c>
    </row>
    <row r="838" spans="2:13" hidden="1" x14ac:dyDescent="0.25">
      <c r="B838" t="str">
        <f t="shared" si="39"/>
        <v>Pietragalla Proroga Tecnica</v>
      </c>
      <c r="C838" s="50" t="s">
        <v>826</v>
      </c>
      <c r="D838" s="51" t="s">
        <v>887</v>
      </c>
      <c r="E838" s="52" t="s">
        <v>910</v>
      </c>
      <c r="F838" s="50" t="s">
        <v>1533</v>
      </c>
      <c r="G838" s="50" t="s">
        <v>1533</v>
      </c>
      <c r="H838" s="53"/>
      <c r="I838" s="50" t="s">
        <v>2054</v>
      </c>
      <c r="J838" s="18">
        <f>+_xlfn.XLOOKUP(B838,Sheet3!B:B,Sheet3!J:J,0)</f>
        <v>0</v>
      </c>
      <c r="K838">
        <f t="shared" si="40"/>
        <v>0</v>
      </c>
      <c r="L838" s="54">
        <v>0</v>
      </c>
      <c r="M838" s="67">
        <f t="shared" si="41"/>
        <v>0</v>
      </c>
    </row>
    <row r="839" spans="2:13" hidden="1" x14ac:dyDescent="0.25">
      <c r="B839" t="str">
        <f t="shared" si="39"/>
        <v>Pellezzano Buildings</v>
      </c>
      <c r="C839" s="50" t="s">
        <v>826</v>
      </c>
      <c r="D839" s="51" t="s">
        <v>887</v>
      </c>
      <c r="E839" s="52" t="s">
        <v>910</v>
      </c>
      <c r="F839" s="50" t="s">
        <v>1533</v>
      </c>
      <c r="G839" s="50" t="s">
        <v>1533</v>
      </c>
      <c r="H839" s="53"/>
      <c r="I839" s="50" t="s">
        <v>2055</v>
      </c>
      <c r="J839" s="18">
        <f>+_xlfn.XLOOKUP(B839,Sheet3!B:B,Sheet3!J:J,0)</f>
        <v>0</v>
      </c>
      <c r="K839">
        <f t="shared" si="40"/>
        <v>0</v>
      </c>
      <c r="L839" s="54">
        <v>0</v>
      </c>
      <c r="M839" s="67">
        <f t="shared" si="41"/>
        <v>0</v>
      </c>
    </row>
    <row r="840" spans="2:13" hidden="1" x14ac:dyDescent="0.25">
      <c r="B840" t="str">
        <f t="shared" si="39"/>
        <v>Acri</v>
      </c>
      <c r="C840" s="50" t="s">
        <v>826</v>
      </c>
      <c r="D840" s="51" t="s">
        <v>887</v>
      </c>
      <c r="E840" s="52" t="s">
        <v>910</v>
      </c>
      <c r="F840" s="50" t="s">
        <v>1533</v>
      </c>
      <c r="G840" s="50" t="s">
        <v>1533</v>
      </c>
      <c r="H840" s="53"/>
      <c r="I840" s="50" t="s">
        <v>2057</v>
      </c>
      <c r="J840" s="18">
        <f>+_xlfn.XLOOKUP(B840,Sheet3!B:B,Sheet3!J:J,0)</f>
        <v>0</v>
      </c>
      <c r="K840">
        <f t="shared" si="40"/>
        <v>0</v>
      </c>
      <c r="L840" s="54">
        <v>0</v>
      </c>
      <c r="M840" s="67">
        <f t="shared" si="41"/>
        <v>0</v>
      </c>
    </row>
    <row r="841" spans="2:13" hidden="1" x14ac:dyDescent="0.25">
      <c r="B841" t="str">
        <f t="shared" si="39"/>
        <v>Teramo</v>
      </c>
      <c r="C841" s="50" t="s">
        <v>826</v>
      </c>
      <c r="D841" s="51" t="s">
        <v>2058</v>
      </c>
      <c r="E841" s="52" t="s">
        <v>896</v>
      </c>
      <c r="F841" s="50" t="s">
        <v>1533</v>
      </c>
      <c r="G841" s="50" t="s">
        <v>1533</v>
      </c>
      <c r="H841" s="53"/>
      <c r="I841" s="50" t="s">
        <v>2059</v>
      </c>
      <c r="J841" s="18">
        <f>+_xlfn.XLOOKUP(B841,Sheet3!B:B,Sheet3!J:J,0)</f>
        <v>0</v>
      </c>
      <c r="K841">
        <f t="shared" si="40"/>
        <v>0</v>
      </c>
      <c r="L841" s="54">
        <v>0</v>
      </c>
      <c r="M841" s="67">
        <f t="shared" si="41"/>
        <v>0</v>
      </c>
    </row>
    <row r="842" spans="2:13" hidden="1" x14ac:dyDescent="0.25">
      <c r="B842" t="str">
        <f t="shared" si="39"/>
        <v>Torricella</v>
      </c>
      <c r="C842" s="50" t="s">
        <v>826</v>
      </c>
      <c r="D842" s="51" t="s">
        <v>2058</v>
      </c>
      <c r="E842" s="52" t="s">
        <v>896</v>
      </c>
      <c r="F842" s="50" t="s">
        <v>1533</v>
      </c>
      <c r="G842" s="50" t="s">
        <v>1533</v>
      </c>
      <c r="H842" s="53"/>
      <c r="I842" s="50" t="s">
        <v>2060</v>
      </c>
      <c r="J842" s="18">
        <f>+_xlfn.XLOOKUP(B842,Sheet3!B:B,Sheet3!J:J,0)</f>
        <v>0</v>
      </c>
      <c r="K842">
        <f t="shared" si="40"/>
        <v>0</v>
      </c>
      <c r="L842" s="54">
        <v>0</v>
      </c>
      <c r="M842" s="67">
        <f t="shared" si="41"/>
        <v>0</v>
      </c>
    </row>
    <row r="843" spans="2:13" hidden="1" x14ac:dyDescent="0.25">
      <c r="B843" t="str">
        <f t="shared" si="39"/>
        <v>GranSasso</v>
      </c>
      <c r="C843" s="50" t="s">
        <v>826</v>
      </c>
      <c r="D843" s="51" t="s">
        <v>2058</v>
      </c>
      <c r="E843" s="52" t="s">
        <v>896</v>
      </c>
      <c r="F843" s="50" t="s">
        <v>1533</v>
      </c>
      <c r="G843" s="50" t="s">
        <v>1533</v>
      </c>
      <c r="H843" s="53"/>
      <c r="I843" s="50" t="s">
        <v>2061</v>
      </c>
      <c r="J843" s="18">
        <f>+_xlfn.XLOOKUP(B843,Sheet3!B:B,Sheet3!J:J,0)</f>
        <v>0</v>
      </c>
      <c r="K843">
        <f t="shared" si="40"/>
        <v>0</v>
      </c>
      <c r="L843" s="54">
        <v>0</v>
      </c>
      <c r="M843" s="67">
        <f t="shared" si="41"/>
        <v>0</v>
      </c>
    </row>
    <row r="844" spans="2:13" hidden="1" x14ac:dyDescent="0.25">
      <c r="B844" t="str">
        <f t="shared" si="39"/>
        <v>Tossicia</v>
      </c>
      <c r="C844" s="50" t="s">
        <v>826</v>
      </c>
      <c r="D844" s="51" t="s">
        <v>2058</v>
      </c>
      <c r="E844" s="52" t="s">
        <v>896</v>
      </c>
      <c r="F844" s="50" t="s">
        <v>1533</v>
      </c>
      <c r="G844" s="50" t="s">
        <v>1533</v>
      </c>
      <c r="H844" s="53"/>
      <c r="I844" s="50" t="s">
        <v>2062</v>
      </c>
      <c r="J844" s="18">
        <f>+_xlfn.XLOOKUP(B844,Sheet3!B:B,Sheet3!J:J,0)</f>
        <v>0</v>
      </c>
      <c r="K844">
        <f t="shared" si="40"/>
        <v>0</v>
      </c>
      <c r="L844" s="54">
        <v>0</v>
      </c>
      <c r="M844" s="67">
        <f t="shared" si="41"/>
        <v>0</v>
      </c>
    </row>
    <row r="845" spans="2:13" hidden="1" x14ac:dyDescent="0.25">
      <c r="B845" t="str">
        <f t="shared" si="39"/>
        <v>Colledara</v>
      </c>
      <c r="C845" s="50" t="s">
        <v>826</v>
      </c>
      <c r="D845" s="51" t="s">
        <v>2058</v>
      </c>
      <c r="E845" s="52" t="s">
        <v>896</v>
      </c>
      <c r="F845" s="50" t="s">
        <v>1533</v>
      </c>
      <c r="G845" s="50" t="s">
        <v>1533</v>
      </c>
      <c r="H845" s="53"/>
      <c r="I845" s="50" t="s">
        <v>2063</v>
      </c>
      <c r="J845" s="18">
        <f>+_xlfn.XLOOKUP(B845,Sheet3!B:B,Sheet3!J:J,0)</f>
        <v>0</v>
      </c>
      <c r="K845">
        <f t="shared" si="40"/>
        <v>0</v>
      </c>
      <c r="L845" s="54">
        <v>0</v>
      </c>
      <c r="M845" s="67">
        <f t="shared" si="41"/>
        <v>0</v>
      </c>
    </row>
    <row r="846" spans="2:13" hidden="1" x14ac:dyDescent="0.25">
      <c r="B846" t="str">
        <f t="shared" si="39"/>
        <v>RoccaSMaria</v>
      </c>
      <c r="C846" s="50" t="s">
        <v>826</v>
      </c>
      <c r="D846" s="51" t="s">
        <v>2058</v>
      </c>
      <c r="E846" s="52" t="s">
        <v>896</v>
      </c>
      <c r="F846" s="50" t="s">
        <v>1533</v>
      </c>
      <c r="G846" s="50" t="s">
        <v>1533</v>
      </c>
      <c r="H846" s="53"/>
      <c r="I846" s="50" t="s">
        <v>2064</v>
      </c>
      <c r="J846" s="18">
        <f>+_xlfn.XLOOKUP(B846,Sheet3!B:B,Sheet3!J:J,0)</f>
        <v>0</v>
      </c>
      <c r="K846">
        <f t="shared" si="40"/>
        <v>0</v>
      </c>
      <c r="L846" s="54">
        <v>0</v>
      </c>
      <c r="M846" s="67">
        <f t="shared" si="41"/>
        <v>0</v>
      </c>
    </row>
    <row r="847" spans="2:13" hidden="1" x14ac:dyDescent="0.25">
      <c r="B847" t="str">
        <f t="shared" si="39"/>
        <v>CastelCastagna</v>
      </c>
      <c r="C847" s="50" t="s">
        <v>826</v>
      </c>
      <c r="D847" s="51" t="s">
        <v>2058</v>
      </c>
      <c r="E847" s="52" t="s">
        <v>896</v>
      </c>
      <c r="F847" s="50" t="s">
        <v>1533</v>
      </c>
      <c r="G847" s="50" t="s">
        <v>1533</v>
      </c>
      <c r="H847" s="53"/>
      <c r="I847" s="50" t="s">
        <v>2065</v>
      </c>
      <c r="J847" s="18">
        <f>+_xlfn.XLOOKUP(B847,Sheet3!B:B,Sheet3!J:J,0)</f>
        <v>0</v>
      </c>
      <c r="K847">
        <f t="shared" si="40"/>
        <v>0</v>
      </c>
      <c r="L847" s="54">
        <v>0</v>
      </c>
      <c r="M847" s="67">
        <f t="shared" si="41"/>
        <v>0</v>
      </c>
    </row>
    <row r="848" spans="2:13" hidden="1" x14ac:dyDescent="0.25">
      <c r="B848" t="str">
        <f t="shared" si="39"/>
        <v>Crognaleto</v>
      </c>
      <c r="C848" s="50" t="s">
        <v>826</v>
      </c>
      <c r="D848" s="51" t="s">
        <v>2058</v>
      </c>
      <c r="E848" s="52" t="s">
        <v>896</v>
      </c>
      <c r="F848" s="50" t="s">
        <v>1533</v>
      </c>
      <c r="G848" s="50" t="s">
        <v>1533</v>
      </c>
      <c r="H848" s="53"/>
      <c r="I848" s="50" t="s">
        <v>2066</v>
      </c>
      <c r="J848" s="18">
        <f>+_xlfn.XLOOKUP(B848,Sheet3!B:B,Sheet3!J:J,0)</f>
        <v>0</v>
      </c>
      <c r="K848">
        <f t="shared" si="40"/>
        <v>0</v>
      </c>
      <c r="L848" s="54">
        <v>0</v>
      </c>
      <c r="M848" s="67">
        <f t="shared" si="41"/>
        <v>0</v>
      </c>
    </row>
    <row r="849" spans="2:13" hidden="1" x14ac:dyDescent="0.25">
      <c r="B849" t="str">
        <f t="shared" si="39"/>
        <v>Castelli</v>
      </c>
      <c r="C849" s="50" t="s">
        <v>826</v>
      </c>
      <c r="D849" s="51" t="s">
        <v>2058</v>
      </c>
      <c r="E849" s="52" t="s">
        <v>896</v>
      </c>
      <c r="F849" s="50" t="s">
        <v>1533</v>
      </c>
      <c r="G849" s="50" t="s">
        <v>1533</v>
      </c>
      <c r="H849" s="53"/>
      <c r="I849" s="50" t="s">
        <v>2067</v>
      </c>
      <c r="J849" s="18">
        <f>+_xlfn.XLOOKUP(B849,Sheet3!B:B,Sheet3!J:J,0)</f>
        <v>0</v>
      </c>
      <c r="K849">
        <f t="shared" si="40"/>
        <v>0</v>
      </c>
      <c r="L849" s="54">
        <v>0</v>
      </c>
      <c r="M849" s="67">
        <f t="shared" si="41"/>
        <v>0</v>
      </c>
    </row>
    <row r="850" spans="2:13" hidden="1" x14ac:dyDescent="0.25">
      <c r="B850" t="str">
        <f t="shared" si="39"/>
        <v>PennaSAndrea</v>
      </c>
      <c r="C850" s="50" t="s">
        <v>826</v>
      </c>
      <c r="D850" s="51" t="s">
        <v>2058</v>
      </c>
      <c r="E850" s="52" t="s">
        <v>896</v>
      </c>
      <c r="F850" s="50" t="s">
        <v>1533</v>
      </c>
      <c r="G850" s="50" t="s">
        <v>1533</v>
      </c>
      <c r="H850" s="53"/>
      <c r="I850" s="50" t="s">
        <v>2068</v>
      </c>
      <c r="J850" s="18">
        <f>+_xlfn.XLOOKUP(B850,Sheet3!B:B,Sheet3!J:J,0)</f>
        <v>0</v>
      </c>
      <c r="K850">
        <f t="shared" si="40"/>
        <v>0</v>
      </c>
      <c r="L850" s="54">
        <v>0</v>
      </c>
      <c r="M850" s="67">
        <f t="shared" si="41"/>
        <v>0</v>
      </c>
    </row>
    <row r="851" spans="2:13" hidden="1" x14ac:dyDescent="0.25">
      <c r="B851" t="str">
        <f t="shared" si="39"/>
        <v>FanoAdriano</v>
      </c>
      <c r="C851" s="50" t="s">
        <v>826</v>
      </c>
      <c r="D851" s="51" t="s">
        <v>2058</v>
      </c>
      <c r="E851" s="52" t="s">
        <v>896</v>
      </c>
      <c r="F851" s="50" t="s">
        <v>1533</v>
      </c>
      <c r="G851" s="50" t="s">
        <v>1533</v>
      </c>
      <c r="H851" s="53"/>
      <c r="I851" s="50" t="s">
        <v>2069</v>
      </c>
      <c r="J851" s="18">
        <f>+_xlfn.XLOOKUP(B851,Sheet3!B:B,Sheet3!J:J,0)</f>
        <v>0</v>
      </c>
      <c r="K851">
        <f t="shared" si="40"/>
        <v>0</v>
      </c>
      <c r="L851" s="54">
        <v>0</v>
      </c>
      <c r="M851" s="67">
        <f t="shared" si="41"/>
        <v>0</v>
      </c>
    </row>
    <row r="852" spans="2:13" hidden="1" x14ac:dyDescent="0.25">
      <c r="B852" t="str">
        <f t="shared" si="39"/>
        <v>Benevento</v>
      </c>
      <c r="C852" s="50" t="s">
        <v>826</v>
      </c>
      <c r="D852" s="51" t="s">
        <v>2070</v>
      </c>
      <c r="E852" s="52" t="s">
        <v>910</v>
      </c>
      <c r="F852" s="50" t="s">
        <v>1533</v>
      </c>
      <c r="G852" s="50" t="s">
        <v>1533</v>
      </c>
      <c r="H852" s="53"/>
      <c r="I852" s="50" t="s">
        <v>2071</v>
      </c>
      <c r="J852" s="18">
        <f>+_xlfn.XLOOKUP(B852,Sheet3!B:B,Sheet3!J:J,0)</f>
        <v>0</v>
      </c>
      <c r="K852">
        <f t="shared" si="40"/>
        <v>0</v>
      </c>
      <c r="L852" s="54">
        <v>0</v>
      </c>
      <c r="M852" s="67">
        <f t="shared" si="41"/>
        <v>0</v>
      </c>
    </row>
    <row r="853" spans="2:13" hidden="1" x14ac:dyDescent="0.25">
      <c r="B853" t="str">
        <f t="shared" si="39"/>
        <v>Santarcangelo</v>
      </c>
      <c r="C853" s="50" t="s">
        <v>826</v>
      </c>
      <c r="D853" s="51" t="s">
        <v>2070</v>
      </c>
      <c r="E853" s="52" t="s">
        <v>910</v>
      </c>
      <c r="F853" s="50" t="s">
        <v>1533</v>
      </c>
      <c r="G853" s="50" t="s">
        <v>1533</v>
      </c>
      <c r="H853" s="53"/>
      <c r="I853" s="50" t="s">
        <v>2072</v>
      </c>
      <c r="J853" s="18">
        <f>+_xlfn.XLOOKUP(B853,Sheet3!B:B,Sheet3!J:J,0)</f>
        <v>0</v>
      </c>
      <c r="K853">
        <f t="shared" si="40"/>
        <v>0</v>
      </c>
      <c r="L853" s="54">
        <v>0</v>
      </c>
      <c r="M853" s="67">
        <f t="shared" si="41"/>
        <v>0</v>
      </c>
    </row>
    <row r="854" spans="2:13" hidden="1" x14ac:dyDescent="0.25">
      <c r="B854" t="str">
        <f t="shared" si="39"/>
        <v>Pontelandolfo</v>
      </c>
      <c r="C854" s="50" t="s">
        <v>826</v>
      </c>
      <c r="D854" s="51" t="s">
        <v>2070</v>
      </c>
      <c r="E854" s="52" t="s">
        <v>910</v>
      </c>
      <c r="F854" s="50" t="s">
        <v>1533</v>
      </c>
      <c r="G854" s="50" t="s">
        <v>1533</v>
      </c>
      <c r="H854" s="53"/>
      <c r="I854" s="50" t="s">
        <v>2073</v>
      </c>
      <c r="J854" s="18">
        <f>+_xlfn.XLOOKUP(B854,Sheet3!B:B,Sheet3!J:J,0)</f>
        <v>0</v>
      </c>
      <c r="K854">
        <f t="shared" si="40"/>
        <v>0</v>
      </c>
      <c r="L854" s="54">
        <v>0</v>
      </c>
      <c r="M854" s="67">
        <f t="shared" si="41"/>
        <v>0</v>
      </c>
    </row>
    <row r="855" spans="2:13" hidden="1" x14ac:dyDescent="0.25">
      <c r="B855" t="str">
        <f t="shared" si="39"/>
        <v>Paupisi</v>
      </c>
      <c r="C855" s="50" t="s">
        <v>826</v>
      </c>
      <c r="D855" s="51" t="s">
        <v>2070</v>
      </c>
      <c r="E855" s="52" t="s">
        <v>910</v>
      </c>
      <c r="F855" s="50" t="s">
        <v>1533</v>
      </c>
      <c r="G855" s="50" t="s">
        <v>1533</v>
      </c>
      <c r="H855" s="53"/>
      <c r="I855" s="50" t="s">
        <v>2074</v>
      </c>
      <c r="J855" s="18">
        <f>+_xlfn.XLOOKUP(B855,Sheet3!B:B,Sheet3!J:J,0)</f>
        <v>0</v>
      </c>
      <c r="K855">
        <f t="shared" si="40"/>
        <v>0</v>
      </c>
      <c r="L855" s="54">
        <v>0</v>
      </c>
      <c r="M855" s="67">
        <f t="shared" si="41"/>
        <v>0</v>
      </c>
    </row>
    <row r="856" spans="2:13" hidden="1" x14ac:dyDescent="0.25">
      <c r="B856" t="str">
        <f t="shared" si="39"/>
        <v>Torrecuso</v>
      </c>
      <c r="C856" s="50" t="s">
        <v>826</v>
      </c>
      <c r="D856" s="51" t="s">
        <v>2070</v>
      </c>
      <c r="E856" s="52" t="s">
        <v>910</v>
      </c>
      <c r="F856" s="50" t="s">
        <v>1533</v>
      </c>
      <c r="G856" s="50" t="s">
        <v>1533</v>
      </c>
      <c r="H856" s="53"/>
      <c r="I856" s="50" t="s">
        <v>2075</v>
      </c>
      <c r="J856" s="18">
        <f>+_xlfn.XLOOKUP(B856,Sheet3!B:B,Sheet3!J:J,0)</f>
        <v>0</v>
      </c>
      <c r="K856">
        <f t="shared" si="40"/>
        <v>0</v>
      </c>
      <c r="L856" s="54">
        <v>0</v>
      </c>
      <c r="M856" s="67">
        <f t="shared" si="41"/>
        <v>0</v>
      </c>
    </row>
    <row r="857" spans="2:13" hidden="1" x14ac:dyDescent="0.25">
      <c r="B857" t="str">
        <f t="shared" si="39"/>
        <v>SanBartolomeo</v>
      </c>
      <c r="C857" s="50" t="s">
        <v>826</v>
      </c>
      <c r="D857" s="51" t="s">
        <v>2070</v>
      </c>
      <c r="E857" s="52" t="s">
        <v>910</v>
      </c>
      <c r="F857" s="50" t="s">
        <v>1533</v>
      </c>
      <c r="G857" s="50" t="s">
        <v>1533</v>
      </c>
      <c r="H857" s="53"/>
      <c r="I857" s="50" t="s">
        <v>2076</v>
      </c>
      <c r="J857" s="18">
        <f>+_xlfn.XLOOKUP(B857,Sheet3!B:B,Sheet3!J:J,0)</f>
        <v>0</v>
      </c>
      <c r="K857">
        <f t="shared" si="40"/>
        <v>0</v>
      </c>
      <c r="L857" s="54">
        <v>0</v>
      </c>
      <c r="M857" s="67">
        <f t="shared" si="41"/>
        <v>0</v>
      </c>
    </row>
    <row r="858" spans="2:13" hidden="1" x14ac:dyDescent="0.25">
      <c r="B858" t="str">
        <f t="shared" si="39"/>
        <v>Sanleucio</v>
      </c>
      <c r="C858" s="50" t="s">
        <v>826</v>
      </c>
      <c r="D858" s="51" t="s">
        <v>2070</v>
      </c>
      <c r="E858" s="52" t="s">
        <v>910</v>
      </c>
      <c r="F858" s="50" t="s">
        <v>1533</v>
      </c>
      <c r="G858" s="50" t="s">
        <v>1533</v>
      </c>
      <c r="H858" s="53"/>
      <c r="I858" s="50" t="s">
        <v>2077</v>
      </c>
      <c r="J858" s="18">
        <f>+_xlfn.XLOOKUP(B858,Sheet3!B:B,Sheet3!J:J,0)</f>
        <v>0</v>
      </c>
      <c r="K858">
        <f t="shared" si="40"/>
        <v>0</v>
      </c>
      <c r="L858" s="54">
        <v>0</v>
      </c>
      <c r="M858" s="67">
        <f t="shared" si="41"/>
        <v>0</v>
      </c>
    </row>
    <row r="859" spans="2:13" hidden="1" x14ac:dyDescent="0.25">
      <c r="B859" t="str">
        <f t="shared" si="39"/>
        <v>Molinara</v>
      </c>
      <c r="C859" s="50" t="s">
        <v>826</v>
      </c>
      <c r="D859" s="51" t="s">
        <v>2070</v>
      </c>
      <c r="E859" s="52" t="s">
        <v>910</v>
      </c>
      <c r="F859" s="50" t="s">
        <v>1533</v>
      </c>
      <c r="G859" s="50" t="s">
        <v>1533</v>
      </c>
      <c r="H859" s="53"/>
      <c r="I859" s="50" t="s">
        <v>2078</v>
      </c>
      <c r="J859" s="18">
        <f>+_xlfn.XLOOKUP(B859,Sheet3!B:B,Sheet3!J:J,0)</f>
        <v>0</v>
      </c>
      <c r="K859">
        <f t="shared" si="40"/>
        <v>0</v>
      </c>
      <c r="L859" s="54">
        <v>0</v>
      </c>
      <c r="M859" s="67">
        <f t="shared" si="41"/>
        <v>0</v>
      </c>
    </row>
    <row r="860" spans="2:13" hidden="1" x14ac:dyDescent="0.25">
      <c r="B860" t="str">
        <f t="shared" si="39"/>
        <v>Calvi</v>
      </c>
      <c r="C860" s="50" t="s">
        <v>826</v>
      </c>
      <c r="D860" s="51" t="s">
        <v>2070</v>
      </c>
      <c r="E860" s="52" t="s">
        <v>910</v>
      </c>
      <c r="F860" s="50" t="s">
        <v>1533</v>
      </c>
      <c r="G860" s="50" t="s">
        <v>1533</v>
      </c>
      <c r="H860" s="53"/>
      <c r="I860" s="50" t="s">
        <v>2079</v>
      </c>
      <c r="J860" s="18">
        <f>+_xlfn.XLOOKUP(B860,Sheet3!B:B,Sheet3!J:J,0)</f>
        <v>0</v>
      </c>
      <c r="K860">
        <f t="shared" si="40"/>
        <v>0</v>
      </c>
      <c r="L860" s="54">
        <v>0</v>
      </c>
      <c r="M860" s="67">
        <f t="shared" si="41"/>
        <v>0</v>
      </c>
    </row>
    <row r="861" spans="2:13" hidden="1" x14ac:dyDescent="0.25">
      <c r="B861" t="str">
        <f t="shared" si="39"/>
        <v>Ponte</v>
      </c>
      <c r="C861" s="50" t="s">
        <v>826</v>
      </c>
      <c r="D861" s="51" t="s">
        <v>2070</v>
      </c>
      <c r="E861" s="52" t="s">
        <v>910</v>
      </c>
      <c r="F861" s="50" t="s">
        <v>1533</v>
      </c>
      <c r="G861" s="50" t="s">
        <v>1533</v>
      </c>
      <c r="H861" s="53"/>
      <c r="I861" s="50" t="s">
        <v>2080</v>
      </c>
      <c r="J861" s="18">
        <f>+_xlfn.XLOOKUP(B861,Sheet3!B:B,Sheet3!J:J,0)</f>
        <v>0</v>
      </c>
      <c r="K861">
        <f t="shared" si="40"/>
        <v>0</v>
      </c>
      <c r="L861" s="54">
        <v>0</v>
      </c>
      <c r="M861" s="67">
        <f t="shared" si="41"/>
        <v>0</v>
      </c>
    </row>
    <row r="862" spans="2:13" hidden="1" x14ac:dyDescent="0.25">
      <c r="B862" t="str">
        <f t="shared" si="39"/>
        <v>Boscotrecase</v>
      </c>
      <c r="C862" s="50" t="s">
        <v>826</v>
      </c>
      <c r="D862" s="51" t="s">
        <v>2081</v>
      </c>
      <c r="E862" s="52" t="s">
        <v>910</v>
      </c>
      <c r="F862" s="50" t="s">
        <v>1533</v>
      </c>
      <c r="G862" s="50" t="s">
        <v>1533</v>
      </c>
      <c r="H862" s="53"/>
      <c r="I862" s="50" t="s">
        <v>2082</v>
      </c>
      <c r="J862" s="18">
        <f>+_xlfn.XLOOKUP(B862,Sheet3!B:B,Sheet3!J:J,0)</f>
        <v>0</v>
      </c>
      <c r="K862">
        <f t="shared" si="40"/>
        <v>0</v>
      </c>
      <c r="L862" s="54">
        <v>0</v>
      </c>
      <c r="M862" s="67">
        <f t="shared" si="41"/>
        <v>0</v>
      </c>
    </row>
    <row r="863" spans="2:13" hidden="1" x14ac:dyDescent="0.25">
      <c r="B863" t="str">
        <f t="shared" si="39"/>
        <v>Sant'Antimo</v>
      </c>
      <c r="C863" s="50" t="s">
        <v>826</v>
      </c>
      <c r="D863" s="51" t="s">
        <v>2081</v>
      </c>
      <c r="E863" s="52" t="s">
        <v>910</v>
      </c>
      <c r="F863" s="50" t="s">
        <v>1533</v>
      </c>
      <c r="G863" s="50" t="s">
        <v>1533</v>
      </c>
      <c r="H863" s="53"/>
      <c r="I863" s="50" t="s">
        <v>2083</v>
      </c>
      <c r="J863" s="18">
        <f>+_xlfn.XLOOKUP(B863,Sheet3!B:B,Sheet3!J:J,0)</f>
        <v>0</v>
      </c>
      <c r="K863">
        <f t="shared" si="40"/>
        <v>0</v>
      </c>
      <c r="L863" s="54">
        <v>0</v>
      </c>
      <c r="M863" s="67">
        <f t="shared" si="41"/>
        <v>0</v>
      </c>
    </row>
    <row r="864" spans="2:13" hidden="1" x14ac:dyDescent="0.25">
      <c r="B864" t="str">
        <f t="shared" si="39"/>
        <v>Zelo Buon Persico</v>
      </c>
      <c r="C864" s="50" t="s">
        <v>826</v>
      </c>
      <c r="D864" s="51" t="s">
        <v>2084</v>
      </c>
      <c r="E864" s="52" t="s">
        <v>888</v>
      </c>
      <c r="F864" s="50" t="s">
        <v>1533</v>
      </c>
      <c r="G864" s="50" t="s">
        <v>1533</v>
      </c>
      <c r="H864" s="53"/>
      <c r="I864" s="50" t="s">
        <v>2085</v>
      </c>
      <c r="J864" s="18">
        <f>+_xlfn.XLOOKUP(B864,Sheet3!B:B,Sheet3!J:J,0)</f>
        <v>0</v>
      </c>
      <c r="K864">
        <f t="shared" si="40"/>
        <v>0</v>
      </c>
      <c r="L864" s="54">
        <v>0</v>
      </c>
      <c r="M864" s="67">
        <f t="shared" si="41"/>
        <v>0</v>
      </c>
    </row>
    <row r="865" spans="2:13" hidden="1" x14ac:dyDescent="0.25">
      <c r="B865" t="str">
        <f t="shared" si="39"/>
        <v>Maletto</v>
      </c>
      <c r="C865" s="50" t="s">
        <v>826</v>
      </c>
      <c r="D865" s="51" t="s">
        <v>2086</v>
      </c>
      <c r="E865" s="52" t="s">
        <v>910</v>
      </c>
      <c r="F865" s="50" t="s">
        <v>1533</v>
      </c>
      <c r="G865" s="50" t="s">
        <v>1533</v>
      </c>
      <c r="H865" s="53"/>
      <c r="I865" s="50" t="s">
        <v>2087</v>
      </c>
      <c r="J865" s="18">
        <f>+_xlfn.XLOOKUP(B865,Sheet3!B:B,Sheet3!J:J,0)</f>
        <v>0</v>
      </c>
      <c r="K865">
        <f t="shared" si="40"/>
        <v>0</v>
      </c>
      <c r="L865" s="54">
        <v>0</v>
      </c>
      <c r="M865" s="67">
        <f t="shared" si="41"/>
        <v>0</v>
      </c>
    </row>
    <row r="866" spans="2:13" hidden="1" x14ac:dyDescent="0.25">
      <c r="B866" t="str">
        <f t="shared" si="39"/>
        <v>Villa</v>
      </c>
      <c r="C866" s="50" t="s">
        <v>826</v>
      </c>
      <c r="D866" s="51" t="s">
        <v>2086</v>
      </c>
      <c r="E866" s="52" t="s">
        <v>888</v>
      </c>
      <c r="F866" s="50" t="s">
        <v>1533</v>
      </c>
      <c r="G866" s="50" t="s">
        <v>1533</v>
      </c>
      <c r="H866" s="53"/>
      <c r="I866" s="50" t="s">
        <v>2088</v>
      </c>
      <c r="J866" s="18">
        <f>+_xlfn.XLOOKUP(B866,Sheet3!B:B,Sheet3!J:J,0)</f>
        <v>0</v>
      </c>
      <c r="K866">
        <f t="shared" si="40"/>
        <v>0</v>
      </c>
      <c r="L866" s="54">
        <v>0</v>
      </c>
      <c r="M866" s="67">
        <f t="shared" si="41"/>
        <v>0</v>
      </c>
    </row>
    <row r="867" spans="2:13" hidden="1" x14ac:dyDescent="0.25">
      <c r="B867" t="str">
        <f t="shared" si="39"/>
        <v>Colorina</v>
      </c>
      <c r="C867" s="50" t="s">
        <v>826</v>
      </c>
      <c r="D867" s="51" t="s">
        <v>2086</v>
      </c>
      <c r="E867" s="52" t="s">
        <v>888</v>
      </c>
      <c r="F867" s="50" t="s">
        <v>1533</v>
      </c>
      <c r="G867" s="50" t="s">
        <v>1533</v>
      </c>
      <c r="H867" s="53"/>
      <c r="I867" s="50" t="s">
        <v>2089</v>
      </c>
      <c r="J867" s="18">
        <f>+_xlfn.XLOOKUP(B867,Sheet3!B:B,Sheet3!J:J,0)</f>
        <v>0</v>
      </c>
      <c r="K867">
        <f t="shared" si="40"/>
        <v>0</v>
      </c>
      <c r="L867" s="54">
        <v>0</v>
      </c>
      <c r="M867" s="67">
        <f t="shared" si="41"/>
        <v>0</v>
      </c>
    </row>
    <row r="868" spans="2:13" hidden="1" x14ac:dyDescent="0.25">
      <c r="B868" t="str">
        <f t="shared" si="39"/>
        <v>Tito</v>
      </c>
      <c r="C868" s="50" t="s">
        <v>826</v>
      </c>
      <c r="D868" s="51" t="s">
        <v>2086</v>
      </c>
      <c r="E868" s="52" t="s">
        <v>910</v>
      </c>
      <c r="F868" s="50" t="s">
        <v>1533</v>
      </c>
      <c r="G868" s="50" t="s">
        <v>1533</v>
      </c>
      <c r="H868" s="53"/>
      <c r="I868" s="50" t="s">
        <v>2090</v>
      </c>
      <c r="J868" s="18">
        <f>+_xlfn.XLOOKUP(B868,Sheet3!B:B,Sheet3!J:J,0)</f>
        <v>0</v>
      </c>
      <c r="K868">
        <f t="shared" si="40"/>
        <v>0</v>
      </c>
      <c r="L868" s="54">
        <v>0</v>
      </c>
      <c r="M868" s="67">
        <f t="shared" si="41"/>
        <v>0</v>
      </c>
    </row>
    <row r="869" spans="2:13" hidden="1" x14ac:dyDescent="0.25">
      <c r="B869" t="str">
        <f t="shared" si="39"/>
        <v>Sapri</v>
      </c>
      <c r="C869" s="50" t="s">
        <v>826</v>
      </c>
      <c r="D869" s="51" t="s">
        <v>2086</v>
      </c>
      <c r="E869" s="52" t="s">
        <v>910</v>
      </c>
      <c r="F869" s="50" t="s">
        <v>1533</v>
      </c>
      <c r="G869" s="50" t="s">
        <v>1533</v>
      </c>
      <c r="H869" s="53"/>
      <c r="I869" s="50" t="s">
        <v>2091</v>
      </c>
      <c r="J869" s="18">
        <f>+_xlfn.XLOOKUP(B869,Sheet3!B:B,Sheet3!J:J,0)</f>
        <v>0</v>
      </c>
      <c r="K869">
        <f t="shared" si="40"/>
        <v>0</v>
      </c>
      <c r="L869" s="54">
        <v>0</v>
      </c>
      <c r="M869" s="67">
        <f t="shared" si="41"/>
        <v>0</v>
      </c>
    </row>
    <row r="870" spans="2:13" hidden="1" x14ac:dyDescent="0.25">
      <c r="B870" t="str">
        <f t="shared" si="39"/>
        <v>Tagliacozzo</v>
      </c>
      <c r="C870" s="50" t="s">
        <v>826</v>
      </c>
      <c r="D870" s="51" t="s">
        <v>2092</v>
      </c>
      <c r="E870" s="52" t="s">
        <v>896</v>
      </c>
      <c r="F870" s="50" t="s">
        <v>1533</v>
      </c>
      <c r="G870" s="50" t="s">
        <v>1533</v>
      </c>
      <c r="H870" s="53"/>
      <c r="I870" s="50" t="s">
        <v>2093</v>
      </c>
      <c r="J870" s="18">
        <f>+_xlfn.XLOOKUP(B870,Sheet3!B:B,Sheet3!J:J,0)</f>
        <v>0</v>
      </c>
      <c r="K870">
        <f t="shared" si="40"/>
        <v>0</v>
      </c>
      <c r="L870" s="54">
        <v>0</v>
      </c>
      <c r="M870" s="67">
        <f t="shared" si="41"/>
        <v>0</v>
      </c>
    </row>
    <row r="871" spans="2:13" hidden="1" x14ac:dyDescent="0.25">
      <c r="B871" t="str">
        <f t="shared" si="39"/>
        <v>Ischia 2</v>
      </c>
      <c r="C871" s="50" t="s">
        <v>826</v>
      </c>
      <c r="D871" s="51" t="s">
        <v>978</v>
      </c>
      <c r="E871" s="52" t="s">
        <v>910</v>
      </c>
      <c r="F871" s="50" t="s">
        <v>1533</v>
      </c>
      <c r="G871" s="50" t="s">
        <v>1533</v>
      </c>
      <c r="H871" s="53"/>
      <c r="I871" s="50" t="s">
        <v>2094</v>
      </c>
      <c r="J871" s="18">
        <f>+_xlfn.XLOOKUP(B871,Sheet3!B:B,Sheet3!J:J,0)</f>
        <v>0</v>
      </c>
      <c r="K871">
        <f t="shared" si="40"/>
        <v>0</v>
      </c>
      <c r="L871" s="54">
        <v>0</v>
      </c>
      <c r="M871" s="67">
        <f t="shared" si="41"/>
        <v>0</v>
      </c>
    </row>
    <row r="872" spans="2:13" hidden="1" x14ac:dyDescent="0.25">
      <c r="B872" t="str">
        <f t="shared" si="39"/>
        <v>Somma Vesuviana 2</v>
      </c>
      <c r="C872" s="50" t="s">
        <v>826</v>
      </c>
      <c r="D872" s="51" t="s">
        <v>2095</v>
      </c>
      <c r="E872" s="52" t="s">
        <v>910</v>
      </c>
      <c r="F872" s="50" t="s">
        <v>1533</v>
      </c>
      <c r="G872" s="50" t="s">
        <v>1533</v>
      </c>
      <c r="H872" s="53"/>
      <c r="I872" s="50" t="s">
        <v>2096</v>
      </c>
      <c r="J872" s="18">
        <f>+_xlfn.XLOOKUP(B872,Sheet3!B:B,Sheet3!J:J,0)</f>
        <v>0</v>
      </c>
      <c r="K872">
        <f t="shared" si="40"/>
        <v>0</v>
      </c>
      <c r="L872" s="54">
        <v>0</v>
      </c>
      <c r="M872" s="67">
        <f t="shared" si="41"/>
        <v>0</v>
      </c>
    </row>
    <row r="873" spans="2:13" hidden="1" x14ac:dyDescent="0.25">
      <c r="B873" t="str">
        <f t="shared" si="39"/>
        <v>Vietri sul Mare 2</v>
      </c>
      <c r="C873" s="50" t="s">
        <v>826</v>
      </c>
      <c r="D873" s="51" t="s">
        <v>2097</v>
      </c>
      <c r="E873" s="52" t="s">
        <v>910</v>
      </c>
      <c r="F873" s="50" t="s">
        <v>1533</v>
      </c>
      <c r="G873" s="50" t="s">
        <v>1533</v>
      </c>
      <c r="H873" s="53"/>
      <c r="I873" s="50" t="s">
        <v>2098</v>
      </c>
      <c r="J873" s="18">
        <f>+_xlfn.XLOOKUP(B873,Sheet3!B:B,Sheet3!J:J,0)</f>
        <v>0</v>
      </c>
      <c r="K873">
        <f t="shared" si="40"/>
        <v>0</v>
      </c>
      <c r="L873" s="54">
        <v>0</v>
      </c>
      <c r="M873" s="67">
        <f t="shared" si="41"/>
        <v>0</v>
      </c>
    </row>
    <row r="874" spans="2:13" hidden="1" x14ac:dyDescent="0.25">
      <c r="B874" t="str">
        <f t="shared" si="39"/>
        <v>Comune1 PL</v>
      </c>
      <c r="C874" s="50" t="s">
        <v>826</v>
      </c>
      <c r="D874" s="51" t="s">
        <v>2099</v>
      </c>
      <c r="E874" s="52" t="s">
        <v>888</v>
      </c>
      <c r="F874" s="50" t="s">
        <v>1533</v>
      </c>
      <c r="G874" s="50" t="s">
        <v>1533</v>
      </c>
      <c r="H874" s="53"/>
      <c r="I874" s="50" t="s">
        <v>2100</v>
      </c>
      <c r="J874" s="18">
        <f>+_xlfn.XLOOKUP(B874,Sheet3!B:B,Sheet3!J:J,0)</f>
        <v>0</v>
      </c>
      <c r="K874">
        <f t="shared" si="40"/>
        <v>0</v>
      </c>
      <c r="L874" s="54">
        <v>0</v>
      </c>
      <c r="M874" s="67">
        <f t="shared" si="41"/>
        <v>0</v>
      </c>
    </row>
    <row r="875" spans="2:13" hidden="1" x14ac:dyDescent="0.25">
      <c r="B875" t="str">
        <f t="shared" si="39"/>
        <v>Comune2 PL</v>
      </c>
      <c r="C875" s="50" t="s">
        <v>826</v>
      </c>
      <c r="D875" s="51" t="s">
        <v>2099</v>
      </c>
      <c r="E875" s="52" t="s">
        <v>888</v>
      </c>
      <c r="F875" s="50" t="s">
        <v>1533</v>
      </c>
      <c r="G875" s="50" t="s">
        <v>1533</v>
      </c>
      <c r="H875" s="53"/>
      <c r="I875" s="50" t="s">
        <v>2101</v>
      </c>
      <c r="J875" s="18">
        <f>+_xlfn.XLOOKUP(B875,Sheet3!B:B,Sheet3!J:J,0)</f>
        <v>0</v>
      </c>
      <c r="K875">
        <f t="shared" si="40"/>
        <v>0</v>
      </c>
      <c r="L875" s="54">
        <v>0</v>
      </c>
      <c r="M875" s="67">
        <f t="shared" si="41"/>
        <v>0</v>
      </c>
    </row>
    <row r="876" spans="2:13" hidden="1" x14ac:dyDescent="0.25">
      <c r="B876" t="str">
        <f t="shared" si="39"/>
        <v>Comune3 PL</v>
      </c>
      <c r="C876" s="50" t="s">
        <v>826</v>
      </c>
      <c r="D876" s="51" t="s">
        <v>2099</v>
      </c>
      <c r="E876" s="52" t="s">
        <v>888</v>
      </c>
      <c r="F876" s="50" t="s">
        <v>1533</v>
      </c>
      <c r="G876" s="50" t="s">
        <v>1533</v>
      </c>
      <c r="H876" s="53"/>
      <c r="I876" s="50" t="s">
        <v>2102</v>
      </c>
      <c r="J876" s="18">
        <f>+_xlfn.XLOOKUP(B876,Sheet3!B:B,Sheet3!J:J,0)</f>
        <v>0</v>
      </c>
      <c r="K876">
        <f t="shared" si="40"/>
        <v>0</v>
      </c>
      <c r="L876" s="54">
        <v>0</v>
      </c>
      <c r="M876" s="67">
        <f t="shared" si="41"/>
        <v>0</v>
      </c>
    </row>
    <row r="877" spans="2:13" hidden="1" x14ac:dyDescent="0.25">
      <c r="B877" t="str">
        <f t="shared" si="39"/>
        <v>Piedimonte Etneo</v>
      </c>
      <c r="C877" s="50" t="s">
        <v>826</v>
      </c>
      <c r="D877" s="51" t="s">
        <v>2103</v>
      </c>
      <c r="E877" s="52" t="s">
        <v>910</v>
      </c>
      <c r="F877" s="50" t="s">
        <v>1533</v>
      </c>
      <c r="G877" s="50" t="s">
        <v>1533</v>
      </c>
      <c r="H877" s="53"/>
      <c r="I877" s="50" t="s">
        <v>2104</v>
      </c>
      <c r="J877" s="18">
        <f>+_xlfn.XLOOKUP(B877,Sheet3!B:B,Sheet3!J:J,0)</f>
        <v>0</v>
      </c>
      <c r="K877">
        <f t="shared" si="40"/>
        <v>0</v>
      </c>
      <c r="L877" s="54">
        <v>0</v>
      </c>
      <c r="M877" s="67">
        <f t="shared" si="41"/>
        <v>0</v>
      </c>
    </row>
    <row r="878" spans="2:13" hidden="1" x14ac:dyDescent="0.25">
      <c r="B878" t="str">
        <f t="shared" si="39"/>
        <v>Sant'Agata Li Battiati</v>
      </c>
      <c r="C878" s="50" t="s">
        <v>826</v>
      </c>
      <c r="D878" s="51" t="s">
        <v>2103</v>
      </c>
      <c r="E878" s="52" t="s">
        <v>910</v>
      </c>
      <c r="F878" s="50" t="s">
        <v>1533</v>
      </c>
      <c r="G878" s="50" t="s">
        <v>1533</v>
      </c>
      <c r="H878" s="53"/>
      <c r="I878" s="50" t="s">
        <v>2105</v>
      </c>
      <c r="J878" s="18">
        <f>+_xlfn.XLOOKUP(B878,Sheet3!B:B,Sheet3!J:J,0)</f>
        <v>0</v>
      </c>
      <c r="K878">
        <f t="shared" si="40"/>
        <v>0</v>
      </c>
      <c r="L878" s="54">
        <v>0</v>
      </c>
      <c r="M878" s="67">
        <f t="shared" si="41"/>
        <v>0</v>
      </c>
    </row>
    <row r="879" spans="2:13" hidden="1" x14ac:dyDescent="0.25">
      <c r="B879" t="str">
        <f t="shared" si="39"/>
        <v>Milo</v>
      </c>
      <c r="C879" s="50" t="s">
        <v>826</v>
      </c>
      <c r="D879" s="51" t="s">
        <v>2103</v>
      </c>
      <c r="E879" s="52" t="s">
        <v>910</v>
      </c>
      <c r="F879" s="50" t="s">
        <v>1533</v>
      </c>
      <c r="G879" s="50" t="s">
        <v>1533</v>
      </c>
      <c r="H879" s="53"/>
      <c r="I879" s="50" t="s">
        <v>2106</v>
      </c>
      <c r="J879" s="18">
        <f>+_xlfn.XLOOKUP(B879,Sheet3!B:B,Sheet3!J:J,0)</f>
        <v>0</v>
      </c>
      <c r="K879">
        <f t="shared" si="40"/>
        <v>0</v>
      </c>
      <c r="L879" s="54">
        <v>0</v>
      </c>
      <c r="M879" s="67">
        <f t="shared" si="41"/>
        <v>0</v>
      </c>
    </row>
    <row r="880" spans="2:13" hidden="1" x14ac:dyDescent="0.25">
      <c r="B880" t="str">
        <f t="shared" si="39"/>
        <v>X-Bus</v>
      </c>
      <c r="C880" s="50" t="s">
        <v>826</v>
      </c>
      <c r="D880" s="51" t="s">
        <v>2107</v>
      </c>
      <c r="E880" s="52" t="s">
        <v>896</v>
      </c>
      <c r="F880" s="50" t="s">
        <v>1533</v>
      </c>
      <c r="G880" s="50" t="s">
        <v>1533</v>
      </c>
      <c r="H880" s="53"/>
      <c r="I880" s="50" t="s">
        <v>2107</v>
      </c>
      <c r="J880" s="18">
        <f>+_xlfn.XLOOKUP(B880,Sheet3!B:B,Sheet3!J:J,0)</f>
        <v>0</v>
      </c>
      <c r="K880">
        <f t="shared" si="40"/>
        <v>0</v>
      </c>
      <c r="L880" s="54">
        <v>0</v>
      </c>
      <c r="M880" s="67">
        <f t="shared" si="41"/>
        <v>0</v>
      </c>
    </row>
    <row r="881" spans="2:13" hidden="1" x14ac:dyDescent="0.25">
      <c r="B881" t="str">
        <f t="shared" si="39"/>
        <v>San Giorgio Jonico PV</v>
      </c>
      <c r="C881" s="50" t="s">
        <v>826</v>
      </c>
      <c r="D881" s="51" t="s">
        <v>887</v>
      </c>
      <c r="E881" s="52" t="s">
        <v>910</v>
      </c>
      <c r="F881" s="50" t="s">
        <v>1533</v>
      </c>
      <c r="G881" s="50" t="s">
        <v>1533</v>
      </c>
      <c r="H881" s="53"/>
      <c r="I881" s="50" t="s">
        <v>2109</v>
      </c>
      <c r="J881" s="18">
        <f>+_xlfn.XLOOKUP(B881,Sheet3!B:B,Sheet3!J:J,0)</f>
        <v>0</v>
      </c>
      <c r="K881">
        <f t="shared" si="40"/>
        <v>0</v>
      </c>
      <c r="L881" s="54">
        <v>0</v>
      </c>
      <c r="M881" s="67">
        <f t="shared" si="41"/>
        <v>0</v>
      </c>
    </row>
    <row r="882" spans="2:13" hidden="1" x14ac:dyDescent="0.25">
      <c r="B882" t="str">
        <f t="shared" si="39"/>
        <v>Taviano PV</v>
      </c>
      <c r="C882" s="50" t="s">
        <v>826</v>
      </c>
      <c r="D882" s="51" t="s">
        <v>887</v>
      </c>
      <c r="E882" s="52" t="s">
        <v>910</v>
      </c>
      <c r="F882" s="50" t="s">
        <v>1533</v>
      </c>
      <c r="G882" s="50" t="s">
        <v>1533</v>
      </c>
      <c r="H882" s="53"/>
      <c r="I882" s="50" t="s">
        <v>2110</v>
      </c>
      <c r="J882" s="18">
        <f>+_xlfn.XLOOKUP(B882,Sheet3!B:B,Sheet3!J:J,0)</f>
        <v>0</v>
      </c>
      <c r="K882">
        <f t="shared" si="40"/>
        <v>0</v>
      </c>
      <c r="L882" s="54">
        <v>0</v>
      </c>
      <c r="M882" s="67">
        <f t="shared" si="41"/>
        <v>0</v>
      </c>
    </row>
    <row r="883" spans="2:13" hidden="1" x14ac:dyDescent="0.25">
      <c r="B883" t="str">
        <f t="shared" si="39"/>
        <v>Tricase PV</v>
      </c>
      <c r="C883" s="50" t="s">
        <v>826</v>
      </c>
      <c r="D883" s="51" t="s">
        <v>887</v>
      </c>
      <c r="E883" s="52" t="s">
        <v>910</v>
      </c>
      <c r="F883" s="50" t="s">
        <v>1533</v>
      </c>
      <c r="G883" s="50" t="s">
        <v>1533</v>
      </c>
      <c r="H883" s="53"/>
      <c r="I883" s="50" t="s">
        <v>2026</v>
      </c>
      <c r="J883" s="18">
        <f>+_xlfn.XLOOKUP(B883,Sheet3!B:B,Sheet3!J:J,0)</f>
        <v>0</v>
      </c>
      <c r="K883">
        <f t="shared" si="40"/>
        <v>0</v>
      </c>
      <c r="L883" s="54">
        <v>0</v>
      </c>
      <c r="M883" s="67">
        <f t="shared" si="41"/>
        <v>0</v>
      </c>
    </row>
    <row r="884" spans="2:13" hidden="1" x14ac:dyDescent="0.25">
      <c r="B884" t="str">
        <f t="shared" si="39"/>
        <v>Ugento PV</v>
      </c>
      <c r="C884" s="50" t="s">
        <v>826</v>
      </c>
      <c r="D884" s="51" t="s">
        <v>887</v>
      </c>
      <c r="E884" s="52" t="s">
        <v>910</v>
      </c>
      <c r="F884" s="50" t="s">
        <v>1533</v>
      </c>
      <c r="G884" s="50" t="s">
        <v>1533</v>
      </c>
      <c r="H884" s="53"/>
      <c r="I884" s="50" t="s">
        <v>2111</v>
      </c>
      <c r="J884" s="18">
        <f>+_xlfn.XLOOKUP(B884,Sheet3!B:B,Sheet3!J:J,0)</f>
        <v>0</v>
      </c>
      <c r="K884">
        <f t="shared" si="40"/>
        <v>0</v>
      </c>
      <c r="L884" s="54">
        <v>0</v>
      </c>
      <c r="M884" s="67">
        <f t="shared" si="41"/>
        <v>0</v>
      </c>
    </row>
    <row r="885" spans="2:13" hidden="1" x14ac:dyDescent="0.25">
      <c r="B885" t="str">
        <f t="shared" si="39"/>
        <v>Casarano</v>
      </c>
      <c r="C885" s="50" t="s">
        <v>826</v>
      </c>
      <c r="D885" s="51" t="s">
        <v>2112</v>
      </c>
      <c r="E885" s="52" t="s">
        <v>910</v>
      </c>
      <c r="F885" s="50" t="s">
        <v>1533</v>
      </c>
      <c r="G885" s="50" t="s">
        <v>1533</v>
      </c>
      <c r="H885" s="53"/>
      <c r="I885" s="50" t="s">
        <v>2113</v>
      </c>
      <c r="J885" s="18">
        <f>+_xlfn.XLOOKUP(B885,Sheet3!B:B,Sheet3!J:J,0)</f>
        <v>0</v>
      </c>
      <c r="K885">
        <f t="shared" si="40"/>
        <v>0</v>
      </c>
      <c r="L885" s="54">
        <v>0</v>
      </c>
      <c r="M885" s="67">
        <f t="shared" si="41"/>
        <v>0</v>
      </c>
    </row>
    <row r="886" spans="2:13" hidden="1" x14ac:dyDescent="0.25">
      <c r="B886" t="str">
        <f t="shared" si="39"/>
        <v>Castrignano</v>
      </c>
      <c r="C886" s="50" t="s">
        <v>826</v>
      </c>
      <c r="D886" s="51" t="s">
        <v>2112</v>
      </c>
      <c r="E886" s="52" t="s">
        <v>910</v>
      </c>
      <c r="F886" s="50" t="s">
        <v>1533</v>
      </c>
      <c r="G886" s="50" t="s">
        <v>1533</v>
      </c>
      <c r="H886" s="53"/>
      <c r="I886" s="50" t="s">
        <v>2114</v>
      </c>
      <c r="J886" s="18">
        <f>+_xlfn.XLOOKUP(B886,Sheet3!B:B,Sheet3!J:J,0)</f>
        <v>0</v>
      </c>
      <c r="K886">
        <f t="shared" si="40"/>
        <v>0</v>
      </c>
      <c r="L886" s="54">
        <v>0</v>
      </c>
      <c r="M886" s="67">
        <f t="shared" si="41"/>
        <v>0</v>
      </c>
    </row>
    <row r="887" spans="2:13" hidden="1" x14ac:dyDescent="0.25">
      <c r="B887" t="str">
        <f t="shared" si="39"/>
        <v>Comune1 PB</v>
      </c>
      <c r="C887" s="50" t="s">
        <v>826</v>
      </c>
      <c r="D887" s="51" t="s">
        <v>2099</v>
      </c>
      <c r="E887" s="52" t="s">
        <v>888</v>
      </c>
      <c r="F887" s="50" t="s">
        <v>1533</v>
      </c>
      <c r="G887" s="50" t="s">
        <v>1533</v>
      </c>
      <c r="H887" s="53"/>
      <c r="I887" s="50" t="s">
        <v>2115</v>
      </c>
      <c r="J887" s="18">
        <f>+_xlfn.XLOOKUP(B887,Sheet3!B:B,Sheet3!J:J,0)</f>
        <v>0</v>
      </c>
      <c r="K887">
        <f t="shared" si="40"/>
        <v>0</v>
      </c>
      <c r="L887" s="54">
        <v>0</v>
      </c>
      <c r="M887" s="67">
        <f t="shared" si="41"/>
        <v>0</v>
      </c>
    </row>
    <row r="888" spans="2:13" hidden="1" x14ac:dyDescent="0.25">
      <c r="B888" t="str">
        <f t="shared" si="39"/>
        <v>Comune2 PB</v>
      </c>
      <c r="C888" s="50" t="s">
        <v>826</v>
      </c>
      <c r="D888" s="51" t="s">
        <v>2099</v>
      </c>
      <c r="E888" s="52" t="s">
        <v>888</v>
      </c>
      <c r="F888" s="50" t="s">
        <v>1533</v>
      </c>
      <c r="G888" s="50" t="s">
        <v>1533</v>
      </c>
      <c r="H888" s="53"/>
      <c r="I888" s="50" t="s">
        <v>2116</v>
      </c>
      <c r="J888" s="18">
        <f>+_xlfn.XLOOKUP(B888,Sheet3!B:B,Sheet3!J:J,0)</f>
        <v>0</v>
      </c>
      <c r="K888">
        <f t="shared" si="40"/>
        <v>0</v>
      </c>
      <c r="L888" s="54">
        <v>0</v>
      </c>
      <c r="M888" s="67">
        <f t="shared" si="41"/>
        <v>0</v>
      </c>
    </row>
    <row r="889" spans="2:13" hidden="1" x14ac:dyDescent="0.25">
      <c r="B889" t="str">
        <f t="shared" si="39"/>
        <v>Comune3 PB</v>
      </c>
      <c r="C889" s="50" t="s">
        <v>826</v>
      </c>
      <c r="D889" s="51" t="s">
        <v>2099</v>
      </c>
      <c r="E889" s="52" t="s">
        <v>888</v>
      </c>
      <c r="F889" s="50" t="s">
        <v>1533</v>
      </c>
      <c r="G889" s="50" t="s">
        <v>1533</v>
      </c>
      <c r="H889" s="53"/>
      <c r="I889" s="50" t="s">
        <v>2117</v>
      </c>
      <c r="J889" s="18">
        <f>+_xlfn.XLOOKUP(B889,Sheet3!B:B,Sheet3!J:J,0)</f>
        <v>0</v>
      </c>
      <c r="K889">
        <f t="shared" si="40"/>
        <v>0</v>
      </c>
      <c r="L889" s="54">
        <v>0</v>
      </c>
      <c r="M889" s="67">
        <f t="shared" si="41"/>
        <v>0</v>
      </c>
    </row>
    <row r="890" spans="2:13" hidden="1" x14ac:dyDescent="0.25">
      <c r="B890" t="str">
        <f t="shared" si="39"/>
        <v>Comune4 PB</v>
      </c>
      <c r="C890" s="50" t="s">
        <v>826</v>
      </c>
      <c r="D890" s="51" t="s">
        <v>2099</v>
      </c>
      <c r="E890" s="52" t="s">
        <v>888</v>
      </c>
      <c r="F890" s="50" t="s">
        <v>1533</v>
      </c>
      <c r="G890" s="50" t="s">
        <v>1533</v>
      </c>
      <c r="H890" s="53"/>
      <c r="I890" s="50" t="s">
        <v>2118</v>
      </c>
      <c r="J890" s="18">
        <f>+_xlfn.XLOOKUP(B890,Sheet3!B:B,Sheet3!J:J,0)</f>
        <v>0</v>
      </c>
      <c r="K890">
        <f t="shared" si="40"/>
        <v>0</v>
      </c>
      <c r="L890" s="54">
        <v>0</v>
      </c>
      <c r="M890" s="67">
        <f t="shared" si="41"/>
        <v>0</v>
      </c>
    </row>
    <row r="891" spans="2:13" hidden="1" x14ac:dyDescent="0.25">
      <c r="B891" t="str">
        <f t="shared" si="39"/>
        <v>Comune5 PB</v>
      </c>
      <c r="C891" s="50" t="s">
        <v>826</v>
      </c>
      <c r="D891" s="51" t="s">
        <v>2099</v>
      </c>
      <c r="E891" s="52" t="s">
        <v>888</v>
      </c>
      <c r="F891" s="50" t="s">
        <v>1533</v>
      </c>
      <c r="G891" s="50" t="s">
        <v>1533</v>
      </c>
      <c r="H891" s="53"/>
      <c r="I891" s="50" t="s">
        <v>2119</v>
      </c>
      <c r="J891" s="18">
        <f>+_xlfn.XLOOKUP(B891,Sheet3!B:B,Sheet3!J:J,0)</f>
        <v>0</v>
      </c>
      <c r="K891">
        <f t="shared" si="40"/>
        <v>0</v>
      </c>
      <c r="L891" s="54">
        <v>0</v>
      </c>
      <c r="M891" s="67">
        <f t="shared" si="41"/>
        <v>0</v>
      </c>
    </row>
    <row r="892" spans="2:13" hidden="1" x14ac:dyDescent="0.25">
      <c r="B892" t="str">
        <f t="shared" si="39"/>
        <v>Comune6 PB</v>
      </c>
      <c r="C892" s="50" t="s">
        <v>826</v>
      </c>
      <c r="D892" s="51" t="s">
        <v>2099</v>
      </c>
      <c r="E892" s="52" t="s">
        <v>888</v>
      </c>
      <c r="F892" s="50" t="s">
        <v>1533</v>
      </c>
      <c r="G892" s="50" t="s">
        <v>1533</v>
      </c>
      <c r="H892" s="53"/>
      <c r="I892" s="50" t="s">
        <v>2120</v>
      </c>
      <c r="J892" s="18">
        <f>+_xlfn.XLOOKUP(B892,Sheet3!B:B,Sheet3!J:J,0)</f>
        <v>0</v>
      </c>
      <c r="K892">
        <f t="shared" si="40"/>
        <v>0</v>
      </c>
      <c r="L892" s="54">
        <v>0</v>
      </c>
      <c r="M892" s="67">
        <f t="shared" si="41"/>
        <v>0</v>
      </c>
    </row>
    <row r="893" spans="2:13" hidden="1" x14ac:dyDescent="0.25">
      <c r="B893" t="str">
        <f t="shared" si="39"/>
        <v>Comune7 PB</v>
      </c>
      <c r="C893" s="50" t="s">
        <v>826</v>
      </c>
      <c r="D893" s="51" t="s">
        <v>2099</v>
      </c>
      <c r="E893" s="52" t="s">
        <v>888</v>
      </c>
      <c r="F893" s="50" t="s">
        <v>1533</v>
      </c>
      <c r="G893" s="50" t="s">
        <v>1533</v>
      </c>
      <c r="H893" s="53"/>
      <c r="I893" s="50" t="s">
        <v>2121</v>
      </c>
      <c r="J893" s="18">
        <f>+_xlfn.XLOOKUP(B893,Sheet3!B:B,Sheet3!J:J,0)</f>
        <v>0</v>
      </c>
      <c r="K893">
        <f t="shared" si="40"/>
        <v>0</v>
      </c>
      <c r="L893" s="54">
        <v>0</v>
      </c>
      <c r="M893" s="67">
        <f t="shared" si="41"/>
        <v>0</v>
      </c>
    </row>
    <row r="894" spans="2:13" hidden="1" x14ac:dyDescent="0.25">
      <c r="B894" t="str">
        <f t="shared" si="39"/>
        <v>Comune8 PB</v>
      </c>
      <c r="C894" s="50" t="s">
        <v>826</v>
      </c>
      <c r="D894" s="51" t="s">
        <v>2099</v>
      </c>
      <c r="E894" s="52" t="s">
        <v>888</v>
      </c>
      <c r="F894" s="50" t="s">
        <v>1533</v>
      </c>
      <c r="G894" s="50" t="s">
        <v>1533</v>
      </c>
      <c r="H894" s="53"/>
      <c r="I894" s="50" t="s">
        <v>2122</v>
      </c>
      <c r="J894" s="18">
        <f>+_xlfn.XLOOKUP(B894,Sheet3!B:B,Sheet3!J:J,0)</f>
        <v>0</v>
      </c>
      <c r="K894">
        <f t="shared" si="40"/>
        <v>0</v>
      </c>
      <c r="L894" s="54">
        <v>0</v>
      </c>
      <c r="M894" s="67">
        <f t="shared" si="41"/>
        <v>0</v>
      </c>
    </row>
    <row r="895" spans="2:13" hidden="1" x14ac:dyDescent="0.25">
      <c r="B895" t="str">
        <f t="shared" si="39"/>
        <v>Comune9 PB</v>
      </c>
      <c r="C895" s="50" t="s">
        <v>826</v>
      </c>
      <c r="D895" s="51" t="s">
        <v>2099</v>
      </c>
      <c r="E895" s="52" t="s">
        <v>888</v>
      </c>
      <c r="F895" s="50" t="s">
        <v>1533</v>
      </c>
      <c r="G895" s="50" t="s">
        <v>1533</v>
      </c>
      <c r="H895" s="53"/>
      <c r="I895" s="50" t="s">
        <v>2123</v>
      </c>
      <c r="J895" s="18">
        <f>+_xlfn.XLOOKUP(B895,Sheet3!B:B,Sheet3!J:J,0)</f>
        <v>0</v>
      </c>
      <c r="K895">
        <f t="shared" si="40"/>
        <v>0</v>
      </c>
      <c r="L895" s="54">
        <v>0</v>
      </c>
      <c r="M895" s="67">
        <f t="shared" si="41"/>
        <v>0</v>
      </c>
    </row>
    <row r="896" spans="2:13" hidden="1" x14ac:dyDescent="0.25">
      <c r="B896" t="str">
        <f t="shared" si="39"/>
        <v>Comune10 PB</v>
      </c>
      <c r="C896" s="50" t="s">
        <v>826</v>
      </c>
      <c r="D896" s="51" t="s">
        <v>2099</v>
      </c>
      <c r="E896" s="52" t="s">
        <v>888</v>
      </c>
      <c r="F896" s="50" t="s">
        <v>1533</v>
      </c>
      <c r="G896" s="50" t="s">
        <v>1533</v>
      </c>
      <c r="H896" s="53"/>
      <c r="I896" s="50" t="s">
        <v>2124</v>
      </c>
      <c r="J896" s="18">
        <f>+_xlfn.XLOOKUP(B896,Sheet3!B:B,Sheet3!J:J,0)</f>
        <v>0</v>
      </c>
      <c r="K896">
        <f t="shared" si="40"/>
        <v>0</v>
      </c>
      <c r="L896" s="54">
        <v>0</v>
      </c>
      <c r="M896" s="67">
        <f t="shared" si="41"/>
        <v>0</v>
      </c>
    </row>
    <row r="897" spans="2:13" hidden="1" x14ac:dyDescent="0.25">
      <c r="B897" t="str">
        <f t="shared" si="39"/>
        <v>Comune11 PB</v>
      </c>
      <c r="C897" s="50" t="s">
        <v>826</v>
      </c>
      <c r="D897" s="51" t="s">
        <v>2099</v>
      </c>
      <c r="E897" s="52" t="s">
        <v>888</v>
      </c>
      <c r="F897" s="50" t="s">
        <v>1533</v>
      </c>
      <c r="G897" s="50" t="s">
        <v>1533</v>
      </c>
      <c r="H897" s="53"/>
      <c r="I897" s="50" t="s">
        <v>2125</v>
      </c>
      <c r="J897" s="18">
        <f>+_xlfn.XLOOKUP(B897,Sheet3!B:B,Sheet3!J:J,0)</f>
        <v>0</v>
      </c>
      <c r="K897">
        <f t="shared" si="40"/>
        <v>0</v>
      </c>
      <c r="L897" s="54">
        <v>0</v>
      </c>
      <c r="M897" s="67">
        <f t="shared" si="41"/>
        <v>0</v>
      </c>
    </row>
    <row r="898" spans="2:13" hidden="1" x14ac:dyDescent="0.25">
      <c r="B898" t="str">
        <f t="shared" si="39"/>
        <v>Comune12 PB</v>
      </c>
      <c r="C898" s="50" t="s">
        <v>826</v>
      </c>
      <c r="D898" s="51" t="s">
        <v>2099</v>
      </c>
      <c r="E898" s="52" t="s">
        <v>888</v>
      </c>
      <c r="F898" s="50" t="s">
        <v>1533</v>
      </c>
      <c r="G898" s="50" t="s">
        <v>1533</v>
      </c>
      <c r="H898" s="53"/>
      <c r="I898" s="50" t="s">
        <v>2126</v>
      </c>
      <c r="J898" s="18">
        <f>+_xlfn.XLOOKUP(B898,Sheet3!B:B,Sheet3!J:J,0)</f>
        <v>0</v>
      </c>
      <c r="K898">
        <f t="shared" si="40"/>
        <v>0</v>
      </c>
      <c r="L898" s="54">
        <v>0</v>
      </c>
      <c r="M898" s="67">
        <f t="shared" si="41"/>
        <v>0</v>
      </c>
    </row>
    <row r="899" spans="2:13" hidden="1" x14ac:dyDescent="0.25">
      <c r="B899" t="str">
        <f t="shared" si="39"/>
        <v>Comune13 PB</v>
      </c>
      <c r="C899" s="50" t="s">
        <v>826</v>
      </c>
      <c r="D899" s="51" t="s">
        <v>2099</v>
      </c>
      <c r="E899" s="52" t="s">
        <v>888</v>
      </c>
      <c r="F899" s="50" t="s">
        <v>1533</v>
      </c>
      <c r="G899" s="50" t="s">
        <v>1533</v>
      </c>
      <c r="H899" s="53"/>
      <c r="I899" s="50" t="s">
        <v>2127</v>
      </c>
      <c r="J899" s="18">
        <f>+_xlfn.XLOOKUP(B899,Sheet3!B:B,Sheet3!J:J,0)</f>
        <v>0</v>
      </c>
      <c r="K899">
        <f t="shared" si="40"/>
        <v>0</v>
      </c>
      <c r="L899" s="54">
        <v>0</v>
      </c>
      <c r="M899" s="67">
        <f t="shared" si="41"/>
        <v>0</v>
      </c>
    </row>
    <row r="900" spans="2:13" hidden="1" x14ac:dyDescent="0.25">
      <c r="B900" t="str">
        <f t="shared" ref="B900:B963" si="42">+I900&amp;H900</f>
        <v>Comune14 PB</v>
      </c>
      <c r="C900" s="50" t="s">
        <v>826</v>
      </c>
      <c r="D900" s="51" t="s">
        <v>2099</v>
      </c>
      <c r="E900" s="52" t="s">
        <v>888</v>
      </c>
      <c r="F900" s="50" t="s">
        <v>1533</v>
      </c>
      <c r="G900" s="50" t="s">
        <v>1533</v>
      </c>
      <c r="H900" s="53"/>
      <c r="I900" s="50" t="s">
        <v>2128</v>
      </c>
      <c r="J900" s="18">
        <f>+_xlfn.XLOOKUP(B900,Sheet3!B:B,Sheet3!J:J,0)</f>
        <v>0</v>
      </c>
      <c r="K900">
        <f t="shared" ref="K900:K963" si="43">+J900/6*8</f>
        <v>0</v>
      </c>
      <c r="L900" s="54">
        <v>0</v>
      </c>
      <c r="M900" s="67">
        <f t="shared" ref="M900:M963" si="44">+L900-K900</f>
        <v>0</v>
      </c>
    </row>
    <row r="901" spans="2:13" hidden="1" x14ac:dyDescent="0.25">
      <c r="B901" t="str">
        <f t="shared" si="42"/>
        <v>Other Works</v>
      </c>
      <c r="C901" s="50" t="s">
        <v>958</v>
      </c>
      <c r="D901" s="51" t="s">
        <v>887</v>
      </c>
      <c r="E901" s="52" t="s">
        <v>959</v>
      </c>
      <c r="F901" s="50" t="s">
        <v>1630</v>
      </c>
      <c r="G901" s="50" t="s">
        <v>1630</v>
      </c>
      <c r="H901" s="53"/>
      <c r="I901" s="50" t="s">
        <v>2129</v>
      </c>
      <c r="J901" s="18">
        <f>+_xlfn.XLOOKUP(B901,Sheet3!B:B,Sheet3!J:J,0)</f>
        <v>0</v>
      </c>
      <c r="K901">
        <f t="shared" si="43"/>
        <v>0</v>
      </c>
      <c r="L901" s="54">
        <v>0</v>
      </c>
      <c r="M901" s="67">
        <f t="shared" si="44"/>
        <v>0</v>
      </c>
    </row>
    <row r="902" spans="2:13" hidden="1" x14ac:dyDescent="0.25">
      <c r="B902" t="str">
        <f t="shared" si="42"/>
        <v>Altri lavori a Privati</v>
      </c>
      <c r="C902" s="50" t="s">
        <v>826</v>
      </c>
      <c r="D902" s="51" t="s">
        <v>887</v>
      </c>
      <c r="E902" s="52" t="s">
        <v>888</v>
      </c>
      <c r="F902" s="50" t="s">
        <v>1630</v>
      </c>
      <c r="G902" s="50" t="s">
        <v>1630</v>
      </c>
      <c r="H902" s="53"/>
      <c r="I902" s="50" t="s">
        <v>2130</v>
      </c>
      <c r="J902" s="18">
        <f>+_xlfn.XLOOKUP(B902,Sheet3!B:B,Sheet3!J:J,0)</f>
        <v>0</v>
      </c>
      <c r="K902">
        <f t="shared" si="43"/>
        <v>0</v>
      </c>
      <c r="L902" s="54">
        <v>0</v>
      </c>
      <c r="M902" s="67">
        <f t="shared" si="44"/>
        <v>0</v>
      </c>
    </row>
    <row r="903" spans="2:13" hidden="1" x14ac:dyDescent="0.25">
      <c r="B903" t="str">
        <f t="shared" si="42"/>
        <v>Fabriano</v>
      </c>
      <c r="C903" s="50" t="s">
        <v>826</v>
      </c>
      <c r="D903" s="51" t="s">
        <v>887</v>
      </c>
      <c r="E903" s="52" t="s">
        <v>896</v>
      </c>
      <c r="F903" s="50" t="s">
        <v>1533</v>
      </c>
      <c r="G903" s="50" t="s">
        <v>1533</v>
      </c>
      <c r="H903" s="53"/>
      <c r="I903" s="50" t="s">
        <v>1105</v>
      </c>
      <c r="J903" s="18">
        <f>+_xlfn.XLOOKUP(B903,Sheet3!B:B,Sheet3!J:J,0)</f>
        <v>0</v>
      </c>
      <c r="K903">
        <f t="shared" si="43"/>
        <v>0</v>
      </c>
      <c r="L903" s="54">
        <v>0</v>
      </c>
      <c r="M903" s="67">
        <f t="shared" si="44"/>
        <v>0</v>
      </c>
    </row>
    <row r="904" spans="2:13" hidden="1" x14ac:dyDescent="0.25">
      <c r="B904" t="str">
        <f t="shared" si="42"/>
        <v>Potenza PicenaEPC-IPU-F632-06</v>
      </c>
      <c r="C904" s="50" t="s">
        <v>958</v>
      </c>
      <c r="D904" s="51" t="s">
        <v>887</v>
      </c>
      <c r="E904" s="50" t="s">
        <v>896</v>
      </c>
      <c r="F904" s="50" t="s">
        <v>1533</v>
      </c>
      <c r="G904" s="50" t="s">
        <v>1533</v>
      </c>
      <c r="H904" s="50" t="s">
        <v>2131</v>
      </c>
      <c r="I904" s="50" t="s">
        <v>1725</v>
      </c>
      <c r="J904" s="18">
        <f>+_xlfn.XLOOKUP(B904,Sheet3!B:B,Sheet3!J:J,0)</f>
        <v>6.19</v>
      </c>
      <c r="K904">
        <f t="shared" si="43"/>
        <v>8.2533333333333339</v>
      </c>
      <c r="L904" s="54">
        <v>6.19</v>
      </c>
      <c r="M904" s="67">
        <f t="shared" si="44"/>
        <v>-2.0633333333333335</v>
      </c>
    </row>
    <row r="905" spans="2:13" hidden="1" x14ac:dyDescent="0.25">
      <c r="B905" t="str">
        <f t="shared" si="42"/>
        <v>AmarcordEPC-IPU-G942-10</v>
      </c>
      <c r="C905" s="50" t="s">
        <v>826</v>
      </c>
      <c r="D905" s="51" t="s">
        <v>887</v>
      </c>
      <c r="E905" s="50" t="s">
        <v>910</v>
      </c>
      <c r="F905" s="50" t="s">
        <v>1630</v>
      </c>
      <c r="G905" s="50" t="s">
        <v>1630</v>
      </c>
      <c r="H905" s="50" t="s">
        <v>2132</v>
      </c>
      <c r="I905" s="50" t="s">
        <v>2133</v>
      </c>
      <c r="J905" s="18">
        <f>+_xlfn.XLOOKUP(B905,Sheet3!B:B,Sheet3!J:J,0)</f>
        <v>1.8429</v>
      </c>
      <c r="K905">
        <f t="shared" si="43"/>
        <v>2.4571999999999998</v>
      </c>
      <c r="L905" s="54">
        <v>1.8429</v>
      </c>
      <c r="M905" s="67">
        <f t="shared" si="44"/>
        <v>-0.61429999999999985</v>
      </c>
    </row>
    <row r="906" spans="2:13" hidden="1" x14ac:dyDescent="0.25">
      <c r="B906" t="str">
        <f t="shared" si="42"/>
        <v>BasianoEPC-IPU-A697-03</v>
      </c>
      <c r="C906" s="50" t="s">
        <v>826</v>
      </c>
      <c r="D906" s="51" t="s">
        <v>887</v>
      </c>
      <c r="E906" s="50" t="s">
        <v>888</v>
      </c>
      <c r="F906" s="50" t="s">
        <v>1533</v>
      </c>
      <c r="G906" s="50" t="s">
        <v>1533</v>
      </c>
      <c r="H906" s="50" t="s">
        <v>2134</v>
      </c>
      <c r="I906" s="50" t="s">
        <v>1062</v>
      </c>
      <c r="J906" s="18">
        <f>+_xlfn.XLOOKUP(B906,Sheet3!B:B,Sheet3!J:J,0)</f>
        <v>10.23836</v>
      </c>
      <c r="K906">
        <f t="shared" si="43"/>
        <v>13.651146666666667</v>
      </c>
      <c r="L906" s="54">
        <v>10.23836</v>
      </c>
      <c r="M906" s="67">
        <f t="shared" si="44"/>
        <v>-3.4127866666666673</v>
      </c>
    </row>
    <row r="907" spans="2:13" hidden="1" x14ac:dyDescent="0.25">
      <c r="B907" t="str">
        <f t="shared" si="42"/>
        <v>Damniele PoscaEPC-IPU-E569-04</v>
      </c>
      <c r="C907" s="50" t="s">
        <v>826</v>
      </c>
      <c r="D907" s="51" t="s">
        <v>887</v>
      </c>
      <c r="E907" s="50" t="s">
        <v>888</v>
      </c>
      <c r="F907" s="50" t="s">
        <v>1630</v>
      </c>
      <c r="G907" s="50" t="s">
        <v>1630</v>
      </c>
      <c r="H907" s="50" t="s">
        <v>2135</v>
      </c>
      <c r="I907" s="50" t="s">
        <v>2261</v>
      </c>
      <c r="J907" s="18">
        <f>+_xlfn.XLOOKUP(B907,Sheet3!B:B,Sheet3!J:J,0)</f>
        <v>0.78986999999999996</v>
      </c>
      <c r="K907">
        <f t="shared" si="43"/>
        <v>1.0531599999999999</v>
      </c>
      <c r="L907" s="54">
        <v>0.78986999999999996</v>
      </c>
      <c r="M907" s="67">
        <f t="shared" si="44"/>
        <v>-0.26328999999999991</v>
      </c>
    </row>
    <row r="908" spans="2:13" hidden="1" x14ac:dyDescent="0.25">
      <c r="B908" t="str">
        <f t="shared" si="42"/>
        <v>MetaplastEPC-IPU-I457-01</v>
      </c>
      <c r="C908" s="50" t="s">
        <v>826</v>
      </c>
      <c r="D908" s="51" t="s">
        <v>887</v>
      </c>
      <c r="E908" s="50" t="s">
        <v>910</v>
      </c>
      <c r="F908" s="50" t="s">
        <v>1630</v>
      </c>
      <c r="G908" s="50" t="s">
        <v>1630</v>
      </c>
      <c r="H908" s="50" t="s">
        <v>2136</v>
      </c>
      <c r="I908" s="50" t="s">
        <v>2262</v>
      </c>
      <c r="J908" s="18">
        <f>+_xlfn.XLOOKUP(B908,Sheet3!B:B,Sheet3!J:J,0)</f>
        <v>3.1364999999999998</v>
      </c>
      <c r="K908">
        <f t="shared" si="43"/>
        <v>4.1819999999999995</v>
      </c>
      <c r="L908" s="54">
        <v>3.1364999999999998</v>
      </c>
      <c r="M908" s="67">
        <f t="shared" si="44"/>
        <v>-1.0454999999999997</v>
      </c>
    </row>
    <row r="909" spans="2:13" hidden="1" x14ac:dyDescent="0.25">
      <c r="B909" t="str">
        <f t="shared" si="42"/>
        <v>Iren Green GenerationEPC-IPU-L219-01</v>
      </c>
      <c r="C909" s="50" t="s">
        <v>826</v>
      </c>
      <c r="D909" s="51" t="s">
        <v>887</v>
      </c>
      <c r="E909" s="50" t="s">
        <v>888</v>
      </c>
      <c r="F909" s="50" t="s">
        <v>1630</v>
      </c>
      <c r="G909" s="50" t="s">
        <v>1630</v>
      </c>
      <c r="H909" s="50" t="s">
        <v>2137</v>
      </c>
      <c r="I909" s="50" t="s">
        <v>2263</v>
      </c>
      <c r="J909" s="18">
        <f>+_xlfn.XLOOKUP(B909,Sheet3!B:B,Sheet3!J:J,0)</f>
        <v>0.77249999999999996</v>
      </c>
      <c r="K909">
        <f t="shared" si="43"/>
        <v>1.03</v>
      </c>
      <c r="L909" s="54">
        <v>0.77249999999999996</v>
      </c>
      <c r="M909" s="67">
        <f t="shared" si="44"/>
        <v>-0.25750000000000006</v>
      </c>
    </row>
    <row r="910" spans="2:13" hidden="1" x14ac:dyDescent="0.25">
      <c r="B910" t="str">
        <f t="shared" si="42"/>
        <v>Maria AulicinoEPC-IPU-C717-03</v>
      </c>
      <c r="C910" s="50" t="s">
        <v>826</v>
      </c>
      <c r="D910" s="51" t="s">
        <v>887</v>
      </c>
      <c r="E910" s="50" t="s">
        <v>910</v>
      </c>
      <c r="F910" s="50" t="s">
        <v>1630</v>
      </c>
      <c r="G910" s="50" t="s">
        <v>1630</v>
      </c>
      <c r="H910" s="50" t="s">
        <v>2138</v>
      </c>
      <c r="I910" s="50" t="s">
        <v>2264</v>
      </c>
      <c r="J910" s="18">
        <f>+_xlfn.XLOOKUP(B910,Sheet3!B:B,Sheet3!J:J,0)</f>
        <v>0.83020000000000005</v>
      </c>
      <c r="K910">
        <f t="shared" si="43"/>
        <v>1.1069333333333333</v>
      </c>
      <c r="L910" s="54">
        <v>4.7014700000000005</v>
      </c>
      <c r="M910" s="67">
        <f t="shared" si="44"/>
        <v>3.5945366666666674</v>
      </c>
    </row>
    <row r="911" spans="2:13" hidden="1" x14ac:dyDescent="0.25">
      <c r="B911" t="str">
        <f t="shared" si="42"/>
        <v>EdilgornatiEPC-IPU-A413-08</v>
      </c>
      <c r="C911" s="50" t="s">
        <v>826</v>
      </c>
      <c r="D911" s="51" t="s">
        <v>887</v>
      </c>
      <c r="E911" s="50" t="s">
        <v>888</v>
      </c>
      <c r="F911" s="50" t="s">
        <v>1630</v>
      </c>
      <c r="G911" s="50" t="s">
        <v>1630</v>
      </c>
      <c r="H911" s="50" t="s">
        <v>2139</v>
      </c>
      <c r="I911" s="50" t="s">
        <v>2265</v>
      </c>
      <c r="J911" s="18">
        <f>+_xlfn.XLOOKUP(B911,Sheet3!B:B,Sheet3!J:J,0)</f>
        <v>12.5</v>
      </c>
      <c r="K911">
        <f t="shared" si="43"/>
        <v>16.666666666666668</v>
      </c>
      <c r="L911" s="54">
        <v>12.5</v>
      </c>
      <c r="M911" s="67">
        <f t="shared" si="44"/>
        <v>-4.1666666666666679</v>
      </c>
    </row>
    <row r="912" spans="2:13" hidden="1" x14ac:dyDescent="0.25">
      <c r="B912" t="str">
        <f t="shared" si="42"/>
        <v>EdilgifaEPC-IPU-E976-08</v>
      </c>
      <c r="C912" s="50" t="s">
        <v>826</v>
      </c>
      <c r="D912" s="51" t="s">
        <v>887</v>
      </c>
      <c r="E912" s="50" t="s">
        <v>910</v>
      </c>
      <c r="F912" s="50" t="s">
        <v>1630</v>
      </c>
      <c r="G912" s="50" t="s">
        <v>1630</v>
      </c>
      <c r="H912" s="50" t="s">
        <v>2140</v>
      </c>
      <c r="I912" s="50" t="s">
        <v>2266</v>
      </c>
      <c r="J912" s="18">
        <f>+_xlfn.XLOOKUP(B912,Sheet3!B:B,Sheet3!J:J,0)</f>
        <v>0.46409</v>
      </c>
      <c r="K912">
        <f t="shared" si="43"/>
        <v>0.61878666666666671</v>
      </c>
      <c r="L912" s="54">
        <v>0.46409</v>
      </c>
      <c r="M912" s="67">
        <f t="shared" si="44"/>
        <v>-0.1546966666666667</v>
      </c>
    </row>
    <row r="913" spans="2:13" hidden="1" x14ac:dyDescent="0.25">
      <c r="B913" t="str">
        <f t="shared" si="42"/>
        <v>Santa reparataEPC-IPU-A488-02</v>
      </c>
      <c r="C913" s="50" t="s">
        <v>826</v>
      </c>
      <c r="D913" s="51" t="s">
        <v>887</v>
      </c>
      <c r="E913" s="50" t="s">
        <v>896</v>
      </c>
      <c r="F913" s="50" t="s">
        <v>1630</v>
      </c>
      <c r="G913" s="50" t="s">
        <v>1630</v>
      </c>
      <c r="H913" s="50" t="s">
        <v>2141</v>
      </c>
      <c r="I913" s="50" t="s">
        <v>2267</v>
      </c>
      <c r="J913" s="18">
        <f>+_xlfn.XLOOKUP(B913,Sheet3!B:B,Sheet3!J:J,0)</f>
        <v>0.35</v>
      </c>
      <c r="K913">
        <f t="shared" si="43"/>
        <v>0.46666666666666662</v>
      </c>
      <c r="L913" s="54">
        <v>0.35</v>
      </c>
      <c r="M913" s="67">
        <f t="shared" si="44"/>
        <v>-0.11666666666666664</v>
      </c>
    </row>
    <row r="914" spans="2:13" hidden="1" x14ac:dyDescent="0.25">
      <c r="B914" t="str">
        <f t="shared" si="42"/>
        <v>DRVEPC-IPU-H602-02</v>
      </c>
      <c r="C914" s="50" t="s">
        <v>826</v>
      </c>
      <c r="D914" s="51" t="s">
        <v>887</v>
      </c>
      <c r="E914" s="50" t="s">
        <v>888</v>
      </c>
      <c r="F914" s="50" t="s">
        <v>1533</v>
      </c>
      <c r="G914" s="50" t="s">
        <v>1533</v>
      </c>
      <c r="H914" s="50" t="s">
        <v>2142</v>
      </c>
      <c r="I914" s="50" t="s">
        <v>2268</v>
      </c>
      <c r="J914" s="18">
        <f>+_xlfn.XLOOKUP(B914,Sheet3!B:B,Sheet3!J:J,0)</f>
        <v>0</v>
      </c>
      <c r="K914">
        <f t="shared" si="43"/>
        <v>0</v>
      </c>
      <c r="L914" s="54">
        <v>0</v>
      </c>
      <c r="M914" s="67">
        <f t="shared" si="44"/>
        <v>0</v>
      </c>
    </row>
    <row r="915" spans="2:13" hidden="1" x14ac:dyDescent="0.25">
      <c r="B915" t="str">
        <f t="shared" si="42"/>
        <v>Provincia MZ-BZEPC-IPU-F704-01</v>
      </c>
      <c r="C915" s="50" t="s">
        <v>958</v>
      </c>
      <c r="D915" s="51" t="s">
        <v>887</v>
      </c>
      <c r="E915" s="50" t="s">
        <v>888</v>
      </c>
      <c r="F915" s="50" t="s">
        <v>1630</v>
      </c>
      <c r="G915" s="50" t="s">
        <v>1630</v>
      </c>
      <c r="H915" s="50" t="s">
        <v>2143</v>
      </c>
      <c r="I915" s="50" t="s">
        <v>1632</v>
      </c>
      <c r="J915" s="18">
        <f>+_xlfn.XLOOKUP(B915,Sheet3!B:B,Sheet3!J:J,0)</f>
        <v>0</v>
      </c>
      <c r="K915">
        <f t="shared" si="43"/>
        <v>0</v>
      </c>
      <c r="L915" s="54">
        <v>0</v>
      </c>
      <c r="M915" s="67">
        <f t="shared" si="44"/>
        <v>0</v>
      </c>
    </row>
    <row r="916" spans="2:13" hidden="1" x14ac:dyDescent="0.25">
      <c r="B916" t="str">
        <f t="shared" si="42"/>
        <v>Potenza PicenaEPC-IPU-F632-04</v>
      </c>
      <c r="C916" s="50" t="s">
        <v>958</v>
      </c>
      <c r="D916" s="51" t="s">
        <v>887</v>
      </c>
      <c r="E916" s="50" t="s">
        <v>896</v>
      </c>
      <c r="F916" s="50" t="s">
        <v>1533</v>
      </c>
      <c r="G916" s="50" t="s">
        <v>1533</v>
      </c>
      <c r="H916" s="50" t="s">
        <v>2144</v>
      </c>
      <c r="I916" s="50" t="s">
        <v>1725</v>
      </c>
      <c r="J916" s="18">
        <f>+_xlfn.XLOOKUP(B916,Sheet3!B:B,Sheet3!J:J,0)</f>
        <v>0</v>
      </c>
      <c r="K916">
        <f t="shared" si="43"/>
        <v>0</v>
      </c>
      <c r="L916" s="54">
        <v>2.6675</v>
      </c>
      <c r="M916" s="67">
        <f t="shared" si="44"/>
        <v>2.6675</v>
      </c>
    </row>
    <row r="917" spans="2:13" hidden="1" x14ac:dyDescent="0.25">
      <c r="B917" t="str">
        <f t="shared" si="42"/>
        <v>GallarateEPC-IPU-D869-03</v>
      </c>
      <c r="C917" s="50" t="s">
        <v>958</v>
      </c>
      <c r="D917" s="51" t="s">
        <v>887</v>
      </c>
      <c r="E917" s="50" t="s">
        <v>888</v>
      </c>
      <c r="F917" s="50" t="s">
        <v>1533</v>
      </c>
      <c r="G917" s="50" t="s">
        <v>1533</v>
      </c>
      <c r="H917" s="50" t="s">
        <v>2145</v>
      </c>
      <c r="I917" s="50" t="s">
        <v>1727</v>
      </c>
      <c r="J917" s="18">
        <f>+_xlfn.XLOOKUP(B917,Sheet3!B:B,Sheet3!J:J,0)</f>
        <v>6.39032</v>
      </c>
      <c r="K917">
        <f t="shared" si="43"/>
        <v>8.5204266666666673</v>
      </c>
      <c r="L917" s="54">
        <v>6.39032</v>
      </c>
      <c r="M917" s="67">
        <f t="shared" si="44"/>
        <v>-2.1301066666666673</v>
      </c>
    </row>
    <row r="918" spans="2:13" hidden="1" x14ac:dyDescent="0.25">
      <c r="B918" t="str">
        <f t="shared" si="42"/>
        <v>NovaraEPC-IPU-F952-04</v>
      </c>
      <c r="C918" s="50" t="s">
        <v>958</v>
      </c>
      <c r="D918" s="51" t="s">
        <v>887</v>
      </c>
      <c r="E918" s="50" t="s">
        <v>888</v>
      </c>
      <c r="F918" s="50" t="s">
        <v>1533</v>
      </c>
      <c r="G918" s="50" t="s">
        <v>1533</v>
      </c>
      <c r="H918" s="50" t="s">
        <v>2146</v>
      </c>
      <c r="I918" s="50" t="s">
        <v>1687</v>
      </c>
      <c r="J918" s="18">
        <f>+_xlfn.XLOOKUP(B918,Sheet3!B:B,Sheet3!J:J,0)</f>
        <v>2.7965100000000001</v>
      </c>
      <c r="K918">
        <f t="shared" si="43"/>
        <v>3.7286800000000002</v>
      </c>
      <c r="L918" s="54">
        <v>2.7965100000000001</v>
      </c>
      <c r="M918" s="67">
        <f t="shared" si="44"/>
        <v>-0.93217000000000017</v>
      </c>
    </row>
    <row r="919" spans="2:13" hidden="1" x14ac:dyDescent="0.25">
      <c r="B919" t="str">
        <f t="shared" si="42"/>
        <v>LuceraEPC-IPU-E716-06</v>
      </c>
      <c r="C919" s="50" t="s">
        <v>826</v>
      </c>
      <c r="D919" s="51" t="s">
        <v>887</v>
      </c>
      <c r="E919" s="50" t="s">
        <v>910</v>
      </c>
      <c r="F919" s="50" t="s">
        <v>1533</v>
      </c>
      <c r="G919" s="50" t="s">
        <v>1533</v>
      </c>
      <c r="H919" s="50" t="s">
        <v>2147</v>
      </c>
      <c r="I919" s="50" t="s">
        <v>1399</v>
      </c>
      <c r="J919" s="18">
        <f>+_xlfn.XLOOKUP(B919,Sheet3!B:B,Sheet3!J:J,0)</f>
        <v>83.319029999999998</v>
      </c>
      <c r="K919">
        <f t="shared" si="43"/>
        <v>111.09204</v>
      </c>
      <c r="L919" s="54">
        <v>120.94707000000001</v>
      </c>
      <c r="M919" s="67">
        <f t="shared" si="44"/>
        <v>9.8550300000000135</v>
      </c>
    </row>
    <row r="920" spans="2:13" hidden="1" x14ac:dyDescent="0.25">
      <c r="B920" t="str">
        <f t="shared" si="42"/>
        <v>MondolfoEPC-IPU-F348-07</v>
      </c>
      <c r="C920" s="50" t="s">
        <v>958</v>
      </c>
      <c r="D920" s="51" t="s">
        <v>887</v>
      </c>
      <c r="E920" s="50" t="s">
        <v>896</v>
      </c>
      <c r="F920" s="50" t="s">
        <v>1533</v>
      </c>
      <c r="G920" s="50" t="s">
        <v>1533</v>
      </c>
      <c r="H920" s="50" t="s">
        <v>2148</v>
      </c>
      <c r="I920" s="50" t="s">
        <v>1733</v>
      </c>
      <c r="J920" s="18">
        <f>+_xlfn.XLOOKUP(B920,Sheet3!B:B,Sheet3!J:J,0)</f>
        <v>12.29508</v>
      </c>
      <c r="K920">
        <f t="shared" si="43"/>
        <v>16.393440000000002</v>
      </c>
      <c r="L920" s="54">
        <v>12.29508</v>
      </c>
      <c r="M920" s="67">
        <f t="shared" si="44"/>
        <v>-4.0983600000000013</v>
      </c>
    </row>
    <row r="921" spans="2:13" hidden="1" x14ac:dyDescent="0.25">
      <c r="B921" t="str">
        <f t="shared" si="42"/>
        <v>San Giuliano MilaneseEPC-IPU-H930-04</v>
      </c>
      <c r="C921" s="50" t="s">
        <v>958</v>
      </c>
      <c r="D921" s="51" t="s">
        <v>887</v>
      </c>
      <c r="E921" s="50" t="s">
        <v>888</v>
      </c>
      <c r="F921" s="50" t="s">
        <v>1533</v>
      </c>
      <c r="G921" s="50" t="s">
        <v>1533</v>
      </c>
      <c r="H921" s="50" t="s">
        <v>2149</v>
      </c>
      <c r="I921" s="50" t="s">
        <v>1899</v>
      </c>
      <c r="J921" s="18">
        <f>+_xlfn.XLOOKUP(B921,Sheet3!B:B,Sheet3!J:J,0)</f>
        <v>16.038979999999999</v>
      </c>
      <c r="K921">
        <f t="shared" si="43"/>
        <v>21.385306666666665</v>
      </c>
      <c r="L921" s="54">
        <v>0</v>
      </c>
      <c r="M921" s="67">
        <f t="shared" si="44"/>
        <v>-21.385306666666665</v>
      </c>
    </row>
    <row r="922" spans="2:13" hidden="1" x14ac:dyDescent="0.25">
      <c r="B922" t="str">
        <f t="shared" si="42"/>
        <v>Potenza PicenaEPC-IPU-F632-05</v>
      </c>
      <c r="C922" s="50" t="s">
        <v>958</v>
      </c>
      <c r="D922" s="51" t="s">
        <v>887</v>
      </c>
      <c r="E922" s="50" t="s">
        <v>896</v>
      </c>
      <c r="F922" s="50" t="s">
        <v>1533</v>
      </c>
      <c r="G922" s="50" t="s">
        <v>1533</v>
      </c>
      <c r="H922" s="50" t="s">
        <v>2150</v>
      </c>
      <c r="I922" s="50" t="s">
        <v>1725</v>
      </c>
      <c r="J922" s="18">
        <f>+_xlfn.XLOOKUP(B922,Sheet3!B:B,Sheet3!J:J,0)</f>
        <v>0</v>
      </c>
      <c r="K922">
        <f t="shared" si="43"/>
        <v>0</v>
      </c>
      <c r="L922" s="54">
        <v>0</v>
      </c>
      <c r="M922" s="67">
        <f t="shared" si="44"/>
        <v>0</v>
      </c>
    </row>
    <row r="923" spans="2:13" hidden="1" x14ac:dyDescent="0.25">
      <c r="B923" t="str">
        <f t="shared" si="42"/>
        <v>ColobraroEPC-IPU-C888-02</v>
      </c>
      <c r="C923" s="50" t="s">
        <v>826</v>
      </c>
      <c r="D923" s="51" t="s">
        <v>887</v>
      </c>
      <c r="E923" s="50" t="s">
        <v>910</v>
      </c>
      <c r="F923" s="50" t="s">
        <v>1533</v>
      </c>
      <c r="G923" s="50" t="s">
        <v>1533</v>
      </c>
      <c r="H923" s="50" t="s">
        <v>2151</v>
      </c>
      <c r="I923" s="50" t="s">
        <v>1698</v>
      </c>
      <c r="J923" s="18">
        <f>+_xlfn.XLOOKUP(B923,Sheet3!B:B,Sheet3!J:J,0)</f>
        <v>8.6128799999999988</v>
      </c>
      <c r="K923">
        <f t="shared" si="43"/>
        <v>11.483839999999999</v>
      </c>
      <c r="L923" s="54">
        <v>8.6128799999999988</v>
      </c>
      <c r="M923" s="67">
        <f t="shared" si="44"/>
        <v>-2.8709600000000002</v>
      </c>
    </row>
    <row r="924" spans="2:13" hidden="1" x14ac:dyDescent="0.25">
      <c r="B924" t="str">
        <f t="shared" si="42"/>
        <v>AvezzanoSEC-PHV-A515-03</v>
      </c>
      <c r="C924" s="50" t="s">
        <v>826</v>
      </c>
      <c r="D924" s="50" t="s">
        <v>887</v>
      </c>
      <c r="E924" s="50" t="s">
        <v>896</v>
      </c>
      <c r="F924" s="50" t="s">
        <v>897</v>
      </c>
      <c r="G924" s="50" t="s">
        <v>897</v>
      </c>
      <c r="H924" s="50" t="s">
        <v>2152</v>
      </c>
      <c r="I924" s="50" t="s">
        <v>2269</v>
      </c>
      <c r="J924" s="18">
        <f>+_xlfn.XLOOKUP(B924,Sheet3!B:B,Sheet3!J:J,0)</f>
        <v>0</v>
      </c>
      <c r="K924">
        <f t="shared" si="43"/>
        <v>0</v>
      </c>
      <c r="L924" s="54">
        <v>0</v>
      </c>
      <c r="M924" s="67">
        <f t="shared" si="44"/>
        <v>0</v>
      </c>
    </row>
    <row r="925" spans="2:13" hidden="1" x14ac:dyDescent="0.25">
      <c r="B925" t="str">
        <f t="shared" si="42"/>
        <v>Scurcola MarsicanaSEC-PHV-I553-02</v>
      </c>
      <c r="C925" s="50" t="s">
        <v>826</v>
      </c>
      <c r="D925" s="50" t="s">
        <v>887</v>
      </c>
      <c r="E925" s="50" t="s">
        <v>896</v>
      </c>
      <c r="F925" s="50" t="s">
        <v>897</v>
      </c>
      <c r="G925" s="50" t="s">
        <v>897</v>
      </c>
      <c r="H925" s="50" t="s">
        <v>2153</v>
      </c>
      <c r="I925" s="50" t="s">
        <v>1204</v>
      </c>
      <c r="J925" s="18">
        <f>+_xlfn.XLOOKUP(B925,Sheet3!B:B,Sheet3!J:J,0)</f>
        <v>0</v>
      </c>
      <c r="K925">
        <f t="shared" si="43"/>
        <v>0</v>
      </c>
      <c r="L925" s="54">
        <v>0</v>
      </c>
      <c r="M925" s="67">
        <f t="shared" si="44"/>
        <v>0</v>
      </c>
    </row>
    <row r="926" spans="2:13" hidden="1" x14ac:dyDescent="0.25">
      <c r="B926" t="str">
        <f t="shared" si="42"/>
        <v>TavianoSEC-PHV-L074-02</v>
      </c>
      <c r="C926" s="50" t="s">
        <v>826</v>
      </c>
      <c r="D926" s="51" t="s">
        <v>887</v>
      </c>
      <c r="E926" s="52" t="s">
        <v>910</v>
      </c>
      <c r="F926" s="50" t="s">
        <v>897</v>
      </c>
      <c r="G926" s="50" t="s">
        <v>897</v>
      </c>
      <c r="H926" s="56" t="s">
        <v>2154</v>
      </c>
      <c r="I926" s="50" t="s">
        <v>1463</v>
      </c>
      <c r="J926" s="18">
        <f>+_xlfn.XLOOKUP(B926,Sheet3!B:B,Sheet3!J:J,0)</f>
        <v>0</v>
      </c>
      <c r="K926">
        <f t="shared" si="43"/>
        <v>0</v>
      </c>
      <c r="L926" s="54">
        <v>0</v>
      </c>
      <c r="M926" s="67">
        <f t="shared" si="44"/>
        <v>0</v>
      </c>
    </row>
    <row r="927" spans="2:13" hidden="1" x14ac:dyDescent="0.25">
      <c r="B927" t="str">
        <f t="shared" si="42"/>
        <v>BellantePPP-EEE-A746-02</v>
      </c>
      <c r="C927" s="50" t="s">
        <v>826</v>
      </c>
      <c r="D927" s="50" t="s">
        <v>887</v>
      </c>
      <c r="E927" s="50" t="s">
        <v>896</v>
      </c>
      <c r="F927" s="50" t="s">
        <v>889</v>
      </c>
      <c r="G927" s="50" t="s">
        <v>890</v>
      </c>
      <c r="H927" s="50" t="s">
        <v>2155</v>
      </c>
      <c r="I927" s="50" t="s">
        <v>2270</v>
      </c>
      <c r="J927" s="18">
        <f>+_xlfn.XLOOKUP(B927,Sheet3!B:B,Sheet3!J:J,0)</f>
        <v>0</v>
      </c>
      <c r="K927">
        <f t="shared" si="43"/>
        <v>0</v>
      </c>
      <c r="L927" s="54">
        <v>0</v>
      </c>
      <c r="M927" s="67">
        <f t="shared" si="44"/>
        <v>0</v>
      </c>
    </row>
    <row r="928" spans="2:13" hidden="1" x14ac:dyDescent="0.25">
      <c r="B928" t="str">
        <f t="shared" si="42"/>
        <v>BurgioPPP-IPU-B275-01</v>
      </c>
      <c r="C928" s="50" t="s">
        <v>826</v>
      </c>
      <c r="D928" s="50" t="s">
        <v>887</v>
      </c>
      <c r="E928" s="50" t="s">
        <v>910</v>
      </c>
      <c r="F928" s="50" t="s">
        <v>889</v>
      </c>
      <c r="G928" s="50" t="s">
        <v>890</v>
      </c>
      <c r="H928" s="50" t="s">
        <v>2156</v>
      </c>
      <c r="I928" s="50" t="s">
        <v>2271</v>
      </c>
      <c r="J928" s="18">
        <f>+_xlfn.XLOOKUP(B928,Sheet3!B:B,Sheet3!J:J,0)</f>
        <v>0</v>
      </c>
      <c r="K928">
        <f t="shared" si="43"/>
        <v>0</v>
      </c>
      <c r="L928" s="54">
        <v>0</v>
      </c>
      <c r="M928" s="67">
        <f t="shared" si="44"/>
        <v>0</v>
      </c>
    </row>
    <row r="929" spans="2:13" hidden="1" x14ac:dyDescent="0.25">
      <c r="B929" t="str">
        <f t="shared" si="42"/>
        <v>Montecatini TermePPP-IPU-A561-01</v>
      </c>
      <c r="C929" s="50" t="s">
        <v>826</v>
      </c>
      <c r="D929" s="50" t="s">
        <v>887</v>
      </c>
      <c r="E929" s="50" t="s">
        <v>896</v>
      </c>
      <c r="F929" s="50" t="s">
        <v>889</v>
      </c>
      <c r="G929" s="50" t="s">
        <v>890</v>
      </c>
      <c r="H929" s="50" t="s">
        <v>2157</v>
      </c>
      <c r="I929" s="50" t="s">
        <v>2272</v>
      </c>
      <c r="J929" s="18">
        <f>+_xlfn.XLOOKUP(B929,Sheet3!B:B,Sheet3!J:J,0)</f>
        <v>0</v>
      </c>
      <c r="K929">
        <f t="shared" si="43"/>
        <v>0</v>
      </c>
      <c r="L929" s="54">
        <v>0</v>
      </c>
      <c r="M929" s="67">
        <f t="shared" si="44"/>
        <v>0</v>
      </c>
    </row>
    <row r="930" spans="2:13" hidden="1" x14ac:dyDescent="0.25">
      <c r="B930" t="str">
        <f t="shared" si="42"/>
        <v>Petrona'PPP-IPU-G518-01</v>
      </c>
      <c r="C930" s="50" t="s">
        <v>826</v>
      </c>
      <c r="D930" s="50" t="s">
        <v>887</v>
      </c>
      <c r="E930" s="50" t="s">
        <v>910</v>
      </c>
      <c r="F930" s="50" t="s">
        <v>889</v>
      </c>
      <c r="G930" s="50" t="s">
        <v>890</v>
      </c>
      <c r="H930" s="50" t="s">
        <v>2158</v>
      </c>
      <c r="I930" s="50" t="s">
        <v>2273</v>
      </c>
      <c r="J930" s="18">
        <f>+_xlfn.XLOOKUP(B930,Sheet3!B:B,Sheet3!J:J,0)</f>
        <v>0</v>
      </c>
      <c r="K930">
        <f t="shared" si="43"/>
        <v>0</v>
      </c>
      <c r="L930" s="54">
        <v>0</v>
      </c>
      <c r="M930" s="67">
        <f t="shared" si="44"/>
        <v>0</v>
      </c>
    </row>
    <row r="931" spans="2:13" hidden="1" x14ac:dyDescent="0.25">
      <c r="B931" t="str">
        <f t="shared" si="42"/>
        <v>SalaparutaPPP-IPU-H688-01</v>
      </c>
      <c r="C931" s="50" t="s">
        <v>826</v>
      </c>
      <c r="D931" s="50" t="s">
        <v>887</v>
      </c>
      <c r="E931" s="50" t="s">
        <v>910</v>
      </c>
      <c r="F931" s="50" t="s">
        <v>889</v>
      </c>
      <c r="G931" s="50" t="s">
        <v>890</v>
      </c>
      <c r="H931" s="50" t="s">
        <v>2159</v>
      </c>
      <c r="I931" s="50" t="s">
        <v>2274</v>
      </c>
      <c r="J931" s="18">
        <f>+_xlfn.XLOOKUP(B931,Sheet3!B:B,Sheet3!J:J,0)</f>
        <v>0</v>
      </c>
      <c r="K931">
        <f t="shared" si="43"/>
        <v>0</v>
      </c>
      <c r="L931" s="54">
        <v>0</v>
      </c>
      <c r="M931" s="67">
        <f t="shared" si="44"/>
        <v>0</v>
      </c>
    </row>
    <row r="932" spans="2:13" hidden="1" x14ac:dyDescent="0.25">
      <c r="B932" t="str">
        <f t="shared" si="42"/>
        <v>San Giorgio IonicoPPP-EEE-H882-02</v>
      </c>
      <c r="C932" s="50" t="s">
        <v>826</v>
      </c>
      <c r="D932" s="50" t="s">
        <v>887</v>
      </c>
      <c r="E932" s="50" t="s">
        <v>910</v>
      </c>
      <c r="F932" s="50" t="s">
        <v>889</v>
      </c>
      <c r="G932" s="50" t="s">
        <v>890</v>
      </c>
      <c r="H932" s="50" t="s">
        <v>2160</v>
      </c>
      <c r="I932" s="50" t="s">
        <v>2275</v>
      </c>
      <c r="J932" s="18">
        <f>+_xlfn.XLOOKUP(B932,Sheet3!B:B,Sheet3!J:J,0)</f>
        <v>0</v>
      </c>
      <c r="K932">
        <f t="shared" si="43"/>
        <v>0</v>
      </c>
      <c r="L932" s="54">
        <v>0</v>
      </c>
      <c r="M932" s="67">
        <f t="shared" si="44"/>
        <v>0</v>
      </c>
    </row>
    <row r="933" spans="2:13" hidden="1" x14ac:dyDescent="0.25">
      <c r="B933" t="str">
        <f t="shared" si="42"/>
        <v>StrongoliPPP-IPU-I982-01</v>
      </c>
      <c r="C933" s="50" t="s">
        <v>826</v>
      </c>
      <c r="D933" s="50" t="s">
        <v>887</v>
      </c>
      <c r="E933" s="50" t="s">
        <v>910</v>
      </c>
      <c r="F933" s="50" t="s">
        <v>889</v>
      </c>
      <c r="G933" s="50" t="s">
        <v>890</v>
      </c>
      <c r="H933" s="50" t="s">
        <v>2161</v>
      </c>
      <c r="I933" s="50" t="s">
        <v>2276</v>
      </c>
      <c r="J933" s="18">
        <f>+_xlfn.XLOOKUP(B933,Sheet3!B:B,Sheet3!J:J,0)</f>
        <v>0</v>
      </c>
      <c r="K933">
        <f t="shared" si="43"/>
        <v>0</v>
      </c>
      <c r="L933" s="54">
        <v>0</v>
      </c>
      <c r="M933" s="67">
        <f t="shared" si="44"/>
        <v>0</v>
      </c>
    </row>
    <row r="934" spans="2:13" hidden="1" x14ac:dyDescent="0.25">
      <c r="B934" t="str">
        <f t="shared" si="42"/>
        <v>UmbriaticoPPP-IPU-L492-01</v>
      </c>
      <c r="C934" s="50" t="s">
        <v>826</v>
      </c>
      <c r="D934" s="50" t="s">
        <v>887</v>
      </c>
      <c r="E934" s="50" t="s">
        <v>910</v>
      </c>
      <c r="F934" s="50" t="s">
        <v>889</v>
      </c>
      <c r="G934" s="50" t="s">
        <v>890</v>
      </c>
      <c r="H934" s="50" t="s">
        <v>2162</v>
      </c>
      <c r="I934" s="50" t="s">
        <v>2277</v>
      </c>
      <c r="J934" s="18">
        <f>+_xlfn.XLOOKUP(B934,Sheet3!B:B,Sheet3!J:J,0)</f>
        <v>0</v>
      </c>
      <c r="K934">
        <f t="shared" si="43"/>
        <v>0</v>
      </c>
      <c r="L934" s="54">
        <v>0</v>
      </c>
      <c r="M934" s="67">
        <f t="shared" si="44"/>
        <v>0</v>
      </c>
    </row>
    <row r="935" spans="2:13" hidden="1" x14ac:dyDescent="0.25">
      <c r="B935" t="str">
        <f t="shared" si="42"/>
        <v>ValverdePPP-IPU-L658-01</v>
      </c>
      <c r="C935" s="50" t="s">
        <v>826</v>
      </c>
      <c r="D935" s="50" t="s">
        <v>887</v>
      </c>
      <c r="E935" s="50" t="s">
        <v>910</v>
      </c>
      <c r="F935" s="50" t="s">
        <v>889</v>
      </c>
      <c r="G935" s="50" t="s">
        <v>890</v>
      </c>
      <c r="H935" s="50" t="s">
        <v>2163</v>
      </c>
      <c r="I935" s="50" t="s">
        <v>2278</v>
      </c>
      <c r="J935" s="18">
        <f>+_xlfn.XLOOKUP(B935,Sheet3!B:B,Sheet3!J:J,0)</f>
        <v>0</v>
      </c>
      <c r="K935">
        <f t="shared" si="43"/>
        <v>0</v>
      </c>
      <c r="L935" s="54">
        <v>0</v>
      </c>
      <c r="M935" s="67">
        <f t="shared" si="44"/>
        <v>0</v>
      </c>
    </row>
    <row r="936" spans="2:13" hidden="1" x14ac:dyDescent="0.25">
      <c r="B936" t="str">
        <f t="shared" si="42"/>
        <v>Venezia PLPPP-IPU-L736-03</v>
      </c>
      <c r="C936" s="50" t="s">
        <v>958</v>
      </c>
      <c r="D936" s="50" t="s">
        <v>887</v>
      </c>
      <c r="E936" s="50" t="s">
        <v>959</v>
      </c>
      <c r="F936" s="50" t="s">
        <v>889</v>
      </c>
      <c r="G936" s="50" t="s">
        <v>890</v>
      </c>
      <c r="H936" s="50" t="s">
        <v>2164</v>
      </c>
      <c r="I936" s="50" t="s">
        <v>1254</v>
      </c>
      <c r="J936" s="18">
        <f>+_xlfn.XLOOKUP(B936,Sheet3!B:B,Sheet3!J:J,0)</f>
        <v>146</v>
      </c>
      <c r="K936">
        <f t="shared" si="43"/>
        <v>194.66666666666666</v>
      </c>
      <c r="L936" s="54">
        <v>243.33434</v>
      </c>
      <c r="M936" s="67">
        <f t="shared" si="44"/>
        <v>48.66767333333334</v>
      </c>
    </row>
    <row r="937" spans="2:13" hidden="1" x14ac:dyDescent="0.25">
      <c r="B937" t="str">
        <f t="shared" si="42"/>
        <v>HYPO VORARLBERG IMMO ITALIA S.R.L.EPC-IPU-A952-01</v>
      </c>
      <c r="C937" s="50" t="s">
        <v>826</v>
      </c>
      <c r="D937" s="50" t="s">
        <v>887</v>
      </c>
      <c r="E937" s="50" t="s">
        <v>959</v>
      </c>
      <c r="F937" s="50" t="s">
        <v>1630</v>
      </c>
      <c r="G937" s="50" t="s">
        <v>1630</v>
      </c>
      <c r="H937" s="50" t="s">
        <v>2165</v>
      </c>
      <c r="I937" s="50" t="s">
        <v>2279</v>
      </c>
      <c r="J937" s="18">
        <f>+_xlfn.XLOOKUP(B937,Sheet3!B:B,Sheet3!J:J,0)</f>
        <v>0</v>
      </c>
      <c r="K937">
        <f t="shared" si="43"/>
        <v>0</v>
      </c>
      <c r="L937" s="54">
        <v>1.8061800000000001</v>
      </c>
      <c r="M937" s="67">
        <f t="shared" si="44"/>
        <v>1.8061800000000001</v>
      </c>
    </row>
    <row r="938" spans="2:13" hidden="1" x14ac:dyDescent="0.25">
      <c r="B938" t="str">
        <f t="shared" si="42"/>
        <v>AtriEPC-IPU-A488-03</v>
      </c>
      <c r="C938" s="50" t="s">
        <v>826</v>
      </c>
      <c r="D938" s="50" t="s">
        <v>887</v>
      </c>
      <c r="E938" s="50" t="s">
        <v>896</v>
      </c>
      <c r="F938" s="50" t="s">
        <v>1533</v>
      </c>
      <c r="G938" s="50" t="s">
        <v>1533</v>
      </c>
      <c r="H938" s="50" t="s">
        <v>2166</v>
      </c>
      <c r="I938" s="50" t="s">
        <v>1170</v>
      </c>
      <c r="J938" s="18">
        <f>+_xlfn.XLOOKUP(B938,Sheet3!B:B,Sheet3!J:J,0)</f>
        <v>0.25</v>
      </c>
      <c r="K938">
        <f t="shared" si="43"/>
        <v>0.33333333333333331</v>
      </c>
      <c r="L938" s="54">
        <v>0.25</v>
      </c>
      <c r="M938" s="67">
        <f t="shared" si="44"/>
        <v>-8.3333333333333315E-2</v>
      </c>
    </row>
    <row r="939" spans="2:13" hidden="1" x14ac:dyDescent="0.25">
      <c r="B939" t="str">
        <f t="shared" si="42"/>
        <v>Guardia PerticaraEPC-IPU-E246-04</v>
      </c>
      <c r="C939" s="50" t="s">
        <v>826</v>
      </c>
      <c r="D939" s="50" t="s">
        <v>887</v>
      </c>
      <c r="E939" s="50" t="s">
        <v>910</v>
      </c>
      <c r="F939" s="50" t="s">
        <v>1533</v>
      </c>
      <c r="G939" s="50" t="s">
        <v>1533</v>
      </c>
      <c r="H939" s="50" t="s">
        <v>2167</v>
      </c>
      <c r="I939" s="50" t="s">
        <v>1856</v>
      </c>
      <c r="J939" s="18">
        <f>+_xlfn.XLOOKUP(B939,Sheet3!B:B,Sheet3!J:J,0)</f>
        <v>4.5</v>
      </c>
      <c r="K939">
        <f t="shared" si="43"/>
        <v>6</v>
      </c>
      <c r="L939" s="54">
        <v>4.5</v>
      </c>
      <c r="M939" s="67">
        <f t="shared" si="44"/>
        <v>-1.5</v>
      </c>
    </row>
    <row r="940" spans="2:13" hidden="1" x14ac:dyDescent="0.25">
      <c r="B940" t="str">
        <f t="shared" si="42"/>
        <v>Olevano sul TuscianoEPC-IPU-G023-04</v>
      </c>
      <c r="C940" s="50" t="s">
        <v>826</v>
      </c>
      <c r="D940" s="50" t="s">
        <v>887</v>
      </c>
      <c r="E940" s="50" t="s">
        <v>910</v>
      </c>
      <c r="F940" s="50" t="s">
        <v>1533</v>
      </c>
      <c r="G940" s="50" t="s">
        <v>1533</v>
      </c>
      <c r="H940" s="50" t="s">
        <v>2168</v>
      </c>
      <c r="I940" s="50" t="s">
        <v>1417</v>
      </c>
      <c r="J940" s="18">
        <f>+_xlfn.XLOOKUP(B940,Sheet3!B:B,Sheet3!J:J,0)</f>
        <v>0.76639999999999997</v>
      </c>
      <c r="K940">
        <f t="shared" si="43"/>
        <v>1.0218666666666667</v>
      </c>
      <c r="L940" s="54">
        <v>0.76639999999999997</v>
      </c>
      <c r="M940" s="67">
        <f t="shared" si="44"/>
        <v>-0.25546666666666673</v>
      </c>
    </row>
    <row r="941" spans="2:13" hidden="1" x14ac:dyDescent="0.25">
      <c r="B941" t="str">
        <f t="shared" si="42"/>
        <v>LuceraEPC-IPU-E716-03</v>
      </c>
      <c r="C941" s="50" t="s">
        <v>826</v>
      </c>
      <c r="D941" s="50" t="s">
        <v>887</v>
      </c>
      <c r="E941" s="50" t="s">
        <v>910</v>
      </c>
      <c r="F941" s="50" t="s">
        <v>1533</v>
      </c>
      <c r="G941" s="50" t="s">
        <v>1533</v>
      </c>
      <c r="H941" s="50" t="s">
        <v>2169</v>
      </c>
      <c r="I941" s="50" t="s">
        <v>1399</v>
      </c>
      <c r="J941" s="18">
        <f>+_xlfn.XLOOKUP(B941,Sheet3!B:B,Sheet3!J:J,0)</f>
        <v>45.6</v>
      </c>
      <c r="K941">
        <f t="shared" si="43"/>
        <v>60.800000000000004</v>
      </c>
      <c r="L941" s="54">
        <v>45.6</v>
      </c>
      <c r="M941" s="67">
        <f t="shared" si="44"/>
        <v>-15.200000000000003</v>
      </c>
    </row>
    <row r="942" spans="2:13" hidden="1" x14ac:dyDescent="0.25">
      <c r="B942" t="str">
        <f t="shared" si="42"/>
        <v>VibonatiEPC-IPU-L835-02</v>
      </c>
      <c r="C942" s="50" t="s">
        <v>826</v>
      </c>
      <c r="D942" s="50" t="s">
        <v>887</v>
      </c>
      <c r="E942" s="50" t="s">
        <v>910</v>
      </c>
      <c r="F942" s="50" t="s">
        <v>1533</v>
      </c>
      <c r="G942" s="50" t="s">
        <v>1533</v>
      </c>
      <c r="H942" s="50" t="s">
        <v>2170</v>
      </c>
      <c r="I942" s="50" t="s">
        <v>1471</v>
      </c>
      <c r="J942" s="18">
        <f>+_xlfn.XLOOKUP(B942,Sheet3!B:B,Sheet3!J:J,0)</f>
        <v>1.6204799999999999</v>
      </c>
      <c r="K942">
        <f t="shared" si="43"/>
        <v>2.1606399999999999</v>
      </c>
      <c r="L942" s="54">
        <v>1.6204799999999999</v>
      </c>
      <c r="M942" s="67">
        <f t="shared" si="44"/>
        <v>-0.54015999999999997</v>
      </c>
    </row>
    <row r="943" spans="2:13" hidden="1" x14ac:dyDescent="0.25">
      <c r="B943" t="str">
        <f t="shared" si="42"/>
        <v>San Marzano sul SarnoEPC-IPU-I019-02</v>
      </c>
      <c r="C943" s="50" t="s">
        <v>826</v>
      </c>
      <c r="D943" s="50" t="s">
        <v>887</v>
      </c>
      <c r="E943" s="50" t="s">
        <v>910</v>
      </c>
      <c r="F943" s="50" t="s">
        <v>1533</v>
      </c>
      <c r="G943" s="50" t="s">
        <v>1533</v>
      </c>
      <c r="H943" s="50" t="s">
        <v>2171</v>
      </c>
      <c r="I943" s="50" t="s">
        <v>1449</v>
      </c>
      <c r="J943" s="18">
        <f>+_xlfn.XLOOKUP(B943,Sheet3!B:B,Sheet3!J:J,0)</f>
        <v>2.1374400000000002</v>
      </c>
      <c r="K943">
        <f t="shared" si="43"/>
        <v>2.8499200000000005</v>
      </c>
      <c r="L943" s="54">
        <v>7.3320600000000002</v>
      </c>
      <c r="M943" s="67">
        <f t="shared" si="44"/>
        <v>4.4821399999999993</v>
      </c>
    </row>
    <row r="944" spans="2:13" hidden="1" x14ac:dyDescent="0.25">
      <c r="B944" t="str">
        <f t="shared" si="42"/>
        <v>Cogollo del CengioEPC-IPU-C824-02</v>
      </c>
      <c r="C944" s="50" t="s">
        <v>826</v>
      </c>
      <c r="D944" s="50" t="s">
        <v>887</v>
      </c>
      <c r="E944" s="50" t="s">
        <v>959</v>
      </c>
      <c r="F944" s="50" t="s">
        <v>1533</v>
      </c>
      <c r="G944" s="50" t="s">
        <v>1533</v>
      </c>
      <c r="H944" s="50" t="s">
        <v>2172</v>
      </c>
      <c r="I944" s="50" t="s">
        <v>1495</v>
      </c>
      <c r="J944" s="18">
        <f>+_xlfn.XLOOKUP(B944,Sheet3!B:B,Sheet3!J:J,0)</f>
        <v>0</v>
      </c>
      <c r="K944">
        <f t="shared" si="43"/>
        <v>0</v>
      </c>
      <c r="L944" s="54">
        <v>0.71590999999999994</v>
      </c>
      <c r="M944" s="67">
        <f t="shared" si="44"/>
        <v>0.71590999999999994</v>
      </c>
    </row>
    <row r="945" spans="2:13" hidden="1" x14ac:dyDescent="0.25">
      <c r="B945" t="str">
        <f t="shared" si="42"/>
        <v>Nova SiriEPC-IPU-A942-03</v>
      </c>
      <c r="C945" s="50" t="s">
        <v>826</v>
      </c>
      <c r="D945" s="50" t="s">
        <v>887</v>
      </c>
      <c r="E945" s="50" t="s">
        <v>910</v>
      </c>
      <c r="F945" s="50" t="s">
        <v>1533</v>
      </c>
      <c r="G945" s="50" t="s">
        <v>1533</v>
      </c>
      <c r="H945" s="50" t="s">
        <v>2173</v>
      </c>
      <c r="I945" s="50" t="s">
        <v>1351</v>
      </c>
      <c r="J945" s="18">
        <f>+_xlfn.XLOOKUP(B945,Sheet3!B:B,Sheet3!J:J,0)</f>
        <v>0</v>
      </c>
      <c r="K945">
        <f t="shared" si="43"/>
        <v>0</v>
      </c>
      <c r="L945" s="54">
        <v>7.5299899999999997</v>
      </c>
      <c r="M945" s="67">
        <f t="shared" si="44"/>
        <v>7.5299899999999997</v>
      </c>
    </row>
    <row r="946" spans="2:13" hidden="1" x14ac:dyDescent="0.25">
      <c r="B946" t="str">
        <f t="shared" si="42"/>
        <v>GallarateEPC-IPU-D869-05</v>
      </c>
      <c r="C946" s="50" t="s">
        <v>826</v>
      </c>
      <c r="D946" s="50" t="s">
        <v>887</v>
      </c>
      <c r="E946" s="50" t="s">
        <v>888</v>
      </c>
      <c r="F946" s="50" t="s">
        <v>1533</v>
      </c>
      <c r="G946" s="50" t="s">
        <v>1533</v>
      </c>
      <c r="H946" s="50" t="s">
        <v>2174</v>
      </c>
      <c r="I946" s="50" t="s">
        <v>1727</v>
      </c>
      <c r="J946" s="18">
        <f>+_xlfn.XLOOKUP(B946,Sheet3!B:B,Sheet3!J:J,0)</f>
        <v>1.42984</v>
      </c>
      <c r="K946">
        <f t="shared" si="43"/>
        <v>1.9064533333333333</v>
      </c>
      <c r="L946" s="54">
        <v>1.42984</v>
      </c>
      <c r="M946" s="67">
        <f t="shared" si="44"/>
        <v>-0.47661333333333333</v>
      </c>
    </row>
    <row r="947" spans="2:13" hidden="1" x14ac:dyDescent="0.25">
      <c r="B947" t="str">
        <f t="shared" si="42"/>
        <v>TribianoEPC-IPU-L415-08</v>
      </c>
      <c r="C947" s="50" t="s">
        <v>826</v>
      </c>
      <c r="D947" s="50" t="s">
        <v>887</v>
      </c>
      <c r="E947" s="50" t="s">
        <v>888</v>
      </c>
      <c r="F947" s="50" t="s">
        <v>1533</v>
      </c>
      <c r="G947" s="50" t="s">
        <v>1533</v>
      </c>
      <c r="H947" s="50" t="s">
        <v>2175</v>
      </c>
      <c r="I947" s="50" t="s">
        <v>1886</v>
      </c>
      <c r="J947" s="18">
        <f>+_xlfn.XLOOKUP(B947,Sheet3!B:B,Sheet3!J:J,0)</f>
        <v>32.44708</v>
      </c>
      <c r="K947">
        <f t="shared" si="43"/>
        <v>43.262773333333335</v>
      </c>
      <c r="L947" s="54">
        <v>32.44708</v>
      </c>
      <c r="M947" s="67">
        <f t="shared" si="44"/>
        <v>-10.815693333333336</v>
      </c>
    </row>
    <row r="948" spans="2:13" hidden="1" x14ac:dyDescent="0.25">
      <c r="B948" t="str">
        <f t="shared" si="42"/>
        <v>ColobraroEPC-IPU-C888-03</v>
      </c>
      <c r="C948" s="50" t="s">
        <v>826</v>
      </c>
      <c r="D948" s="50" t="s">
        <v>887</v>
      </c>
      <c r="E948" s="50" t="s">
        <v>910</v>
      </c>
      <c r="F948" s="50" t="s">
        <v>1533</v>
      </c>
      <c r="G948" s="50" t="s">
        <v>1533</v>
      </c>
      <c r="H948" s="50" t="s">
        <v>2176</v>
      </c>
      <c r="I948" s="50" t="s">
        <v>1698</v>
      </c>
      <c r="J948" s="18">
        <f>+_xlfn.XLOOKUP(B948,Sheet3!B:B,Sheet3!J:J,0)</f>
        <v>41.634</v>
      </c>
      <c r="K948">
        <f t="shared" si="43"/>
        <v>55.512</v>
      </c>
      <c r="L948" s="54">
        <v>41.634</v>
      </c>
      <c r="M948" s="67">
        <f t="shared" si="44"/>
        <v>-13.878</v>
      </c>
    </row>
    <row r="949" spans="2:13" hidden="1" x14ac:dyDescent="0.25">
      <c r="B949" t="str">
        <f t="shared" si="42"/>
        <v>Sasso di CastaldaEPC-IPU-I457-05</v>
      </c>
      <c r="C949" s="50" t="s">
        <v>826</v>
      </c>
      <c r="D949" s="50" t="s">
        <v>887</v>
      </c>
      <c r="E949" s="50" t="s">
        <v>910</v>
      </c>
      <c r="F949" s="50" t="s">
        <v>1533</v>
      </c>
      <c r="G949" s="50" t="s">
        <v>1533</v>
      </c>
      <c r="H949" s="50" t="s">
        <v>2177</v>
      </c>
      <c r="I949" s="50" t="s">
        <v>1453</v>
      </c>
      <c r="J949" s="18">
        <f>+_xlfn.XLOOKUP(B949,Sheet3!B:B,Sheet3!J:J,0)</f>
        <v>19.62106</v>
      </c>
      <c r="K949">
        <f t="shared" si="43"/>
        <v>26.161413333333332</v>
      </c>
      <c r="L949" s="54">
        <v>19.62106</v>
      </c>
      <c r="M949" s="67">
        <f t="shared" si="44"/>
        <v>-6.5403533333333321</v>
      </c>
    </row>
    <row r="950" spans="2:13" hidden="1" x14ac:dyDescent="0.25">
      <c r="B950" t="str">
        <f t="shared" si="42"/>
        <v>Avigliano PVEPC-IPU-A519-05</v>
      </c>
      <c r="C950" s="50" t="s">
        <v>826</v>
      </c>
      <c r="D950" s="50" t="s">
        <v>887</v>
      </c>
      <c r="E950" s="50" t="s">
        <v>910</v>
      </c>
      <c r="F950" s="50" t="s">
        <v>1533</v>
      </c>
      <c r="G950" s="50" t="s">
        <v>1533</v>
      </c>
      <c r="H950" s="50" t="s">
        <v>2178</v>
      </c>
      <c r="I950" s="50" t="s">
        <v>2280</v>
      </c>
      <c r="J950" s="18">
        <f>+_xlfn.XLOOKUP(B950,Sheet3!B:B,Sheet3!J:J,0)</f>
        <v>0</v>
      </c>
      <c r="K950">
        <f t="shared" si="43"/>
        <v>0</v>
      </c>
      <c r="L950" s="54">
        <v>0.94</v>
      </c>
      <c r="M950" s="67">
        <f t="shared" si="44"/>
        <v>0.94</v>
      </c>
    </row>
    <row r="951" spans="2:13" hidden="1" x14ac:dyDescent="0.25">
      <c r="B951" t="str">
        <f t="shared" si="42"/>
        <v>TribianoEPC-IPU-L415-07</v>
      </c>
      <c r="C951" s="50" t="s">
        <v>826</v>
      </c>
      <c r="D951" s="50" t="s">
        <v>887</v>
      </c>
      <c r="E951" s="50" t="s">
        <v>888</v>
      </c>
      <c r="F951" s="50" t="s">
        <v>1533</v>
      </c>
      <c r="G951" s="50" t="s">
        <v>1533</v>
      </c>
      <c r="H951" s="50" t="s">
        <v>2179</v>
      </c>
      <c r="I951" s="50" t="s">
        <v>1886</v>
      </c>
      <c r="J951" s="18">
        <f>+_xlfn.XLOOKUP(B951,Sheet3!B:B,Sheet3!J:J,0)</f>
        <v>8.01</v>
      </c>
      <c r="K951">
        <f t="shared" si="43"/>
        <v>10.68</v>
      </c>
      <c r="L951" s="54">
        <v>8.01</v>
      </c>
      <c r="M951" s="67">
        <f t="shared" si="44"/>
        <v>-2.67</v>
      </c>
    </row>
    <row r="952" spans="2:13" hidden="1" x14ac:dyDescent="0.25">
      <c r="B952" t="str">
        <f t="shared" si="42"/>
        <v>Sant'ArcangeloEPC-IPU-I305-03</v>
      </c>
      <c r="C952" s="50" t="s">
        <v>826</v>
      </c>
      <c r="D952" s="50" t="s">
        <v>887</v>
      </c>
      <c r="E952" s="50" t="s">
        <v>910</v>
      </c>
      <c r="F952" s="50" t="s">
        <v>1533</v>
      </c>
      <c r="G952" s="50" t="s">
        <v>1533</v>
      </c>
      <c r="H952" s="50" t="s">
        <v>2180</v>
      </c>
      <c r="I952" s="50" t="s">
        <v>2281</v>
      </c>
      <c r="J952" s="18">
        <f>+_xlfn.XLOOKUP(B952,Sheet3!B:B,Sheet3!J:J,0)</f>
        <v>0</v>
      </c>
      <c r="K952">
        <f t="shared" si="43"/>
        <v>0</v>
      </c>
      <c r="L952" s="54">
        <v>29.807950000000002</v>
      </c>
      <c r="M952" s="67">
        <f t="shared" si="44"/>
        <v>29.807950000000002</v>
      </c>
    </row>
    <row r="953" spans="2:13" hidden="1" x14ac:dyDescent="0.25">
      <c r="B953" t="str">
        <f t="shared" si="42"/>
        <v>GallarateEPC-IPU-D869-04</v>
      </c>
      <c r="C953" s="50" t="s">
        <v>826</v>
      </c>
      <c r="D953" s="50" t="s">
        <v>887</v>
      </c>
      <c r="E953" s="50" t="s">
        <v>888</v>
      </c>
      <c r="F953" s="50" t="s">
        <v>1533</v>
      </c>
      <c r="G953" s="50" t="s">
        <v>1533</v>
      </c>
      <c r="H953" s="50" t="s">
        <v>2181</v>
      </c>
      <c r="I953" s="50" t="s">
        <v>1727</v>
      </c>
      <c r="J953" s="18">
        <f>+_xlfn.XLOOKUP(B953,Sheet3!B:B,Sheet3!J:J,0)</f>
        <v>2.7766700000000002</v>
      </c>
      <c r="K953">
        <f t="shared" si="43"/>
        <v>3.7022266666666668</v>
      </c>
      <c r="L953" s="54">
        <v>2.7766700000000002</v>
      </c>
      <c r="M953" s="67">
        <f t="shared" si="44"/>
        <v>-0.92555666666666658</v>
      </c>
    </row>
    <row r="954" spans="2:13" hidden="1" x14ac:dyDescent="0.25">
      <c r="B954" t="str">
        <f t="shared" si="42"/>
        <v>BressoEPC-IPU-B162-06</v>
      </c>
      <c r="C954" s="50" t="s">
        <v>826</v>
      </c>
      <c r="D954" s="50" t="s">
        <v>887</v>
      </c>
      <c r="E954" s="50" t="s">
        <v>888</v>
      </c>
      <c r="F954" s="50" t="s">
        <v>1533</v>
      </c>
      <c r="G954" s="50" t="s">
        <v>1533</v>
      </c>
      <c r="H954" s="50" t="s">
        <v>2182</v>
      </c>
      <c r="I954" s="50" t="s">
        <v>1716</v>
      </c>
      <c r="J954" s="18">
        <f>+_xlfn.XLOOKUP(B954,Sheet3!B:B,Sheet3!J:J,0)</f>
        <v>12.233600000000001</v>
      </c>
      <c r="K954">
        <f t="shared" si="43"/>
        <v>16.311466666666668</v>
      </c>
      <c r="L954" s="54">
        <v>12.233600000000001</v>
      </c>
      <c r="M954" s="67">
        <f t="shared" si="44"/>
        <v>-4.077866666666667</v>
      </c>
    </row>
    <row r="955" spans="2:13" hidden="1" x14ac:dyDescent="0.25">
      <c r="B955" t="str">
        <f t="shared" si="42"/>
        <v>FermoEPC-IPU-D542-02</v>
      </c>
      <c r="C955" s="50" t="s">
        <v>826</v>
      </c>
      <c r="D955" s="50" t="s">
        <v>887</v>
      </c>
      <c r="E955" s="50" t="s">
        <v>896</v>
      </c>
      <c r="F955" s="50" t="s">
        <v>1533</v>
      </c>
      <c r="G955" s="50" t="s">
        <v>1533</v>
      </c>
      <c r="H955" s="50" t="s">
        <v>2183</v>
      </c>
      <c r="I955" s="50" t="s">
        <v>1714</v>
      </c>
      <c r="J955" s="18">
        <f>+_xlfn.XLOOKUP(B955,Sheet3!B:B,Sheet3!J:J,0)</f>
        <v>0</v>
      </c>
      <c r="K955">
        <f t="shared" si="43"/>
        <v>0</v>
      </c>
      <c r="L955" s="54">
        <v>0</v>
      </c>
      <c r="M955" s="67">
        <f t="shared" si="44"/>
        <v>0</v>
      </c>
    </row>
    <row r="956" spans="2:13" hidden="1" x14ac:dyDescent="0.25">
      <c r="B956" t="str">
        <f t="shared" si="42"/>
        <v>SenigalliaEPC-IPU-I608-01</v>
      </c>
      <c r="C956" s="50" t="s">
        <v>826</v>
      </c>
      <c r="D956" s="50" t="s">
        <v>887</v>
      </c>
      <c r="E956" s="50" t="s">
        <v>896</v>
      </c>
      <c r="F956" s="50" t="s">
        <v>1533</v>
      </c>
      <c r="G956" s="50" t="s">
        <v>1533</v>
      </c>
      <c r="H956" s="50" t="s">
        <v>2184</v>
      </c>
      <c r="I956" s="50" t="s">
        <v>1751</v>
      </c>
      <c r="J956" s="18">
        <f>+_xlfn.XLOOKUP(B956,Sheet3!B:B,Sheet3!J:J,0)</f>
        <v>0</v>
      </c>
      <c r="K956">
        <f t="shared" si="43"/>
        <v>0</v>
      </c>
      <c r="L956" s="54">
        <v>0</v>
      </c>
      <c r="M956" s="67">
        <f t="shared" si="44"/>
        <v>0</v>
      </c>
    </row>
    <row r="957" spans="2:13" hidden="1" x14ac:dyDescent="0.25">
      <c r="B957" t="str">
        <f t="shared" si="42"/>
        <v>TribianoEPC-IPU-L415-06</v>
      </c>
      <c r="C957" s="50" t="s">
        <v>826</v>
      </c>
      <c r="D957" s="50" t="s">
        <v>887</v>
      </c>
      <c r="E957" s="50" t="s">
        <v>888</v>
      </c>
      <c r="F957" s="50" t="s">
        <v>1533</v>
      </c>
      <c r="G957" s="50" t="s">
        <v>1533</v>
      </c>
      <c r="H957" s="50" t="s">
        <v>2185</v>
      </c>
      <c r="I957" s="50" t="s">
        <v>1886</v>
      </c>
      <c r="J957" s="18">
        <f>+_xlfn.XLOOKUP(B957,Sheet3!B:B,Sheet3!J:J,0)</f>
        <v>2.6107399999999998</v>
      </c>
      <c r="K957">
        <f t="shared" si="43"/>
        <v>3.4809866666666665</v>
      </c>
      <c r="L957" s="54">
        <v>2.6107399999999998</v>
      </c>
      <c r="M957" s="67">
        <f t="shared" si="44"/>
        <v>-0.87024666666666661</v>
      </c>
    </row>
    <row r="958" spans="2:13" hidden="1" x14ac:dyDescent="0.25">
      <c r="B958" t="str">
        <f t="shared" si="42"/>
        <v>Filiano PVSEC-PHV-D593-06</v>
      </c>
      <c r="C958" s="50" t="s">
        <v>826</v>
      </c>
      <c r="D958" s="50" t="s">
        <v>887</v>
      </c>
      <c r="E958" s="50" t="s">
        <v>910</v>
      </c>
      <c r="F958" s="50" t="s">
        <v>897</v>
      </c>
      <c r="G958" s="50" t="s">
        <v>897</v>
      </c>
      <c r="H958" s="50" t="s">
        <v>2186</v>
      </c>
      <c r="I958" s="50" t="s">
        <v>2282</v>
      </c>
      <c r="J958" s="18">
        <f>+_xlfn.XLOOKUP(B958,Sheet3!B:B,Sheet3!J:J,0)</f>
        <v>0</v>
      </c>
      <c r="K958">
        <f t="shared" si="43"/>
        <v>0</v>
      </c>
      <c r="L958" s="54">
        <v>1.4115499999999999</v>
      </c>
      <c r="M958" s="67">
        <f t="shared" si="44"/>
        <v>1.4115499999999999</v>
      </c>
    </row>
    <row r="959" spans="2:13" hidden="1" x14ac:dyDescent="0.25">
      <c r="B959" t="str">
        <f t="shared" si="42"/>
        <v>Filiano PVSEC-PHV-D593-07</v>
      </c>
      <c r="C959" s="50" t="s">
        <v>826</v>
      </c>
      <c r="D959" s="50" t="s">
        <v>887</v>
      </c>
      <c r="E959" s="50" t="s">
        <v>910</v>
      </c>
      <c r="F959" s="50" t="s">
        <v>897</v>
      </c>
      <c r="G959" s="50" t="s">
        <v>897</v>
      </c>
      <c r="H959" s="50" t="s">
        <v>2187</v>
      </c>
      <c r="I959" s="50" t="s">
        <v>2282</v>
      </c>
      <c r="J959" s="18">
        <f>+_xlfn.XLOOKUP(B959,Sheet3!B:B,Sheet3!J:J,0)</f>
        <v>0</v>
      </c>
      <c r="K959">
        <f t="shared" si="43"/>
        <v>0</v>
      </c>
      <c r="L959" s="54">
        <v>0.29392000000000001</v>
      </c>
      <c r="M959" s="67">
        <f t="shared" si="44"/>
        <v>0.29392000000000001</v>
      </c>
    </row>
    <row r="960" spans="2:13" hidden="1" x14ac:dyDescent="0.25">
      <c r="B960" t="str">
        <f t="shared" si="42"/>
        <v>Filiano PVSEC-PHV-D593-08</v>
      </c>
      <c r="C960" s="50" t="s">
        <v>826</v>
      </c>
      <c r="D960" s="50" t="s">
        <v>887</v>
      </c>
      <c r="E960" s="50" t="s">
        <v>910</v>
      </c>
      <c r="F960" s="50" t="s">
        <v>897</v>
      </c>
      <c r="G960" s="50" t="s">
        <v>897</v>
      </c>
      <c r="H960" s="50" t="s">
        <v>2188</v>
      </c>
      <c r="I960" s="50" t="s">
        <v>2282</v>
      </c>
      <c r="J960" s="18">
        <f>+_xlfn.XLOOKUP(B960,Sheet3!B:B,Sheet3!J:J,0)</f>
        <v>0</v>
      </c>
      <c r="K960">
        <f t="shared" si="43"/>
        <v>0</v>
      </c>
      <c r="L960" s="54">
        <v>0.29542000000000002</v>
      </c>
      <c r="M960" s="67">
        <f t="shared" si="44"/>
        <v>0.29542000000000002</v>
      </c>
    </row>
    <row r="961" spans="2:13" hidden="1" x14ac:dyDescent="0.25">
      <c r="B961" t="str">
        <f t="shared" si="42"/>
        <v>ColobraroEPC-IPU-C888-01</v>
      </c>
      <c r="C961" s="50" t="s">
        <v>826</v>
      </c>
      <c r="D961" s="50" t="s">
        <v>887</v>
      </c>
      <c r="E961" s="50" t="s">
        <v>910</v>
      </c>
      <c r="F961" s="50" t="s">
        <v>1533</v>
      </c>
      <c r="G961" s="50" t="s">
        <v>1533</v>
      </c>
      <c r="H961" s="50" t="s">
        <v>2189</v>
      </c>
      <c r="I961" s="50" t="s">
        <v>1698</v>
      </c>
      <c r="J961" s="18">
        <f>+_xlfn.XLOOKUP(B961,Sheet3!B:B,Sheet3!J:J,0)</f>
        <v>0</v>
      </c>
      <c r="K961">
        <f t="shared" si="43"/>
        <v>0</v>
      </c>
      <c r="L961" s="54">
        <v>0</v>
      </c>
      <c r="M961" s="67">
        <f t="shared" si="44"/>
        <v>0</v>
      </c>
    </row>
    <row r="962" spans="2:13" hidden="1" x14ac:dyDescent="0.25">
      <c r="B962" t="str">
        <f t="shared" si="42"/>
        <v>Sasso di CastaldaEPC-IPU-I457-02</v>
      </c>
      <c r="C962" s="50" t="s">
        <v>826</v>
      </c>
      <c r="D962" s="50" t="s">
        <v>887</v>
      </c>
      <c r="E962" s="50" t="s">
        <v>910</v>
      </c>
      <c r="F962" s="50" t="s">
        <v>1533</v>
      </c>
      <c r="G962" s="50" t="s">
        <v>1533</v>
      </c>
      <c r="H962" s="50" t="s">
        <v>2190</v>
      </c>
      <c r="I962" s="50" t="s">
        <v>1453</v>
      </c>
      <c r="J962" s="18">
        <f>+_xlfn.XLOOKUP(B962,Sheet3!B:B,Sheet3!J:J,0)</f>
        <v>0</v>
      </c>
      <c r="K962">
        <f t="shared" si="43"/>
        <v>0</v>
      </c>
      <c r="L962" s="54">
        <v>0</v>
      </c>
      <c r="M962" s="67">
        <f t="shared" si="44"/>
        <v>0</v>
      </c>
    </row>
    <row r="963" spans="2:13" hidden="1" x14ac:dyDescent="0.25">
      <c r="B963" t="str">
        <f t="shared" si="42"/>
        <v>PietragallaPPP-EEE-G616-02</v>
      </c>
      <c r="C963" s="50" t="s">
        <v>826</v>
      </c>
      <c r="D963" s="50" t="s">
        <v>887</v>
      </c>
      <c r="E963" s="50" t="s">
        <v>910</v>
      </c>
      <c r="F963" s="50" t="s">
        <v>965</v>
      </c>
      <c r="G963" s="50" t="s">
        <v>965</v>
      </c>
      <c r="H963" s="50" t="s">
        <v>2191</v>
      </c>
      <c r="I963" s="50" t="s">
        <v>1296</v>
      </c>
      <c r="J963" s="18">
        <f>+_xlfn.XLOOKUP(B963,Sheet3!B:B,Sheet3!J:J,0)</f>
        <v>0</v>
      </c>
      <c r="K963">
        <f t="shared" si="43"/>
        <v>0</v>
      </c>
      <c r="L963" s="54">
        <v>0</v>
      </c>
      <c r="M963" s="67">
        <f t="shared" si="44"/>
        <v>0</v>
      </c>
    </row>
    <row r="964" spans="2:13" hidden="1" x14ac:dyDescent="0.25">
      <c r="B964" t="str">
        <f t="shared" ref="B964:B1027" si="45">+I964&amp;H964</f>
        <v>VillaputzuPPP-IPU-L998-01</v>
      </c>
      <c r="C964" s="50" t="s">
        <v>826</v>
      </c>
      <c r="D964" s="50" t="s">
        <v>887</v>
      </c>
      <c r="E964" s="50" t="s">
        <v>896</v>
      </c>
      <c r="F964" s="50" t="s">
        <v>889</v>
      </c>
      <c r="G964" s="50" t="s">
        <v>890</v>
      </c>
      <c r="H964" s="50" t="s">
        <v>2192</v>
      </c>
      <c r="I964" s="50" t="s">
        <v>2283</v>
      </c>
      <c r="J964" s="18">
        <f>+_xlfn.XLOOKUP(B964,Sheet3!B:B,Sheet3!J:J,0)</f>
        <v>0</v>
      </c>
      <c r="K964">
        <f t="shared" ref="K964:K1027" si="46">+J964/6*8</f>
        <v>0</v>
      </c>
      <c r="L964" s="54">
        <v>0</v>
      </c>
      <c r="M964" s="67">
        <f t="shared" ref="M964:M1027" si="47">+L964-K964</f>
        <v>0</v>
      </c>
    </row>
    <row r="965" spans="2:13" hidden="1" x14ac:dyDescent="0.25">
      <c r="B965" t="str">
        <f t="shared" si="45"/>
        <v>San LucidoPPP-IPU-H971-01</v>
      </c>
      <c r="C965" s="50" t="s">
        <v>826</v>
      </c>
      <c r="D965" s="50" t="s">
        <v>887</v>
      </c>
      <c r="E965" s="50" t="s">
        <v>910</v>
      </c>
      <c r="F965" s="50" t="s">
        <v>889</v>
      </c>
      <c r="G965" s="50" t="s">
        <v>890</v>
      </c>
      <c r="H965" s="50" t="s">
        <v>2193</v>
      </c>
      <c r="I965" s="50" t="s">
        <v>2284</v>
      </c>
      <c r="J965" s="18">
        <f>+_xlfn.XLOOKUP(B965,Sheet3!B:B,Sheet3!J:J,0)</f>
        <v>0</v>
      </c>
      <c r="K965">
        <f t="shared" si="46"/>
        <v>0</v>
      </c>
      <c r="L965" s="54">
        <v>0</v>
      </c>
      <c r="M965" s="67">
        <f t="shared" si="47"/>
        <v>0</v>
      </c>
    </row>
    <row r="966" spans="2:13" hidden="1" x14ac:dyDescent="0.25">
      <c r="B966" t="str">
        <f t="shared" si="45"/>
        <v>AtellaPPP-IPU-A482-01</v>
      </c>
      <c r="C966" s="50" t="s">
        <v>826</v>
      </c>
      <c r="D966" s="50" t="s">
        <v>887</v>
      </c>
      <c r="E966" s="50" t="s">
        <v>910</v>
      </c>
      <c r="F966" s="50" t="s">
        <v>889</v>
      </c>
      <c r="G966" s="50" t="s">
        <v>890</v>
      </c>
      <c r="H966" s="50" t="s">
        <v>2194</v>
      </c>
      <c r="I966" s="50" t="s">
        <v>2285</v>
      </c>
      <c r="J966" s="18">
        <f>+_xlfn.XLOOKUP(B966,Sheet3!B:B,Sheet3!J:J,0)</f>
        <v>0</v>
      </c>
      <c r="K966">
        <f t="shared" si="46"/>
        <v>0</v>
      </c>
      <c r="L966" s="54">
        <v>0</v>
      </c>
      <c r="M966" s="67">
        <f t="shared" si="47"/>
        <v>0</v>
      </c>
    </row>
    <row r="967" spans="2:13" hidden="1" x14ac:dyDescent="0.25">
      <c r="B967" t="str">
        <f t="shared" si="45"/>
        <v>PetrosinoPPP-IPU-M281-01</v>
      </c>
      <c r="C967" s="50" t="s">
        <v>826</v>
      </c>
      <c r="D967" s="50" t="s">
        <v>887</v>
      </c>
      <c r="E967" s="50" t="s">
        <v>910</v>
      </c>
      <c r="F967" s="50" t="s">
        <v>889</v>
      </c>
      <c r="G967" s="50" t="s">
        <v>890</v>
      </c>
      <c r="H967" s="50" t="s">
        <v>2195</v>
      </c>
      <c r="I967" s="50" t="s">
        <v>2286</v>
      </c>
      <c r="J967" s="18">
        <f>+_xlfn.XLOOKUP(B967,Sheet3!B:B,Sheet3!J:J,0)</f>
        <v>0</v>
      </c>
      <c r="K967">
        <f t="shared" si="46"/>
        <v>0</v>
      </c>
      <c r="L967" s="54">
        <v>0</v>
      </c>
      <c r="M967" s="67">
        <f t="shared" si="47"/>
        <v>0</v>
      </c>
    </row>
    <row r="968" spans="2:13" hidden="1" x14ac:dyDescent="0.25">
      <c r="B968" t="str">
        <f t="shared" si="45"/>
        <v>GrammichelePPP-IPU-E133-01</v>
      </c>
      <c r="C968" s="50" t="s">
        <v>826</v>
      </c>
      <c r="D968" s="50" t="s">
        <v>887</v>
      </c>
      <c r="E968" s="50" t="s">
        <v>910</v>
      </c>
      <c r="F968" s="50" t="s">
        <v>889</v>
      </c>
      <c r="G968" s="50" t="s">
        <v>890</v>
      </c>
      <c r="H968" s="50" t="s">
        <v>2196</v>
      </c>
      <c r="I968" s="50" t="s">
        <v>2287</v>
      </c>
      <c r="J968" s="18">
        <f>+_xlfn.XLOOKUP(B968,Sheet3!B:B,Sheet3!J:J,0)</f>
        <v>0</v>
      </c>
      <c r="K968">
        <f t="shared" si="46"/>
        <v>0</v>
      </c>
      <c r="L968" s="54">
        <v>0</v>
      </c>
      <c r="M968" s="67">
        <f t="shared" si="47"/>
        <v>0</v>
      </c>
    </row>
    <row r="969" spans="2:13" hidden="1" x14ac:dyDescent="0.25">
      <c r="B969" t="str">
        <f t="shared" si="45"/>
        <v>NichelinoPPP-IPU-F889-01</v>
      </c>
      <c r="C969" s="50" t="s">
        <v>826</v>
      </c>
      <c r="D969" s="50" t="s">
        <v>887</v>
      </c>
      <c r="E969" s="50" t="s">
        <v>888</v>
      </c>
      <c r="F969" s="50" t="s">
        <v>889</v>
      </c>
      <c r="G969" s="50" t="s">
        <v>890</v>
      </c>
      <c r="H969" s="50" t="s">
        <v>2197</v>
      </c>
      <c r="I969" s="50" t="s">
        <v>2288</v>
      </c>
      <c r="J969" s="18">
        <f>+_xlfn.XLOOKUP(B969,Sheet3!B:B,Sheet3!J:J,0)</f>
        <v>0</v>
      </c>
      <c r="K969">
        <f t="shared" si="46"/>
        <v>0</v>
      </c>
      <c r="L969" s="54">
        <v>0</v>
      </c>
      <c r="M969" s="67">
        <f t="shared" si="47"/>
        <v>0</v>
      </c>
    </row>
    <row r="970" spans="2:13" hidden="1" x14ac:dyDescent="0.25">
      <c r="B970" t="str">
        <f t="shared" si="45"/>
        <v>GussagoPPP-IPU-E271-01</v>
      </c>
      <c r="C970" s="50" t="s">
        <v>826</v>
      </c>
      <c r="D970" s="50" t="s">
        <v>887</v>
      </c>
      <c r="E970" s="50" t="s">
        <v>888</v>
      </c>
      <c r="F970" s="50" t="s">
        <v>889</v>
      </c>
      <c r="G970" s="50" t="s">
        <v>890</v>
      </c>
      <c r="H970" s="50" t="s">
        <v>2198</v>
      </c>
      <c r="I970" s="50" t="s">
        <v>2289</v>
      </c>
      <c r="J970" s="18">
        <f>+_xlfn.XLOOKUP(B970,Sheet3!B:B,Sheet3!J:J,0)</f>
        <v>0</v>
      </c>
      <c r="K970">
        <f t="shared" si="46"/>
        <v>0</v>
      </c>
      <c r="L970" s="54">
        <v>0</v>
      </c>
      <c r="M970" s="67">
        <f t="shared" si="47"/>
        <v>0</v>
      </c>
    </row>
    <row r="971" spans="2:13" hidden="1" x14ac:dyDescent="0.25">
      <c r="B971" t="str">
        <f t="shared" si="45"/>
        <v>PolicoroPPP-EEE-G786-01</v>
      </c>
      <c r="C971" s="50" t="s">
        <v>826</v>
      </c>
      <c r="D971" s="50" t="s">
        <v>887</v>
      </c>
      <c r="E971" s="50" t="s">
        <v>910</v>
      </c>
      <c r="F971" s="50" t="s">
        <v>965</v>
      </c>
      <c r="G971" s="50" t="s">
        <v>965</v>
      </c>
      <c r="H971" s="50" t="s">
        <v>2199</v>
      </c>
      <c r="I971" s="50" t="s">
        <v>2290</v>
      </c>
      <c r="J971" s="18">
        <f>+_xlfn.XLOOKUP(B971,Sheet3!B:B,Sheet3!J:J,0)</f>
        <v>0</v>
      </c>
      <c r="K971">
        <f t="shared" si="46"/>
        <v>0</v>
      </c>
      <c r="L971" s="54">
        <v>0</v>
      </c>
      <c r="M971" s="67">
        <f t="shared" si="47"/>
        <v>0</v>
      </c>
    </row>
    <row r="972" spans="2:13" hidden="1" x14ac:dyDescent="0.25">
      <c r="B972" t="str">
        <f t="shared" si="45"/>
        <v>MascaliPPP-IPU-F004-01</v>
      </c>
      <c r="C972" s="50" t="s">
        <v>826</v>
      </c>
      <c r="D972" s="50" t="s">
        <v>887</v>
      </c>
      <c r="E972" s="50" t="s">
        <v>910</v>
      </c>
      <c r="F972" s="50" t="s">
        <v>889</v>
      </c>
      <c r="G972" s="50" t="s">
        <v>890</v>
      </c>
      <c r="H972" s="50" t="s">
        <v>2200</v>
      </c>
      <c r="I972" s="50" t="s">
        <v>2291</v>
      </c>
      <c r="J972" s="18">
        <f>+_xlfn.XLOOKUP(B972,Sheet3!B:B,Sheet3!J:J,0)</f>
        <v>0</v>
      </c>
      <c r="K972">
        <f t="shared" si="46"/>
        <v>0</v>
      </c>
      <c r="L972" s="54">
        <v>0</v>
      </c>
      <c r="M972" s="67">
        <f t="shared" si="47"/>
        <v>0</v>
      </c>
    </row>
    <row r="973" spans="2:13" hidden="1" x14ac:dyDescent="0.25">
      <c r="B973" t="str">
        <f t="shared" si="45"/>
        <v>Nocera SuperiorePPP-IPU-F913-01</v>
      </c>
      <c r="C973" s="50" t="s">
        <v>826</v>
      </c>
      <c r="D973" s="50" t="s">
        <v>887</v>
      </c>
      <c r="E973" s="50" t="s">
        <v>910</v>
      </c>
      <c r="F973" s="50" t="s">
        <v>889</v>
      </c>
      <c r="G973" s="50" t="s">
        <v>890</v>
      </c>
      <c r="H973" s="50" t="s">
        <v>2201</v>
      </c>
      <c r="I973" s="50" t="s">
        <v>2292</v>
      </c>
      <c r="J973" s="18">
        <f>+_xlfn.XLOOKUP(B973,Sheet3!B:B,Sheet3!J:J,0)</f>
        <v>0</v>
      </c>
      <c r="K973">
        <f t="shared" si="46"/>
        <v>0</v>
      </c>
      <c r="L973" s="54">
        <v>0</v>
      </c>
      <c r="M973" s="67">
        <f t="shared" si="47"/>
        <v>0</v>
      </c>
    </row>
    <row r="974" spans="2:13" hidden="1" x14ac:dyDescent="0.25">
      <c r="B974" t="str">
        <f t="shared" si="45"/>
        <v>BarzagoEPC-IPU-A683-03</v>
      </c>
      <c r="C974" s="50" t="s">
        <v>826</v>
      </c>
      <c r="D974" s="50" t="s">
        <v>887</v>
      </c>
      <c r="E974" s="50" t="s">
        <v>888</v>
      </c>
      <c r="F974" s="50" t="s">
        <v>1533</v>
      </c>
      <c r="G974" s="50" t="s">
        <v>1533</v>
      </c>
      <c r="H974" s="50" t="s">
        <v>2202</v>
      </c>
      <c r="I974" s="50" t="s">
        <v>2293</v>
      </c>
      <c r="J974" s="18">
        <f>+_xlfn.XLOOKUP(B974,Sheet3!B:B,Sheet3!J:J,0)</f>
        <v>0</v>
      </c>
      <c r="K974">
        <f t="shared" si="46"/>
        <v>0</v>
      </c>
      <c r="L974" s="54">
        <v>14.320930000000001</v>
      </c>
      <c r="M974" s="67">
        <f t="shared" si="47"/>
        <v>14.320930000000001</v>
      </c>
    </row>
    <row r="975" spans="2:13" hidden="1" x14ac:dyDescent="0.25">
      <c r="B975" t="str">
        <f t="shared" si="45"/>
        <v>Associazione Culturale Lds Liberi di SuonareEPC-IPU-C767-04</v>
      </c>
      <c r="C975" s="50" t="s">
        <v>826</v>
      </c>
      <c r="D975" s="50" t="s">
        <v>887</v>
      </c>
      <c r="E975" s="50" t="s">
        <v>896</v>
      </c>
      <c r="F975" s="50" t="s">
        <v>1630</v>
      </c>
      <c r="G975" s="50" t="s">
        <v>1630</v>
      </c>
      <c r="H975" s="50" t="s">
        <v>2203</v>
      </c>
      <c r="I975" s="50" t="s">
        <v>2294</v>
      </c>
      <c r="J975" s="18">
        <f>+_xlfn.XLOOKUP(B975,Sheet3!B:B,Sheet3!J:J,0)</f>
        <v>0</v>
      </c>
      <c r="K975">
        <f t="shared" si="46"/>
        <v>0</v>
      </c>
      <c r="L975" s="54">
        <v>0.38</v>
      </c>
      <c r="M975" s="67">
        <f t="shared" si="47"/>
        <v>0.38</v>
      </c>
    </row>
    <row r="976" spans="2:13" hidden="1" x14ac:dyDescent="0.25">
      <c r="B976" t="str">
        <f t="shared" si="45"/>
        <v>Tigros Servizi Immobiliari SrlEPC-IPU-A413-09</v>
      </c>
      <c r="C976" s="50" t="s">
        <v>826</v>
      </c>
      <c r="D976" s="50" t="s">
        <v>887</v>
      </c>
      <c r="E976" s="50" t="s">
        <v>888</v>
      </c>
      <c r="F976" s="50" t="s">
        <v>1630</v>
      </c>
      <c r="G976" s="50" t="s">
        <v>1630</v>
      </c>
      <c r="H976" s="50" t="s">
        <v>2204</v>
      </c>
      <c r="I976" s="50" t="s">
        <v>2295</v>
      </c>
      <c r="J976" s="18">
        <f>+_xlfn.XLOOKUP(B976,Sheet3!B:B,Sheet3!J:J,0)</f>
        <v>0</v>
      </c>
      <c r="K976">
        <f t="shared" si="46"/>
        <v>0</v>
      </c>
      <c r="L976" s="54">
        <v>5.8748699999999996</v>
      </c>
      <c r="M976" s="67">
        <f t="shared" si="47"/>
        <v>5.8748699999999996</v>
      </c>
    </row>
    <row r="977" spans="2:13" hidden="1" x14ac:dyDescent="0.25">
      <c r="B977" t="str">
        <f t="shared" si="45"/>
        <v>Innova ApsEPC-IPU-C767-03</v>
      </c>
      <c r="C977" s="50" t="s">
        <v>826</v>
      </c>
      <c r="D977" s="50" t="s">
        <v>887</v>
      </c>
      <c r="E977" s="50" t="s">
        <v>896</v>
      </c>
      <c r="F977" s="50" t="s">
        <v>1630</v>
      </c>
      <c r="G977" s="50" t="s">
        <v>1630</v>
      </c>
      <c r="H977" s="50" t="s">
        <v>2205</v>
      </c>
      <c r="I977" s="50" t="s">
        <v>2296</v>
      </c>
      <c r="J977" s="18">
        <f>+_xlfn.XLOOKUP(B977,Sheet3!B:B,Sheet3!J:J,0)</f>
        <v>0</v>
      </c>
      <c r="K977">
        <f t="shared" si="46"/>
        <v>0</v>
      </c>
      <c r="L977" s="54">
        <v>0.55500000000000005</v>
      </c>
      <c r="M977" s="67">
        <f t="shared" si="47"/>
        <v>0.55500000000000005</v>
      </c>
    </row>
    <row r="978" spans="2:13" hidden="1" x14ac:dyDescent="0.25">
      <c r="B978" t="str">
        <f t="shared" si="45"/>
        <v>Chioggia Servizi Soc. Cons. ArlEPC-IPU-C638-02</v>
      </c>
      <c r="C978" s="50" t="s">
        <v>826</v>
      </c>
      <c r="D978" s="50" t="s">
        <v>887</v>
      </c>
      <c r="E978" s="50" t="s">
        <v>959</v>
      </c>
      <c r="F978" s="50" t="s">
        <v>1630</v>
      </c>
      <c r="G978" s="50" t="s">
        <v>1630</v>
      </c>
      <c r="H978" s="50" t="s">
        <v>2206</v>
      </c>
      <c r="I978" s="50" t="s">
        <v>2297</v>
      </c>
      <c r="J978" s="18">
        <f>+_xlfn.XLOOKUP(B978,Sheet3!B:B,Sheet3!J:J,0)</f>
        <v>0</v>
      </c>
      <c r="K978">
        <f t="shared" si="46"/>
        <v>0</v>
      </c>
      <c r="L978" s="54">
        <v>40.78998</v>
      </c>
      <c r="M978" s="67">
        <f t="shared" si="47"/>
        <v>40.78998</v>
      </c>
    </row>
    <row r="979" spans="2:13" hidden="1" x14ac:dyDescent="0.25">
      <c r="B979" t="str">
        <f t="shared" si="45"/>
        <v>Troiano S.a.s di Troiano Feliciano &amp; CEPC-IPU-H641-02</v>
      </c>
      <c r="C979" s="50" t="s">
        <v>826</v>
      </c>
      <c r="D979" s="50" t="s">
        <v>887</v>
      </c>
      <c r="E979" s="50" t="s">
        <v>910</v>
      </c>
      <c r="F979" s="50" t="s">
        <v>1630</v>
      </c>
      <c r="G979" s="50" t="s">
        <v>1630</v>
      </c>
      <c r="H979" s="50" t="s">
        <v>2207</v>
      </c>
      <c r="I979" s="50" t="s">
        <v>2298</v>
      </c>
      <c r="J979" s="18">
        <f>+_xlfn.XLOOKUP(B979,Sheet3!B:B,Sheet3!J:J,0)</f>
        <v>0</v>
      </c>
      <c r="K979">
        <f t="shared" si="46"/>
        <v>0</v>
      </c>
      <c r="L979" s="54">
        <v>1</v>
      </c>
      <c r="M979" s="67">
        <f t="shared" si="47"/>
        <v>1</v>
      </c>
    </row>
    <row r="980" spans="2:13" hidden="1" x14ac:dyDescent="0.25">
      <c r="B980" t="str">
        <f t="shared" si="45"/>
        <v>SenigalliaEPC-IPU-I608-06</v>
      </c>
      <c r="C980" s="50" t="s">
        <v>826</v>
      </c>
      <c r="D980" s="50" t="s">
        <v>887</v>
      </c>
      <c r="E980" s="50" t="s">
        <v>896</v>
      </c>
      <c r="F980" s="50" t="s">
        <v>1533</v>
      </c>
      <c r="G980" s="50" t="s">
        <v>1533</v>
      </c>
      <c r="H980" s="50" t="s">
        <v>2208</v>
      </c>
      <c r="I980" s="50" t="s">
        <v>1751</v>
      </c>
      <c r="J980" s="18">
        <f>+_xlfn.XLOOKUP(B980,Sheet3!B:B,Sheet3!J:J,0)</f>
        <v>0</v>
      </c>
      <c r="K980">
        <f t="shared" si="46"/>
        <v>0</v>
      </c>
      <c r="L980" s="54">
        <v>-1.31951</v>
      </c>
      <c r="M980" s="67">
        <f t="shared" si="47"/>
        <v>-1.31951</v>
      </c>
    </row>
    <row r="981" spans="2:13" hidden="1" x14ac:dyDescent="0.25">
      <c r="B981" t="str">
        <f t="shared" si="45"/>
        <v>Sant'ArcangeloEPC-IPU-I305-05</v>
      </c>
      <c r="C981" s="50" t="s">
        <v>826</v>
      </c>
      <c r="D981" s="50" t="s">
        <v>887</v>
      </c>
      <c r="E981" s="50" t="s">
        <v>910</v>
      </c>
      <c r="F981" s="50" t="s">
        <v>1533</v>
      </c>
      <c r="G981" s="50" t="s">
        <v>1533</v>
      </c>
      <c r="H981" s="50" t="s">
        <v>2209</v>
      </c>
      <c r="I981" s="50" t="s">
        <v>2281</v>
      </c>
      <c r="J981" s="18">
        <f>+_xlfn.XLOOKUP(B981,Sheet3!B:B,Sheet3!J:J,0)</f>
        <v>0</v>
      </c>
      <c r="K981">
        <f t="shared" si="46"/>
        <v>0</v>
      </c>
      <c r="L981" s="54">
        <v>4.2309599999999996</v>
      </c>
      <c r="M981" s="67">
        <f t="shared" si="47"/>
        <v>4.2309599999999996</v>
      </c>
    </row>
    <row r="982" spans="2:13" hidden="1" x14ac:dyDescent="0.25">
      <c r="B982" t="str">
        <f t="shared" si="45"/>
        <v>Sant'arsenioEPC-IPU-I307-05</v>
      </c>
      <c r="C982" s="50" t="s">
        <v>826</v>
      </c>
      <c r="D982" s="50" t="s">
        <v>887</v>
      </c>
      <c r="E982" s="50" t="s">
        <v>910</v>
      </c>
      <c r="F982" s="50" t="s">
        <v>1533</v>
      </c>
      <c r="G982" s="50" t="s">
        <v>1533</v>
      </c>
      <c r="H982" s="50" t="s">
        <v>2210</v>
      </c>
      <c r="I982" s="50" t="s">
        <v>2299</v>
      </c>
      <c r="J982" s="18">
        <f>+_xlfn.XLOOKUP(B982,Sheet3!B:B,Sheet3!J:J,0)</f>
        <v>0</v>
      </c>
      <c r="K982">
        <f t="shared" si="46"/>
        <v>0</v>
      </c>
      <c r="L982" s="54">
        <v>0.29743999999999998</v>
      </c>
      <c r="M982" s="67">
        <f t="shared" si="47"/>
        <v>0.29743999999999998</v>
      </c>
    </row>
    <row r="983" spans="2:13" hidden="1" x14ac:dyDescent="0.25">
      <c r="B983" t="str">
        <f t="shared" si="45"/>
        <v>PisticciPPP-IPU-G712-01</v>
      </c>
      <c r="C983" s="50" t="s">
        <v>826</v>
      </c>
      <c r="D983" s="50" t="s">
        <v>887</v>
      </c>
      <c r="E983" s="50" t="s">
        <v>910</v>
      </c>
      <c r="F983" s="50" t="s">
        <v>889</v>
      </c>
      <c r="G983" s="50" t="s">
        <v>890</v>
      </c>
      <c r="H983" s="50" t="s">
        <v>2211</v>
      </c>
      <c r="I983" s="50" t="s">
        <v>1805</v>
      </c>
      <c r="J983" s="18">
        <f>+_xlfn.XLOOKUP(B983,Sheet3!B:B,Sheet3!J:J,0)</f>
        <v>0</v>
      </c>
      <c r="K983">
        <f t="shared" si="46"/>
        <v>0</v>
      </c>
      <c r="L983" s="54">
        <v>0</v>
      </c>
      <c r="M983" s="67">
        <f t="shared" si="47"/>
        <v>0</v>
      </c>
    </row>
    <row r="984" spans="2:13" hidden="1" x14ac:dyDescent="0.25">
      <c r="B984" t="str">
        <f t="shared" si="45"/>
        <v>Chioggia Servizi Soc. Cons. ArlPPP-EEE-C638-04</v>
      </c>
      <c r="C984" s="50" t="s">
        <v>826</v>
      </c>
      <c r="D984" s="50" t="s">
        <v>887</v>
      </c>
      <c r="E984" s="50" t="s">
        <v>959</v>
      </c>
      <c r="F984" s="50" t="s">
        <v>965</v>
      </c>
      <c r="G984" s="50" t="s">
        <v>965</v>
      </c>
      <c r="H984" s="50" t="s">
        <v>2212</v>
      </c>
      <c r="I984" s="50" t="s">
        <v>2297</v>
      </c>
      <c r="J984" s="18">
        <f>+_xlfn.XLOOKUP(B984,Sheet3!B:B,Sheet3!J:J,0)</f>
        <v>0</v>
      </c>
      <c r="K984">
        <f t="shared" si="46"/>
        <v>0</v>
      </c>
      <c r="L984" s="54">
        <v>103.33332</v>
      </c>
      <c r="M984" s="67">
        <f t="shared" si="47"/>
        <v>103.33332</v>
      </c>
    </row>
    <row r="985" spans="2:13" hidden="1" x14ac:dyDescent="0.25">
      <c r="B985" t="str">
        <f t="shared" si="45"/>
        <v>Guffanti A. SpaEPC-IPU-H601-02</v>
      </c>
      <c r="C985" s="50" t="s">
        <v>826</v>
      </c>
      <c r="D985" s="50" t="s">
        <v>887</v>
      </c>
      <c r="E985" s="50" t="s">
        <v>888</v>
      </c>
      <c r="F985" s="50" t="s">
        <v>1630</v>
      </c>
      <c r="G985" s="50" t="s">
        <v>1630</v>
      </c>
      <c r="H985" s="50" t="s">
        <v>2213</v>
      </c>
      <c r="I985" s="50" t="s">
        <v>2300</v>
      </c>
      <c r="J985" s="18">
        <f>+_xlfn.XLOOKUP(B985,Sheet3!B:B,Sheet3!J:J,0)</f>
        <v>0</v>
      </c>
      <c r="K985">
        <f t="shared" si="46"/>
        <v>0</v>
      </c>
      <c r="L985" s="54">
        <v>0</v>
      </c>
      <c r="M985" s="67">
        <f t="shared" si="47"/>
        <v>0</v>
      </c>
    </row>
    <row r="986" spans="2:13" hidden="1" x14ac:dyDescent="0.25">
      <c r="B986" t="str">
        <f t="shared" si="45"/>
        <v>PortocannoneEPC-IPU-G910-01</v>
      </c>
      <c r="C986" s="50" t="s">
        <v>826</v>
      </c>
      <c r="D986" s="50" t="s">
        <v>887</v>
      </c>
      <c r="E986" s="50" t="s">
        <v>896</v>
      </c>
      <c r="F986" s="50" t="s">
        <v>1533</v>
      </c>
      <c r="G986" s="50" t="s">
        <v>1533</v>
      </c>
      <c r="H986" s="50" t="s">
        <v>2214</v>
      </c>
      <c r="I986" s="50" t="s">
        <v>1194</v>
      </c>
      <c r="J986" s="18">
        <f>+_xlfn.XLOOKUP(B986,Sheet3!B:B,Sheet3!J:J,0)</f>
        <v>0</v>
      </c>
      <c r="K986">
        <f t="shared" si="46"/>
        <v>0</v>
      </c>
      <c r="L986" s="54">
        <v>0.68</v>
      </c>
      <c r="M986" s="67">
        <f t="shared" si="47"/>
        <v>0.68</v>
      </c>
    </row>
    <row r="987" spans="2:13" hidden="1" x14ac:dyDescent="0.25">
      <c r="B987" t="str">
        <f t="shared" si="45"/>
        <v>Guardia PerticaraEPC-IPU-E246-05</v>
      </c>
      <c r="C987" s="50" t="s">
        <v>826</v>
      </c>
      <c r="D987" s="50" t="s">
        <v>887</v>
      </c>
      <c r="E987" s="50" t="s">
        <v>910</v>
      </c>
      <c r="F987" s="50" t="s">
        <v>1630</v>
      </c>
      <c r="G987" s="50" t="s">
        <v>1630</v>
      </c>
      <c r="H987" s="50" t="s">
        <v>2215</v>
      </c>
      <c r="I987" s="50" t="s">
        <v>1856</v>
      </c>
      <c r="J987" s="18">
        <f>+_xlfn.XLOOKUP(B987,Sheet3!B:B,Sheet3!J:J,0)</f>
        <v>0</v>
      </c>
      <c r="K987">
        <f t="shared" si="46"/>
        <v>0</v>
      </c>
      <c r="L987" s="54">
        <v>1.23</v>
      </c>
      <c r="M987" s="67">
        <f t="shared" si="47"/>
        <v>1.23</v>
      </c>
    </row>
    <row r="988" spans="2:13" hidden="1" x14ac:dyDescent="0.25">
      <c r="B988" t="str">
        <f t="shared" si="45"/>
        <v>TrecchinaEPC-IPU-L357-02</v>
      </c>
      <c r="C988" s="50" t="s">
        <v>826</v>
      </c>
      <c r="D988" s="50" t="s">
        <v>887</v>
      </c>
      <c r="E988" s="50" t="s">
        <v>910</v>
      </c>
      <c r="F988" s="50" t="s">
        <v>1630</v>
      </c>
      <c r="G988" s="50" t="s">
        <v>1630</v>
      </c>
      <c r="H988" s="50" t="s">
        <v>2216</v>
      </c>
      <c r="I988" s="50" t="s">
        <v>1796</v>
      </c>
      <c r="J988" s="18">
        <f>+_xlfn.XLOOKUP(B988,Sheet3!B:B,Sheet3!J:J,0)</f>
        <v>0</v>
      </c>
      <c r="K988">
        <f t="shared" si="46"/>
        <v>0</v>
      </c>
      <c r="L988" s="54">
        <v>0.93235999999999997</v>
      </c>
      <c r="M988" s="67">
        <f t="shared" si="47"/>
        <v>0.93235999999999997</v>
      </c>
    </row>
    <row r="989" spans="2:13" hidden="1" x14ac:dyDescent="0.25">
      <c r="B989" t="str">
        <f t="shared" si="45"/>
        <v>FermoEPC-IPU-D542-04</v>
      </c>
      <c r="C989" s="50" t="s">
        <v>826</v>
      </c>
      <c r="D989" s="50" t="s">
        <v>887</v>
      </c>
      <c r="E989" s="50" t="s">
        <v>896</v>
      </c>
      <c r="F989" s="50" t="s">
        <v>1533</v>
      </c>
      <c r="G989" s="50" t="s">
        <v>1533</v>
      </c>
      <c r="H989" s="50" t="s">
        <v>2217</v>
      </c>
      <c r="I989" s="50" t="s">
        <v>1714</v>
      </c>
      <c r="J989" s="18">
        <f>+_xlfn.XLOOKUP(B989,Sheet3!B:B,Sheet3!J:J,0)</f>
        <v>0</v>
      </c>
      <c r="K989">
        <f t="shared" si="46"/>
        <v>0</v>
      </c>
      <c r="L989" s="54">
        <v>0</v>
      </c>
      <c r="M989" s="67">
        <f t="shared" si="47"/>
        <v>0</v>
      </c>
    </row>
    <row r="990" spans="2:13" hidden="1" x14ac:dyDescent="0.25">
      <c r="B990" t="str">
        <f t="shared" si="45"/>
        <v>BressoEPC-IPU-B162-08</v>
      </c>
      <c r="C990" s="50" t="s">
        <v>826</v>
      </c>
      <c r="D990" s="50" t="s">
        <v>887</v>
      </c>
      <c r="E990" s="50" t="s">
        <v>888</v>
      </c>
      <c r="F990" s="50" t="s">
        <v>1533</v>
      </c>
      <c r="G990" s="50" t="s">
        <v>1533</v>
      </c>
      <c r="H990" s="50" t="s">
        <v>2218</v>
      </c>
      <c r="I990" s="50" t="s">
        <v>1716</v>
      </c>
      <c r="J990" s="18">
        <f>+_xlfn.XLOOKUP(B990,Sheet3!B:B,Sheet3!J:J,0)</f>
        <v>0</v>
      </c>
      <c r="K990">
        <f t="shared" si="46"/>
        <v>0</v>
      </c>
      <c r="L990" s="54">
        <v>26.55866</v>
      </c>
      <c r="M990" s="67">
        <f t="shared" si="47"/>
        <v>26.55866</v>
      </c>
    </row>
    <row r="991" spans="2:13" hidden="1" x14ac:dyDescent="0.25">
      <c r="B991" t="str">
        <f t="shared" si="45"/>
        <v>DelicetoPPP-IPU-D269-02</v>
      </c>
      <c r="C991" s="50" t="s">
        <v>826</v>
      </c>
      <c r="D991" s="50" t="s">
        <v>887</v>
      </c>
      <c r="E991" s="50" t="s">
        <v>910</v>
      </c>
      <c r="F991" s="50" t="s">
        <v>889</v>
      </c>
      <c r="G991" s="50" t="s">
        <v>890</v>
      </c>
      <c r="H991" s="50" t="s">
        <v>2219</v>
      </c>
      <c r="I991" s="50" t="s">
        <v>1691</v>
      </c>
      <c r="J991" s="18">
        <f>+_xlfn.XLOOKUP(B991,Sheet3!B:B,Sheet3!J:J,0)</f>
        <v>0</v>
      </c>
      <c r="K991">
        <f t="shared" si="46"/>
        <v>0</v>
      </c>
      <c r="L991" s="54">
        <v>0</v>
      </c>
      <c r="M991" s="67">
        <f t="shared" si="47"/>
        <v>0</v>
      </c>
    </row>
    <row r="992" spans="2:13" hidden="1" x14ac:dyDescent="0.25">
      <c r="B992" t="str">
        <f t="shared" si="45"/>
        <v>Sant'arsenioEPC-IPU-I307-04</v>
      </c>
      <c r="C992" s="50" t="s">
        <v>826</v>
      </c>
      <c r="D992" s="50" t="s">
        <v>887</v>
      </c>
      <c r="E992" s="50" t="s">
        <v>910</v>
      </c>
      <c r="F992" s="50" t="s">
        <v>1533</v>
      </c>
      <c r="G992" s="50" t="s">
        <v>1533</v>
      </c>
      <c r="H992" s="50" t="s">
        <v>2220</v>
      </c>
      <c r="I992" s="50" t="s">
        <v>2299</v>
      </c>
      <c r="J992" s="18">
        <f>+_xlfn.XLOOKUP(B992,Sheet3!B:B,Sheet3!J:J,0)</f>
        <v>0</v>
      </c>
      <c r="K992">
        <f t="shared" si="46"/>
        <v>0</v>
      </c>
      <c r="L992" s="54">
        <v>1.14205</v>
      </c>
      <c r="M992" s="67">
        <f t="shared" si="47"/>
        <v>1.14205</v>
      </c>
    </row>
    <row r="993" spans="2:13" hidden="1" x14ac:dyDescent="0.25">
      <c r="B993" t="str">
        <f t="shared" si="45"/>
        <v>AviglianoSEC-PHV-A519-04</v>
      </c>
      <c r="C993" s="50" t="s">
        <v>826</v>
      </c>
      <c r="D993" s="50" t="s">
        <v>887</v>
      </c>
      <c r="E993" s="50" t="s">
        <v>910</v>
      </c>
      <c r="F993" s="50" t="s">
        <v>897</v>
      </c>
      <c r="G993" s="50" t="s">
        <v>897</v>
      </c>
      <c r="H993" s="50" t="s">
        <v>2221</v>
      </c>
      <c r="I993" s="50" t="s">
        <v>1766</v>
      </c>
      <c r="J993" s="18">
        <f>+_xlfn.XLOOKUP(B993,Sheet3!B:B,Sheet3!J:J,0)</f>
        <v>0</v>
      </c>
      <c r="K993">
        <f t="shared" si="46"/>
        <v>0</v>
      </c>
      <c r="L993" s="54">
        <v>0</v>
      </c>
      <c r="M993" s="67">
        <f t="shared" si="47"/>
        <v>0</v>
      </c>
    </row>
    <row r="994" spans="2:13" hidden="1" x14ac:dyDescent="0.25">
      <c r="B994" t="str">
        <f t="shared" si="45"/>
        <v>Venezia - VideosorveglianzaEPC-VS-L736-01</v>
      </c>
      <c r="C994" s="50" t="s">
        <v>826</v>
      </c>
      <c r="D994" s="50" t="s">
        <v>887</v>
      </c>
      <c r="E994" s="50" t="s">
        <v>959</v>
      </c>
      <c r="F994" s="50" t="s">
        <v>1630</v>
      </c>
      <c r="G994" s="50" t="s">
        <v>1630</v>
      </c>
      <c r="H994" s="50" t="s">
        <v>2222</v>
      </c>
      <c r="I994" s="50" t="s">
        <v>2301</v>
      </c>
      <c r="J994" s="18">
        <f>+_xlfn.XLOOKUP(B994,Sheet3!B:B,Sheet3!J:J,0)</f>
        <v>0</v>
      </c>
      <c r="K994">
        <f t="shared" si="46"/>
        <v>0</v>
      </c>
      <c r="L994" s="54">
        <v>0</v>
      </c>
      <c r="M994" s="67">
        <f t="shared" si="47"/>
        <v>0</v>
      </c>
    </row>
    <row r="995" spans="2:13" hidden="1" x14ac:dyDescent="0.25">
      <c r="B995" t="str">
        <f t="shared" si="45"/>
        <v>Sant'ArcangeloEPC-IPU-I305-04</v>
      </c>
      <c r="C995" s="50" t="s">
        <v>826</v>
      </c>
      <c r="D995" s="50" t="s">
        <v>887</v>
      </c>
      <c r="E995" s="50" t="s">
        <v>910</v>
      </c>
      <c r="F995" s="50" t="s">
        <v>1533</v>
      </c>
      <c r="G995" s="50" t="s">
        <v>1533</v>
      </c>
      <c r="H995" s="50" t="s">
        <v>2223</v>
      </c>
      <c r="I995" s="50" t="s">
        <v>2281</v>
      </c>
      <c r="J995" s="18">
        <f>+_xlfn.XLOOKUP(B995,Sheet3!B:B,Sheet3!J:J,0)</f>
        <v>0</v>
      </c>
      <c r="K995">
        <f t="shared" si="46"/>
        <v>0</v>
      </c>
      <c r="L995" s="54">
        <v>1.2690299999999999</v>
      </c>
      <c r="M995" s="67">
        <f t="shared" si="47"/>
        <v>1.2690299999999999</v>
      </c>
    </row>
    <row r="996" spans="2:13" hidden="1" x14ac:dyDescent="0.25">
      <c r="B996" t="str">
        <f t="shared" si="45"/>
        <v>TavianoEPC-IPU-L074-01</v>
      </c>
      <c r="C996" s="50" t="s">
        <v>826</v>
      </c>
      <c r="D996" s="50" t="s">
        <v>887</v>
      </c>
      <c r="E996" s="50" t="s">
        <v>910</v>
      </c>
      <c r="F996" s="50" t="s">
        <v>1533</v>
      </c>
      <c r="G996" s="50" t="s">
        <v>1533</v>
      </c>
      <c r="H996" s="50" t="s">
        <v>2224</v>
      </c>
      <c r="I996" s="50" t="s">
        <v>1463</v>
      </c>
      <c r="J996" s="18">
        <f>+_xlfn.XLOOKUP(B996,Sheet3!B:B,Sheet3!J:J,0)</f>
        <v>0</v>
      </c>
      <c r="K996">
        <f t="shared" si="46"/>
        <v>0</v>
      </c>
      <c r="L996" s="54">
        <v>0</v>
      </c>
      <c r="M996" s="67">
        <f t="shared" si="47"/>
        <v>0</v>
      </c>
    </row>
    <row r="997" spans="2:13" hidden="1" x14ac:dyDescent="0.25">
      <c r="B997" t="str">
        <f t="shared" si="45"/>
        <v>NovaraEPC-IPU-F952-05</v>
      </c>
      <c r="C997" s="50" t="s">
        <v>826</v>
      </c>
      <c r="D997" s="50" t="s">
        <v>887</v>
      </c>
      <c r="E997" s="50" t="s">
        <v>888</v>
      </c>
      <c r="F997" s="50" t="s">
        <v>1533</v>
      </c>
      <c r="G997" s="50" t="s">
        <v>1533</v>
      </c>
      <c r="H997" s="50" t="s">
        <v>2225</v>
      </c>
      <c r="I997" s="50" t="s">
        <v>1687</v>
      </c>
      <c r="J997" s="18">
        <f>+_xlfn.XLOOKUP(B997,Sheet3!B:B,Sheet3!J:J,0)</f>
        <v>0</v>
      </c>
      <c r="K997">
        <f t="shared" si="46"/>
        <v>0</v>
      </c>
      <c r="L997" s="54">
        <v>32.67</v>
      </c>
      <c r="M997" s="67">
        <f t="shared" si="47"/>
        <v>32.67</v>
      </c>
    </row>
    <row r="998" spans="2:13" hidden="1" x14ac:dyDescent="0.25">
      <c r="B998" t="str">
        <f t="shared" si="45"/>
        <v>Regione Marche Giunta RegionaleEPC-IPU-A271-01</v>
      </c>
      <c r="C998" s="50" t="s">
        <v>826</v>
      </c>
      <c r="D998" s="50" t="s">
        <v>887</v>
      </c>
      <c r="E998" s="50" t="s">
        <v>896</v>
      </c>
      <c r="F998" s="50" t="s">
        <v>1630</v>
      </c>
      <c r="G998" s="50" t="s">
        <v>1630</v>
      </c>
      <c r="H998" s="50" t="s">
        <v>2226</v>
      </c>
      <c r="I998" s="50" t="s">
        <v>2302</v>
      </c>
      <c r="J998" s="18">
        <f>+_xlfn.XLOOKUP(B998,Sheet3!B:B,Sheet3!J:J,0)</f>
        <v>0</v>
      </c>
      <c r="K998">
        <f t="shared" si="46"/>
        <v>0</v>
      </c>
      <c r="L998" s="54">
        <v>13.670489999999999</v>
      </c>
      <c r="M998" s="67">
        <f t="shared" si="47"/>
        <v>13.670489999999999</v>
      </c>
    </row>
    <row r="999" spans="2:13" hidden="1" x14ac:dyDescent="0.25">
      <c r="B999" t="str">
        <f t="shared" si="45"/>
        <v>ChioggiaEPC-EEE-C638-02</v>
      </c>
      <c r="C999" s="50" t="s">
        <v>826</v>
      </c>
      <c r="D999" s="50" t="s">
        <v>887</v>
      </c>
      <c r="E999" s="50" t="s">
        <v>959</v>
      </c>
      <c r="F999" s="50" t="s">
        <v>1533</v>
      </c>
      <c r="G999" s="50" t="s">
        <v>1533</v>
      </c>
      <c r="H999" s="50" t="s">
        <v>2227</v>
      </c>
      <c r="I999" s="50" t="s">
        <v>1258</v>
      </c>
      <c r="J999" s="18">
        <f>+_xlfn.XLOOKUP(B999,Sheet3!B:B,Sheet3!J:J,0)</f>
        <v>0</v>
      </c>
      <c r="K999">
        <f t="shared" si="46"/>
        <v>0</v>
      </c>
      <c r="L999" s="54">
        <v>0</v>
      </c>
      <c r="M999" s="67">
        <f t="shared" si="47"/>
        <v>0</v>
      </c>
    </row>
    <row r="1000" spans="2:13" hidden="1" x14ac:dyDescent="0.25">
      <c r="B1000" t="str">
        <f t="shared" si="45"/>
        <v>MontemurroEPC-IPU-F573-08</v>
      </c>
      <c r="C1000" s="50" t="s">
        <v>826</v>
      </c>
      <c r="D1000" s="50" t="s">
        <v>887</v>
      </c>
      <c r="E1000" s="50" t="s">
        <v>910</v>
      </c>
      <c r="F1000" s="50" t="s">
        <v>1533</v>
      </c>
      <c r="G1000" s="50" t="s">
        <v>1533</v>
      </c>
      <c r="H1000" s="50" t="s">
        <v>2228</v>
      </c>
      <c r="I1000" s="50" t="s">
        <v>1473</v>
      </c>
      <c r="J1000" s="18">
        <f>+_xlfn.XLOOKUP(B1000,Sheet3!B:B,Sheet3!J:J,0)</f>
        <v>0</v>
      </c>
      <c r="K1000">
        <f t="shared" si="46"/>
        <v>0</v>
      </c>
      <c r="L1000" s="54">
        <v>1.4570699999999999</v>
      </c>
      <c r="M1000" s="67">
        <f t="shared" si="47"/>
        <v>1.4570699999999999</v>
      </c>
    </row>
    <row r="1001" spans="2:13" hidden="1" x14ac:dyDescent="0.25">
      <c r="B1001" t="str">
        <f t="shared" si="45"/>
        <v>Bussi sul Tirino - Ufficio TecnicoEPC-EEE-B294-05</v>
      </c>
      <c r="C1001" s="50" t="s">
        <v>826</v>
      </c>
      <c r="D1001" s="50" t="s">
        <v>887</v>
      </c>
      <c r="E1001" s="50" t="s">
        <v>896</v>
      </c>
      <c r="F1001" s="50" t="s">
        <v>1630</v>
      </c>
      <c r="G1001" s="50" t="s">
        <v>1630</v>
      </c>
      <c r="H1001" s="50" t="s">
        <v>2229</v>
      </c>
      <c r="I1001" s="50" t="s">
        <v>2303</v>
      </c>
      <c r="J1001" s="18">
        <f>+_xlfn.XLOOKUP(B1001,Sheet3!B:B,Sheet3!J:J,0)</f>
        <v>0</v>
      </c>
      <c r="K1001">
        <f t="shared" si="46"/>
        <v>0</v>
      </c>
      <c r="L1001" s="54">
        <v>2.5</v>
      </c>
      <c r="M1001" s="67">
        <f t="shared" si="47"/>
        <v>2.5</v>
      </c>
    </row>
    <row r="1002" spans="2:13" hidden="1" x14ac:dyDescent="0.25">
      <c r="B1002" t="str">
        <f t="shared" si="45"/>
        <v>Santa Maria del CedroEPC-IPU-C717-04</v>
      </c>
      <c r="C1002" s="50" t="s">
        <v>826</v>
      </c>
      <c r="D1002" s="50" t="s">
        <v>887</v>
      </c>
      <c r="E1002" s="50" t="s">
        <v>910</v>
      </c>
      <c r="F1002" s="50" t="s">
        <v>1533</v>
      </c>
      <c r="G1002" s="50" t="s">
        <v>1533</v>
      </c>
      <c r="H1002" s="50" t="s">
        <v>2230</v>
      </c>
      <c r="I1002" s="50" t="s">
        <v>1373</v>
      </c>
      <c r="J1002" s="18">
        <f>+_xlfn.XLOOKUP(B1002,Sheet3!B:B,Sheet3!J:J,0)</f>
        <v>0</v>
      </c>
      <c r="K1002">
        <f t="shared" si="46"/>
        <v>0</v>
      </c>
      <c r="L1002" s="54">
        <v>2.5303200000000001</v>
      </c>
      <c r="M1002" s="67">
        <f t="shared" si="47"/>
        <v>2.5303200000000001</v>
      </c>
    </row>
    <row r="1003" spans="2:13" hidden="1" x14ac:dyDescent="0.25">
      <c r="B1003" t="str">
        <f t="shared" si="45"/>
        <v>Provincia di Monza e BrianzaEPC-IPU-F704-05</v>
      </c>
      <c r="C1003" s="50" t="s">
        <v>826</v>
      </c>
      <c r="D1003" s="50" t="s">
        <v>887</v>
      </c>
      <c r="E1003" s="50" t="s">
        <v>888</v>
      </c>
      <c r="F1003" s="50" t="s">
        <v>1630</v>
      </c>
      <c r="G1003" s="50" t="s">
        <v>1630</v>
      </c>
      <c r="H1003" s="50" t="s">
        <v>2231</v>
      </c>
      <c r="I1003" s="50" t="s">
        <v>2304</v>
      </c>
      <c r="J1003" s="18">
        <f>+_xlfn.XLOOKUP(B1003,Sheet3!B:B,Sheet3!J:J,0)</f>
        <v>0</v>
      </c>
      <c r="K1003">
        <f t="shared" si="46"/>
        <v>0</v>
      </c>
      <c r="L1003" s="54">
        <v>0</v>
      </c>
      <c r="M1003" s="67">
        <f t="shared" si="47"/>
        <v>0</v>
      </c>
    </row>
    <row r="1004" spans="2:13" hidden="1" x14ac:dyDescent="0.25">
      <c r="B1004" t="str">
        <f t="shared" si="45"/>
        <v>Sasso di CastaldaEPC-IPU-I457-06</v>
      </c>
      <c r="C1004" s="50" t="s">
        <v>826</v>
      </c>
      <c r="D1004" s="50" t="s">
        <v>887</v>
      </c>
      <c r="E1004" s="50" t="s">
        <v>910</v>
      </c>
      <c r="F1004" s="50" t="s">
        <v>1533</v>
      </c>
      <c r="G1004" s="50" t="s">
        <v>1533</v>
      </c>
      <c r="H1004" s="50" t="s">
        <v>2232</v>
      </c>
      <c r="I1004" s="50" t="s">
        <v>1453</v>
      </c>
      <c r="J1004" s="18">
        <f>+_xlfn.XLOOKUP(B1004,Sheet3!B:B,Sheet3!J:J,0)</f>
        <v>0</v>
      </c>
      <c r="K1004">
        <f t="shared" si="46"/>
        <v>0</v>
      </c>
      <c r="L1004" s="54">
        <v>2.4153800000000003</v>
      </c>
      <c r="M1004" s="67">
        <f t="shared" si="47"/>
        <v>2.4153800000000003</v>
      </c>
    </row>
    <row r="1005" spans="2:13" hidden="1" x14ac:dyDescent="0.25">
      <c r="B1005" t="str">
        <f t="shared" si="45"/>
        <v>SenigalliaEPC-IPU-I608-08</v>
      </c>
      <c r="C1005" s="50" t="s">
        <v>826</v>
      </c>
      <c r="D1005" s="50" t="s">
        <v>887</v>
      </c>
      <c r="E1005" s="50" t="s">
        <v>896</v>
      </c>
      <c r="F1005" s="50" t="s">
        <v>1533</v>
      </c>
      <c r="G1005" s="50" t="s">
        <v>1533</v>
      </c>
      <c r="H1005" s="50" t="s">
        <v>2233</v>
      </c>
      <c r="I1005" s="50" t="s">
        <v>1751</v>
      </c>
      <c r="J1005" s="18">
        <f>+_xlfn.XLOOKUP(B1005,Sheet3!B:B,Sheet3!J:J,0)</f>
        <v>0</v>
      </c>
      <c r="K1005">
        <f t="shared" si="46"/>
        <v>0</v>
      </c>
      <c r="L1005" s="54">
        <v>1.05071</v>
      </c>
      <c r="M1005" s="67">
        <f t="shared" si="47"/>
        <v>1.05071</v>
      </c>
    </row>
    <row r="1006" spans="2:13" hidden="1" x14ac:dyDescent="0.25">
      <c r="B1006" t="str">
        <f t="shared" si="45"/>
        <v>Condominio Pian FioritoEPC-IPU-G674-02</v>
      </c>
      <c r="C1006" s="50" t="s">
        <v>826</v>
      </c>
      <c r="D1006" s="50" t="s">
        <v>887</v>
      </c>
      <c r="E1006" s="50" t="s">
        <v>888</v>
      </c>
      <c r="F1006" s="50" t="s">
        <v>1630</v>
      </c>
      <c r="G1006" s="50" t="s">
        <v>1630</v>
      </c>
      <c r="H1006" s="50" t="s">
        <v>2234</v>
      </c>
      <c r="I1006" s="50" t="s">
        <v>2305</v>
      </c>
      <c r="J1006" s="18">
        <f>+_xlfn.XLOOKUP(B1006,Sheet3!B:B,Sheet3!J:J,0)</f>
        <v>0</v>
      </c>
      <c r="K1006">
        <f t="shared" si="46"/>
        <v>0</v>
      </c>
      <c r="L1006" s="54">
        <v>5.7217600000000006</v>
      </c>
      <c r="M1006" s="67">
        <f t="shared" si="47"/>
        <v>5.7217600000000006</v>
      </c>
    </row>
    <row r="1007" spans="2:13" hidden="1" x14ac:dyDescent="0.25">
      <c r="B1007" t="str">
        <f t="shared" si="45"/>
        <v>Rionero in VultureEPC-IPU-H307-01</v>
      </c>
      <c r="C1007" s="50" t="s">
        <v>826</v>
      </c>
      <c r="D1007" s="50" t="s">
        <v>887</v>
      </c>
      <c r="E1007" s="50" t="s">
        <v>910</v>
      </c>
      <c r="F1007" s="50" t="s">
        <v>1533</v>
      </c>
      <c r="G1007" s="50" t="s">
        <v>1533</v>
      </c>
      <c r="H1007" s="50" t="s">
        <v>2235</v>
      </c>
      <c r="I1007" s="50" t="s">
        <v>1441</v>
      </c>
      <c r="J1007" s="18">
        <f>+_xlfn.XLOOKUP(B1007,Sheet3!B:B,Sheet3!J:J,0)</f>
        <v>0</v>
      </c>
      <c r="K1007">
        <f t="shared" si="46"/>
        <v>0</v>
      </c>
      <c r="L1007" s="54">
        <v>0</v>
      </c>
      <c r="M1007" s="67">
        <f t="shared" si="47"/>
        <v>0</v>
      </c>
    </row>
    <row r="1008" spans="2:13" hidden="1" x14ac:dyDescent="0.25">
      <c r="B1008" t="str">
        <f t="shared" si="45"/>
        <v>Somma VesuvianaEPC-IPU-I820-01</v>
      </c>
      <c r="C1008" s="50" t="s">
        <v>826</v>
      </c>
      <c r="D1008" s="50" t="s">
        <v>887</v>
      </c>
      <c r="E1008" s="50" t="s">
        <v>910</v>
      </c>
      <c r="F1008" s="50" t="s">
        <v>1533</v>
      </c>
      <c r="G1008" s="50" t="s">
        <v>1533</v>
      </c>
      <c r="H1008" s="50" t="s">
        <v>2236</v>
      </c>
      <c r="I1008" s="50" t="s">
        <v>979</v>
      </c>
      <c r="J1008" s="18">
        <f>+_xlfn.XLOOKUP(B1008,Sheet3!B:B,Sheet3!J:J,0)</f>
        <v>0</v>
      </c>
      <c r="K1008">
        <f t="shared" si="46"/>
        <v>0</v>
      </c>
      <c r="L1008" s="54">
        <v>0</v>
      </c>
      <c r="M1008" s="67">
        <f t="shared" si="47"/>
        <v>0</v>
      </c>
    </row>
    <row r="1009" spans="2:13" hidden="1" x14ac:dyDescent="0.25">
      <c r="B1009" t="str">
        <f t="shared" si="45"/>
        <v>Nuova Atlantide-Piccola Soc. Coop.a R.l.EPC-IPU-A017-02</v>
      </c>
      <c r="C1009" s="50" t="s">
        <v>826</v>
      </c>
      <c r="D1009" s="50" t="s">
        <v>887</v>
      </c>
      <c r="E1009" s="50" t="s">
        <v>910</v>
      </c>
      <c r="F1009" s="50" t="s">
        <v>1630</v>
      </c>
      <c r="G1009" s="50" t="s">
        <v>1630</v>
      </c>
      <c r="H1009" s="50" t="s">
        <v>2237</v>
      </c>
      <c r="I1009" s="50" t="s">
        <v>2306</v>
      </c>
      <c r="J1009" s="18">
        <f>+_xlfn.XLOOKUP(B1009,Sheet3!B:B,Sheet3!J:J,0)</f>
        <v>0</v>
      </c>
      <c r="K1009">
        <f t="shared" si="46"/>
        <v>0</v>
      </c>
      <c r="L1009" s="54">
        <v>3.4886999999999997</v>
      </c>
      <c r="M1009" s="67">
        <f t="shared" si="47"/>
        <v>3.4886999999999997</v>
      </c>
    </row>
    <row r="1010" spans="2:13" hidden="1" x14ac:dyDescent="0.25">
      <c r="B1010" t="str">
        <f t="shared" si="45"/>
        <v>SenigalliaEPC-IPU-I608-07</v>
      </c>
      <c r="C1010" s="50" t="s">
        <v>826</v>
      </c>
      <c r="D1010" s="50" t="s">
        <v>887</v>
      </c>
      <c r="E1010" s="50" t="s">
        <v>896</v>
      </c>
      <c r="F1010" s="50" t="s">
        <v>1533</v>
      </c>
      <c r="G1010" s="50" t="s">
        <v>1533</v>
      </c>
      <c r="H1010" s="50" t="s">
        <v>2238</v>
      </c>
      <c r="I1010" s="50" t="s">
        <v>1751</v>
      </c>
      <c r="J1010" s="18">
        <f>+_xlfn.XLOOKUP(B1010,Sheet3!B:B,Sheet3!J:J,0)</f>
        <v>0</v>
      </c>
      <c r="K1010">
        <f t="shared" si="46"/>
        <v>0</v>
      </c>
      <c r="L1010" s="54">
        <v>2.3892899999999999</v>
      </c>
      <c r="M1010" s="67">
        <f t="shared" si="47"/>
        <v>2.3892899999999999</v>
      </c>
    </row>
    <row r="1011" spans="2:13" hidden="1" x14ac:dyDescent="0.25">
      <c r="B1011" t="str">
        <f t="shared" si="45"/>
        <v>Acquaviva Picena - Ufficio Tecnico UrbanisticaEPC-IPU-A047-01</v>
      </c>
      <c r="C1011" s="50" t="s">
        <v>826</v>
      </c>
      <c r="D1011" s="50" t="s">
        <v>887</v>
      </c>
      <c r="E1011" s="50" t="s">
        <v>896</v>
      </c>
      <c r="F1011" s="50" t="s">
        <v>1630</v>
      </c>
      <c r="G1011" s="50" t="s">
        <v>1630</v>
      </c>
      <c r="H1011" s="50" t="s">
        <v>2239</v>
      </c>
      <c r="I1011" s="50" t="s">
        <v>2307</v>
      </c>
      <c r="J1011" s="18">
        <f>+_xlfn.XLOOKUP(B1011,Sheet3!B:B,Sheet3!J:J,0)</f>
        <v>0</v>
      </c>
      <c r="K1011">
        <f t="shared" si="46"/>
        <v>0</v>
      </c>
      <c r="L1011" s="54">
        <v>0</v>
      </c>
      <c r="M1011" s="67">
        <f t="shared" si="47"/>
        <v>0</v>
      </c>
    </row>
    <row r="1012" spans="2:13" hidden="1" x14ac:dyDescent="0.25">
      <c r="B1012" t="str">
        <f t="shared" si="45"/>
        <v>Sant'arsenioEPC-IPU-I307-02</v>
      </c>
      <c r="C1012" s="50" t="s">
        <v>826</v>
      </c>
      <c r="D1012" s="50" t="s">
        <v>887</v>
      </c>
      <c r="E1012" s="50" t="s">
        <v>910</v>
      </c>
      <c r="F1012" s="50" t="s">
        <v>1533</v>
      </c>
      <c r="G1012" s="50" t="s">
        <v>1533</v>
      </c>
      <c r="H1012" s="50" t="s">
        <v>2240</v>
      </c>
      <c r="I1012" s="50" t="s">
        <v>2299</v>
      </c>
      <c r="J1012" s="18">
        <f>+_xlfn.XLOOKUP(B1012,Sheet3!B:B,Sheet3!J:J,0)</f>
        <v>0</v>
      </c>
      <c r="K1012">
        <f t="shared" si="46"/>
        <v>0</v>
      </c>
      <c r="L1012" s="54">
        <v>0</v>
      </c>
      <c r="M1012" s="67">
        <f t="shared" si="47"/>
        <v>0</v>
      </c>
    </row>
    <row r="1013" spans="2:13" hidden="1" x14ac:dyDescent="0.25">
      <c r="B1013" t="str">
        <f t="shared" si="45"/>
        <v>MESSINASEC-PHV-F158-02</v>
      </c>
      <c r="C1013" s="50" t="s">
        <v>826</v>
      </c>
      <c r="D1013" s="50" t="s">
        <v>887</v>
      </c>
      <c r="E1013" s="50" t="s">
        <v>910</v>
      </c>
      <c r="F1013" s="50" t="s">
        <v>897</v>
      </c>
      <c r="G1013" s="50" t="s">
        <v>897</v>
      </c>
      <c r="H1013" s="50" t="s">
        <v>2241</v>
      </c>
      <c r="I1013" s="50" t="s">
        <v>1862</v>
      </c>
      <c r="J1013" s="18">
        <f>+_xlfn.XLOOKUP(B1013,Sheet3!B:B,Sheet3!J:J,0)</f>
        <v>0</v>
      </c>
      <c r="K1013">
        <f t="shared" si="46"/>
        <v>0</v>
      </c>
      <c r="L1013" s="54">
        <v>0</v>
      </c>
      <c r="M1013" s="67">
        <f t="shared" si="47"/>
        <v>0</v>
      </c>
    </row>
    <row r="1014" spans="2:13" hidden="1" x14ac:dyDescent="0.25">
      <c r="B1014" t="str">
        <f t="shared" si="45"/>
        <v>San Giorgio IonicoSEC-PHV-H882-01</v>
      </c>
      <c r="C1014" s="50" t="s">
        <v>826</v>
      </c>
      <c r="D1014" s="50" t="s">
        <v>887</v>
      </c>
      <c r="E1014" s="50" t="s">
        <v>910</v>
      </c>
      <c r="F1014" s="50" t="s">
        <v>897</v>
      </c>
      <c r="G1014" s="50" t="s">
        <v>897</v>
      </c>
      <c r="H1014" s="50" t="s">
        <v>2242</v>
      </c>
      <c r="I1014" s="50" t="s">
        <v>2275</v>
      </c>
      <c r="J1014" s="18">
        <f>+_xlfn.XLOOKUP(B1014,Sheet3!B:B,Sheet3!J:J,0)</f>
        <v>0</v>
      </c>
      <c r="K1014">
        <f t="shared" si="46"/>
        <v>0</v>
      </c>
      <c r="L1014" s="54">
        <v>0</v>
      </c>
      <c r="M1014" s="67">
        <f t="shared" si="47"/>
        <v>0</v>
      </c>
    </row>
    <row r="1015" spans="2:13" hidden="1" x14ac:dyDescent="0.25">
      <c r="B1015" t="str">
        <f t="shared" si="45"/>
        <v>FilianoSEC-PHV-D593-09</v>
      </c>
      <c r="C1015" s="50" t="s">
        <v>826</v>
      </c>
      <c r="D1015" s="50" t="s">
        <v>887</v>
      </c>
      <c r="E1015" s="50" t="s">
        <v>910</v>
      </c>
      <c r="F1015" s="50" t="s">
        <v>897</v>
      </c>
      <c r="G1015" s="50" t="s">
        <v>897</v>
      </c>
      <c r="H1015" s="50" t="s">
        <v>2243</v>
      </c>
      <c r="I1015" s="50" t="s">
        <v>1761</v>
      </c>
      <c r="J1015" s="18">
        <f>+_xlfn.XLOOKUP(B1015,Sheet3!B:B,Sheet3!J:J,0)</f>
        <v>0</v>
      </c>
      <c r="K1015">
        <f t="shared" si="46"/>
        <v>0</v>
      </c>
      <c r="L1015" s="54">
        <v>0</v>
      </c>
      <c r="M1015" s="67">
        <f t="shared" si="47"/>
        <v>0</v>
      </c>
    </row>
    <row r="1016" spans="2:13" hidden="1" x14ac:dyDescent="0.25">
      <c r="B1016" t="str">
        <f t="shared" si="45"/>
        <v>LaganadiPPP-IPU-E402-01</v>
      </c>
      <c r="C1016" s="50" t="s">
        <v>826</v>
      </c>
      <c r="D1016" s="50" t="s">
        <v>887</v>
      </c>
      <c r="E1016" s="50" t="s">
        <v>910</v>
      </c>
      <c r="F1016" s="50" t="s">
        <v>889</v>
      </c>
      <c r="G1016" s="50" t="s">
        <v>890</v>
      </c>
      <c r="H1016" s="50" t="s">
        <v>2244</v>
      </c>
      <c r="I1016" s="50" t="s">
        <v>2308</v>
      </c>
      <c r="J1016" s="18">
        <f>+_xlfn.XLOOKUP(B1016,Sheet3!B:B,Sheet3!J:J,0)</f>
        <v>0</v>
      </c>
      <c r="K1016">
        <f t="shared" si="46"/>
        <v>0</v>
      </c>
      <c r="L1016" s="54">
        <v>0</v>
      </c>
      <c r="M1016" s="67">
        <f t="shared" si="47"/>
        <v>0</v>
      </c>
    </row>
    <row r="1017" spans="2:13" hidden="1" x14ac:dyDescent="0.25">
      <c r="B1017" t="str">
        <f t="shared" si="45"/>
        <v>Chioggia BUSPPP-BUS-C638-01</v>
      </c>
      <c r="C1017" s="50" t="s">
        <v>826</v>
      </c>
      <c r="D1017" s="50" t="s">
        <v>887</v>
      </c>
      <c r="E1017" s="50" t="s">
        <v>959</v>
      </c>
      <c r="F1017" s="50" t="s">
        <v>2108</v>
      </c>
      <c r="G1017" s="50" t="s">
        <v>2108</v>
      </c>
      <c r="H1017" s="50" t="s">
        <v>2245</v>
      </c>
      <c r="I1017" s="50" t="s">
        <v>2309</v>
      </c>
      <c r="J1017" s="18">
        <f>+_xlfn.XLOOKUP(B1017,Sheet3!B:B,Sheet3!J:J,0)</f>
        <v>0</v>
      </c>
      <c r="K1017">
        <f t="shared" si="46"/>
        <v>0</v>
      </c>
      <c r="L1017" s="54">
        <v>0</v>
      </c>
      <c r="M1017" s="67">
        <f t="shared" si="47"/>
        <v>0</v>
      </c>
    </row>
    <row r="1018" spans="2:13" hidden="1" x14ac:dyDescent="0.25">
      <c r="B1018" t="str">
        <f t="shared" si="45"/>
        <v>EsperiaPPP-IPU-D440-01</v>
      </c>
      <c r="C1018" s="50" t="s">
        <v>826</v>
      </c>
      <c r="D1018" s="50" t="s">
        <v>887</v>
      </c>
      <c r="E1018" s="50" t="s">
        <v>896</v>
      </c>
      <c r="F1018" s="50" t="s">
        <v>889</v>
      </c>
      <c r="G1018" s="50" t="s">
        <v>890</v>
      </c>
      <c r="H1018" s="50" t="s">
        <v>2246</v>
      </c>
      <c r="I1018" s="50" t="s">
        <v>2035</v>
      </c>
      <c r="J1018" s="18">
        <f>+_xlfn.XLOOKUP(B1018,Sheet3!B:B,Sheet3!J:J,0)</f>
        <v>0</v>
      </c>
      <c r="K1018">
        <f t="shared" si="46"/>
        <v>0</v>
      </c>
      <c r="L1018" s="54">
        <v>0</v>
      </c>
      <c r="M1018" s="67">
        <f t="shared" si="47"/>
        <v>0</v>
      </c>
    </row>
    <row r="1019" spans="2:13" hidden="1" x14ac:dyDescent="0.25">
      <c r="B1019" t="str">
        <f t="shared" si="45"/>
        <v>Comune Villa San GiovanniPPP-IPU-M018-01</v>
      </c>
      <c r="C1019" s="50" t="s">
        <v>826</v>
      </c>
      <c r="D1019" s="50" t="s">
        <v>887</v>
      </c>
      <c r="E1019" s="50" t="s">
        <v>910</v>
      </c>
      <c r="F1019" s="50" t="s">
        <v>889</v>
      </c>
      <c r="G1019" s="50" t="s">
        <v>890</v>
      </c>
      <c r="H1019" s="50" t="s">
        <v>2247</v>
      </c>
      <c r="I1019" s="50" t="s">
        <v>2310</v>
      </c>
      <c r="J1019" s="18">
        <f>+_xlfn.XLOOKUP(B1019,Sheet3!B:B,Sheet3!J:J,0)</f>
        <v>0</v>
      </c>
      <c r="K1019">
        <f t="shared" si="46"/>
        <v>0</v>
      </c>
      <c r="L1019" s="54">
        <v>0</v>
      </c>
      <c r="M1019" s="67">
        <f t="shared" si="47"/>
        <v>0</v>
      </c>
    </row>
    <row r="1020" spans="2:13" hidden="1" x14ac:dyDescent="0.25">
      <c r="B1020" t="str">
        <f t="shared" si="45"/>
        <v>BovalinoPPP-IPU-B098-01</v>
      </c>
      <c r="C1020" s="50" t="s">
        <v>826</v>
      </c>
      <c r="D1020" s="50" t="s">
        <v>887</v>
      </c>
      <c r="E1020" s="50" t="s">
        <v>910</v>
      </c>
      <c r="F1020" s="50" t="s">
        <v>889</v>
      </c>
      <c r="G1020" s="50" t="s">
        <v>890</v>
      </c>
      <c r="H1020" s="50" t="s">
        <v>2248</v>
      </c>
      <c r="I1020" s="50" t="s">
        <v>2311</v>
      </c>
      <c r="J1020" s="18">
        <f>+_xlfn.XLOOKUP(B1020,Sheet3!B:B,Sheet3!J:J,0)</f>
        <v>0</v>
      </c>
      <c r="K1020">
        <f t="shared" si="46"/>
        <v>0</v>
      </c>
      <c r="L1020" s="54">
        <v>0</v>
      </c>
      <c r="M1020" s="67">
        <f t="shared" si="47"/>
        <v>0</v>
      </c>
    </row>
    <row r="1021" spans="2:13" hidden="1" x14ac:dyDescent="0.25">
      <c r="B1021" t="str">
        <f t="shared" si="45"/>
        <v>Chiaravalle CentralePPP-IPU-C616-01</v>
      </c>
      <c r="C1021" s="50" t="s">
        <v>826</v>
      </c>
      <c r="D1021" s="50" t="s">
        <v>887</v>
      </c>
      <c r="E1021" s="50" t="s">
        <v>910</v>
      </c>
      <c r="F1021" s="50" t="s">
        <v>889</v>
      </c>
      <c r="G1021" s="50" t="s">
        <v>890</v>
      </c>
      <c r="H1021" s="50" t="s">
        <v>2249</v>
      </c>
      <c r="I1021" s="50" t="s">
        <v>2312</v>
      </c>
      <c r="J1021" s="18">
        <f>+_xlfn.XLOOKUP(B1021,Sheet3!B:B,Sheet3!J:J,0)</f>
        <v>0</v>
      </c>
      <c r="K1021">
        <f t="shared" si="46"/>
        <v>0</v>
      </c>
      <c r="L1021" s="54">
        <v>0</v>
      </c>
      <c r="M1021" s="67">
        <f t="shared" si="47"/>
        <v>0</v>
      </c>
    </row>
    <row r="1022" spans="2:13" hidden="1" x14ac:dyDescent="0.25">
      <c r="B1022" t="str">
        <f t="shared" si="45"/>
        <v>LagoPPP-IPU-E407-01</v>
      </c>
      <c r="C1022" s="50" t="s">
        <v>826</v>
      </c>
      <c r="D1022" s="50" t="s">
        <v>887</v>
      </c>
      <c r="E1022" s="50" t="s">
        <v>910</v>
      </c>
      <c r="F1022" s="50" t="s">
        <v>889</v>
      </c>
      <c r="G1022" s="50" t="s">
        <v>890</v>
      </c>
      <c r="H1022" s="50" t="s">
        <v>2250</v>
      </c>
      <c r="I1022" s="50" t="s">
        <v>2313</v>
      </c>
      <c r="J1022" s="18">
        <f>+_xlfn.XLOOKUP(B1022,Sheet3!B:B,Sheet3!J:J,0)</f>
        <v>0</v>
      </c>
      <c r="K1022">
        <f t="shared" si="46"/>
        <v>0</v>
      </c>
      <c r="L1022" s="54">
        <v>0</v>
      </c>
      <c r="M1022" s="67">
        <f t="shared" si="47"/>
        <v>0</v>
      </c>
    </row>
    <row r="1023" spans="2:13" hidden="1" x14ac:dyDescent="0.25">
      <c r="B1023" t="str">
        <f t="shared" si="45"/>
        <v>Nove (vi)AQ1-IPU-F957-01</v>
      </c>
      <c r="C1023" s="50" t="s">
        <v>826</v>
      </c>
      <c r="D1023" s="50" t="s">
        <v>887</v>
      </c>
      <c r="E1023" s="50" t="s">
        <v>959</v>
      </c>
      <c r="F1023" s="50" t="s">
        <v>889</v>
      </c>
      <c r="G1023" s="50" t="s">
        <v>2314</v>
      </c>
      <c r="H1023" s="50" t="s">
        <v>2251</v>
      </c>
      <c r="I1023" s="50" t="s">
        <v>2315</v>
      </c>
      <c r="J1023" s="18">
        <f>+_xlfn.XLOOKUP(B1023,Sheet3!B:B,Sheet3!J:J,0)</f>
        <v>0</v>
      </c>
      <c r="K1023">
        <f t="shared" si="46"/>
        <v>0</v>
      </c>
      <c r="L1023" s="54">
        <v>0</v>
      </c>
      <c r="M1023" s="67">
        <f t="shared" si="47"/>
        <v>0</v>
      </c>
    </row>
    <row r="1024" spans="2:13" hidden="1" x14ac:dyDescent="0.25">
      <c r="B1024" t="str">
        <f t="shared" si="45"/>
        <v>Villa Santa LuciaPPP-IPU-L905-01</v>
      </c>
      <c r="C1024" s="50" t="s">
        <v>826</v>
      </c>
      <c r="D1024" s="50" t="s">
        <v>887</v>
      </c>
      <c r="E1024" s="50" t="s">
        <v>896</v>
      </c>
      <c r="F1024" s="50" t="s">
        <v>889</v>
      </c>
      <c r="G1024" s="50" t="s">
        <v>890</v>
      </c>
      <c r="H1024" s="50" t="s">
        <v>2252</v>
      </c>
      <c r="I1024" s="50" t="s">
        <v>2037</v>
      </c>
      <c r="J1024" s="18">
        <f>+_xlfn.XLOOKUP(B1024,Sheet3!B:B,Sheet3!J:J,0)</f>
        <v>0</v>
      </c>
      <c r="K1024">
        <f t="shared" si="46"/>
        <v>0</v>
      </c>
      <c r="L1024" s="54">
        <v>0</v>
      </c>
      <c r="M1024" s="67">
        <f t="shared" si="47"/>
        <v>0</v>
      </c>
    </row>
    <row r="1025" spans="2:13" hidden="1" x14ac:dyDescent="0.25">
      <c r="B1025" t="str">
        <f t="shared" si="45"/>
        <v>Campo CalabroPPP-IPU-B516-01</v>
      </c>
      <c r="C1025" s="50" t="s">
        <v>826</v>
      </c>
      <c r="D1025" s="50" t="s">
        <v>887</v>
      </c>
      <c r="E1025" s="50" t="s">
        <v>910</v>
      </c>
      <c r="F1025" s="50" t="s">
        <v>889</v>
      </c>
      <c r="G1025" s="50" t="s">
        <v>890</v>
      </c>
      <c r="H1025" s="50" t="s">
        <v>2253</v>
      </c>
      <c r="I1025" s="50" t="s">
        <v>2316</v>
      </c>
      <c r="J1025" s="18">
        <f>+_xlfn.XLOOKUP(B1025,Sheet3!B:B,Sheet3!J:J,0)</f>
        <v>0</v>
      </c>
      <c r="K1025">
        <f t="shared" si="46"/>
        <v>0</v>
      </c>
      <c r="L1025" s="54">
        <v>0</v>
      </c>
      <c r="M1025" s="67">
        <f t="shared" si="47"/>
        <v>0</v>
      </c>
    </row>
    <row r="1026" spans="2:13" hidden="1" x14ac:dyDescent="0.25">
      <c r="B1026" t="str">
        <f t="shared" si="45"/>
        <v>Pizzo CalabroPPP-IPU-G722-01</v>
      </c>
      <c r="C1026" s="50" t="s">
        <v>826</v>
      </c>
      <c r="D1026" s="50" t="s">
        <v>887</v>
      </c>
      <c r="E1026" s="50" t="s">
        <v>910</v>
      </c>
      <c r="F1026" s="50" t="s">
        <v>889</v>
      </c>
      <c r="G1026" s="50" t="s">
        <v>890</v>
      </c>
      <c r="H1026" s="50" t="s">
        <v>2254</v>
      </c>
      <c r="I1026" s="50" t="s">
        <v>2317</v>
      </c>
      <c r="J1026" s="18">
        <f>+_xlfn.XLOOKUP(B1026,Sheet3!B:B,Sheet3!J:J,0)</f>
        <v>0</v>
      </c>
      <c r="K1026">
        <f t="shared" si="46"/>
        <v>0</v>
      </c>
      <c r="L1026" s="54">
        <v>0</v>
      </c>
      <c r="M1026" s="67">
        <f t="shared" si="47"/>
        <v>0</v>
      </c>
    </row>
    <row r="1027" spans="2:13" hidden="1" x14ac:dyDescent="0.25">
      <c r="B1027" t="str">
        <f t="shared" si="45"/>
        <v>TorricellaPPP-IPU-L294-01</v>
      </c>
      <c r="C1027" s="50" t="s">
        <v>826</v>
      </c>
      <c r="D1027" s="50" t="s">
        <v>887</v>
      </c>
      <c r="E1027" s="50" t="s">
        <v>910</v>
      </c>
      <c r="F1027" s="50" t="s">
        <v>889</v>
      </c>
      <c r="G1027" s="50" t="s">
        <v>890</v>
      </c>
      <c r="H1027" s="50" t="s">
        <v>2255</v>
      </c>
      <c r="I1027" s="50" t="s">
        <v>2060</v>
      </c>
      <c r="J1027" s="18">
        <f>+_xlfn.XLOOKUP(B1027,Sheet3!B:B,Sheet3!J:J,0)</f>
        <v>0</v>
      </c>
      <c r="K1027">
        <f t="shared" si="46"/>
        <v>0</v>
      </c>
      <c r="L1027" s="54">
        <v>0</v>
      </c>
      <c r="M1027" s="67">
        <f t="shared" si="47"/>
        <v>0</v>
      </c>
    </row>
    <row r="1028" spans="2:13" hidden="1" x14ac:dyDescent="0.25">
      <c r="B1028" t="str">
        <f t="shared" ref="B1028:B1032" si="48">+I1028&amp;H1028</f>
        <v>Santa Maria la Carita'PPP-IPU-M273-01</v>
      </c>
      <c r="C1028" s="50" t="s">
        <v>826</v>
      </c>
      <c r="D1028" s="50" t="s">
        <v>887</v>
      </c>
      <c r="E1028" s="50" t="s">
        <v>910</v>
      </c>
      <c r="F1028" s="50" t="s">
        <v>889</v>
      </c>
      <c r="G1028" s="50" t="s">
        <v>890</v>
      </c>
      <c r="H1028" s="50" t="s">
        <v>2256</v>
      </c>
      <c r="I1028" s="50" t="s">
        <v>2318</v>
      </c>
      <c r="J1028" s="18">
        <f>+_xlfn.XLOOKUP(B1028,Sheet3!B:B,Sheet3!J:J,0)</f>
        <v>0</v>
      </c>
      <c r="K1028">
        <f t="shared" ref="K1028:K1032" si="49">+J1028/6*8</f>
        <v>0</v>
      </c>
      <c r="L1028" s="54">
        <v>0</v>
      </c>
      <c r="M1028" s="67">
        <f t="shared" ref="M1028:M1032" si="50">+L1028-K1028</f>
        <v>0</v>
      </c>
    </row>
    <row r="1029" spans="2:13" hidden="1" x14ac:dyDescent="0.25">
      <c r="B1029" t="str">
        <f t="shared" si="48"/>
        <v>Sant' AntimoPPP-IPU-I293-01</v>
      </c>
      <c r="C1029" s="50" t="s">
        <v>826</v>
      </c>
      <c r="D1029" s="50" t="s">
        <v>887</v>
      </c>
      <c r="E1029" s="50" t="s">
        <v>910</v>
      </c>
      <c r="F1029" s="50" t="s">
        <v>889</v>
      </c>
      <c r="G1029" s="50" t="s">
        <v>890</v>
      </c>
      <c r="H1029" s="50" t="s">
        <v>2257</v>
      </c>
      <c r="I1029" s="50" t="s">
        <v>2319</v>
      </c>
      <c r="J1029" s="18">
        <f>+_xlfn.XLOOKUP(B1029,Sheet3!B:B,Sheet3!J:J,0)</f>
        <v>0</v>
      </c>
      <c r="K1029">
        <f t="shared" si="49"/>
        <v>0</v>
      </c>
      <c r="L1029" s="54">
        <v>0</v>
      </c>
      <c r="M1029" s="67">
        <f t="shared" si="50"/>
        <v>0</v>
      </c>
    </row>
    <row r="1030" spans="2:13" hidden="1" x14ac:dyDescent="0.25">
      <c r="B1030" t="str">
        <f t="shared" si="48"/>
        <v>Brescia Mobilita' S.p.a.BUS-SMC-B157-01</v>
      </c>
      <c r="C1030" s="50" t="s">
        <v>826</v>
      </c>
      <c r="D1030" s="50" t="s">
        <v>887</v>
      </c>
      <c r="E1030" s="50" t="s">
        <v>888</v>
      </c>
      <c r="F1030" s="50" t="s">
        <v>2108</v>
      </c>
      <c r="G1030" s="50" t="s">
        <v>2108</v>
      </c>
      <c r="H1030" s="50" t="s">
        <v>2258</v>
      </c>
      <c r="I1030" s="50" t="s">
        <v>2320</v>
      </c>
      <c r="J1030" s="18">
        <f>+_xlfn.XLOOKUP(B1030,Sheet3!B:B,Sheet3!J:J,0)</f>
        <v>0</v>
      </c>
      <c r="K1030">
        <f t="shared" si="49"/>
        <v>0</v>
      </c>
      <c r="L1030" s="54">
        <v>0</v>
      </c>
      <c r="M1030" s="67">
        <f t="shared" si="50"/>
        <v>0</v>
      </c>
    </row>
    <row r="1031" spans="2:13" hidden="1" x14ac:dyDescent="0.25">
      <c r="B1031" t="str">
        <f t="shared" si="48"/>
        <v>Monteleone SabinoPPP-IPU-F541-01</v>
      </c>
      <c r="C1031" s="50" t="s">
        <v>826</v>
      </c>
      <c r="D1031" s="50" t="s">
        <v>887</v>
      </c>
      <c r="E1031" s="50" t="s">
        <v>896</v>
      </c>
      <c r="F1031" s="50" t="s">
        <v>889</v>
      </c>
      <c r="G1031" s="50" t="s">
        <v>890</v>
      </c>
      <c r="H1031" s="50" t="s">
        <v>2259</v>
      </c>
      <c r="I1031" s="50" t="s">
        <v>2036</v>
      </c>
      <c r="J1031" s="18">
        <f>+_xlfn.XLOOKUP(B1031,Sheet3!B:B,Sheet3!J:J,0)</f>
        <v>0</v>
      </c>
      <c r="K1031">
        <f t="shared" si="49"/>
        <v>0</v>
      </c>
      <c r="L1031" s="54">
        <v>0</v>
      </c>
      <c r="M1031" s="67">
        <f t="shared" si="50"/>
        <v>0</v>
      </c>
    </row>
    <row r="1032" spans="2:13" hidden="1" x14ac:dyDescent="0.25">
      <c r="B1032" t="str">
        <f t="shared" si="48"/>
        <v>Gravina di CataniaPPP-IPU-E156-01</v>
      </c>
      <c r="C1032" s="50" t="s">
        <v>826</v>
      </c>
      <c r="D1032" s="50" t="s">
        <v>887</v>
      </c>
      <c r="E1032" s="50" t="s">
        <v>910</v>
      </c>
      <c r="F1032" s="50" t="s">
        <v>889</v>
      </c>
      <c r="G1032" s="50" t="s">
        <v>890</v>
      </c>
      <c r="H1032" s="50" t="s">
        <v>2260</v>
      </c>
      <c r="I1032" s="50" t="s">
        <v>2321</v>
      </c>
      <c r="J1032" s="18">
        <f>+_xlfn.XLOOKUP(B1032,Sheet3!B:B,Sheet3!J:J,0)</f>
        <v>0</v>
      </c>
      <c r="K1032">
        <f t="shared" si="49"/>
        <v>0</v>
      </c>
      <c r="L1032" s="54">
        <v>0</v>
      </c>
      <c r="M1032" s="67">
        <f t="shared" si="50"/>
        <v>0</v>
      </c>
    </row>
  </sheetData>
  <autoFilter ref="B2:M1032" xr:uid="{4258567C-0468-4485-90E0-CF457B1BD4A0}">
    <filterColumn colId="11">
      <filters>
        <filter val="-103"/>
        <filter val="-119"/>
        <filter val="-137"/>
        <filter val="-152"/>
        <filter val="-213"/>
        <filter val="-94"/>
        <filter val="-96"/>
      </filters>
    </filterColumn>
  </autoFilter>
  <conditionalFormatting sqref="H64">
    <cfRule type="duplicateValues" dxfId="64" priority="57"/>
    <cfRule type="duplicateValues" dxfId="63" priority="58"/>
  </conditionalFormatting>
  <conditionalFormatting sqref="H149">
    <cfRule type="duplicateValues" dxfId="62" priority="55"/>
    <cfRule type="duplicateValues" dxfId="61" priority="56"/>
  </conditionalFormatting>
  <conditionalFormatting sqref="H729:H742 H744:H900">
    <cfRule type="duplicateValues" dxfId="60" priority="33"/>
    <cfRule type="duplicateValues" dxfId="59" priority="34"/>
    <cfRule type="duplicateValues" dxfId="58" priority="35"/>
    <cfRule type="duplicateValues" dxfId="57" priority="36"/>
    <cfRule type="duplicateValues" dxfId="56" priority="37"/>
    <cfRule type="duplicateValues" dxfId="55" priority="38"/>
    <cfRule type="duplicateValues" dxfId="54" priority="39"/>
    <cfRule type="duplicateValues" dxfId="53" priority="40"/>
  </conditionalFormatting>
  <conditionalFormatting sqref="H901:H903">
    <cfRule type="duplicateValues" dxfId="52" priority="13"/>
    <cfRule type="duplicateValues" dxfId="51" priority="14"/>
    <cfRule type="duplicateValues" dxfId="50" priority="15"/>
    <cfRule type="duplicateValues" dxfId="49" priority="16"/>
  </conditionalFormatting>
  <conditionalFormatting sqref="H974:H1032 H927:H962 H3:H5 H10:H27 H33:H51 H7:H8 H385:H742 H744:H925 H54:H383">
    <cfRule type="duplicateValues" dxfId="48" priority="59"/>
    <cfRule type="duplicateValues" dxfId="47" priority="60"/>
  </conditionalFormatting>
  <conditionalFormatting sqref="H6:I6">
    <cfRule type="cellIs" dxfId="46" priority="6" operator="between">
      <formula>0</formula>
      <formula>0</formula>
    </cfRule>
    <cfRule type="duplicateValues" dxfId="45" priority="7"/>
  </conditionalFormatting>
  <conditionalFormatting sqref="I4:K5 I7:K7 I797:K814">
    <cfRule type="cellIs" dxfId="44" priority="31" operator="between">
      <formula>0</formula>
      <formula>0</formula>
    </cfRule>
  </conditionalFormatting>
  <conditionalFormatting sqref="I797:I814 I4:I5 I7">
    <cfRule type="duplicateValues" dxfId="43" priority="32"/>
  </conditionalFormatting>
  <conditionalFormatting sqref="I883:I900">
    <cfRule type="cellIs" dxfId="42" priority="29" operator="between">
      <formula>0</formula>
      <formula>0</formula>
    </cfRule>
    <cfRule type="duplicateValues" dxfId="41" priority="30"/>
  </conditionalFormatting>
  <conditionalFormatting sqref="L3:L98 L102:L237 L239:L276 L278:L280 L324:L1032 L282:L319">
    <cfRule type="duplicateValues" dxfId="40" priority="65"/>
  </conditionalFormatting>
  <conditionalFormatting sqref="L3:L98 L102:L237 L239:L276 L278:L280">
    <cfRule type="cellIs" dxfId="39" priority="12" operator="between">
      <formula>0</formula>
      <formula>0</formula>
    </cfRule>
  </conditionalFormatting>
  <conditionalFormatting sqref="L282:L1032">
    <cfRule type="cellIs" dxfId="38" priority="11" operator="between">
      <formula>0</formula>
      <formula>0</formula>
    </cfRule>
  </conditionalFormatting>
  <conditionalFormatting sqref="L314:L315">
    <cfRule type="duplicateValues" dxfId="37" priority="10"/>
  </conditionalFormatting>
  <conditionalFormatting sqref="L319">
    <cfRule type="duplicateValues" dxfId="36" priority="3"/>
  </conditionalFormatting>
  <conditionalFormatting sqref="L319:L323">
    <cfRule type="duplicateValues" dxfId="35" priority="9"/>
  </conditionalFormatting>
  <conditionalFormatting sqref="L320">
    <cfRule type="duplicateValues" dxfId="34" priority="5"/>
  </conditionalFormatting>
  <conditionalFormatting sqref="L321">
    <cfRule type="duplicateValues" dxfId="33" priority="4"/>
  </conditionalFormatting>
  <conditionalFormatting sqref="L322">
    <cfRule type="duplicateValues" dxfId="32" priority="1"/>
    <cfRule type="duplicateValues" dxfId="31" priority="2"/>
  </conditionalFormatting>
  <conditionalFormatting sqref="L328">
    <cfRule type="duplicateValues" dxfId="30" priority="8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EE65-0019-4057-AA3A-8325160A2E0F}">
  <dimension ref="B2:J975"/>
  <sheetViews>
    <sheetView showGridLines="0" workbookViewId="0">
      <selection activeCell="J1" sqref="J1"/>
    </sheetView>
  </sheetViews>
  <sheetFormatPr defaultRowHeight="15" x14ac:dyDescent="0.25"/>
  <cols>
    <col min="8" max="8" width="18.85546875" customWidth="1"/>
    <col min="9" max="9" width="36.42578125" bestFit="1" customWidth="1"/>
  </cols>
  <sheetData>
    <row r="2" spans="2:10" x14ac:dyDescent="0.25">
      <c r="C2" s="46" t="s">
        <v>880</v>
      </c>
      <c r="D2" s="46" t="s">
        <v>2323</v>
      </c>
      <c r="E2" s="46" t="s">
        <v>882</v>
      </c>
      <c r="F2" s="46" t="s">
        <v>883</v>
      </c>
      <c r="G2" s="46" t="s">
        <v>884</v>
      </c>
      <c r="H2" s="48" t="s">
        <v>885</v>
      </c>
      <c r="I2" s="46" t="s">
        <v>886</v>
      </c>
      <c r="J2" s="49" t="s">
        <v>867</v>
      </c>
    </row>
    <row r="3" spans="2:10" x14ac:dyDescent="0.25">
      <c r="B3" t="str">
        <f>+I3&amp;H3</f>
        <v>Varazze</v>
      </c>
      <c r="C3" t="s">
        <v>826</v>
      </c>
      <c r="D3" s="62" t="s">
        <v>887</v>
      </c>
      <c r="E3" s="63" t="s">
        <v>888</v>
      </c>
      <c r="F3" t="s">
        <v>889</v>
      </c>
      <c r="G3" t="s">
        <v>890</v>
      </c>
      <c r="H3" s="53"/>
      <c r="I3" t="s">
        <v>891</v>
      </c>
      <c r="J3" s="64">
        <v>0</v>
      </c>
    </row>
    <row r="4" spans="2:10" x14ac:dyDescent="0.25">
      <c r="B4" t="str">
        <f t="shared" ref="B4:B67" si="0">+I4&amp;H4</f>
        <v>Lerici PL</v>
      </c>
      <c r="C4" t="s">
        <v>826</v>
      </c>
      <c r="D4" s="62" t="s">
        <v>887</v>
      </c>
      <c r="E4" s="63" t="s">
        <v>888</v>
      </c>
      <c r="F4" t="s">
        <v>889</v>
      </c>
      <c r="G4" t="s">
        <v>890</v>
      </c>
      <c r="H4" s="53"/>
      <c r="I4" t="s">
        <v>892</v>
      </c>
      <c r="J4" s="64">
        <v>0</v>
      </c>
    </row>
    <row r="5" spans="2:10" x14ac:dyDescent="0.25">
      <c r="B5" t="str">
        <f t="shared" si="0"/>
        <v>Levanto</v>
      </c>
      <c r="C5" t="s">
        <v>826</v>
      </c>
      <c r="D5" s="62" t="s">
        <v>887</v>
      </c>
      <c r="E5" s="63" t="s">
        <v>888</v>
      </c>
      <c r="F5" t="s">
        <v>889</v>
      </c>
      <c r="G5" t="s">
        <v>890</v>
      </c>
      <c r="H5" s="53"/>
      <c r="I5" t="s">
        <v>893</v>
      </c>
      <c r="J5" s="64">
        <v>0</v>
      </c>
    </row>
    <row r="6" spans="2:10" x14ac:dyDescent="0.25">
      <c r="B6" t="str">
        <f t="shared" si="0"/>
        <v>SoriPPP-IPU-I852-01</v>
      </c>
      <c r="C6" t="s">
        <v>826</v>
      </c>
      <c r="D6" s="62" t="s">
        <v>887</v>
      </c>
      <c r="E6" s="63" t="s">
        <v>888</v>
      </c>
      <c r="F6" t="s">
        <v>889</v>
      </c>
      <c r="G6" t="s">
        <v>890</v>
      </c>
      <c r="H6" t="s">
        <v>894</v>
      </c>
      <c r="I6" t="s">
        <v>895</v>
      </c>
      <c r="J6" s="64">
        <v>0</v>
      </c>
    </row>
    <row r="7" spans="2:10" x14ac:dyDescent="0.25">
      <c r="B7" t="str">
        <f t="shared" si="0"/>
        <v>Avezzano 3SEC-PHV-A515-01</v>
      </c>
      <c r="C7" t="s">
        <v>826</v>
      </c>
      <c r="D7" s="62" t="s">
        <v>887</v>
      </c>
      <c r="E7" s="50" t="s">
        <v>896</v>
      </c>
      <c r="F7" t="s">
        <v>897</v>
      </c>
      <c r="G7" t="s">
        <v>897</v>
      </c>
      <c r="H7" s="55" t="s">
        <v>898</v>
      </c>
      <c r="I7" t="s">
        <v>899</v>
      </c>
      <c r="J7" s="64">
        <v>0</v>
      </c>
    </row>
    <row r="8" spans="2:10" x14ac:dyDescent="0.25">
      <c r="B8" t="str">
        <f t="shared" si="0"/>
        <v>Avezzano 4SEC-PHV-A515-02</v>
      </c>
      <c r="C8" t="s">
        <v>826</v>
      </c>
      <c r="D8" s="62" t="s">
        <v>887</v>
      </c>
      <c r="E8" s="50" t="s">
        <v>896</v>
      </c>
      <c r="F8" t="s">
        <v>897</v>
      </c>
      <c r="G8" t="s">
        <v>897</v>
      </c>
      <c r="H8" s="55" t="s">
        <v>900</v>
      </c>
      <c r="I8" t="s">
        <v>901</v>
      </c>
      <c r="J8" s="64">
        <v>0</v>
      </c>
    </row>
    <row r="9" spans="2:10" x14ac:dyDescent="0.25">
      <c r="B9" t="str">
        <f t="shared" si="0"/>
        <v>GiulianovaSEC-PHV-E058-01</v>
      </c>
      <c r="C9" t="s">
        <v>826</v>
      </c>
      <c r="D9" s="62" t="s">
        <v>887</v>
      </c>
      <c r="E9" s="50" t="s">
        <v>896</v>
      </c>
      <c r="F9" t="s">
        <v>897</v>
      </c>
      <c r="G9" t="s">
        <v>897</v>
      </c>
      <c r="H9" s="65" t="s">
        <v>902</v>
      </c>
      <c r="I9" t="s">
        <v>903</v>
      </c>
      <c r="J9" s="64">
        <v>0</v>
      </c>
    </row>
    <row r="10" spans="2:10" x14ac:dyDescent="0.25">
      <c r="B10" t="str">
        <f t="shared" si="0"/>
        <v>Montorio 1SEC-PHV-F690-01</v>
      </c>
      <c r="C10" t="s">
        <v>826</v>
      </c>
      <c r="D10" s="62" t="s">
        <v>887</v>
      </c>
      <c r="E10" s="50" t="s">
        <v>896</v>
      </c>
      <c r="F10" t="s">
        <v>897</v>
      </c>
      <c r="G10" t="s">
        <v>897</v>
      </c>
      <c r="H10" s="55" t="s">
        <v>904</v>
      </c>
      <c r="I10" t="s">
        <v>905</v>
      </c>
      <c r="J10" s="64">
        <v>0</v>
      </c>
    </row>
    <row r="11" spans="2:10" x14ac:dyDescent="0.25">
      <c r="B11" t="str">
        <f t="shared" si="0"/>
        <v>Montorio 3SEC-PHV-F690-02</v>
      </c>
      <c r="C11" t="s">
        <v>826</v>
      </c>
      <c r="D11" s="62" t="s">
        <v>887</v>
      </c>
      <c r="E11" s="50" t="s">
        <v>896</v>
      </c>
      <c r="F11" t="s">
        <v>897</v>
      </c>
      <c r="G11" t="s">
        <v>897</v>
      </c>
      <c r="H11" s="55" t="s">
        <v>906</v>
      </c>
      <c r="I11" t="s">
        <v>907</v>
      </c>
      <c r="J11" s="64">
        <v>0</v>
      </c>
    </row>
    <row r="12" spans="2:10" x14ac:dyDescent="0.25">
      <c r="B12" t="str">
        <f t="shared" si="0"/>
        <v>Montorio 4SEC-PHV-F690-03</v>
      </c>
      <c r="C12" t="s">
        <v>826</v>
      </c>
      <c r="D12" s="62" t="s">
        <v>887</v>
      </c>
      <c r="E12" s="50" t="s">
        <v>896</v>
      </c>
      <c r="F12" t="s">
        <v>897</v>
      </c>
      <c r="G12" t="s">
        <v>897</v>
      </c>
      <c r="H12" s="55" t="s">
        <v>908</v>
      </c>
      <c r="I12" t="s">
        <v>909</v>
      </c>
      <c r="J12" s="64">
        <v>0</v>
      </c>
    </row>
    <row r="13" spans="2:10" x14ac:dyDescent="0.25">
      <c r="B13" t="str">
        <f t="shared" si="0"/>
        <v>Sant'Arpino</v>
      </c>
      <c r="C13" t="s">
        <v>826</v>
      </c>
      <c r="D13" s="62" t="s">
        <v>887</v>
      </c>
      <c r="E13" s="63" t="s">
        <v>910</v>
      </c>
      <c r="F13" t="s">
        <v>889</v>
      </c>
      <c r="G13" t="s">
        <v>890</v>
      </c>
      <c r="H13" s="53"/>
      <c r="I13" t="s">
        <v>911</v>
      </c>
      <c r="J13" s="64">
        <v>0</v>
      </c>
    </row>
    <row r="14" spans="2:10" x14ac:dyDescent="0.25">
      <c r="B14" t="str">
        <f t="shared" si="0"/>
        <v>Avigliano Cemetery</v>
      </c>
      <c r="C14" t="s">
        <v>826</v>
      </c>
      <c r="D14" s="62" t="s">
        <v>887</v>
      </c>
      <c r="E14" s="63" t="s">
        <v>910</v>
      </c>
      <c r="F14" t="s">
        <v>912</v>
      </c>
      <c r="G14" t="s">
        <v>890</v>
      </c>
      <c r="H14" s="53"/>
      <c r="I14" t="s">
        <v>913</v>
      </c>
      <c r="J14" s="64">
        <v>0</v>
      </c>
    </row>
    <row r="15" spans="2:10" x14ac:dyDescent="0.25">
      <c r="B15" t="str">
        <f t="shared" si="0"/>
        <v>Filiano Cemetery</v>
      </c>
      <c r="C15" t="s">
        <v>826</v>
      </c>
      <c r="D15" s="62" t="s">
        <v>887</v>
      </c>
      <c r="E15" s="63" t="s">
        <v>910</v>
      </c>
      <c r="F15" t="s">
        <v>912</v>
      </c>
      <c r="G15" t="s">
        <v>890</v>
      </c>
      <c r="H15" s="53"/>
      <c r="I15" t="s">
        <v>914</v>
      </c>
      <c r="J15" s="64">
        <v>0</v>
      </c>
    </row>
    <row r="16" spans="2:10" x14ac:dyDescent="0.25">
      <c r="B16" t="str">
        <f t="shared" si="0"/>
        <v>San Marzano di San GiuseppePPP-IPU-I018-01</v>
      </c>
      <c r="C16" t="s">
        <v>826</v>
      </c>
      <c r="D16" s="62" t="s">
        <v>887</v>
      </c>
      <c r="E16" s="50" t="s">
        <v>910</v>
      </c>
      <c r="F16" t="s">
        <v>889</v>
      </c>
      <c r="G16" t="s">
        <v>890</v>
      </c>
      <c r="H16" s="57" t="s">
        <v>915</v>
      </c>
      <c r="I16" t="s">
        <v>916</v>
      </c>
      <c r="J16" s="64">
        <v>0</v>
      </c>
    </row>
    <row r="17" spans="2:10" x14ac:dyDescent="0.25">
      <c r="B17" t="str">
        <f t="shared" si="0"/>
        <v>Frignano</v>
      </c>
      <c r="C17" t="s">
        <v>826</v>
      </c>
      <c r="D17" s="62" t="s">
        <v>887</v>
      </c>
      <c r="E17" s="63" t="s">
        <v>910</v>
      </c>
      <c r="F17" t="s">
        <v>889</v>
      </c>
      <c r="G17" t="s">
        <v>890</v>
      </c>
      <c r="H17" s="53"/>
      <c r="I17" t="s">
        <v>917</v>
      </c>
      <c r="J17" s="64">
        <v>0</v>
      </c>
    </row>
    <row r="18" spans="2:10" x14ac:dyDescent="0.25">
      <c r="B18" t="str">
        <f t="shared" si="0"/>
        <v>Gricignano di Aversa</v>
      </c>
      <c r="C18" t="s">
        <v>826</v>
      </c>
      <c r="D18" s="62" t="s">
        <v>887</v>
      </c>
      <c r="E18" s="63" t="s">
        <v>910</v>
      </c>
      <c r="F18" t="s">
        <v>889</v>
      </c>
      <c r="G18" t="s">
        <v>890</v>
      </c>
      <c r="H18" s="53"/>
      <c r="I18" t="s">
        <v>918</v>
      </c>
      <c r="J18" s="64">
        <v>0</v>
      </c>
    </row>
    <row r="19" spans="2:10" x14ac:dyDescent="0.25">
      <c r="B19" t="str">
        <f t="shared" si="0"/>
        <v>Torano Castello</v>
      </c>
      <c r="C19" t="s">
        <v>826</v>
      </c>
      <c r="D19" s="62" t="s">
        <v>887</v>
      </c>
      <c r="E19" s="63" t="s">
        <v>910</v>
      </c>
      <c r="F19" t="s">
        <v>889</v>
      </c>
      <c r="G19" t="s">
        <v>890</v>
      </c>
      <c r="H19" s="53"/>
      <c r="I19" t="s">
        <v>919</v>
      </c>
      <c r="J19" s="64">
        <v>0</v>
      </c>
    </row>
    <row r="20" spans="2:10" x14ac:dyDescent="0.25">
      <c r="B20" t="str">
        <f t="shared" si="0"/>
        <v>Piano di SorrentoPPP-IPU-G568-01</v>
      </c>
      <c r="C20" t="s">
        <v>826</v>
      </c>
      <c r="D20" s="62" t="s">
        <v>887</v>
      </c>
      <c r="E20" s="50" t="s">
        <v>910</v>
      </c>
      <c r="F20" t="s">
        <v>889</v>
      </c>
      <c r="G20" t="s">
        <v>890</v>
      </c>
      <c r="H20" s="57" t="s">
        <v>920</v>
      </c>
      <c r="I20" t="s">
        <v>921</v>
      </c>
      <c r="J20" s="64">
        <v>0</v>
      </c>
    </row>
    <row r="21" spans="2:10" x14ac:dyDescent="0.25">
      <c r="B21" t="str">
        <f t="shared" si="0"/>
        <v>Giardini-Naxos</v>
      </c>
      <c r="C21" t="s">
        <v>826</v>
      </c>
      <c r="D21" s="62" t="s">
        <v>887</v>
      </c>
      <c r="E21" s="63" t="s">
        <v>910</v>
      </c>
      <c r="F21" t="s">
        <v>889</v>
      </c>
      <c r="G21" t="s">
        <v>890</v>
      </c>
      <c r="H21" s="53"/>
      <c r="I21" t="s">
        <v>922</v>
      </c>
      <c r="J21" s="64">
        <v>0</v>
      </c>
    </row>
    <row r="22" spans="2:10" x14ac:dyDescent="0.25">
      <c r="B22" t="str">
        <f t="shared" si="0"/>
        <v>Copertino 1SEC-PHV-C978-01</v>
      </c>
      <c r="C22" t="s">
        <v>826</v>
      </c>
      <c r="D22" s="62" t="s">
        <v>887</v>
      </c>
      <c r="E22" s="50" t="s">
        <v>910</v>
      </c>
      <c r="F22" t="s">
        <v>897</v>
      </c>
      <c r="G22" t="s">
        <v>897</v>
      </c>
      <c r="H22" s="57" t="s">
        <v>923</v>
      </c>
      <c r="I22" t="s">
        <v>924</v>
      </c>
      <c r="J22" s="64">
        <v>0</v>
      </c>
    </row>
    <row r="23" spans="2:10" x14ac:dyDescent="0.25">
      <c r="B23" t="str">
        <f t="shared" si="0"/>
        <v>Copertino 2SEC-PHV-C978-02</v>
      </c>
      <c r="C23" t="s">
        <v>826</v>
      </c>
      <c r="D23" s="62" t="s">
        <v>887</v>
      </c>
      <c r="E23" s="50" t="s">
        <v>910</v>
      </c>
      <c r="F23" t="s">
        <v>897</v>
      </c>
      <c r="G23" t="s">
        <v>897</v>
      </c>
      <c r="H23" s="57" t="s">
        <v>925</v>
      </c>
      <c r="I23" t="s">
        <v>926</v>
      </c>
      <c r="J23" s="64">
        <v>0</v>
      </c>
    </row>
    <row r="24" spans="2:10" x14ac:dyDescent="0.25">
      <c r="B24" t="str">
        <f t="shared" si="0"/>
        <v>Campi 1</v>
      </c>
      <c r="C24" t="s">
        <v>826</v>
      </c>
      <c r="D24" s="62" t="s">
        <v>887</v>
      </c>
      <c r="E24" s="63" t="s">
        <v>910</v>
      </c>
      <c r="F24" t="s">
        <v>897</v>
      </c>
      <c r="G24" t="s">
        <v>897</v>
      </c>
      <c r="H24" s="53"/>
      <c r="I24" t="s">
        <v>927</v>
      </c>
      <c r="J24" s="64">
        <v>0</v>
      </c>
    </row>
    <row r="25" spans="2:10" x14ac:dyDescent="0.25">
      <c r="B25" t="str">
        <f t="shared" si="0"/>
        <v>Belvedere Marittimo</v>
      </c>
      <c r="C25" t="s">
        <v>826</v>
      </c>
      <c r="D25" s="62" t="s">
        <v>928</v>
      </c>
      <c r="E25" s="63" t="s">
        <v>910</v>
      </c>
      <c r="F25" t="s">
        <v>889</v>
      </c>
      <c r="G25" t="s">
        <v>890</v>
      </c>
      <c r="H25" s="53"/>
      <c r="I25" t="s">
        <v>929</v>
      </c>
      <c r="J25" s="64">
        <v>0</v>
      </c>
    </row>
    <row r="26" spans="2:10" x14ac:dyDescent="0.25">
      <c r="B26" t="str">
        <f t="shared" si="0"/>
        <v>Roccamonfina</v>
      </c>
      <c r="C26" t="s">
        <v>826</v>
      </c>
      <c r="D26" s="62" t="s">
        <v>928</v>
      </c>
      <c r="E26" s="63" t="s">
        <v>910</v>
      </c>
      <c r="F26" t="s">
        <v>889</v>
      </c>
      <c r="G26" t="s">
        <v>890</v>
      </c>
      <c r="H26" s="53"/>
      <c r="I26" t="s">
        <v>930</v>
      </c>
      <c r="J26" s="64">
        <v>0</v>
      </c>
    </row>
    <row r="27" spans="2:10" x14ac:dyDescent="0.25">
      <c r="B27" t="str">
        <f t="shared" si="0"/>
        <v>Sesto Campano</v>
      </c>
      <c r="C27" t="s">
        <v>826</v>
      </c>
      <c r="D27" s="62" t="s">
        <v>928</v>
      </c>
      <c r="E27" s="63" t="s">
        <v>896</v>
      </c>
      <c r="F27" t="s">
        <v>889</v>
      </c>
      <c r="G27" t="s">
        <v>890</v>
      </c>
      <c r="H27" s="53"/>
      <c r="I27" t="s">
        <v>931</v>
      </c>
      <c r="J27" s="64">
        <v>0</v>
      </c>
    </row>
    <row r="28" spans="2:10" x14ac:dyDescent="0.25">
      <c r="B28" t="str">
        <f t="shared" si="0"/>
        <v>RivarossaPPP-IPU-H344-01</v>
      </c>
      <c r="C28" t="s">
        <v>826</v>
      </c>
      <c r="D28" s="62" t="s">
        <v>932</v>
      </c>
      <c r="E28" s="63" t="s">
        <v>888</v>
      </c>
      <c r="F28" t="s">
        <v>889</v>
      </c>
      <c r="G28" t="s">
        <v>890</v>
      </c>
      <c r="H28" t="s">
        <v>933</v>
      </c>
      <c r="I28" t="s">
        <v>934</v>
      </c>
      <c r="J28" s="64">
        <v>0</v>
      </c>
    </row>
    <row r="29" spans="2:10" x14ac:dyDescent="0.25">
      <c r="B29" t="str">
        <f t="shared" si="0"/>
        <v>Torre D'IsolaPPP-IPU-L269-01</v>
      </c>
      <c r="C29" t="s">
        <v>826</v>
      </c>
      <c r="D29" s="62" t="s">
        <v>932</v>
      </c>
      <c r="E29" s="63" t="s">
        <v>888</v>
      </c>
      <c r="F29" t="s">
        <v>889</v>
      </c>
      <c r="G29" t="s">
        <v>890</v>
      </c>
      <c r="H29" t="s">
        <v>935</v>
      </c>
      <c r="I29" t="s">
        <v>936</v>
      </c>
      <c r="J29" s="64">
        <v>0</v>
      </c>
    </row>
    <row r="30" spans="2:10" x14ac:dyDescent="0.25">
      <c r="B30" t="str">
        <f t="shared" si="0"/>
        <v>Santo Stefano LodigianoPPP-IPU-I362-01</v>
      </c>
      <c r="C30" t="s">
        <v>826</v>
      </c>
      <c r="D30" s="62" t="s">
        <v>932</v>
      </c>
      <c r="E30" s="63" t="s">
        <v>888</v>
      </c>
      <c r="F30" t="s">
        <v>889</v>
      </c>
      <c r="G30" t="s">
        <v>890</v>
      </c>
      <c r="H30" t="s">
        <v>937</v>
      </c>
      <c r="I30" t="s">
        <v>938</v>
      </c>
      <c r="J30" s="64">
        <v>0</v>
      </c>
    </row>
    <row r="31" spans="2:10" x14ac:dyDescent="0.25">
      <c r="B31" t="str">
        <f t="shared" si="0"/>
        <v>SecugnagoPPP-IPU-I561-01</v>
      </c>
      <c r="C31" t="s">
        <v>826</v>
      </c>
      <c r="D31" s="62" t="s">
        <v>932</v>
      </c>
      <c r="E31" s="63" t="s">
        <v>888</v>
      </c>
      <c r="F31" t="s">
        <v>889</v>
      </c>
      <c r="G31" t="s">
        <v>890</v>
      </c>
      <c r="H31" t="s">
        <v>939</v>
      </c>
      <c r="I31" t="s">
        <v>940</v>
      </c>
      <c r="J31" s="64">
        <v>0</v>
      </c>
    </row>
    <row r="32" spans="2:10" x14ac:dyDescent="0.25">
      <c r="B32" t="str">
        <f t="shared" si="0"/>
        <v>Loro CiuffennaPPP-IPU-E693-01</v>
      </c>
      <c r="C32" t="s">
        <v>826</v>
      </c>
      <c r="D32" s="62" t="s">
        <v>932</v>
      </c>
      <c r="E32" s="63" t="s">
        <v>896</v>
      </c>
      <c r="F32" t="s">
        <v>889</v>
      </c>
      <c r="G32" t="s">
        <v>890</v>
      </c>
      <c r="H32" t="s">
        <v>941</v>
      </c>
      <c r="I32" t="s">
        <v>942</v>
      </c>
      <c r="J32" s="64">
        <v>0</v>
      </c>
    </row>
    <row r="33" spans="2:10" x14ac:dyDescent="0.25">
      <c r="B33" t="str">
        <f t="shared" si="0"/>
        <v>Ricigliano</v>
      </c>
      <c r="C33" t="s">
        <v>826</v>
      </c>
      <c r="D33" s="62" t="s">
        <v>943</v>
      </c>
      <c r="E33" s="63" t="s">
        <v>910</v>
      </c>
      <c r="F33" t="s">
        <v>889</v>
      </c>
      <c r="G33" t="s">
        <v>890</v>
      </c>
      <c r="H33" s="53"/>
      <c r="I33" t="s">
        <v>944</v>
      </c>
      <c r="J33" s="64">
        <v>0</v>
      </c>
    </row>
    <row r="34" spans="2:10" x14ac:dyDescent="0.25">
      <c r="B34" t="str">
        <f t="shared" si="0"/>
        <v>Serino</v>
      </c>
      <c r="C34" t="s">
        <v>826</v>
      </c>
      <c r="D34" s="62" t="s">
        <v>943</v>
      </c>
      <c r="E34" s="63" t="s">
        <v>910</v>
      </c>
      <c r="F34" t="s">
        <v>889</v>
      </c>
      <c r="G34" t="s">
        <v>890</v>
      </c>
      <c r="H34" s="53"/>
      <c r="I34" t="s">
        <v>945</v>
      </c>
      <c r="J34" s="64">
        <v>0</v>
      </c>
    </row>
    <row r="35" spans="2:10" x14ac:dyDescent="0.25">
      <c r="B35" t="str">
        <f t="shared" si="0"/>
        <v>San Cipriano PicentinoPPP-IPU-H800-01</v>
      </c>
      <c r="C35" t="s">
        <v>826</v>
      </c>
      <c r="D35" s="62" t="s">
        <v>943</v>
      </c>
      <c r="E35" s="50" t="s">
        <v>910</v>
      </c>
      <c r="F35" t="s">
        <v>889</v>
      </c>
      <c r="G35" t="s">
        <v>890</v>
      </c>
      <c r="H35" s="57" t="s">
        <v>946</v>
      </c>
      <c r="I35" t="s">
        <v>947</v>
      </c>
      <c r="J35" s="64">
        <v>0</v>
      </c>
    </row>
    <row r="36" spans="2:10" x14ac:dyDescent="0.25">
      <c r="B36" t="str">
        <f t="shared" si="0"/>
        <v>Vietri sul Mare</v>
      </c>
      <c r="C36" t="s">
        <v>826</v>
      </c>
      <c r="D36" s="62" t="s">
        <v>943</v>
      </c>
      <c r="E36" s="63" t="s">
        <v>910</v>
      </c>
      <c r="F36" t="s">
        <v>889</v>
      </c>
      <c r="G36" t="s">
        <v>890</v>
      </c>
      <c r="H36" s="53"/>
      <c r="I36" t="s">
        <v>948</v>
      </c>
      <c r="J36" s="64">
        <v>0</v>
      </c>
    </row>
    <row r="37" spans="2:10" x14ac:dyDescent="0.25">
      <c r="B37" t="str">
        <f t="shared" si="0"/>
        <v>Umbertide</v>
      </c>
      <c r="C37" t="s">
        <v>826</v>
      </c>
      <c r="D37" s="62" t="s">
        <v>949</v>
      </c>
      <c r="E37" s="63" t="s">
        <v>896</v>
      </c>
      <c r="F37" t="s">
        <v>889</v>
      </c>
      <c r="G37" t="s">
        <v>890</v>
      </c>
      <c r="H37" s="53"/>
      <c r="I37" t="s">
        <v>950</v>
      </c>
      <c r="J37" s="64">
        <v>0</v>
      </c>
    </row>
    <row r="38" spans="2:10" x14ac:dyDescent="0.25">
      <c r="B38" t="str">
        <f t="shared" si="0"/>
        <v>Lizzanello</v>
      </c>
      <c r="C38" t="s">
        <v>826</v>
      </c>
      <c r="D38" s="62" t="s">
        <v>951</v>
      </c>
      <c r="E38" s="63" t="s">
        <v>910</v>
      </c>
      <c r="F38" t="s">
        <v>889</v>
      </c>
      <c r="G38" t="s">
        <v>890</v>
      </c>
      <c r="H38" s="53"/>
      <c r="I38" t="s">
        <v>952</v>
      </c>
      <c r="J38" s="64">
        <v>0</v>
      </c>
    </row>
    <row r="39" spans="2:10" x14ac:dyDescent="0.25">
      <c r="B39" t="str">
        <f t="shared" si="0"/>
        <v>San Donato Milanese</v>
      </c>
      <c r="C39" t="s">
        <v>826</v>
      </c>
      <c r="D39" s="62" t="s">
        <v>951</v>
      </c>
      <c r="E39" s="63" t="s">
        <v>910</v>
      </c>
      <c r="F39" t="s">
        <v>889</v>
      </c>
      <c r="G39" t="s">
        <v>890</v>
      </c>
      <c r="H39" s="53"/>
      <c r="I39" t="s">
        <v>953</v>
      </c>
      <c r="J39" s="64">
        <v>0</v>
      </c>
    </row>
    <row r="40" spans="2:10" x14ac:dyDescent="0.25">
      <c r="B40" t="str">
        <f t="shared" si="0"/>
        <v>Altro Not identified (Sud) 1</v>
      </c>
      <c r="C40" t="s">
        <v>826</v>
      </c>
      <c r="D40" s="62" t="s">
        <v>954</v>
      </c>
      <c r="E40" s="63" t="s">
        <v>910</v>
      </c>
      <c r="F40" t="s">
        <v>889</v>
      </c>
      <c r="G40" t="s">
        <v>890</v>
      </c>
      <c r="H40" s="53"/>
      <c r="I40" t="s">
        <v>955</v>
      </c>
      <c r="J40" s="64">
        <v>0</v>
      </c>
    </row>
    <row r="41" spans="2:10" x14ac:dyDescent="0.25">
      <c r="B41" t="str">
        <f t="shared" si="0"/>
        <v>Altro Not identified (Centre)</v>
      </c>
      <c r="C41" t="s">
        <v>826</v>
      </c>
      <c r="D41" s="62" t="s">
        <v>954</v>
      </c>
      <c r="E41" s="63" t="s">
        <v>896</v>
      </c>
      <c r="F41" t="s">
        <v>889</v>
      </c>
      <c r="G41" t="s">
        <v>890</v>
      </c>
      <c r="H41" s="53"/>
      <c r="I41" t="s">
        <v>956</v>
      </c>
      <c r="J41" s="64">
        <v>0</v>
      </c>
    </row>
    <row r="42" spans="2:10" x14ac:dyDescent="0.25">
      <c r="B42" t="str">
        <f t="shared" si="0"/>
        <v>Altro Not identified (North West)</v>
      </c>
      <c r="C42" t="s">
        <v>826</v>
      </c>
      <c r="D42" s="62" t="s">
        <v>954</v>
      </c>
      <c r="E42" s="63" t="s">
        <v>888</v>
      </c>
      <c r="F42" t="s">
        <v>889</v>
      </c>
      <c r="G42" t="s">
        <v>890</v>
      </c>
      <c r="H42" s="53"/>
      <c r="I42" t="s">
        <v>957</v>
      </c>
      <c r="J42" s="64">
        <v>0</v>
      </c>
    </row>
    <row r="43" spans="2:10" x14ac:dyDescent="0.25">
      <c r="B43" t="str">
        <f t="shared" si="0"/>
        <v>Altro Not identified (North East)</v>
      </c>
      <c r="C43" t="s">
        <v>958</v>
      </c>
      <c r="D43" s="62" t="s">
        <v>954</v>
      </c>
      <c r="E43" s="63" t="s">
        <v>959</v>
      </c>
      <c r="F43" t="s">
        <v>889</v>
      </c>
      <c r="G43" t="s">
        <v>890</v>
      </c>
      <c r="H43" s="53"/>
      <c r="I43" t="s">
        <v>960</v>
      </c>
      <c r="J43" s="64">
        <v>0</v>
      </c>
    </row>
    <row r="44" spans="2:10" x14ac:dyDescent="0.25">
      <c r="B44" t="str">
        <f t="shared" si="0"/>
        <v>AQ1 not yet iidentified (NW)</v>
      </c>
      <c r="C44" t="s">
        <v>958</v>
      </c>
      <c r="D44" s="62" t="s">
        <v>887</v>
      </c>
      <c r="E44" s="63" t="s">
        <v>888</v>
      </c>
      <c r="F44" t="s">
        <v>889</v>
      </c>
      <c r="G44" t="s">
        <v>961</v>
      </c>
      <c r="H44" s="53"/>
      <c r="I44" t="s">
        <v>962</v>
      </c>
      <c r="J44" s="64">
        <v>0</v>
      </c>
    </row>
    <row r="45" spans="2:10" x14ac:dyDescent="0.25">
      <c r="B45" t="str">
        <f t="shared" si="0"/>
        <v>AQ1 not identified (NE)</v>
      </c>
      <c r="C45" t="s">
        <v>958</v>
      </c>
      <c r="D45" s="62" t="s">
        <v>887</v>
      </c>
      <c r="E45" s="63" t="s">
        <v>959</v>
      </c>
      <c r="F45" t="s">
        <v>889</v>
      </c>
      <c r="G45" t="s">
        <v>961</v>
      </c>
      <c r="H45" s="53"/>
      <c r="I45" t="s">
        <v>963</v>
      </c>
      <c r="J45" s="64">
        <v>0</v>
      </c>
    </row>
    <row r="46" spans="2:10" x14ac:dyDescent="0.25">
      <c r="B46" t="str">
        <f t="shared" si="0"/>
        <v>AQ1 not identified (CE)</v>
      </c>
      <c r="C46" t="s">
        <v>958</v>
      </c>
      <c r="D46" s="62" t="s">
        <v>887</v>
      </c>
      <c r="E46" s="63" t="s">
        <v>896</v>
      </c>
      <c r="F46" t="s">
        <v>889</v>
      </c>
      <c r="G46" t="s">
        <v>961</v>
      </c>
      <c r="H46" s="53"/>
      <c r="I46" t="s">
        <v>964</v>
      </c>
      <c r="J46" s="64">
        <v>0</v>
      </c>
    </row>
    <row r="47" spans="2:10" x14ac:dyDescent="0.25">
      <c r="B47" t="str">
        <f t="shared" si="0"/>
        <v>Buildings not identified (NE)</v>
      </c>
      <c r="C47" t="s">
        <v>958</v>
      </c>
      <c r="D47" s="62" t="s">
        <v>887</v>
      </c>
      <c r="E47" s="63" t="s">
        <v>959</v>
      </c>
      <c r="F47" t="s">
        <v>965</v>
      </c>
      <c r="G47" t="s">
        <v>965</v>
      </c>
      <c r="H47" s="53"/>
      <c r="I47" t="s">
        <v>966</v>
      </c>
      <c r="J47" s="64">
        <v>0</v>
      </c>
    </row>
    <row r="48" spans="2:10" x14ac:dyDescent="0.25">
      <c r="B48" t="str">
        <f t="shared" si="0"/>
        <v>PV to be identified (SO)</v>
      </c>
      <c r="C48" t="s">
        <v>826</v>
      </c>
      <c r="D48" s="62" t="s">
        <v>887</v>
      </c>
      <c r="E48" s="63" t="s">
        <v>910</v>
      </c>
      <c r="F48" t="s">
        <v>897</v>
      </c>
      <c r="G48" t="s">
        <v>897</v>
      </c>
      <c r="H48" s="53"/>
      <c r="I48" t="s">
        <v>967</v>
      </c>
      <c r="J48" s="64">
        <v>0</v>
      </c>
    </row>
    <row r="49" spans="2:10" x14ac:dyDescent="0.25">
      <c r="B49" t="str">
        <f t="shared" si="0"/>
        <v>PV to be identified (CE)</v>
      </c>
      <c r="C49" t="s">
        <v>826</v>
      </c>
      <c r="D49" s="62" t="s">
        <v>887</v>
      </c>
      <c r="E49" s="63" t="s">
        <v>896</v>
      </c>
      <c r="F49" t="s">
        <v>897</v>
      </c>
      <c r="G49" t="s">
        <v>897</v>
      </c>
      <c r="H49" s="53"/>
      <c r="I49" t="s">
        <v>968</v>
      </c>
      <c r="J49" s="64">
        <v>0</v>
      </c>
    </row>
    <row r="50" spans="2:10" x14ac:dyDescent="0.25">
      <c r="B50" t="str">
        <f t="shared" si="0"/>
        <v>Altro Not identified (Sud) 2</v>
      </c>
      <c r="C50" t="s">
        <v>826</v>
      </c>
      <c r="D50" s="62" t="s">
        <v>954</v>
      </c>
      <c r="E50" s="63" t="s">
        <v>910</v>
      </c>
      <c r="F50" t="s">
        <v>889</v>
      </c>
      <c r="G50" t="s">
        <v>890</v>
      </c>
      <c r="H50" s="53"/>
      <c r="I50" t="s">
        <v>969</v>
      </c>
      <c r="J50" s="64">
        <v>0</v>
      </c>
    </row>
    <row r="51" spans="2:10" x14ac:dyDescent="0.25">
      <c r="B51" t="str">
        <f t="shared" si="0"/>
        <v>San Mango Piemonte</v>
      </c>
      <c r="C51" t="s">
        <v>826</v>
      </c>
      <c r="D51" s="62" t="s">
        <v>928</v>
      </c>
      <c r="E51" s="63" t="s">
        <v>910</v>
      </c>
      <c r="F51" t="s">
        <v>889</v>
      </c>
      <c r="G51" t="s">
        <v>890</v>
      </c>
      <c r="H51" s="53"/>
      <c r="I51" t="s">
        <v>970</v>
      </c>
      <c r="J51" s="64">
        <v>0</v>
      </c>
    </row>
    <row r="52" spans="2:10" x14ac:dyDescent="0.25">
      <c r="B52" t="str">
        <f t="shared" si="0"/>
        <v>Romagnano SesiaPPP-IPU-H502-01</v>
      </c>
      <c r="C52" t="s">
        <v>826</v>
      </c>
      <c r="D52" s="62" t="s">
        <v>932</v>
      </c>
      <c r="E52" s="63" t="s">
        <v>888</v>
      </c>
      <c r="F52" t="s">
        <v>889</v>
      </c>
      <c r="G52" t="s">
        <v>890</v>
      </c>
      <c r="H52" t="s">
        <v>971</v>
      </c>
      <c r="I52" t="s">
        <v>972</v>
      </c>
      <c r="J52" s="64">
        <v>0</v>
      </c>
    </row>
    <row r="53" spans="2:10" ht="30" x14ac:dyDescent="0.25">
      <c r="B53" t="str">
        <f t="shared" si="0"/>
        <v>MassalengoPPP-IPU-F028-01</v>
      </c>
      <c r="C53" t="s">
        <v>826</v>
      </c>
      <c r="D53" s="62" t="s">
        <v>932</v>
      </c>
      <c r="E53" s="63" t="s">
        <v>888</v>
      </c>
      <c r="F53" t="s">
        <v>889</v>
      </c>
      <c r="G53" t="s">
        <v>890</v>
      </c>
      <c r="H53" s="66" t="s">
        <v>973</v>
      </c>
      <c r="I53" t="s">
        <v>974</v>
      </c>
      <c r="J53" s="64">
        <v>0</v>
      </c>
    </row>
    <row r="54" spans="2:10" x14ac:dyDescent="0.25">
      <c r="B54" t="str">
        <f t="shared" si="0"/>
        <v>Maiori</v>
      </c>
      <c r="C54" t="s">
        <v>826</v>
      </c>
      <c r="D54" s="62" t="s">
        <v>943</v>
      </c>
      <c r="E54" s="63" t="s">
        <v>910</v>
      </c>
      <c r="F54" t="s">
        <v>889</v>
      </c>
      <c r="G54" t="s">
        <v>890</v>
      </c>
      <c r="H54" s="53"/>
      <c r="I54" t="s">
        <v>975</v>
      </c>
      <c r="J54" s="64">
        <v>0</v>
      </c>
    </row>
    <row r="55" spans="2:10" x14ac:dyDescent="0.25">
      <c r="B55" t="str">
        <f t="shared" si="0"/>
        <v>Minori</v>
      </c>
      <c r="C55" t="s">
        <v>826</v>
      </c>
      <c r="D55" s="62" t="s">
        <v>943</v>
      </c>
      <c r="E55" s="63" t="s">
        <v>910</v>
      </c>
      <c r="F55" t="s">
        <v>889</v>
      </c>
      <c r="G55" t="s">
        <v>890</v>
      </c>
      <c r="H55" s="53"/>
      <c r="I55" t="s">
        <v>976</v>
      </c>
      <c r="J55" s="64">
        <v>0</v>
      </c>
    </row>
    <row r="56" spans="2:10" x14ac:dyDescent="0.25">
      <c r="B56" t="str">
        <f t="shared" si="0"/>
        <v>Castel San Giorgio</v>
      </c>
      <c r="C56" t="s">
        <v>826</v>
      </c>
      <c r="D56" s="62" t="s">
        <v>943</v>
      </c>
      <c r="E56" s="63" t="s">
        <v>910</v>
      </c>
      <c r="F56" t="s">
        <v>889</v>
      </c>
      <c r="G56" t="s">
        <v>890</v>
      </c>
      <c r="H56" s="53"/>
      <c r="I56" t="s">
        <v>977</v>
      </c>
      <c r="J56" s="64">
        <v>0</v>
      </c>
    </row>
    <row r="57" spans="2:10" x14ac:dyDescent="0.25">
      <c r="B57" t="str">
        <f t="shared" si="0"/>
        <v>Ischia</v>
      </c>
      <c r="C57" t="s">
        <v>826</v>
      </c>
      <c r="D57" s="62" t="s">
        <v>943</v>
      </c>
      <c r="E57" s="63" t="s">
        <v>910</v>
      </c>
      <c r="F57" t="s">
        <v>889</v>
      </c>
      <c r="G57" t="s">
        <v>890</v>
      </c>
      <c r="H57" s="53"/>
      <c r="I57" t="s">
        <v>978</v>
      </c>
      <c r="J57" s="64">
        <v>0</v>
      </c>
    </row>
    <row r="58" spans="2:10" x14ac:dyDescent="0.25">
      <c r="B58" t="str">
        <f t="shared" si="0"/>
        <v>Somma Vesuviana</v>
      </c>
      <c r="C58" t="s">
        <v>826</v>
      </c>
      <c r="D58" s="62" t="s">
        <v>943</v>
      </c>
      <c r="E58" s="63" t="s">
        <v>910</v>
      </c>
      <c r="F58" t="s">
        <v>889</v>
      </c>
      <c r="G58" t="s">
        <v>890</v>
      </c>
      <c r="H58" s="53"/>
      <c r="I58" t="s">
        <v>979</v>
      </c>
      <c r="J58" s="64">
        <v>0</v>
      </c>
    </row>
    <row r="59" spans="2:10" x14ac:dyDescent="0.25">
      <c r="B59" t="str">
        <f t="shared" si="0"/>
        <v>Dolo</v>
      </c>
      <c r="C59" t="s">
        <v>826</v>
      </c>
      <c r="D59" s="62" t="s">
        <v>980</v>
      </c>
      <c r="E59" s="63" t="s">
        <v>959</v>
      </c>
      <c r="F59" t="s">
        <v>889</v>
      </c>
      <c r="G59" t="s">
        <v>890</v>
      </c>
      <c r="H59" s="53"/>
      <c r="I59" t="s">
        <v>981</v>
      </c>
      <c r="J59" s="64">
        <v>0</v>
      </c>
    </row>
    <row r="60" spans="2:10" x14ac:dyDescent="0.25">
      <c r="B60" t="str">
        <f t="shared" si="0"/>
        <v>Vicari</v>
      </c>
      <c r="C60" t="s">
        <v>826</v>
      </c>
      <c r="D60" s="62" t="s">
        <v>980</v>
      </c>
      <c r="E60" s="63" t="s">
        <v>910</v>
      </c>
      <c r="F60" t="s">
        <v>889</v>
      </c>
      <c r="G60" t="s">
        <v>890</v>
      </c>
      <c r="H60" s="53"/>
      <c r="I60" t="s">
        <v>982</v>
      </c>
      <c r="J60" s="64">
        <v>0</v>
      </c>
    </row>
    <row r="61" spans="2:10" x14ac:dyDescent="0.25">
      <c r="B61" t="str">
        <f t="shared" si="0"/>
        <v>Marsciano</v>
      </c>
      <c r="C61" t="s">
        <v>826</v>
      </c>
      <c r="D61" s="62" t="s">
        <v>949</v>
      </c>
      <c r="E61" s="63" t="s">
        <v>896</v>
      </c>
      <c r="F61" t="s">
        <v>889</v>
      </c>
      <c r="G61" t="s">
        <v>890</v>
      </c>
      <c r="H61" s="53"/>
      <c r="I61" t="s">
        <v>983</v>
      </c>
      <c r="J61" s="64">
        <v>0</v>
      </c>
    </row>
    <row r="62" spans="2:10" x14ac:dyDescent="0.25">
      <c r="B62" t="str">
        <f t="shared" si="0"/>
        <v>Savona ComunePPP-IPU-I480-02</v>
      </c>
      <c r="C62" t="s">
        <v>826</v>
      </c>
      <c r="D62" s="62" t="s">
        <v>887</v>
      </c>
      <c r="E62" s="50" t="s">
        <v>888</v>
      </c>
      <c r="F62" t="s">
        <v>889</v>
      </c>
      <c r="G62" t="s">
        <v>890</v>
      </c>
      <c r="H62" s="57" t="s">
        <v>984</v>
      </c>
      <c r="I62" t="s">
        <v>985</v>
      </c>
      <c r="J62" s="64">
        <v>509.2645</v>
      </c>
    </row>
    <row r="63" spans="2:10" x14ac:dyDescent="0.25">
      <c r="B63" t="str">
        <f t="shared" si="0"/>
        <v>Finale Ligure (Sav Prov)PPP-IPU-D600-01</v>
      </c>
      <c r="C63" t="s">
        <v>826</v>
      </c>
      <c r="D63" s="62" t="s">
        <v>887</v>
      </c>
      <c r="E63" s="50" t="s">
        <v>888</v>
      </c>
      <c r="F63" t="s">
        <v>889</v>
      </c>
      <c r="G63" t="s">
        <v>890</v>
      </c>
      <c r="H63" s="57" t="s">
        <v>986</v>
      </c>
      <c r="I63" t="s">
        <v>987</v>
      </c>
      <c r="J63" s="64">
        <v>0</v>
      </c>
    </row>
    <row r="64" spans="2:10" x14ac:dyDescent="0.25">
      <c r="B64" t="str">
        <f t="shared" si="0"/>
        <v>Borghetto Santo Spirito (Sav Prov)PPP-IPU-A999-01</v>
      </c>
      <c r="C64" t="s">
        <v>826</v>
      </c>
      <c r="D64" s="62" t="s">
        <v>887</v>
      </c>
      <c r="E64" s="50" t="s">
        <v>888</v>
      </c>
      <c r="F64" t="s">
        <v>889</v>
      </c>
      <c r="G64" t="s">
        <v>890</v>
      </c>
      <c r="H64" s="57" t="s">
        <v>988</v>
      </c>
      <c r="I64" t="s">
        <v>989</v>
      </c>
      <c r="J64" s="64">
        <v>0</v>
      </c>
    </row>
    <row r="65" spans="2:10" x14ac:dyDescent="0.25">
      <c r="B65" t="str">
        <f t="shared" si="0"/>
        <v>Spotorno (Sav Prov)PPP-IPU-I926-01</v>
      </c>
      <c r="C65" t="s">
        <v>826</v>
      </c>
      <c r="D65" s="62" t="s">
        <v>887</v>
      </c>
      <c r="E65" s="50" t="s">
        <v>888</v>
      </c>
      <c r="F65" t="s">
        <v>889</v>
      </c>
      <c r="G65" t="s">
        <v>890</v>
      </c>
      <c r="H65" s="57" t="s">
        <v>990</v>
      </c>
      <c r="I65" t="s">
        <v>991</v>
      </c>
      <c r="J65" s="64">
        <v>0</v>
      </c>
    </row>
    <row r="66" spans="2:10" x14ac:dyDescent="0.25">
      <c r="B66" t="str">
        <f t="shared" si="0"/>
        <v>Pontirolo NuovoPPP-IPU-G867-01</v>
      </c>
      <c r="C66" t="s">
        <v>826</v>
      </c>
      <c r="D66" s="62" t="s">
        <v>887</v>
      </c>
      <c r="E66" s="50" t="s">
        <v>888</v>
      </c>
      <c r="F66" t="s">
        <v>889</v>
      </c>
      <c r="G66" t="s">
        <v>890</v>
      </c>
      <c r="H66" s="57" t="s">
        <v>992</v>
      </c>
      <c r="I66" t="s">
        <v>993</v>
      </c>
      <c r="J66" s="64">
        <v>50.922239999999995</v>
      </c>
    </row>
    <row r="67" spans="2:10" x14ac:dyDescent="0.25">
      <c r="B67" t="str">
        <f t="shared" si="0"/>
        <v>Vedano OlonaAQ1-IPU-L703-01</v>
      </c>
      <c r="C67" t="s">
        <v>958</v>
      </c>
      <c r="D67" s="62" t="s">
        <v>887</v>
      </c>
      <c r="E67" s="50" t="s">
        <v>888</v>
      </c>
      <c r="F67" t="s">
        <v>889</v>
      </c>
      <c r="G67" t="s">
        <v>961</v>
      </c>
      <c r="H67" s="57" t="s">
        <v>994</v>
      </c>
      <c r="I67" t="s">
        <v>995</v>
      </c>
      <c r="J67" s="64">
        <v>0</v>
      </c>
    </row>
    <row r="68" spans="2:10" x14ac:dyDescent="0.25">
      <c r="B68" t="str">
        <f t="shared" ref="B68:B131" si="1">+I68&amp;H68</f>
        <v>Savona Gallerie (Sav Prov)PPP-IPU-I480-03</v>
      </c>
      <c r="C68" t="s">
        <v>826</v>
      </c>
      <c r="D68" s="62" t="s">
        <v>887</v>
      </c>
      <c r="E68" s="50" t="s">
        <v>888</v>
      </c>
      <c r="F68" t="s">
        <v>889</v>
      </c>
      <c r="G68" t="s">
        <v>890</v>
      </c>
      <c r="H68" s="57" t="s">
        <v>996</v>
      </c>
      <c r="I68" t="s">
        <v>997</v>
      </c>
      <c r="J68" s="64">
        <v>0</v>
      </c>
    </row>
    <row r="69" spans="2:10" x14ac:dyDescent="0.25">
      <c r="B69" t="str">
        <f t="shared" si="1"/>
        <v>MezzagoPPP-IPU-F165-01</v>
      </c>
      <c r="C69" t="s">
        <v>826</v>
      </c>
      <c r="D69" s="62" t="s">
        <v>887</v>
      </c>
      <c r="E69" s="50" t="s">
        <v>888</v>
      </c>
      <c r="F69" t="s">
        <v>889</v>
      </c>
      <c r="G69" t="s">
        <v>890</v>
      </c>
      <c r="H69" s="57" t="s">
        <v>998</v>
      </c>
      <c r="I69" t="s">
        <v>999</v>
      </c>
      <c r="J69" s="64">
        <v>30.518999999999998</v>
      </c>
    </row>
    <row r="70" spans="2:10" x14ac:dyDescent="0.25">
      <c r="B70" t="str">
        <f t="shared" si="1"/>
        <v>Stella (Sav Prov)PPP-IPU-I946-01</v>
      </c>
      <c r="C70" t="s">
        <v>826</v>
      </c>
      <c r="D70" s="62" t="s">
        <v>887</v>
      </c>
      <c r="E70" s="50" t="s">
        <v>888</v>
      </c>
      <c r="F70" t="s">
        <v>889</v>
      </c>
      <c r="G70" t="s">
        <v>890</v>
      </c>
      <c r="H70" s="57" t="s">
        <v>1000</v>
      </c>
      <c r="I70" t="s">
        <v>1001</v>
      </c>
      <c r="J70" s="64">
        <v>0</v>
      </c>
    </row>
    <row r="71" spans="2:10" x14ac:dyDescent="0.25">
      <c r="B71" t="str">
        <f t="shared" si="1"/>
        <v>Settimo TorinesePPP-IPU-I703-01</v>
      </c>
      <c r="C71" t="s">
        <v>826</v>
      </c>
      <c r="D71" s="62" t="s">
        <v>887</v>
      </c>
      <c r="E71" s="50" t="s">
        <v>888</v>
      </c>
      <c r="F71" t="s">
        <v>889</v>
      </c>
      <c r="G71" t="s">
        <v>890</v>
      </c>
      <c r="H71" s="57" t="s">
        <v>1002</v>
      </c>
      <c r="I71" t="s">
        <v>1003</v>
      </c>
      <c r="J71" s="64">
        <v>0</v>
      </c>
    </row>
    <row r="72" spans="2:10" x14ac:dyDescent="0.25">
      <c r="B72" t="str">
        <f t="shared" si="1"/>
        <v>GavirateAQ1-IPU-D946-01</v>
      </c>
      <c r="C72" t="s">
        <v>958</v>
      </c>
      <c r="D72" s="62" t="s">
        <v>887</v>
      </c>
      <c r="E72" s="50" t="s">
        <v>888</v>
      </c>
      <c r="F72" t="s">
        <v>889</v>
      </c>
      <c r="G72" t="s">
        <v>961</v>
      </c>
      <c r="H72" s="57" t="s">
        <v>1004</v>
      </c>
      <c r="I72" t="s">
        <v>1005</v>
      </c>
      <c r="J72" s="64">
        <v>41.693220000000004</v>
      </c>
    </row>
    <row r="73" spans="2:10" x14ac:dyDescent="0.25">
      <c r="B73" t="str">
        <f t="shared" si="1"/>
        <v>CantalupaATI-IPU-B628-01</v>
      </c>
      <c r="C73" t="s">
        <v>826</v>
      </c>
      <c r="D73" s="62" t="s">
        <v>887</v>
      </c>
      <c r="E73" s="50" t="s">
        <v>888</v>
      </c>
      <c r="F73" t="s">
        <v>889</v>
      </c>
      <c r="G73" t="s">
        <v>890</v>
      </c>
      <c r="H73" s="57" t="s">
        <v>1006</v>
      </c>
      <c r="I73" t="s">
        <v>1007</v>
      </c>
      <c r="J73" s="64">
        <v>15.13641</v>
      </c>
    </row>
    <row r="74" spans="2:10" x14ac:dyDescent="0.25">
      <c r="B74" t="str">
        <f t="shared" si="1"/>
        <v>FrossascoATI-IPU-D812-01</v>
      </c>
      <c r="C74" t="s">
        <v>826</v>
      </c>
      <c r="D74" s="62" t="s">
        <v>887</v>
      </c>
      <c r="E74" s="50" t="s">
        <v>888</v>
      </c>
      <c r="F74" t="s">
        <v>889</v>
      </c>
      <c r="G74" t="s">
        <v>890</v>
      </c>
      <c r="H74" s="57" t="s">
        <v>1008</v>
      </c>
      <c r="I74" t="s">
        <v>1009</v>
      </c>
      <c r="J74" s="64">
        <v>33.362070000000003</v>
      </c>
    </row>
    <row r="75" spans="2:10" x14ac:dyDescent="0.25">
      <c r="B75" t="str">
        <f t="shared" si="1"/>
        <v>PineroloATI-IPU-G674-01</v>
      </c>
      <c r="C75" t="s">
        <v>826</v>
      </c>
      <c r="D75" s="62" t="s">
        <v>887</v>
      </c>
      <c r="E75" s="50" t="s">
        <v>888</v>
      </c>
      <c r="F75" t="s">
        <v>889</v>
      </c>
      <c r="G75" t="s">
        <v>890</v>
      </c>
      <c r="H75" s="57" t="s">
        <v>1010</v>
      </c>
      <c r="I75" t="s">
        <v>1011</v>
      </c>
      <c r="J75" s="64">
        <v>223.15293</v>
      </c>
    </row>
    <row r="76" spans="2:10" x14ac:dyDescent="0.25">
      <c r="B76" t="str">
        <f t="shared" si="1"/>
        <v>RolettoATI-IPU-H498-01</v>
      </c>
      <c r="C76" t="s">
        <v>826</v>
      </c>
      <c r="D76" s="62" t="s">
        <v>887</v>
      </c>
      <c r="E76" s="50" t="s">
        <v>888</v>
      </c>
      <c r="F76" t="s">
        <v>889</v>
      </c>
      <c r="G76" t="s">
        <v>890</v>
      </c>
      <c r="H76" s="57" t="s">
        <v>1012</v>
      </c>
      <c r="I76" t="s">
        <v>1013</v>
      </c>
      <c r="J76" s="64">
        <v>20.101950000000002</v>
      </c>
    </row>
    <row r="77" spans="2:10" x14ac:dyDescent="0.25">
      <c r="B77" t="str">
        <f t="shared" si="1"/>
        <v>VolpianoATI-IPU-M122-01</v>
      </c>
      <c r="C77" t="s">
        <v>826</v>
      </c>
      <c r="D77" s="62" t="s">
        <v>887</v>
      </c>
      <c r="E77" s="50" t="s">
        <v>888</v>
      </c>
      <c r="F77" t="s">
        <v>889</v>
      </c>
      <c r="G77" t="s">
        <v>890</v>
      </c>
      <c r="H77" s="57" t="s">
        <v>1014</v>
      </c>
      <c r="I77" t="s">
        <v>1015</v>
      </c>
      <c r="J77" s="64">
        <v>30.46602</v>
      </c>
    </row>
    <row r="78" spans="2:10" x14ac:dyDescent="0.25">
      <c r="B78" t="str">
        <f t="shared" si="1"/>
        <v>Arcisate ConsipCL3-IPU-A371-01</v>
      </c>
      <c r="C78" t="s">
        <v>958</v>
      </c>
      <c r="D78" s="62" t="s">
        <v>887</v>
      </c>
      <c r="E78" s="50" t="s">
        <v>888</v>
      </c>
      <c r="F78" t="s">
        <v>889</v>
      </c>
      <c r="G78" t="s">
        <v>1016</v>
      </c>
      <c r="H78" s="57" t="s">
        <v>1017</v>
      </c>
      <c r="I78" t="s">
        <v>1018</v>
      </c>
      <c r="J78" s="64">
        <v>86.601320000000001</v>
      </c>
    </row>
    <row r="79" spans="2:10" x14ac:dyDescent="0.25">
      <c r="B79" t="str">
        <f t="shared" si="1"/>
        <v>ArlunoCL3-IPU-A413-01</v>
      </c>
      <c r="C79" t="s">
        <v>958</v>
      </c>
      <c r="D79" s="62" t="s">
        <v>887</v>
      </c>
      <c r="E79" s="50" t="s">
        <v>888</v>
      </c>
      <c r="F79" t="s">
        <v>889</v>
      </c>
      <c r="G79" t="s">
        <v>1016</v>
      </c>
      <c r="H79" s="57" t="s">
        <v>1019</v>
      </c>
      <c r="I79" t="s">
        <v>1020</v>
      </c>
      <c r="J79" s="64">
        <v>166.17148</v>
      </c>
    </row>
    <row r="80" spans="2:10" x14ac:dyDescent="0.25">
      <c r="B80" t="str">
        <f t="shared" si="1"/>
        <v>Barzago ConsipCL3-IPU-A683-01</v>
      </c>
      <c r="C80" t="s">
        <v>958</v>
      </c>
      <c r="D80" s="62" t="s">
        <v>887</v>
      </c>
      <c r="E80" s="50" t="s">
        <v>888</v>
      </c>
      <c r="F80" t="s">
        <v>889</v>
      </c>
      <c r="G80" t="s">
        <v>1016</v>
      </c>
      <c r="H80" s="57" t="s">
        <v>1021</v>
      </c>
      <c r="I80" t="s">
        <v>1022</v>
      </c>
      <c r="J80" s="64">
        <v>56.15325</v>
      </c>
    </row>
    <row r="81" spans="2:10" x14ac:dyDescent="0.25">
      <c r="B81" t="str">
        <f t="shared" si="1"/>
        <v>Bresso ConsipCL3-IPU-B162-01</v>
      </c>
      <c r="C81" t="s">
        <v>958</v>
      </c>
      <c r="D81" s="62" t="s">
        <v>887</v>
      </c>
      <c r="E81" s="50" t="s">
        <v>888</v>
      </c>
      <c r="F81" t="s">
        <v>889</v>
      </c>
      <c r="G81" t="s">
        <v>1016</v>
      </c>
      <c r="H81" s="57" t="s">
        <v>1023</v>
      </c>
      <c r="I81" t="s">
        <v>1024</v>
      </c>
      <c r="J81" s="64">
        <v>128.02271000000002</v>
      </c>
    </row>
    <row r="82" spans="2:10" x14ac:dyDescent="0.25">
      <c r="B82" t="str">
        <f t="shared" si="1"/>
        <v>Canegrate ConsipCL3-IPU-B593-01</v>
      </c>
      <c r="C82" t="s">
        <v>958</v>
      </c>
      <c r="D82" s="62" t="s">
        <v>887</v>
      </c>
      <c r="E82" s="50" t="s">
        <v>888</v>
      </c>
      <c r="F82" t="s">
        <v>889</v>
      </c>
      <c r="G82" t="s">
        <v>1016</v>
      </c>
      <c r="H82" s="57" t="s">
        <v>1025</v>
      </c>
      <c r="I82" t="s">
        <v>1026</v>
      </c>
      <c r="J82" s="64">
        <v>167.35017000000002</v>
      </c>
    </row>
    <row r="83" spans="2:10" x14ac:dyDescent="0.25">
      <c r="B83" t="str">
        <f t="shared" si="1"/>
        <v>CaponagoCL3-IPU-B671-01</v>
      </c>
      <c r="C83" t="s">
        <v>958</v>
      </c>
      <c r="D83" s="62" t="s">
        <v>887</v>
      </c>
      <c r="E83" s="50" t="s">
        <v>888</v>
      </c>
      <c r="F83" t="s">
        <v>889</v>
      </c>
      <c r="G83" t="s">
        <v>1016</v>
      </c>
      <c r="H83" s="57" t="s">
        <v>1027</v>
      </c>
      <c r="I83" t="s">
        <v>1028</v>
      </c>
      <c r="J83" s="64">
        <v>69.855220000000003</v>
      </c>
    </row>
    <row r="84" spans="2:10" x14ac:dyDescent="0.25">
      <c r="B84" t="str">
        <f t="shared" si="1"/>
        <v>CaravaggioCL3-IPU-B731-01</v>
      </c>
      <c r="C84" t="s">
        <v>958</v>
      </c>
      <c r="D84" s="62" t="s">
        <v>887</v>
      </c>
      <c r="E84" s="50" t="s">
        <v>888</v>
      </c>
      <c r="F84" t="s">
        <v>889</v>
      </c>
      <c r="G84" t="s">
        <v>1016</v>
      </c>
      <c r="H84" s="57" t="s">
        <v>1029</v>
      </c>
      <c r="I84" t="s">
        <v>1030</v>
      </c>
      <c r="J84" s="64">
        <v>221.51248000000001</v>
      </c>
    </row>
    <row r="85" spans="2:10" x14ac:dyDescent="0.25">
      <c r="B85" t="str">
        <f t="shared" si="1"/>
        <v>Cardano al Campo ConsipCL3-IPU-B754-01</v>
      </c>
      <c r="C85" t="s">
        <v>958</v>
      </c>
      <c r="D85" s="62" t="s">
        <v>887</v>
      </c>
      <c r="E85" s="50" t="s">
        <v>888</v>
      </c>
      <c r="F85" t="s">
        <v>889</v>
      </c>
      <c r="G85" t="s">
        <v>1016</v>
      </c>
      <c r="H85" s="57" t="s">
        <v>1031</v>
      </c>
      <c r="I85" t="s">
        <v>1032</v>
      </c>
      <c r="J85" s="64">
        <v>130.29605000000001</v>
      </c>
    </row>
    <row r="86" spans="2:10" x14ac:dyDescent="0.25">
      <c r="B86" t="str">
        <f t="shared" si="1"/>
        <v>Civate ConsipCL3-IPU-C752-01</v>
      </c>
      <c r="C86" t="s">
        <v>958</v>
      </c>
      <c r="D86" s="62" t="s">
        <v>887</v>
      </c>
      <c r="E86" s="50" t="s">
        <v>888</v>
      </c>
      <c r="F86" t="s">
        <v>889</v>
      </c>
      <c r="G86" t="s">
        <v>1016</v>
      </c>
      <c r="H86" s="57" t="s">
        <v>1033</v>
      </c>
      <c r="I86" t="s">
        <v>1034</v>
      </c>
      <c r="J86" s="64">
        <v>65.046679999999995</v>
      </c>
    </row>
    <row r="87" spans="2:10" x14ac:dyDescent="0.25">
      <c r="B87" t="str">
        <f t="shared" si="1"/>
        <v>Gallarate ConsipCL3-IPU-D869-01</v>
      </c>
      <c r="C87" t="s">
        <v>958</v>
      </c>
      <c r="D87" s="62" t="s">
        <v>887</v>
      </c>
      <c r="E87" s="50" t="s">
        <v>888</v>
      </c>
      <c r="F87" t="s">
        <v>889</v>
      </c>
      <c r="G87" t="s">
        <v>1016</v>
      </c>
      <c r="H87" s="57" t="s">
        <v>1035</v>
      </c>
      <c r="I87" t="s">
        <v>1036</v>
      </c>
      <c r="J87" s="64">
        <v>413.66032000000001</v>
      </c>
    </row>
    <row r="88" spans="2:10" x14ac:dyDescent="0.25">
      <c r="B88" t="str">
        <f t="shared" si="1"/>
        <v>Mariano ComenseCL3-IPU-E951-01</v>
      </c>
      <c r="C88" t="s">
        <v>958</v>
      </c>
      <c r="D88" s="62" t="s">
        <v>887</v>
      </c>
      <c r="E88" s="50" t="s">
        <v>888</v>
      </c>
      <c r="F88" t="s">
        <v>889</v>
      </c>
      <c r="G88" t="s">
        <v>1016</v>
      </c>
      <c r="H88" s="57" t="s">
        <v>1037</v>
      </c>
      <c r="I88" t="s">
        <v>1038</v>
      </c>
      <c r="J88" s="64">
        <v>261.60899999999998</v>
      </c>
    </row>
    <row r="89" spans="2:10" x14ac:dyDescent="0.25">
      <c r="B89" t="str">
        <f t="shared" si="1"/>
        <v>MornagoCL3-IPU-F736-01</v>
      </c>
      <c r="C89" t="s">
        <v>958</v>
      </c>
      <c r="D89" s="62" t="s">
        <v>887</v>
      </c>
      <c r="E89" s="50" t="s">
        <v>888</v>
      </c>
      <c r="F89" t="s">
        <v>889</v>
      </c>
      <c r="G89" t="s">
        <v>1016</v>
      </c>
      <c r="H89" s="57" t="s">
        <v>1039</v>
      </c>
      <c r="I89" t="s">
        <v>1040</v>
      </c>
      <c r="J89" s="64">
        <v>75.27955</v>
      </c>
    </row>
    <row r="90" spans="2:10" x14ac:dyDescent="0.25">
      <c r="B90" t="str">
        <f t="shared" si="1"/>
        <v>Novara ConsipCL3-IPU-F952-01</v>
      </c>
      <c r="C90" t="s">
        <v>958</v>
      </c>
      <c r="D90" s="62" t="s">
        <v>887</v>
      </c>
      <c r="E90" s="50" t="s">
        <v>888</v>
      </c>
      <c r="F90" t="s">
        <v>889</v>
      </c>
      <c r="G90" t="s">
        <v>1016</v>
      </c>
      <c r="H90" s="57" t="s">
        <v>1041</v>
      </c>
      <c r="I90" t="s">
        <v>1042</v>
      </c>
      <c r="J90" s="64">
        <v>921.25926000000004</v>
      </c>
    </row>
    <row r="91" spans="2:10" x14ac:dyDescent="0.25">
      <c r="B91" t="str">
        <f t="shared" si="1"/>
        <v>OriggioCL3-IPU-G103-01</v>
      </c>
      <c r="C91" t="s">
        <v>958</v>
      </c>
      <c r="D91" s="62" t="s">
        <v>887</v>
      </c>
      <c r="E91" s="50" t="s">
        <v>888</v>
      </c>
      <c r="F91" t="s">
        <v>889</v>
      </c>
      <c r="G91" t="s">
        <v>1016</v>
      </c>
      <c r="H91" s="57" t="s">
        <v>1043</v>
      </c>
      <c r="I91" t="s">
        <v>1044</v>
      </c>
      <c r="J91" s="64">
        <v>90.934089999999998</v>
      </c>
    </row>
    <row r="92" spans="2:10" x14ac:dyDescent="0.25">
      <c r="B92" t="str">
        <f t="shared" si="1"/>
        <v>RescaldinaCL3-IPU-H240-01</v>
      </c>
      <c r="C92" t="s">
        <v>958</v>
      </c>
      <c r="D92" s="62" t="s">
        <v>887</v>
      </c>
      <c r="E92" s="50" t="s">
        <v>888</v>
      </c>
      <c r="F92" t="s">
        <v>889</v>
      </c>
      <c r="G92" t="s">
        <v>1016</v>
      </c>
      <c r="H92" s="57" t="s">
        <v>1045</v>
      </c>
      <c r="I92" t="s">
        <v>1046</v>
      </c>
      <c r="J92" s="64">
        <v>337.89385999999996</v>
      </c>
    </row>
    <row r="93" spans="2:10" x14ac:dyDescent="0.25">
      <c r="B93" t="str">
        <f t="shared" si="1"/>
        <v>Rovellasca ConsipCL3-IPU-H601-01</v>
      </c>
      <c r="C93" t="s">
        <v>958</v>
      </c>
      <c r="D93" s="62" t="s">
        <v>887</v>
      </c>
      <c r="E93" s="50" t="s">
        <v>888</v>
      </c>
      <c r="F93" t="s">
        <v>889</v>
      </c>
      <c r="G93" t="s">
        <v>1016</v>
      </c>
      <c r="H93" s="57" t="s">
        <v>1047</v>
      </c>
      <c r="I93" t="s">
        <v>1048</v>
      </c>
      <c r="J93" s="64">
        <v>89.396410000000003</v>
      </c>
    </row>
    <row r="94" spans="2:10" x14ac:dyDescent="0.25">
      <c r="B94" t="str">
        <f t="shared" si="1"/>
        <v>Rovello PorroCL3-IPU-H602-01</v>
      </c>
      <c r="C94" t="s">
        <v>958</v>
      </c>
      <c r="D94" s="62" t="s">
        <v>887</v>
      </c>
      <c r="E94" s="50" t="s">
        <v>888</v>
      </c>
      <c r="F94" t="s">
        <v>889</v>
      </c>
      <c r="G94" t="s">
        <v>1016</v>
      </c>
      <c r="H94" s="57" t="s">
        <v>1049</v>
      </c>
      <c r="I94" t="s">
        <v>1050</v>
      </c>
      <c r="J94" s="64">
        <v>90.142939999999996</v>
      </c>
    </row>
    <row r="95" spans="2:10" x14ac:dyDescent="0.25">
      <c r="B95" t="str">
        <f t="shared" si="1"/>
        <v>San Giuliano Milanese ConsipCL3-IPU-H930-01</v>
      </c>
      <c r="C95" t="s">
        <v>958</v>
      </c>
      <c r="D95" s="62" t="s">
        <v>887</v>
      </c>
      <c r="E95" s="50" t="s">
        <v>888</v>
      </c>
      <c r="F95" t="s">
        <v>889</v>
      </c>
      <c r="G95" t="s">
        <v>1016</v>
      </c>
      <c r="H95" s="57" t="s">
        <v>1051</v>
      </c>
      <c r="I95" t="s">
        <v>1052</v>
      </c>
      <c r="J95" s="64">
        <v>377.89312000000001</v>
      </c>
    </row>
    <row r="96" spans="2:10" x14ac:dyDescent="0.25">
      <c r="B96" t="str">
        <f t="shared" si="1"/>
        <v>Saronno proroga tecnicaCL3-IPU-I441-02</v>
      </c>
      <c r="C96" t="s">
        <v>958</v>
      </c>
      <c r="D96" s="62" t="s">
        <v>887</v>
      </c>
      <c r="E96" s="50" t="s">
        <v>888</v>
      </c>
      <c r="F96" t="s">
        <v>889</v>
      </c>
      <c r="G96" t="s">
        <v>1016</v>
      </c>
      <c r="H96" s="57" t="s">
        <v>1053</v>
      </c>
      <c r="I96" t="s">
        <v>1054</v>
      </c>
      <c r="J96" s="64">
        <v>0</v>
      </c>
    </row>
    <row r="97" spans="2:10" x14ac:dyDescent="0.25">
      <c r="B97" t="str">
        <f t="shared" si="1"/>
        <v>SettalaCL3-IPU-I696-01</v>
      </c>
      <c r="C97" t="s">
        <v>958</v>
      </c>
      <c r="D97" s="62" t="s">
        <v>887</v>
      </c>
      <c r="E97" s="50" t="s">
        <v>888</v>
      </c>
      <c r="F97" t="s">
        <v>889</v>
      </c>
      <c r="G97" t="s">
        <v>1016</v>
      </c>
      <c r="H97" s="57" t="s">
        <v>1055</v>
      </c>
      <c r="I97" t="s">
        <v>1056</v>
      </c>
      <c r="J97" s="64">
        <v>77.989429999999999</v>
      </c>
    </row>
    <row r="98" spans="2:10" x14ac:dyDescent="0.25">
      <c r="B98" t="str">
        <f t="shared" si="1"/>
        <v>Tribiano proroga tecnicaCL3-IPU-L415-02</v>
      </c>
      <c r="C98" t="s">
        <v>958</v>
      </c>
      <c r="D98" s="62" t="s">
        <v>887</v>
      </c>
      <c r="E98" s="50" t="s">
        <v>888</v>
      </c>
      <c r="F98" t="s">
        <v>889</v>
      </c>
      <c r="G98" t="s">
        <v>1016</v>
      </c>
      <c r="H98" s="57" t="s">
        <v>1057</v>
      </c>
      <c r="I98" t="s">
        <v>1058</v>
      </c>
      <c r="J98" s="64">
        <v>0</v>
      </c>
    </row>
    <row r="99" spans="2:10" x14ac:dyDescent="0.25">
      <c r="B99" t="str">
        <f t="shared" si="1"/>
        <v>Cassano d'AddaPPP-GTE-C003-01</v>
      </c>
      <c r="C99" t="s">
        <v>826</v>
      </c>
      <c r="D99" s="62" t="s">
        <v>887</v>
      </c>
      <c r="E99" s="50" t="s">
        <v>888</v>
      </c>
      <c r="F99" t="s">
        <v>965</v>
      </c>
      <c r="G99" t="s">
        <v>965</v>
      </c>
      <c r="H99" s="57" t="s">
        <v>1059</v>
      </c>
      <c r="I99" t="s">
        <v>1060</v>
      </c>
      <c r="J99" s="60">
        <v>60.14777999999999</v>
      </c>
    </row>
    <row r="100" spans="2:10" x14ac:dyDescent="0.25">
      <c r="B100" t="str">
        <f t="shared" si="1"/>
        <v>BasianoPPP-IPU-A697-01</v>
      </c>
      <c r="C100" t="s">
        <v>826</v>
      </c>
      <c r="D100" s="62" t="s">
        <v>887</v>
      </c>
      <c r="E100" s="50" t="s">
        <v>888</v>
      </c>
      <c r="F100" t="s">
        <v>889</v>
      </c>
      <c r="G100" t="s">
        <v>890</v>
      </c>
      <c r="H100" s="57" t="s">
        <v>1061</v>
      </c>
      <c r="I100" t="s">
        <v>1062</v>
      </c>
      <c r="J100" s="60">
        <v>97.294392751001979</v>
      </c>
    </row>
    <row r="101" spans="2:10" x14ac:dyDescent="0.25">
      <c r="B101" t="str">
        <f t="shared" si="1"/>
        <v>BruinoPPP-IPU-B216-01</v>
      </c>
      <c r="C101" t="s">
        <v>826</v>
      </c>
      <c r="D101" s="62" t="s">
        <v>887</v>
      </c>
      <c r="E101" s="50" t="s">
        <v>888</v>
      </c>
      <c r="F101" t="s">
        <v>889</v>
      </c>
      <c r="G101" t="s">
        <v>890</v>
      </c>
      <c r="H101" s="57" t="s">
        <v>1063</v>
      </c>
      <c r="I101" t="s">
        <v>1064</v>
      </c>
      <c r="J101" s="60">
        <v>93.247167558935203</v>
      </c>
    </row>
    <row r="102" spans="2:10" x14ac:dyDescent="0.25">
      <c r="B102" t="str">
        <f t="shared" si="1"/>
        <v>CourmayeurPPP-IPU-D012-01</v>
      </c>
      <c r="C102" t="s">
        <v>826</v>
      </c>
      <c r="D102" s="62" t="s">
        <v>887</v>
      </c>
      <c r="E102" s="50" t="s">
        <v>888</v>
      </c>
      <c r="F102" t="s">
        <v>889</v>
      </c>
      <c r="G102" t="s">
        <v>890</v>
      </c>
      <c r="H102" s="57" t="s">
        <v>1065</v>
      </c>
      <c r="I102" t="s">
        <v>1066</v>
      </c>
      <c r="J102" s="64">
        <v>71.619020000000006</v>
      </c>
    </row>
    <row r="103" spans="2:10" x14ac:dyDescent="0.25">
      <c r="B103" t="str">
        <f t="shared" si="1"/>
        <v>Gravellona LomellinaPPP-IPU-E152-01</v>
      </c>
      <c r="C103" t="s">
        <v>826</v>
      </c>
      <c r="D103" s="62" t="s">
        <v>887</v>
      </c>
      <c r="E103" s="50" t="s">
        <v>888</v>
      </c>
      <c r="F103" t="s">
        <v>889</v>
      </c>
      <c r="G103" t="s">
        <v>890</v>
      </c>
      <c r="H103" s="57" t="s">
        <v>1067</v>
      </c>
      <c r="I103" t="s">
        <v>1068</v>
      </c>
      <c r="J103" s="64">
        <v>9.0703500000000012</v>
      </c>
    </row>
    <row r="104" spans="2:10" x14ac:dyDescent="0.25">
      <c r="B104" t="str">
        <f t="shared" si="1"/>
        <v>LezzenoPPP-IPU-E569-01</v>
      </c>
      <c r="C104" t="s">
        <v>826</v>
      </c>
      <c r="D104" s="62" t="s">
        <v>887</v>
      </c>
      <c r="E104" s="50" t="s">
        <v>888</v>
      </c>
      <c r="F104" t="s">
        <v>889</v>
      </c>
      <c r="G104" t="s">
        <v>890</v>
      </c>
      <c r="H104" s="57" t="s">
        <v>1069</v>
      </c>
      <c r="I104" t="s">
        <v>1070</v>
      </c>
      <c r="J104" s="64">
        <v>25.311900000000001</v>
      </c>
    </row>
    <row r="105" spans="2:10" x14ac:dyDescent="0.25">
      <c r="B105" t="str">
        <f t="shared" si="1"/>
        <v>NervianoPPP-IPU-F874-01</v>
      </c>
      <c r="C105" t="s">
        <v>826</v>
      </c>
      <c r="D105" s="62" t="s">
        <v>887</v>
      </c>
      <c r="E105" s="50" t="s">
        <v>888</v>
      </c>
      <c r="F105" t="s">
        <v>889</v>
      </c>
      <c r="G105" t="s">
        <v>890</v>
      </c>
      <c r="H105" s="57" t="s">
        <v>1071</v>
      </c>
      <c r="I105" t="s">
        <v>1072</v>
      </c>
      <c r="J105" s="64">
        <v>106.06182000000001</v>
      </c>
    </row>
    <row r="106" spans="2:10" x14ac:dyDescent="0.25">
      <c r="B106" t="str">
        <f t="shared" si="1"/>
        <v>Torrevecchia PiaPPP-IPU-L285-01</v>
      </c>
      <c r="C106" t="s">
        <v>826</v>
      </c>
      <c r="D106" s="62" t="s">
        <v>887</v>
      </c>
      <c r="E106" s="50" t="s">
        <v>888</v>
      </c>
      <c r="F106" t="s">
        <v>889</v>
      </c>
      <c r="G106" t="s">
        <v>890</v>
      </c>
      <c r="H106" s="57" t="s">
        <v>1073</v>
      </c>
      <c r="I106" t="s">
        <v>1074</v>
      </c>
      <c r="J106" s="64">
        <v>34.209480000000006</v>
      </c>
    </row>
    <row r="107" spans="2:10" x14ac:dyDescent="0.25">
      <c r="B107" t="str">
        <f t="shared" si="1"/>
        <v>TrecatePPP-IPU-L356-01</v>
      </c>
      <c r="C107" t="s">
        <v>826</v>
      </c>
      <c r="D107" s="62" t="s">
        <v>887</v>
      </c>
      <c r="E107" s="50" t="s">
        <v>888</v>
      </c>
      <c r="F107" t="s">
        <v>889</v>
      </c>
      <c r="G107" t="s">
        <v>890</v>
      </c>
      <c r="H107" s="57" t="s">
        <v>1075</v>
      </c>
      <c r="I107" t="s">
        <v>1076</v>
      </c>
      <c r="J107" s="64">
        <v>315.03402</v>
      </c>
    </row>
    <row r="108" spans="2:10" x14ac:dyDescent="0.25">
      <c r="B108" t="str">
        <f t="shared" si="1"/>
        <v>Vinovo PL proroga tecnicaPPP-IPU-M060-02</v>
      </c>
      <c r="C108" t="s">
        <v>826</v>
      </c>
      <c r="D108" s="62" t="s">
        <v>887</v>
      </c>
      <c r="E108" s="50" t="s">
        <v>888</v>
      </c>
      <c r="F108" t="s">
        <v>889</v>
      </c>
      <c r="G108" t="s">
        <v>890</v>
      </c>
      <c r="H108" s="57" t="s">
        <v>1077</v>
      </c>
      <c r="I108" t="s">
        <v>1078</v>
      </c>
      <c r="J108" s="64">
        <v>0</v>
      </c>
    </row>
    <row r="109" spans="2:10" x14ac:dyDescent="0.25">
      <c r="B109" t="str">
        <f t="shared" si="1"/>
        <v>Sport Club Nuova Casale A.S.DSEC-IPU-B885-01</v>
      </c>
      <c r="C109" t="s">
        <v>826</v>
      </c>
      <c r="D109" s="62" t="s">
        <v>887</v>
      </c>
      <c r="E109" s="50" t="s">
        <v>888</v>
      </c>
      <c r="F109" t="s">
        <v>1079</v>
      </c>
      <c r="G109" t="s">
        <v>1079</v>
      </c>
      <c r="H109" s="57" t="s">
        <v>1080</v>
      </c>
      <c r="I109" t="s">
        <v>1081</v>
      </c>
      <c r="J109" s="64">
        <v>3.48</v>
      </c>
    </row>
    <row r="110" spans="2:10" x14ac:dyDescent="0.25">
      <c r="B110" t="str">
        <f t="shared" si="1"/>
        <v>BiandronnoAQ1-IPU-A845-01</v>
      </c>
      <c r="C110" t="s">
        <v>958</v>
      </c>
      <c r="D110" s="62" t="s">
        <v>887</v>
      </c>
      <c r="E110" s="50" t="s">
        <v>888</v>
      </c>
      <c r="F110" t="s">
        <v>889</v>
      </c>
      <c r="G110" t="s">
        <v>961</v>
      </c>
      <c r="H110" s="57" t="s">
        <v>1082</v>
      </c>
      <c r="I110" t="s">
        <v>1083</v>
      </c>
      <c r="J110" s="64">
        <v>10.960840000000001</v>
      </c>
    </row>
    <row r="111" spans="2:10" x14ac:dyDescent="0.25">
      <c r="B111" t="str">
        <f t="shared" si="1"/>
        <v>Arcisate proroga tecnicaPPP-IPU-A371-02</v>
      </c>
      <c r="C111" t="s">
        <v>958</v>
      </c>
      <c r="D111" s="62" t="s">
        <v>887</v>
      </c>
      <c r="E111" s="50" t="s">
        <v>888</v>
      </c>
      <c r="F111" t="s">
        <v>889</v>
      </c>
      <c r="G111" t="s">
        <v>1016</v>
      </c>
      <c r="H111" s="57" t="s">
        <v>1084</v>
      </c>
      <c r="I111" t="s">
        <v>1085</v>
      </c>
      <c r="J111" s="64">
        <v>0</v>
      </c>
    </row>
    <row r="112" spans="2:10" x14ac:dyDescent="0.25">
      <c r="B112" t="str">
        <f t="shared" si="1"/>
        <v>Canegrate proroga tecnicaCL3-IPU-B593-02</v>
      </c>
      <c r="C112" t="s">
        <v>958</v>
      </c>
      <c r="D112" s="62" t="s">
        <v>887</v>
      </c>
      <c r="E112" s="50" t="s">
        <v>888</v>
      </c>
      <c r="F112" t="s">
        <v>889</v>
      </c>
      <c r="G112" t="s">
        <v>1016</v>
      </c>
      <c r="H112" s="57" t="s">
        <v>1086</v>
      </c>
      <c r="I112" t="s">
        <v>1087</v>
      </c>
      <c r="J112" s="64">
        <v>0</v>
      </c>
    </row>
    <row r="113" spans="2:10" x14ac:dyDescent="0.25">
      <c r="B113" t="str">
        <f t="shared" si="1"/>
        <v>Civate proroga tecnicaCL3-IPU-C752-02</v>
      </c>
      <c r="C113" t="s">
        <v>958</v>
      </c>
      <c r="D113" s="62" t="s">
        <v>887</v>
      </c>
      <c r="E113" s="50" t="s">
        <v>888</v>
      </c>
      <c r="F113" t="s">
        <v>889</v>
      </c>
      <c r="G113" t="s">
        <v>1016</v>
      </c>
      <c r="H113" s="57" t="s">
        <v>1088</v>
      </c>
      <c r="I113" t="s">
        <v>1089</v>
      </c>
      <c r="J113" s="64">
        <v>0</v>
      </c>
    </row>
    <row r="114" spans="2:10" x14ac:dyDescent="0.25">
      <c r="B114" t="str">
        <f t="shared" si="1"/>
        <v>Saronno ConsipCL3-IPU-I441-01</v>
      </c>
      <c r="C114" t="s">
        <v>958</v>
      </c>
      <c r="D114" s="62" t="s">
        <v>887</v>
      </c>
      <c r="E114" s="50" t="s">
        <v>888</v>
      </c>
      <c r="F114" t="s">
        <v>889</v>
      </c>
      <c r="G114" t="s">
        <v>1016</v>
      </c>
      <c r="H114" s="57" t="s">
        <v>1090</v>
      </c>
      <c r="I114" t="s">
        <v>1091</v>
      </c>
      <c r="J114" s="64">
        <v>386.34846999999996</v>
      </c>
    </row>
    <row r="115" spans="2:10" x14ac:dyDescent="0.25">
      <c r="B115" t="str">
        <f t="shared" si="1"/>
        <v>Tribiano ConsipCL3-IPU-L415-01</v>
      </c>
      <c r="C115" t="s">
        <v>958</v>
      </c>
      <c r="D115" s="62" t="s">
        <v>887</v>
      </c>
      <c r="E115" s="50" t="s">
        <v>888</v>
      </c>
      <c r="F115" t="s">
        <v>889</v>
      </c>
      <c r="G115" t="s">
        <v>1016</v>
      </c>
      <c r="H115" s="57" t="s">
        <v>1092</v>
      </c>
      <c r="I115" t="s">
        <v>1093</v>
      </c>
      <c r="J115" s="64">
        <v>52.514849999999996</v>
      </c>
    </row>
    <row r="116" spans="2:10" x14ac:dyDescent="0.25">
      <c r="B116" t="str">
        <f t="shared" si="1"/>
        <v>Vinovo PLPPP-IPU-M060-01</v>
      </c>
      <c r="C116" t="s">
        <v>826</v>
      </c>
      <c r="D116" s="62" t="s">
        <v>887</v>
      </c>
      <c r="E116" s="50" t="s">
        <v>888</v>
      </c>
      <c r="F116" t="s">
        <v>889</v>
      </c>
      <c r="G116" t="s">
        <v>890</v>
      </c>
      <c r="H116" s="57" t="s">
        <v>1094</v>
      </c>
      <c r="I116" t="s">
        <v>1095</v>
      </c>
      <c r="J116" s="64">
        <v>55.398879999999998</v>
      </c>
    </row>
    <row r="117" spans="2:10" x14ac:dyDescent="0.25">
      <c r="B117" t="str">
        <f t="shared" si="1"/>
        <v>GavoiPPP-IPU-D947-01</v>
      </c>
      <c r="C117" t="s">
        <v>826</v>
      </c>
      <c r="D117" s="62" t="s">
        <v>887</v>
      </c>
      <c r="E117" s="50" t="s">
        <v>896</v>
      </c>
      <c r="F117" t="s">
        <v>889</v>
      </c>
      <c r="G117" t="s">
        <v>890</v>
      </c>
      <c r="H117" s="57" t="s">
        <v>1096</v>
      </c>
      <c r="I117" t="s">
        <v>1097</v>
      </c>
      <c r="J117" s="64">
        <v>67.162379999999999</v>
      </c>
    </row>
    <row r="118" spans="2:10" x14ac:dyDescent="0.25">
      <c r="B118" t="str">
        <f t="shared" si="1"/>
        <v>OnifaiPPP-IPU-G070-01</v>
      </c>
      <c r="C118" t="s">
        <v>826</v>
      </c>
      <c r="D118" s="62" t="s">
        <v>887</v>
      </c>
      <c r="E118" s="50" t="s">
        <v>896</v>
      </c>
      <c r="F118" t="s">
        <v>889</v>
      </c>
      <c r="G118" t="s">
        <v>890</v>
      </c>
      <c r="H118" s="57" t="s">
        <v>1098</v>
      </c>
      <c r="I118" t="s">
        <v>1099</v>
      </c>
      <c r="J118" s="64">
        <v>26.36694</v>
      </c>
    </row>
    <row r="119" spans="2:10" x14ac:dyDescent="0.25">
      <c r="B119" t="str">
        <f t="shared" si="1"/>
        <v>MamoiadaPPP-GTE-E874-01</v>
      </c>
      <c r="C119" t="s">
        <v>826</v>
      </c>
      <c r="D119" s="62" t="s">
        <v>887</v>
      </c>
      <c r="E119" s="50" t="s">
        <v>896</v>
      </c>
      <c r="F119" t="s">
        <v>965</v>
      </c>
      <c r="G119" t="s">
        <v>965</v>
      </c>
      <c r="H119" s="57" t="s">
        <v>1100</v>
      </c>
      <c r="I119" t="s">
        <v>1101</v>
      </c>
      <c r="J119" s="64">
        <v>0</v>
      </c>
    </row>
    <row r="120" spans="2:10" x14ac:dyDescent="0.25">
      <c r="B120" t="str">
        <f t="shared" si="1"/>
        <v>Francavilla al MarePPP-IPU-D763-01</v>
      </c>
      <c r="C120" t="s">
        <v>826</v>
      </c>
      <c r="D120" s="62" t="s">
        <v>887</v>
      </c>
      <c r="E120" s="50" t="s">
        <v>896</v>
      </c>
      <c r="F120" t="s">
        <v>889</v>
      </c>
      <c r="G120" t="s">
        <v>890</v>
      </c>
      <c r="H120" s="57" t="s">
        <v>1102</v>
      </c>
      <c r="I120" t="s">
        <v>1103</v>
      </c>
      <c r="J120" s="64">
        <v>0</v>
      </c>
    </row>
    <row r="121" spans="2:10" x14ac:dyDescent="0.25">
      <c r="B121" t="str">
        <f t="shared" si="1"/>
        <v>FabrianoPPP-IPU-D451-01</v>
      </c>
      <c r="C121" t="s">
        <v>826</v>
      </c>
      <c r="D121" s="62" t="s">
        <v>887</v>
      </c>
      <c r="E121" s="50" t="s">
        <v>896</v>
      </c>
      <c r="F121" t="s">
        <v>889</v>
      </c>
      <c r="G121" t="s">
        <v>890</v>
      </c>
      <c r="H121" s="57" t="s">
        <v>1104</v>
      </c>
      <c r="I121" t="s">
        <v>1105</v>
      </c>
      <c r="J121" s="64">
        <v>0</v>
      </c>
    </row>
    <row r="122" spans="2:10" x14ac:dyDescent="0.25">
      <c r="B122" t="str">
        <f t="shared" si="1"/>
        <v>Colle di Val d'ElsaPPP-IPU-C847-01</v>
      </c>
      <c r="C122" t="s">
        <v>826</v>
      </c>
      <c r="D122" s="62" t="s">
        <v>887</v>
      </c>
      <c r="E122" s="50" t="s">
        <v>896</v>
      </c>
      <c r="F122" t="s">
        <v>889</v>
      </c>
      <c r="G122" t="s">
        <v>890</v>
      </c>
      <c r="H122" s="57" t="s">
        <v>1106</v>
      </c>
      <c r="I122" t="s">
        <v>1107</v>
      </c>
      <c r="J122" s="64">
        <v>0</v>
      </c>
    </row>
    <row r="123" spans="2:10" x14ac:dyDescent="0.25">
      <c r="B123" t="str">
        <f t="shared" si="1"/>
        <v>ColornoPPP-IPU-C904-01</v>
      </c>
      <c r="C123" t="s">
        <v>826</v>
      </c>
      <c r="D123" s="62" t="s">
        <v>887</v>
      </c>
      <c r="E123" s="50" t="s">
        <v>896</v>
      </c>
      <c r="F123" t="s">
        <v>889</v>
      </c>
      <c r="G123" t="s">
        <v>890</v>
      </c>
      <c r="H123" s="57" t="s">
        <v>1108</v>
      </c>
      <c r="I123" t="s">
        <v>1109</v>
      </c>
      <c r="J123" s="64">
        <v>0</v>
      </c>
    </row>
    <row r="124" spans="2:10" x14ac:dyDescent="0.25">
      <c r="B124" t="str">
        <f t="shared" si="1"/>
        <v>Acquasanta TermePPP-IPU-A044-01</v>
      </c>
      <c r="C124" t="s">
        <v>826</v>
      </c>
      <c r="D124" s="62" t="s">
        <v>887</v>
      </c>
      <c r="E124" s="50" t="s">
        <v>896</v>
      </c>
      <c r="F124" t="s">
        <v>889</v>
      </c>
      <c r="G124" t="s">
        <v>890</v>
      </c>
      <c r="H124" s="57" t="s">
        <v>1110</v>
      </c>
      <c r="I124" t="s">
        <v>1111</v>
      </c>
      <c r="J124" s="64">
        <v>0</v>
      </c>
    </row>
    <row r="125" spans="2:10" x14ac:dyDescent="0.25">
      <c r="B125" t="str">
        <f t="shared" si="1"/>
        <v>Terre RovereschePPP-IPU-M379-01</v>
      </c>
      <c r="C125" t="s">
        <v>826</v>
      </c>
      <c r="D125" s="62" t="s">
        <v>887</v>
      </c>
      <c r="E125" s="50" t="s">
        <v>896</v>
      </c>
      <c r="F125" t="s">
        <v>889</v>
      </c>
      <c r="G125" t="s">
        <v>890</v>
      </c>
      <c r="H125" s="57" t="s">
        <v>1112</v>
      </c>
      <c r="I125" t="s">
        <v>1113</v>
      </c>
      <c r="J125" s="64">
        <v>0</v>
      </c>
    </row>
    <row r="126" spans="2:10" x14ac:dyDescent="0.25">
      <c r="B126" t="str">
        <f t="shared" si="1"/>
        <v>FossacesiaPPP-IPU-D738-01</v>
      </c>
      <c r="C126" t="s">
        <v>826</v>
      </c>
      <c r="D126" s="62" t="s">
        <v>887</v>
      </c>
      <c r="E126" s="50" t="s">
        <v>896</v>
      </c>
      <c r="F126" t="s">
        <v>889</v>
      </c>
      <c r="G126" t="s">
        <v>890</v>
      </c>
      <c r="H126" s="57" t="s">
        <v>1114</v>
      </c>
      <c r="I126" t="s">
        <v>1115</v>
      </c>
      <c r="J126" s="64">
        <v>0</v>
      </c>
    </row>
    <row r="127" spans="2:10" x14ac:dyDescent="0.25">
      <c r="B127" t="str">
        <f t="shared" si="1"/>
        <v>CastellaltoPPP-IPU-C128-01</v>
      </c>
      <c r="C127" t="s">
        <v>826</v>
      </c>
      <c r="D127" s="62" t="s">
        <v>887</v>
      </c>
      <c r="E127" s="50" t="s">
        <v>896</v>
      </c>
      <c r="F127" t="s">
        <v>889</v>
      </c>
      <c r="G127" t="s">
        <v>890</v>
      </c>
      <c r="H127" s="57" t="s">
        <v>1116</v>
      </c>
      <c r="I127" t="s">
        <v>1117</v>
      </c>
      <c r="J127" s="64">
        <v>0</v>
      </c>
    </row>
    <row r="128" spans="2:10" x14ac:dyDescent="0.25">
      <c r="B128" t="str">
        <f t="shared" si="1"/>
        <v>Luco dei MarsiPPP-IPU-E723-01</v>
      </c>
      <c r="C128" t="s">
        <v>826</v>
      </c>
      <c r="D128" s="62" t="s">
        <v>887</v>
      </c>
      <c r="E128" s="50" t="s">
        <v>896</v>
      </c>
      <c r="F128" t="s">
        <v>889</v>
      </c>
      <c r="G128" t="s">
        <v>890</v>
      </c>
      <c r="H128" s="57" t="s">
        <v>1118</v>
      </c>
      <c r="I128" t="s">
        <v>1119</v>
      </c>
      <c r="J128" s="64">
        <v>0</v>
      </c>
    </row>
    <row r="129" spans="2:10" x14ac:dyDescent="0.25">
      <c r="B129" t="str">
        <f t="shared" si="1"/>
        <v>GairoPPP-IPU-D859-01</v>
      </c>
      <c r="C129" t="s">
        <v>826</v>
      </c>
      <c r="D129" s="62" t="s">
        <v>887</v>
      </c>
      <c r="E129" s="50" t="s">
        <v>896</v>
      </c>
      <c r="F129" t="s">
        <v>889</v>
      </c>
      <c r="G129" t="s">
        <v>890</v>
      </c>
      <c r="H129" s="57" t="s">
        <v>1120</v>
      </c>
      <c r="I129" t="s">
        <v>1121</v>
      </c>
      <c r="J129" s="64">
        <v>0</v>
      </c>
    </row>
    <row r="130" spans="2:10" x14ac:dyDescent="0.25">
      <c r="B130" t="str">
        <f t="shared" si="1"/>
        <v>Multiss (Sassari-Olbia-Tempio)PPP-GTE-I452-01</v>
      </c>
      <c r="C130" t="s">
        <v>826</v>
      </c>
      <c r="D130" s="62" t="s">
        <v>887</v>
      </c>
      <c r="E130" s="50" t="s">
        <v>896</v>
      </c>
      <c r="F130" t="s">
        <v>965</v>
      </c>
      <c r="G130" t="s">
        <v>965</v>
      </c>
      <c r="H130" s="57" t="s">
        <v>1122</v>
      </c>
      <c r="I130" t="s">
        <v>1123</v>
      </c>
      <c r="J130" s="64">
        <v>0</v>
      </c>
    </row>
    <row r="131" spans="2:10" x14ac:dyDescent="0.25">
      <c r="B131" t="str">
        <f t="shared" si="1"/>
        <v>Santu Lussurgiu PLPPP-IPU-I374-01</v>
      </c>
      <c r="C131" t="s">
        <v>826</v>
      </c>
      <c r="D131" s="62" t="s">
        <v>887</v>
      </c>
      <c r="E131" s="50" t="s">
        <v>896</v>
      </c>
      <c r="F131" t="s">
        <v>889</v>
      </c>
      <c r="G131" t="s">
        <v>890</v>
      </c>
      <c r="H131" s="57" t="s">
        <v>1124</v>
      </c>
      <c r="I131" t="s">
        <v>1125</v>
      </c>
      <c r="J131" s="64">
        <v>0</v>
      </c>
    </row>
    <row r="132" spans="2:10" x14ac:dyDescent="0.25">
      <c r="B132" t="str">
        <f t="shared" ref="B132:B195" si="2">+I132&amp;H132</f>
        <v>FermignanoAQ1-IPU-D541-01</v>
      </c>
      <c r="C132" t="s">
        <v>958</v>
      </c>
      <c r="D132" s="62" t="s">
        <v>887</v>
      </c>
      <c r="E132" s="50" t="s">
        <v>896</v>
      </c>
      <c r="F132" t="s">
        <v>889</v>
      </c>
      <c r="G132" t="s">
        <v>961</v>
      </c>
      <c r="H132" s="57" t="s">
        <v>1126</v>
      </c>
      <c r="I132" t="s">
        <v>1127</v>
      </c>
      <c r="J132" s="64">
        <v>8.6540099999999995</v>
      </c>
    </row>
    <row r="133" spans="2:10" x14ac:dyDescent="0.25">
      <c r="B133" t="str">
        <f t="shared" si="2"/>
        <v>FolignanoCL3-IPU-D652-01</v>
      </c>
      <c r="C133" t="s">
        <v>958</v>
      </c>
      <c r="D133" s="62" t="s">
        <v>887</v>
      </c>
      <c r="E133" s="50" t="s">
        <v>896</v>
      </c>
      <c r="F133" t="s">
        <v>889</v>
      </c>
      <c r="G133" t="s">
        <v>890</v>
      </c>
      <c r="H133" s="57" t="s">
        <v>1128</v>
      </c>
      <c r="I133" t="s">
        <v>1129</v>
      </c>
      <c r="J133" s="64">
        <v>0</v>
      </c>
    </row>
    <row r="134" spans="2:10" x14ac:dyDescent="0.25">
      <c r="B134" t="str">
        <f t="shared" si="2"/>
        <v>StintinoPPP-IPU-M290-01</v>
      </c>
      <c r="C134" t="s">
        <v>826</v>
      </c>
      <c r="D134" s="62" t="s">
        <v>887</v>
      </c>
      <c r="E134" s="50" t="s">
        <v>896</v>
      </c>
      <c r="F134" t="s">
        <v>889</v>
      </c>
      <c r="G134" t="s">
        <v>890</v>
      </c>
      <c r="H134" s="57" t="s">
        <v>1130</v>
      </c>
      <c r="I134" t="s">
        <v>1131</v>
      </c>
      <c r="J134" s="64">
        <v>0</v>
      </c>
    </row>
    <row r="135" spans="2:10" x14ac:dyDescent="0.25">
      <c r="B135" t="str">
        <f t="shared" si="2"/>
        <v>TolentinoAQ1-IPU-L191-01</v>
      </c>
      <c r="C135" t="s">
        <v>958</v>
      </c>
      <c r="D135" s="62" t="s">
        <v>887</v>
      </c>
      <c r="E135" s="50" t="s">
        <v>896</v>
      </c>
      <c r="F135" t="s">
        <v>889</v>
      </c>
      <c r="G135" t="s">
        <v>961</v>
      </c>
      <c r="H135" s="57" t="s">
        <v>1132</v>
      </c>
      <c r="I135" t="s">
        <v>1133</v>
      </c>
      <c r="J135" s="64">
        <v>131.98428000000001</v>
      </c>
    </row>
    <row r="136" spans="2:10" x14ac:dyDescent="0.25">
      <c r="B136" t="str">
        <f t="shared" si="2"/>
        <v>Albinea ConsipCL3-IPU-A162-01</v>
      </c>
      <c r="C136" t="s">
        <v>958</v>
      </c>
      <c r="D136" s="62" t="s">
        <v>887</v>
      </c>
      <c r="E136" s="50" t="s">
        <v>896</v>
      </c>
      <c r="F136" t="s">
        <v>889</v>
      </c>
      <c r="G136" t="s">
        <v>1016</v>
      </c>
      <c r="H136" s="57" t="s">
        <v>1134</v>
      </c>
      <c r="I136" t="s">
        <v>1135</v>
      </c>
      <c r="J136" s="64">
        <v>163.96620000000001</v>
      </c>
    </row>
    <row r="137" spans="2:10" x14ac:dyDescent="0.25">
      <c r="B137" t="str">
        <f t="shared" si="2"/>
        <v>Albinea PPPPPP-IPU-A162-01</v>
      </c>
      <c r="C137" t="s">
        <v>826</v>
      </c>
      <c r="D137" s="62" t="s">
        <v>887</v>
      </c>
      <c r="E137" s="50" t="s">
        <v>896</v>
      </c>
      <c r="F137" t="s">
        <v>889</v>
      </c>
      <c r="G137" t="s">
        <v>890</v>
      </c>
      <c r="H137" s="57" t="s">
        <v>1136</v>
      </c>
      <c r="I137" t="s">
        <v>1137</v>
      </c>
      <c r="J137" s="64">
        <v>0</v>
      </c>
    </row>
    <row r="138" spans="2:10" x14ac:dyDescent="0.25">
      <c r="B138" t="str">
        <f t="shared" si="2"/>
        <v>Faenza ConsipCL3-IPU-D458-01</v>
      </c>
      <c r="C138" t="s">
        <v>958</v>
      </c>
      <c r="D138" s="62" t="s">
        <v>887</v>
      </c>
      <c r="E138" s="50" t="s">
        <v>896</v>
      </c>
      <c r="F138" t="s">
        <v>889</v>
      </c>
      <c r="G138" t="s">
        <v>1016</v>
      </c>
      <c r="H138" s="57" t="s">
        <v>1138</v>
      </c>
      <c r="I138" t="s">
        <v>1139</v>
      </c>
      <c r="J138" s="64">
        <v>510.71571999999998</v>
      </c>
    </row>
    <row r="139" spans="2:10" x14ac:dyDescent="0.25">
      <c r="B139" t="str">
        <f t="shared" si="2"/>
        <v>Falconara Marittima ConsipCL3-IPU-D472-01</v>
      </c>
      <c r="C139" t="s">
        <v>958</v>
      </c>
      <c r="D139" s="62" t="s">
        <v>887</v>
      </c>
      <c r="E139" s="50" t="s">
        <v>896</v>
      </c>
      <c r="F139" t="s">
        <v>889</v>
      </c>
      <c r="G139" t="s">
        <v>1016</v>
      </c>
      <c r="H139" s="57" t="s">
        <v>1140</v>
      </c>
      <c r="I139" t="s">
        <v>1141</v>
      </c>
      <c r="J139" s="64">
        <v>322.74203</v>
      </c>
    </row>
    <row r="140" spans="2:10" x14ac:dyDescent="0.25">
      <c r="B140" t="str">
        <f t="shared" si="2"/>
        <v>Falconara Marittima PPPPPP-IPU-D472-01</v>
      </c>
      <c r="C140" t="s">
        <v>826</v>
      </c>
      <c r="D140" s="62" t="s">
        <v>887</v>
      </c>
      <c r="E140" s="50" t="s">
        <v>896</v>
      </c>
      <c r="F140" t="s">
        <v>889</v>
      </c>
      <c r="G140" t="s">
        <v>890</v>
      </c>
      <c r="H140" s="57" t="s">
        <v>1142</v>
      </c>
      <c r="I140" t="s">
        <v>1143</v>
      </c>
      <c r="J140" s="64">
        <v>0</v>
      </c>
    </row>
    <row r="141" spans="2:10" x14ac:dyDescent="0.25">
      <c r="B141" t="str">
        <f t="shared" si="2"/>
        <v>Fermo ConsipCL3-IPU-D542-01</v>
      </c>
      <c r="C141" t="s">
        <v>958</v>
      </c>
      <c r="D141" s="62" t="s">
        <v>887</v>
      </c>
      <c r="E141" s="50" t="s">
        <v>896</v>
      </c>
      <c r="F141" t="s">
        <v>889</v>
      </c>
      <c r="G141" t="s">
        <v>1016</v>
      </c>
      <c r="H141" s="57" t="s">
        <v>1144</v>
      </c>
      <c r="I141" t="s">
        <v>1145</v>
      </c>
      <c r="J141" s="64">
        <v>465.00453999999996</v>
      </c>
    </row>
    <row r="142" spans="2:10" x14ac:dyDescent="0.25">
      <c r="B142" t="str">
        <f t="shared" si="2"/>
        <v>Fermo PPPPPP-IPU-D542-01</v>
      </c>
      <c r="C142" t="s">
        <v>826</v>
      </c>
      <c r="D142" s="62" t="s">
        <v>887</v>
      </c>
      <c r="E142" s="50" t="s">
        <v>896</v>
      </c>
      <c r="F142" t="s">
        <v>889</v>
      </c>
      <c r="G142" t="s">
        <v>890</v>
      </c>
      <c r="H142" s="57" t="s">
        <v>1146</v>
      </c>
      <c r="I142" t="s">
        <v>1147</v>
      </c>
      <c r="J142" s="64">
        <v>0</v>
      </c>
    </row>
    <row r="143" spans="2:10" x14ac:dyDescent="0.25">
      <c r="B143" t="str">
        <f t="shared" si="2"/>
        <v>Macerata Proroga TecnicaCL3-IPU-E783-01</v>
      </c>
      <c r="C143" t="s">
        <v>958</v>
      </c>
      <c r="D143" s="62" t="s">
        <v>887</v>
      </c>
      <c r="E143" s="50" t="s">
        <v>896</v>
      </c>
      <c r="F143" t="s">
        <v>889</v>
      </c>
      <c r="G143" t="s">
        <v>1016</v>
      </c>
      <c r="H143" s="57" t="s">
        <v>1148</v>
      </c>
      <c r="I143" t="s">
        <v>1149</v>
      </c>
      <c r="J143" s="64">
        <v>-82.457350000000005</v>
      </c>
    </row>
    <row r="144" spans="2:10" x14ac:dyDescent="0.25">
      <c r="B144" t="str">
        <f t="shared" si="2"/>
        <v>Montegranaro ConsipCL3-IPU-F522-01</v>
      </c>
      <c r="C144" t="s">
        <v>958</v>
      </c>
      <c r="D144" s="62" t="s">
        <v>887</v>
      </c>
      <c r="E144" s="50" t="s">
        <v>896</v>
      </c>
      <c r="F144" t="s">
        <v>889</v>
      </c>
      <c r="G144" t="s">
        <v>1016</v>
      </c>
      <c r="H144" s="57" t="s">
        <v>1150</v>
      </c>
      <c r="I144" t="s">
        <v>1151</v>
      </c>
      <c r="J144" s="64">
        <v>160.38192000000001</v>
      </c>
    </row>
    <row r="145" spans="2:10" x14ac:dyDescent="0.25">
      <c r="B145" t="str">
        <f t="shared" si="2"/>
        <v>Pioraco ConsipCL3-IPU-G690-01</v>
      </c>
      <c r="C145" t="s">
        <v>958</v>
      </c>
      <c r="D145" s="62" t="s">
        <v>887</v>
      </c>
      <c r="E145" s="50" t="s">
        <v>896</v>
      </c>
      <c r="F145" t="s">
        <v>889</v>
      </c>
      <c r="G145" t="s">
        <v>1016</v>
      </c>
      <c r="H145" s="57" t="s">
        <v>1152</v>
      </c>
      <c r="I145" t="s">
        <v>1153</v>
      </c>
      <c r="J145" s="64">
        <v>5.4398500000000007</v>
      </c>
    </row>
    <row r="146" spans="2:10" x14ac:dyDescent="0.25">
      <c r="B146" t="str">
        <f t="shared" si="2"/>
        <v>Pioraco Proroga TecnicaCL3-IPU-G690-02</v>
      </c>
      <c r="C146" t="s">
        <v>958</v>
      </c>
      <c r="D146" s="62" t="s">
        <v>887</v>
      </c>
      <c r="E146" s="50" t="s">
        <v>896</v>
      </c>
      <c r="F146" t="s">
        <v>889</v>
      </c>
      <c r="G146" t="s">
        <v>1016</v>
      </c>
      <c r="H146" s="57" t="s">
        <v>1154</v>
      </c>
      <c r="I146" t="s">
        <v>1155</v>
      </c>
      <c r="J146" s="64">
        <v>0</v>
      </c>
    </row>
    <row r="147" spans="2:10" x14ac:dyDescent="0.25">
      <c r="B147" t="str">
        <f t="shared" si="2"/>
        <v>Scheggia e Pascelupo ConsipCL3-IPU-I522-01</v>
      </c>
      <c r="C147" t="s">
        <v>958</v>
      </c>
      <c r="D147" s="62" t="s">
        <v>887</v>
      </c>
      <c r="E147" s="50" t="s">
        <v>896</v>
      </c>
      <c r="F147" t="s">
        <v>889</v>
      </c>
      <c r="G147" t="s">
        <v>1016</v>
      </c>
      <c r="H147" s="57" t="s">
        <v>1156</v>
      </c>
      <c r="I147" t="s">
        <v>1157</v>
      </c>
      <c r="J147" s="64">
        <v>36.154830000000004</v>
      </c>
    </row>
    <row r="148" spans="2:10" x14ac:dyDescent="0.25">
      <c r="B148" t="str">
        <f t="shared" si="2"/>
        <v>Scheggia e Pascelupo PPPPPP-IPU-I522-01</v>
      </c>
      <c r="C148" t="s">
        <v>826</v>
      </c>
      <c r="D148" s="62" t="s">
        <v>887</v>
      </c>
      <c r="E148" s="50" t="s">
        <v>896</v>
      </c>
      <c r="F148" t="s">
        <v>889</v>
      </c>
      <c r="G148" t="s">
        <v>890</v>
      </c>
      <c r="H148" s="57" t="s">
        <v>1158</v>
      </c>
      <c r="I148" t="s">
        <v>1159</v>
      </c>
      <c r="J148" s="64">
        <v>0</v>
      </c>
    </row>
    <row r="149" spans="2:10" x14ac:dyDescent="0.25">
      <c r="B149" t="str">
        <f t="shared" si="2"/>
        <v>Senigallia PLPPP-IPU-I608-01</v>
      </c>
      <c r="C149" t="s">
        <v>826</v>
      </c>
      <c r="D149" s="62" t="s">
        <v>887</v>
      </c>
      <c r="E149" s="50" t="s">
        <v>896</v>
      </c>
      <c r="F149" t="s">
        <v>889</v>
      </c>
      <c r="G149" t="s">
        <v>890</v>
      </c>
      <c r="H149" s="57" t="s">
        <v>1160</v>
      </c>
      <c r="I149" t="s">
        <v>1161</v>
      </c>
      <c r="J149" s="64">
        <v>633.01632999999993</v>
      </c>
    </row>
    <row r="150" spans="2:10" x14ac:dyDescent="0.25">
      <c r="B150" t="str">
        <f t="shared" si="2"/>
        <v xml:space="preserve">Roma Servizi per la Mobilità S.r.l. </v>
      </c>
      <c r="C150" t="s">
        <v>958</v>
      </c>
      <c r="D150" s="62" t="s">
        <v>887</v>
      </c>
      <c r="E150" s="63" t="s">
        <v>896</v>
      </c>
      <c r="F150" t="s">
        <v>837</v>
      </c>
      <c r="G150" t="s">
        <v>890</v>
      </c>
      <c r="H150" s="53"/>
      <c r="I150" t="s">
        <v>1162</v>
      </c>
      <c r="J150" s="64">
        <v>0</v>
      </c>
    </row>
    <row r="151" spans="2:10" x14ac:dyDescent="0.25">
      <c r="B151" t="str">
        <f t="shared" si="2"/>
        <v>Bussi sul Tirino HMPPP-EEE-B294-03</v>
      </c>
      <c r="C151" t="s">
        <v>826</v>
      </c>
      <c r="D151" s="62" t="s">
        <v>887</v>
      </c>
      <c r="E151" s="50" t="s">
        <v>896</v>
      </c>
      <c r="F151" t="s">
        <v>965</v>
      </c>
      <c r="G151" t="s">
        <v>965</v>
      </c>
      <c r="H151" s="57" t="s">
        <v>1163</v>
      </c>
      <c r="I151" t="s">
        <v>1164</v>
      </c>
      <c r="J151" s="64">
        <v>142.51805999999999</v>
      </c>
    </row>
    <row r="152" spans="2:10" x14ac:dyDescent="0.25">
      <c r="B152" t="str">
        <f t="shared" si="2"/>
        <v>Acquaviva PicenaPPP-IPU-A047-01</v>
      </c>
      <c r="C152" t="s">
        <v>826</v>
      </c>
      <c r="D152" s="62" t="s">
        <v>887</v>
      </c>
      <c r="E152" s="50" t="s">
        <v>896</v>
      </c>
      <c r="F152" t="s">
        <v>889</v>
      </c>
      <c r="G152" t="s">
        <v>890</v>
      </c>
      <c r="H152" s="57" t="s">
        <v>1165</v>
      </c>
      <c r="I152" t="s">
        <v>1166</v>
      </c>
      <c r="J152" s="64">
        <v>77.59572</v>
      </c>
    </row>
    <row r="153" spans="2:10" x14ac:dyDescent="0.25">
      <c r="B153" t="str">
        <f t="shared" si="2"/>
        <v>Piceno Consorzio ind.PPP-IPU-A462-01</v>
      </c>
      <c r="C153" t="s">
        <v>826</v>
      </c>
      <c r="D153" s="62" t="s">
        <v>887</v>
      </c>
      <c r="E153" s="50" t="s">
        <v>896</v>
      </c>
      <c r="F153" t="s">
        <v>889</v>
      </c>
      <c r="G153" t="s">
        <v>890</v>
      </c>
      <c r="H153" s="57" t="s">
        <v>1167</v>
      </c>
      <c r="I153" t="s">
        <v>1168</v>
      </c>
      <c r="J153" s="64">
        <v>86.193100000000001</v>
      </c>
    </row>
    <row r="154" spans="2:10" x14ac:dyDescent="0.25">
      <c r="B154" t="str">
        <f t="shared" si="2"/>
        <v>AtriPPP-IPU-A488-01</v>
      </c>
      <c r="C154" t="s">
        <v>826</v>
      </c>
      <c r="D154" s="62" t="s">
        <v>887</v>
      </c>
      <c r="E154" s="50" t="s">
        <v>896</v>
      </c>
      <c r="F154" t="s">
        <v>889</v>
      </c>
      <c r="G154" t="s">
        <v>890</v>
      </c>
      <c r="H154" s="57" t="s">
        <v>1169</v>
      </c>
      <c r="I154" t="s">
        <v>1170</v>
      </c>
      <c r="J154" s="64">
        <v>336.48346000000004</v>
      </c>
    </row>
    <row r="155" spans="2:10" x14ac:dyDescent="0.25">
      <c r="B155" t="str">
        <f t="shared" si="2"/>
        <v>Bussi sul Tirino PLPPP-IPU-B294-01</v>
      </c>
      <c r="C155" t="s">
        <v>826</v>
      </c>
      <c r="D155" s="62" t="s">
        <v>887</v>
      </c>
      <c r="E155" s="50" t="s">
        <v>896</v>
      </c>
      <c r="F155" t="s">
        <v>889</v>
      </c>
      <c r="G155" t="s">
        <v>890</v>
      </c>
      <c r="H155" s="57" t="s">
        <v>1171</v>
      </c>
      <c r="I155" t="s">
        <v>1172</v>
      </c>
      <c r="J155" s="64">
        <v>79.007059999999996</v>
      </c>
    </row>
    <row r="156" spans="2:10" x14ac:dyDescent="0.25">
      <c r="B156" t="str">
        <f t="shared" si="2"/>
        <v>Carpineto SinelloPPP-IPU-B826-01</v>
      </c>
      <c r="C156" t="s">
        <v>826</v>
      </c>
      <c r="D156" s="62" t="s">
        <v>887</v>
      </c>
      <c r="E156" s="50" t="s">
        <v>896</v>
      </c>
      <c r="F156" t="s">
        <v>889</v>
      </c>
      <c r="G156" t="s">
        <v>890</v>
      </c>
      <c r="H156" s="57" t="s">
        <v>1173</v>
      </c>
      <c r="I156" t="s">
        <v>1174</v>
      </c>
      <c r="J156" s="64">
        <v>30.516259999999999</v>
      </c>
    </row>
    <row r="157" spans="2:10" x14ac:dyDescent="0.25">
      <c r="B157" t="str">
        <f t="shared" si="2"/>
        <v>CerchioPPP-IPU-C492-01</v>
      </c>
      <c r="C157" t="s">
        <v>826</v>
      </c>
      <c r="D157" s="62" t="s">
        <v>887</v>
      </c>
      <c r="E157" s="50" t="s">
        <v>896</v>
      </c>
      <c r="F157" t="s">
        <v>889</v>
      </c>
      <c r="G157" t="s">
        <v>890</v>
      </c>
      <c r="H157" s="57" t="s">
        <v>1175</v>
      </c>
      <c r="I157" t="s">
        <v>1176</v>
      </c>
      <c r="J157" s="64">
        <v>35.478250000000003</v>
      </c>
    </row>
    <row r="158" spans="2:10" x14ac:dyDescent="0.25">
      <c r="B158" t="str">
        <f t="shared" si="2"/>
        <v>LanuvioPPP-IPU-C767-01</v>
      </c>
      <c r="C158" t="s">
        <v>826</v>
      </c>
      <c r="D158" s="62" t="s">
        <v>887</v>
      </c>
      <c r="E158" s="50" t="s">
        <v>896</v>
      </c>
      <c r="F158" t="s">
        <v>889</v>
      </c>
      <c r="G158" t="s">
        <v>890</v>
      </c>
      <c r="H158" s="57" t="s">
        <v>1177</v>
      </c>
      <c r="I158" t="s">
        <v>1178</v>
      </c>
      <c r="J158" s="64">
        <v>62.477370000000001</v>
      </c>
    </row>
    <row r="159" spans="2:10" x14ac:dyDescent="0.25">
      <c r="B159" t="str">
        <f t="shared" si="2"/>
        <v>LettomanoppelloPPP-IPU-E558-01</v>
      </c>
      <c r="C159" t="s">
        <v>826</v>
      </c>
      <c r="D159" s="62" t="s">
        <v>887</v>
      </c>
      <c r="E159" s="50" t="s">
        <v>896</v>
      </c>
      <c r="F159" t="s">
        <v>889</v>
      </c>
      <c r="G159" t="s">
        <v>890</v>
      </c>
      <c r="H159" s="57" t="s">
        <v>1179</v>
      </c>
      <c r="I159" t="s">
        <v>1180</v>
      </c>
      <c r="J159" s="64">
        <v>73.157960000000003</v>
      </c>
    </row>
    <row r="160" spans="2:10" x14ac:dyDescent="0.25">
      <c r="B160" t="str">
        <f t="shared" si="2"/>
        <v>MonteodorisioPPP-IPU-F582-01</v>
      </c>
      <c r="C160" t="s">
        <v>826</v>
      </c>
      <c r="D160" s="62" t="s">
        <v>887</v>
      </c>
      <c r="E160" s="50" t="s">
        <v>896</v>
      </c>
      <c r="F160" t="s">
        <v>889</v>
      </c>
      <c r="G160" t="s">
        <v>890</v>
      </c>
      <c r="H160" s="57" t="s">
        <v>1181</v>
      </c>
      <c r="I160" t="s">
        <v>1182</v>
      </c>
      <c r="J160" s="64">
        <v>45.19932</v>
      </c>
    </row>
    <row r="161" spans="2:10" x14ac:dyDescent="0.25">
      <c r="B161" t="str">
        <f t="shared" si="2"/>
        <v>Morro d'Oro PLPPP-IPU-F747-01</v>
      </c>
      <c r="C161" t="s">
        <v>826</v>
      </c>
      <c r="D161" s="62" t="s">
        <v>887</v>
      </c>
      <c r="E161" s="50" t="s">
        <v>896</v>
      </c>
      <c r="F161" t="s">
        <v>889</v>
      </c>
      <c r="G161" t="s">
        <v>890</v>
      </c>
      <c r="H161" s="57" t="s">
        <v>1183</v>
      </c>
      <c r="I161" t="s">
        <v>1184</v>
      </c>
      <c r="J161" s="64">
        <v>51.251410000000007</v>
      </c>
    </row>
    <row r="162" spans="2:10" x14ac:dyDescent="0.25">
      <c r="B162" t="str">
        <f t="shared" si="2"/>
        <v>Palombara SabinaPPP-IPU-G293-01</v>
      </c>
      <c r="C162" t="s">
        <v>826</v>
      </c>
      <c r="D162" s="62" t="s">
        <v>887</v>
      </c>
      <c r="E162" s="50" t="s">
        <v>896</v>
      </c>
      <c r="F162" t="s">
        <v>889</v>
      </c>
      <c r="G162" t="s">
        <v>890</v>
      </c>
      <c r="H162" s="57" t="s">
        <v>1185</v>
      </c>
      <c r="I162" t="s">
        <v>1186</v>
      </c>
      <c r="J162" s="64">
        <v>140.54867999999999</v>
      </c>
    </row>
    <row r="163" spans="2:10" x14ac:dyDescent="0.25">
      <c r="B163" t="str">
        <f t="shared" si="2"/>
        <v>PiccianoPPP-IPU-G589-01</v>
      </c>
      <c r="C163" t="s">
        <v>826</v>
      </c>
      <c r="D163" s="62" t="s">
        <v>887</v>
      </c>
      <c r="E163" s="50" t="s">
        <v>896</v>
      </c>
      <c r="F163" t="s">
        <v>889</v>
      </c>
      <c r="G163" t="s">
        <v>890</v>
      </c>
      <c r="H163" s="57" t="s">
        <v>1187</v>
      </c>
      <c r="I163" t="s">
        <v>1188</v>
      </c>
      <c r="J163" s="64">
        <v>47.424879999999995</v>
      </c>
    </row>
    <row r="164" spans="2:10" x14ac:dyDescent="0.25">
      <c r="B164" t="str">
        <f t="shared" si="2"/>
        <v>Pieve FoscianaPPP-IPU-G648-01</v>
      </c>
      <c r="C164" t="s">
        <v>826</v>
      </c>
      <c r="D164" s="62" t="s">
        <v>887</v>
      </c>
      <c r="E164" s="50" t="s">
        <v>896</v>
      </c>
      <c r="F164" t="s">
        <v>889</v>
      </c>
      <c r="G164" t="s">
        <v>890</v>
      </c>
      <c r="H164" s="57" t="s">
        <v>1189</v>
      </c>
      <c r="I164" t="s">
        <v>1190</v>
      </c>
      <c r="J164" s="64">
        <v>48.769030000000001</v>
      </c>
    </row>
    <row r="165" spans="2:10" x14ac:dyDescent="0.25">
      <c r="B165" t="str">
        <f t="shared" si="2"/>
        <v>Popoli TermePPP-IPU-G878-01</v>
      </c>
      <c r="C165" t="s">
        <v>826</v>
      </c>
      <c r="D165" s="62" t="s">
        <v>887</v>
      </c>
      <c r="E165" s="50" t="s">
        <v>896</v>
      </c>
      <c r="F165" t="s">
        <v>889</v>
      </c>
      <c r="G165" t="s">
        <v>890</v>
      </c>
      <c r="H165" s="57" t="s">
        <v>1191</v>
      </c>
      <c r="I165" t="s">
        <v>1192</v>
      </c>
      <c r="J165" s="64">
        <v>181.73760000000001</v>
      </c>
    </row>
    <row r="166" spans="2:10" x14ac:dyDescent="0.25">
      <c r="B166" t="str">
        <f t="shared" si="2"/>
        <v>PortocannonePPP-IPU-G910-01</v>
      </c>
      <c r="C166" t="s">
        <v>826</v>
      </c>
      <c r="D166" s="62" t="s">
        <v>887</v>
      </c>
      <c r="E166" s="50" t="s">
        <v>896</v>
      </c>
      <c r="F166" t="s">
        <v>889</v>
      </c>
      <c r="G166" t="s">
        <v>890</v>
      </c>
      <c r="H166" s="57" t="s">
        <v>1193</v>
      </c>
      <c r="I166" t="s">
        <v>1194</v>
      </c>
      <c r="J166" s="64">
        <v>48.518339999999995</v>
      </c>
    </row>
    <row r="167" spans="2:10" x14ac:dyDescent="0.25">
      <c r="B167" t="str">
        <f t="shared" si="2"/>
        <v>PretoroPPP-IPU-H052-01</v>
      </c>
      <c r="C167" t="s">
        <v>826</v>
      </c>
      <c r="D167" s="62" t="s">
        <v>887</v>
      </c>
      <c r="E167" s="50" t="s">
        <v>896</v>
      </c>
      <c r="F167" t="s">
        <v>889</v>
      </c>
      <c r="G167" t="s">
        <v>890</v>
      </c>
      <c r="H167" s="57" t="s">
        <v>1195</v>
      </c>
      <c r="I167" t="s">
        <v>1196</v>
      </c>
      <c r="J167" s="64">
        <v>47.214400000000005</v>
      </c>
    </row>
    <row r="168" spans="2:10" x14ac:dyDescent="0.25">
      <c r="B168" t="str">
        <f t="shared" si="2"/>
        <v>San Martino In PensilisPPP-IPU-H990-01</v>
      </c>
      <c r="C168" t="s">
        <v>826</v>
      </c>
      <c r="D168" s="62" t="s">
        <v>887</v>
      </c>
      <c r="E168" s="50" t="s">
        <v>896</v>
      </c>
      <c r="F168" t="s">
        <v>889</v>
      </c>
      <c r="G168" t="s">
        <v>890</v>
      </c>
      <c r="H168" s="57" t="s">
        <v>1197</v>
      </c>
      <c r="I168" t="s">
        <v>1198</v>
      </c>
      <c r="J168" s="64">
        <v>51.483179999999997</v>
      </c>
    </row>
    <row r="169" spans="2:10" x14ac:dyDescent="0.25">
      <c r="B169" t="str">
        <f t="shared" si="2"/>
        <v>Sant'Eufemia a MaiellaPPP-IPU-I332-01</v>
      </c>
      <c r="C169" t="s">
        <v>826</v>
      </c>
      <c r="D169" s="62" t="s">
        <v>887</v>
      </c>
      <c r="E169" s="50" t="s">
        <v>896</v>
      </c>
      <c r="F169" t="s">
        <v>889</v>
      </c>
      <c r="G169" t="s">
        <v>890</v>
      </c>
      <c r="H169" s="57" t="s">
        <v>1199</v>
      </c>
      <c r="I169" t="s">
        <v>1200</v>
      </c>
      <c r="J169" s="64">
        <v>23.179020000000001</v>
      </c>
    </row>
    <row r="170" spans="2:10" x14ac:dyDescent="0.25">
      <c r="B170" t="str">
        <f t="shared" si="2"/>
        <v>San Vito ChietinoPPP-IPU-I394-01</v>
      </c>
      <c r="C170" t="s">
        <v>826</v>
      </c>
      <c r="D170" s="62" t="s">
        <v>887</v>
      </c>
      <c r="E170" s="50" t="s">
        <v>896</v>
      </c>
      <c r="F170" t="s">
        <v>889</v>
      </c>
      <c r="G170" t="s">
        <v>890</v>
      </c>
      <c r="H170" s="57" t="s">
        <v>1201</v>
      </c>
      <c r="I170" t="s">
        <v>1202</v>
      </c>
      <c r="J170" s="64">
        <v>158.92779000000002</v>
      </c>
    </row>
    <row r="171" spans="2:10" x14ac:dyDescent="0.25">
      <c r="B171" t="str">
        <f t="shared" si="2"/>
        <v>Scurcola MarsicanaPPP-IPU-I553-01</v>
      </c>
      <c r="C171" t="s">
        <v>826</v>
      </c>
      <c r="D171" s="62" t="s">
        <v>887</v>
      </c>
      <c r="E171" s="50" t="s">
        <v>896</v>
      </c>
      <c r="F171" t="s">
        <v>889</v>
      </c>
      <c r="G171" t="s">
        <v>890</v>
      </c>
      <c r="H171" s="57" t="s">
        <v>1203</v>
      </c>
      <c r="I171" t="s">
        <v>1204</v>
      </c>
      <c r="J171" s="64">
        <v>50.686260000000004</v>
      </c>
    </row>
    <row r="172" spans="2:10" x14ac:dyDescent="0.25">
      <c r="B172" t="str">
        <f t="shared" si="2"/>
        <v>SupinoPPP-IPU-L009-01</v>
      </c>
      <c r="C172" t="s">
        <v>826</v>
      </c>
      <c r="D172" s="62" t="s">
        <v>887</v>
      </c>
      <c r="E172" s="50" t="s">
        <v>896</v>
      </c>
      <c r="F172" t="s">
        <v>889</v>
      </c>
      <c r="G172" t="s">
        <v>890</v>
      </c>
      <c r="H172" s="57" t="s">
        <v>1205</v>
      </c>
      <c r="I172" t="s">
        <v>1206</v>
      </c>
      <c r="J172" s="64">
        <v>76.69744</v>
      </c>
    </row>
    <row r="173" spans="2:10" x14ac:dyDescent="0.25">
      <c r="B173" t="str">
        <f t="shared" si="2"/>
        <v>UruriPPP-IPU-L505-01</v>
      </c>
      <c r="C173" t="s">
        <v>826</v>
      </c>
      <c r="D173" s="62" t="s">
        <v>887</v>
      </c>
      <c r="E173" s="50" t="s">
        <v>896</v>
      </c>
      <c r="F173" t="s">
        <v>889</v>
      </c>
      <c r="G173" t="s">
        <v>890</v>
      </c>
      <c r="H173" s="57" t="s">
        <v>1207</v>
      </c>
      <c r="I173" t="s">
        <v>1208</v>
      </c>
      <c r="J173" s="64">
        <v>68.652899999999988</v>
      </c>
    </row>
    <row r="174" spans="2:10" x14ac:dyDescent="0.25">
      <c r="B174" t="str">
        <f t="shared" si="2"/>
        <v>VicopisanoPPP-IPU-L850-01</v>
      </c>
      <c r="C174" t="s">
        <v>826</v>
      </c>
      <c r="D174" s="62" t="s">
        <v>887</v>
      </c>
      <c r="E174" s="50" t="s">
        <v>896</v>
      </c>
      <c r="F174" t="s">
        <v>889</v>
      </c>
      <c r="G174" t="s">
        <v>890</v>
      </c>
      <c r="H174" s="57" t="s">
        <v>1209</v>
      </c>
      <c r="I174" t="s">
        <v>1210</v>
      </c>
      <c r="J174" s="64">
        <v>92.225920000000002</v>
      </c>
    </row>
    <row r="175" spans="2:10" x14ac:dyDescent="0.25">
      <c r="B175" t="str">
        <f t="shared" si="2"/>
        <v>Polesine ZibelloPPP-IPU-M367-01</v>
      </c>
      <c r="C175" t="s">
        <v>826</v>
      </c>
      <c r="D175" s="62" t="s">
        <v>887</v>
      </c>
      <c r="E175" s="50" t="s">
        <v>896</v>
      </c>
      <c r="F175" t="s">
        <v>889</v>
      </c>
      <c r="G175" t="s">
        <v>890</v>
      </c>
      <c r="H175" s="57" t="s">
        <v>1211</v>
      </c>
      <c r="I175" t="s">
        <v>1212</v>
      </c>
      <c r="J175" s="64">
        <v>119.97575999999999</v>
      </c>
    </row>
    <row r="176" spans="2:10" x14ac:dyDescent="0.25">
      <c r="B176" t="str">
        <f t="shared" si="2"/>
        <v>Città Sant'Angelo SECSEC-IPU-C750-01</v>
      </c>
      <c r="C176" t="s">
        <v>826</v>
      </c>
      <c r="D176" s="62" t="s">
        <v>887</v>
      </c>
      <c r="E176" s="50" t="s">
        <v>896</v>
      </c>
      <c r="F176" t="s">
        <v>1079</v>
      </c>
      <c r="G176" t="s">
        <v>1079</v>
      </c>
      <c r="H176" s="57" t="s">
        <v>1213</v>
      </c>
      <c r="I176" t="s">
        <v>1214</v>
      </c>
      <c r="J176" s="64">
        <v>2.85</v>
      </c>
    </row>
    <row r="177" spans="2:10" x14ac:dyDescent="0.25">
      <c r="B177" t="str">
        <f t="shared" si="2"/>
        <v>Bellante PLPPP-IPU-A746-01</v>
      </c>
      <c r="C177" t="s">
        <v>826</v>
      </c>
      <c r="D177" s="62" t="s">
        <v>887</v>
      </c>
      <c r="E177" s="50" t="s">
        <v>896</v>
      </c>
      <c r="F177" t="s">
        <v>889</v>
      </c>
      <c r="G177" t="s">
        <v>890</v>
      </c>
      <c r="H177" s="57" t="s">
        <v>1215</v>
      </c>
      <c r="I177" t="s">
        <v>1216</v>
      </c>
      <c r="J177" s="64">
        <v>81.75076</v>
      </c>
    </row>
    <row r="178" spans="2:10" x14ac:dyDescent="0.25">
      <c r="B178" t="str">
        <f t="shared" si="2"/>
        <v>Mondolfo Proroga TecnicaCL3-IPU-F348-01</v>
      </c>
      <c r="C178" t="s">
        <v>958</v>
      </c>
      <c r="D178" s="62" t="s">
        <v>887</v>
      </c>
      <c r="E178" s="50" t="s">
        <v>896</v>
      </c>
      <c r="F178" t="s">
        <v>889</v>
      </c>
      <c r="G178" t="s">
        <v>1016</v>
      </c>
      <c r="H178" s="57" t="s">
        <v>1217</v>
      </c>
      <c r="I178" t="s">
        <v>1218</v>
      </c>
      <c r="J178" s="64">
        <v>204.72185999999999</v>
      </c>
    </row>
    <row r="179" spans="2:10" x14ac:dyDescent="0.25">
      <c r="B179" t="str">
        <f t="shared" si="2"/>
        <v>Cagli Proroga TecnicaCL3-IPU-B352-02</v>
      </c>
      <c r="C179" t="s">
        <v>958</v>
      </c>
      <c r="D179" s="62" t="s">
        <v>887</v>
      </c>
      <c r="E179" s="50" t="s">
        <v>896</v>
      </c>
      <c r="F179" t="s">
        <v>889</v>
      </c>
      <c r="G179" t="s">
        <v>1016</v>
      </c>
      <c r="H179" s="57" t="s">
        <v>1219</v>
      </c>
      <c r="I179" t="s">
        <v>1220</v>
      </c>
      <c r="J179" s="64">
        <v>0</v>
      </c>
    </row>
    <row r="180" spans="2:10" x14ac:dyDescent="0.25">
      <c r="B180" t="str">
        <f t="shared" si="2"/>
        <v>Petriano Proroga tecnicaCL3-IPU-G514-02</v>
      </c>
      <c r="C180" t="s">
        <v>958</v>
      </c>
      <c r="D180" s="62" t="s">
        <v>887</v>
      </c>
      <c r="E180" s="50" t="s">
        <v>896</v>
      </c>
      <c r="F180" t="s">
        <v>889</v>
      </c>
      <c r="G180" t="s">
        <v>1016</v>
      </c>
      <c r="H180" s="57" t="s">
        <v>1221</v>
      </c>
      <c r="I180" t="s">
        <v>1222</v>
      </c>
      <c r="J180" s="64">
        <v>0</v>
      </c>
    </row>
    <row r="181" spans="2:10" x14ac:dyDescent="0.25">
      <c r="B181" t="str">
        <f t="shared" si="2"/>
        <v>Potenza Picena Proroga tecnicaCL3-IPU-F632-02</v>
      </c>
      <c r="C181" t="s">
        <v>958</v>
      </c>
      <c r="D181" s="62" t="s">
        <v>887</v>
      </c>
      <c r="E181" s="50" t="s">
        <v>896</v>
      </c>
      <c r="F181" t="s">
        <v>889</v>
      </c>
      <c r="G181" t="s">
        <v>1016</v>
      </c>
      <c r="H181" s="57" t="s">
        <v>2324</v>
      </c>
      <c r="I181" t="s">
        <v>1223</v>
      </c>
      <c r="J181" s="64">
        <v>0</v>
      </c>
    </row>
    <row r="182" spans="2:10" x14ac:dyDescent="0.25">
      <c r="B182" t="str">
        <f t="shared" si="2"/>
        <v>Potenza Picena PPPPPP-IPU-F632-01</v>
      </c>
      <c r="C182" t="s">
        <v>826</v>
      </c>
      <c r="D182" s="62" t="s">
        <v>887</v>
      </c>
      <c r="E182" s="50" t="s">
        <v>896</v>
      </c>
      <c r="F182" t="s">
        <v>889</v>
      </c>
      <c r="G182" t="s">
        <v>890</v>
      </c>
      <c r="H182" s="57" t="s">
        <v>1224</v>
      </c>
      <c r="I182" t="s">
        <v>1225</v>
      </c>
      <c r="J182" s="64">
        <v>0</v>
      </c>
    </row>
    <row r="183" spans="2:10" x14ac:dyDescent="0.25">
      <c r="B183" t="str">
        <f t="shared" si="2"/>
        <v>Macerata PPPPPP-IPU-E783-01</v>
      </c>
      <c r="C183" t="s">
        <v>826</v>
      </c>
      <c r="D183" s="62" t="s">
        <v>887</v>
      </c>
      <c r="E183" s="50" t="s">
        <v>896</v>
      </c>
      <c r="F183" t="s">
        <v>889</v>
      </c>
      <c r="G183" t="s">
        <v>890</v>
      </c>
      <c r="H183" s="57" t="s">
        <v>1226</v>
      </c>
      <c r="I183" t="s">
        <v>1227</v>
      </c>
      <c r="J183" s="64">
        <v>0</v>
      </c>
    </row>
    <row r="184" spans="2:10" x14ac:dyDescent="0.25">
      <c r="B184" t="str">
        <f t="shared" si="2"/>
        <v>Pioraco PPPPPP-IPU-G690-01</v>
      </c>
      <c r="C184" t="s">
        <v>826</v>
      </c>
      <c r="D184" s="62" t="s">
        <v>887</v>
      </c>
      <c r="E184" s="50" t="s">
        <v>896</v>
      </c>
      <c r="F184" t="s">
        <v>889</v>
      </c>
      <c r="G184" t="s">
        <v>890</v>
      </c>
      <c r="H184" s="57" t="s">
        <v>1228</v>
      </c>
      <c r="I184" t="s">
        <v>1229</v>
      </c>
      <c r="J184" s="64">
        <v>0</v>
      </c>
    </row>
    <row r="185" spans="2:10" x14ac:dyDescent="0.25">
      <c r="B185" t="str">
        <f t="shared" si="2"/>
        <v>Mondolfo PPPPPP-IPU-F348-01</v>
      </c>
      <c r="C185" t="s">
        <v>826</v>
      </c>
      <c r="D185" s="62" t="s">
        <v>887</v>
      </c>
      <c r="E185" s="50" t="s">
        <v>896</v>
      </c>
      <c r="F185" t="s">
        <v>889</v>
      </c>
      <c r="G185" t="s">
        <v>890</v>
      </c>
      <c r="H185" s="57" t="s">
        <v>1230</v>
      </c>
      <c r="I185" t="s">
        <v>1231</v>
      </c>
      <c r="J185" s="64">
        <v>0</v>
      </c>
    </row>
    <row r="186" spans="2:10" x14ac:dyDescent="0.25">
      <c r="B186" t="str">
        <f t="shared" si="2"/>
        <v>Roma Servizi per la Mobilità S.r.l. PPP-IPU-H501-02</v>
      </c>
      <c r="C186" t="s">
        <v>958</v>
      </c>
      <c r="D186" s="62" t="s">
        <v>887</v>
      </c>
      <c r="E186" s="50" t="s">
        <v>896</v>
      </c>
      <c r="F186" t="s">
        <v>1079</v>
      </c>
      <c r="G186" t="s">
        <v>890</v>
      </c>
      <c r="H186" s="57" t="s">
        <v>1232</v>
      </c>
      <c r="I186" t="s">
        <v>1162</v>
      </c>
      <c r="J186" s="64">
        <v>20.882060000000003</v>
      </c>
    </row>
    <row r="187" spans="2:10" x14ac:dyDescent="0.25">
      <c r="B187" t="str">
        <f t="shared" si="2"/>
        <v>Santa Maria di SalaPPP-IPU-I242-01</v>
      </c>
      <c r="C187" t="s">
        <v>826</v>
      </c>
      <c r="D187" s="62" t="s">
        <v>887</v>
      </c>
      <c r="E187" s="50" t="s">
        <v>959</v>
      </c>
      <c r="F187" t="s">
        <v>889</v>
      </c>
      <c r="G187" t="s">
        <v>890</v>
      </c>
      <c r="H187" s="57" t="s">
        <v>1233</v>
      </c>
      <c r="I187" t="s">
        <v>1234</v>
      </c>
      <c r="J187" s="64">
        <v>0</v>
      </c>
    </row>
    <row r="188" spans="2:10" x14ac:dyDescent="0.25">
      <c r="B188" t="str">
        <f t="shared" si="2"/>
        <v>Vier Scarl (Eco + Eco)SEC-PHV-L736-01</v>
      </c>
      <c r="C188" t="s">
        <v>958</v>
      </c>
      <c r="D188" s="62" t="s">
        <v>887</v>
      </c>
      <c r="E188" s="50" t="s">
        <v>959</v>
      </c>
      <c r="F188" t="s">
        <v>897</v>
      </c>
      <c r="G188" t="s">
        <v>897</v>
      </c>
      <c r="H188" s="57" t="s">
        <v>1235</v>
      </c>
      <c r="I188" t="s">
        <v>1236</v>
      </c>
      <c r="J188" s="64">
        <v>39.473620000000004</v>
      </c>
    </row>
    <row r="189" spans="2:10" x14ac:dyDescent="0.25">
      <c r="B189" t="str">
        <f t="shared" si="2"/>
        <v>Venezia HMPPP-EEE-L736-01</v>
      </c>
      <c r="C189" t="s">
        <v>958</v>
      </c>
      <c r="D189" s="62" t="s">
        <v>887</v>
      </c>
      <c r="E189" s="50" t="s">
        <v>959</v>
      </c>
      <c r="F189" t="s">
        <v>965</v>
      </c>
      <c r="G189" t="s">
        <v>965</v>
      </c>
      <c r="H189" s="57" t="s">
        <v>1237</v>
      </c>
      <c r="I189" t="s">
        <v>1238</v>
      </c>
      <c r="J189" s="64">
        <v>584.34706999999992</v>
      </c>
    </row>
    <row r="190" spans="2:10" x14ac:dyDescent="0.25">
      <c r="B190" t="str">
        <f t="shared" si="2"/>
        <v>Fiesso d'ArticoPPP-IPU-D578-01</v>
      </c>
      <c r="C190" t="s">
        <v>826</v>
      </c>
      <c r="D190" s="62" t="s">
        <v>887</v>
      </c>
      <c r="E190" s="50" t="s">
        <v>959</v>
      </c>
      <c r="F190" t="s">
        <v>889</v>
      </c>
      <c r="G190" t="s">
        <v>890</v>
      </c>
      <c r="H190" s="57" t="s">
        <v>1239</v>
      </c>
      <c r="I190" t="s">
        <v>1240</v>
      </c>
      <c r="J190" s="64">
        <v>2.7290399999999999</v>
      </c>
    </row>
    <row r="191" spans="2:10" x14ac:dyDescent="0.25">
      <c r="B191" t="str">
        <f t="shared" si="2"/>
        <v>FossòPPP-IPU-D748-01</v>
      </c>
      <c r="C191" t="s">
        <v>826</v>
      </c>
      <c r="D191" s="62" t="s">
        <v>887</v>
      </c>
      <c r="E191" s="50" t="s">
        <v>959</v>
      </c>
      <c r="F191" t="s">
        <v>889</v>
      </c>
      <c r="G191" t="s">
        <v>890</v>
      </c>
      <c r="H191" s="57" t="s">
        <v>1241</v>
      </c>
      <c r="I191" t="s">
        <v>1242</v>
      </c>
      <c r="J191" s="64">
        <v>18.570419999999999</v>
      </c>
    </row>
    <row r="192" spans="2:10" x14ac:dyDescent="0.25">
      <c r="B192" t="str">
        <f t="shared" si="2"/>
        <v>MiraPPP-IPU-F229-01</v>
      </c>
      <c r="C192" t="s">
        <v>826</v>
      </c>
      <c r="D192" s="62" t="s">
        <v>887</v>
      </c>
      <c r="E192" s="50" t="s">
        <v>959</v>
      </c>
      <c r="F192" t="s">
        <v>889</v>
      </c>
      <c r="G192" t="s">
        <v>890</v>
      </c>
      <c r="H192" s="57" t="s">
        <v>1243</v>
      </c>
      <c r="I192" t="s">
        <v>1244</v>
      </c>
      <c r="J192" s="64">
        <v>112.28669000000001</v>
      </c>
    </row>
    <row r="193" spans="2:10" x14ac:dyDescent="0.25">
      <c r="B193" t="str">
        <f t="shared" si="2"/>
        <v>MiranoPPP-IPU-F241-01</v>
      </c>
      <c r="C193" t="s">
        <v>826</v>
      </c>
      <c r="D193" s="62" t="s">
        <v>887</v>
      </c>
      <c r="E193" s="50" t="s">
        <v>959</v>
      </c>
      <c r="F193" t="s">
        <v>889</v>
      </c>
      <c r="G193" t="s">
        <v>890</v>
      </c>
      <c r="H193" s="57" t="s">
        <v>1245</v>
      </c>
      <c r="I193" t="s">
        <v>1246</v>
      </c>
      <c r="J193" s="64">
        <v>56.994959999999999</v>
      </c>
    </row>
    <row r="194" spans="2:10" x14ac:dyDescent="0.25">
      <c r="B194" t="str">
        <f t="shared" si="2"/>
        <v>PozzoleonePPP-IPU-G957-01</v>
      </c>
      <c r="C194" t="s">
        <v>826</v>
      </c>
      <c r="D194" s="62" t="s">
        <v>887</v>
      </c>
      <c r="E194" s="50" t="s">
        <v>959</v>
      </c>
      <c r="F194" t="s">
        <v>889</v>
      </c>
      <c r="G194" t="s">
        <v>890</v>
      </c>
      <c r="H194" s="57" t="s">
        <v>1247</v>
      </c>
      <c r="I194" t="s">
        <v>1248</v>
      </c>
      <c r="J194" s="64">
        <v>46.137219999999999</v>
      </c>
    </row>
    <row r="195" spans="2:10" x14ac:dyDescent="0.25">
      <c r="B195" t="str">
        <f t="shared" si="2"/>
        <v>SolesinoPPP-IPU-I799-01</v>
      </c>
      <c r="C195" t="s">
        <v>958</v>
      </c>
      <c r="D195" s="62" t="s">
        <v>887</v>
      </c>
      <c r="E195" s="50" t="s">
        <v>959</v>
      </c>
      <c r="F195" t="s">
        <v>889</v>
      </c>
      <c r="G195" t="s">
        <v>890</v>
      </c>
      <c r="H195" s="57" t="s">
        <v>1249</v>
      </c>
      <c r="I195" t="s">
        <v>1250</v>
      </c>
      <c r="J195" s="64">
        <v>85.228740000000002</v>
      </c>
    </row>
    <row r="196" spans="2:10" x14ac:dyDescent="0.25">
      <c r="B196" t="str">
        <f t="shared" ref="B196:B259" si="3">+I196&amp;H196</f>
        <v>StraPPP-IPU-I965-01</v>
      </c>
      <c r="C196" t="s">
        <v>826</v>
      </c>
      <c r="D196" s="62" t="s">
        <v>887</v>
      </c>
      <c r="E196" s="50" t="s">
        <v>959</v>
      </c>
      <c r="F196" t="s">
        <v>889</v>
      </c>
      <c r="G196" t="s">
        <v>890</v>
      </c>
      <c r="H196" s="57" t="s">
        <v>1251</v>
      </c>
      <c r="I196" t="s">
        <v>1252</v>
      </c>
      <c r="J196" s="64">
        <v>29.923400000000001</v>
      </c>
    </row>
    <row r="197" spans="2:10" x14ac:dyDescent="0.25">
      <c r="B197" t="str">
        <f t="shared" si="3"/>
        <v>Venezia PLPPP-IPU-L736-02</v>
      </c>
      <c r="C197" t="s">
        <v>958</v>
      </c>
      <c r="D197" s="62" t="s">
        <v>887</v>
      </c>
      <c r="E197" s="50" t="s">
        <v>959</v>
      </c>
      <c r="F197" t="s">
        <v>889</v>
      </c>
      <c r="G197" t="s">
        <v>890</v>
      </c>
      <c r="H197" s="57" t="s">
        <v>1253</v>
      </c>
      <c r="I197" t="s">
        <v>1254</v>
      </c>
      <c r="J197" s="64">
        <v>1177.09851</v>
      </c>
    </row>
    <row r="198" spans="2:10" x14ac:dyDescent="0.25">
      <c r="B198" t="str">
        <f t="shared" si="3"/>
        <v>Chioggia BuildingPPP-EEE-C638-01</v>
      </c>
      <c r="C198" t="s">
        <v>958</v>
      </c>
      <c r="D198" s="62" t="s">
        <v>887</v>
      </c>
      <c r="E198" s="50" t="s">
        <v>959</v>
      </c>
      <c r="F198" t="s">
        <v>965</v>
      </c>
      <c r="G198" t="s">
        <v>965</v>
      </c>
      <c r="H198" s="57" t="s">
        <v>1255</v>
      </c>
      <c r="I198" t="s">
        <v>1256</v>
      </c>
      <c r="J198" s="64">
        <v>0</v>
      </c>
    </row>
    <row r="199" spans="2:10" x14ac:dyDescent="0.25">
      <c r="B199" t="str">
        <f t="shared" si="3"/>
        <v>ChioggiaPPP-IPU-C638-01</v>
      </c>
      <c r="C199" t="s">
        <v>958</v>
      </c>
      <c r="D199" s="62" t="s">
        <v>887</v>
      </c>
      <c r="E199" s="50" t="s">
        <v>959</v>
      </c>
      <c r="F199" t="s">
        <v>889</v>
      </c>
      <c r="G199" t="s">
        <v>890</v>
      </c>
      <c r="H199" s="57" t="s">
        <v>1257</v>
      </c>
      <c r="I199" t="s">
        <v>1258</v>
      </c>
      <c r="J199" s="64">
        <v>199.34567999999999</v>
      </c>
    </row>
    <row r="200" spans="2:10" x14ac:dyDescent="0.25">
      <c r="B200" t="str">
        <f t="shared" si="3"/>
        <v>TriestePPP-IPU-L424-01</v>
      </c>
      <c r="C200" t="s">
        <v>958</v>
      </c>
      <c r="D200" s="62" t="s">
        <v>887</v>
      </c>
      <c r="E200" s="50" t="s">
        <v>959</v>
      </c>
      <c r="F200" t="s">
        <v>889</v>
      </c>
      <c r="G200" t="s">
        <v>890</v>
      </c>
      <c r="H200" s="57" t="s">
        <v>1259</v>
      </c>
      <c r="I200" t="s">
        <v>1260</v>
      </c>
      <c r="J200" s="64">
        <v>649.37378000000001</v>
      </c>
    </row>
    <row r="201" spans="2:10" x14ac:dyDescent="0.25">
      <c r="B201" t="str">
        <f t="shared" si="3"/>
        <v>Payanini Center RugbySEC-IPU-L781-01</v>
      </c>
      <c r="C201" t="s">
        <v>826</v>
      </c>
      <c r="D201" s="62" t="s">
        <v>887</v>
      </c>
      <c r="E201" s="50" t="s">
        <v>959</v>
      </c>
      <c r="F201" t="s">
        <v>1079</v>
      </c>
      <c r="G201" t="s">
        <v>1079</v>
      </c>
      <c r="H201" s="57" t="s">
        <v>1261</v>
      </c>
      <c r="I201" t="s">
        <v>1262</v>
      </c>
      <c r="J201" s="64">
        <v>10.08</v>
      </c>
    </row>
    <row r="202" spans="2:10" x14ac:dyDescent="0.25">
      <c r="B202" t="str">
        <f t="shared" si="3"/>
        <v>Caselle in PittariPPP-IPU-B959-01</v>
      </c>
      <c r="C202" t="s">
        <v>826</v>
      </c>
      <c r="D202" s="62" t="s">
        <v>887</v>
      </c>
      <c r="E202" s="50" t="s">
        <v>910</v>
      </c>
      <c r="F202" t="s">
        <v>889</v>
      </c>
      <c r="G202" t="s">
        <v>890</v>
      </c>
      <c r="H202" s="57" t="s">
        <v>1263</v>
      </c>
      <c r="I202" t="s">
        <v>1264</v>
      </c>
      <c r="J202" s="64">
        <v>17.043220000000002</v>
      </c>
    </row>
    <row r="203" spans="2:10" x14ac:dyDescent="0.25">
      <c r="B203" t="str">
        <f t="shared" si="3"/>
        <v>San Felice a CancelloPPP-IPU-H834-01</v>
      </c>
      <c r="C203" t="s">
        <v>826</v>
      </c>
      <c r="D203" s="62" t="s">
        <v>887</v>
      </c>
      <c r="E203" s="50" t="s">
        <v>910</v>
      </c>
      <c r="F203" t="s">
        <v>889</v>
      </c>
      <c r="G203" t="s">
        <v>890</v>
      </c>
      <c r="H203" s="57" t="s">
        <v>1265</v>
      </c>
      <c r="I203" t="s">
        <v>1266</v>
      </c>
      <c r="J203" s="64">
        <v>0</v>
      </c>
    </row>
    <row r="204" spans="2:10" x14ac:dyDescent="0.25">
      <c r="B204" t="str">
        <f t="shared" si="3"/>
        <v>Presicce-AcquaricaPPP-IPU-M428-01</v>
      </c>
      <c r="C204" t="s">
        <v>826</v>
      </c>
      <c r="D204" s="62" t="s">
        <v>887</v>
      </c>
      <c r="E204" s="50" t="s">
        <v>910</v>
      </c>
      <c r="F204" t="s">
        <v>889</v>
      </c>
      <c r="G204" t="s">
        <v>890</v>
      </c>
      <c r="H204" s="57" t="s">
        <v>1267</v>
      </c>
      <c r="I204" t="s">
        <v>1268</v>
      </c>
      <c r="J204" s="64">
        <v>0</v>
      </c>
    </row>
    <row r="205" spans="2:10" x14ac:dyDescent="0.25">
      <c r="B205" t="str">
        <f t="shared" si="3"/>
        <v>Sessa CilentoPPP-IPU-I677-01</v>
      </c>
      <c r="C205" t="s">
        <v>826</v>
      </c>
      <c r="D205" s="62" t="s">
        <v>887</v>
      </c>
      <c r="E205" s="50" t="s">
        <v>910</v>
      </c>
      <c r="F205" t="s">
        <v>889</v>
      </c>
      <c r="G205" t="s">
        <v>890</v>
      </c>
      <c r="H205" s="57" t="s">
        <v>1269</v>
      </c>
      <c r="I205" t="s">
        <v>1270</v>
      </c>
      <c r="J205" s="64">
        <v>0</v>
      </c>
    </row>
    <row r="206" spans="2:10" x14ac:dyDescent="0.25">
      <c r="B206" t="str">
        <f t="shared" si="3"/>
        <v>NocigliaPPP-IPU-F916-01</v>
      </c>
      <c r="C206" t="s">
        <v>826</v>
      </c>
      <c r="D206" s="62" t="s">
        <v>887</v>
      </c>
      <c r="E206" s="50" t="s">
        <v>910</v>
      </c>
      <c r="F206" t="s">
        <v>889</v>
      </c>
      <c r="G206" t="s">
        <v>890</v>
      </c>
      <c r="H206" s="57" t="s">
        <v>1271</v>
      </c>
      <c r="I206" t="s">
        <v>1272</v>
      </c>
      <c r="J206" s="64">
        <v>36.017980000000001</v>
      </c>
    </row>
    <row r="207" spans="2:10" x14ac:dyDescent="0.25">
      <c r="B207" t="str">
        <f t="shared" si="3"/>
        <v>San Nicola ArcellaATI-IPU-I060-01</v>
      </c>
      <c r="C207" t="s">
        <v>826</v>
      </c>
      <c r="D207" s="62" t="s">
        <v>887</v>
      </c>
      <c r="E207" s="50" t="s">
        <v>910</v>
      </c>
      <c r="F207" t="s">
        <v>889</v>
      </c>
      <c r="G207" t="s">
        <v>890</v>
      </c>
      <c r="H207" s="57" t="s">
        <v>1273</v>
      </c>
      <c r="I207" t="s">
        <v>1274</v>
      </c>
      <c r="J207" s="64">
        <v>0</v>
      </c>
    </row>
    <row r="208" spans="2:10" x14ac:dyDescent="0.25">
      <c r="B208" t="str">
        <f t="shared" si="3"/>
        <v>CalvanicoPPP-IPU-B437-01</v>
      </c>
      <c r="C208" t="s">
        <v>826</v>
      </c>
      <c r="D208" s="62" t="s">
        <v>887</v>
      </c>
      <c r="E208" s="50" t="s">
        <v>910</v>
      </c>
      <c r="F208" t="s">
        <v>889</v>
      </c>
      <c r="G208" t="s">
        <v>890</v>
      </c>
      <c r="H208" s="57" t="s">
        <v>1275</v>
      </c>
      <c r="I208" t="s">
        <v>1276</v>
      </c>
      <c r="J208" s="64">
        <v>0</v>
      </c>
    </row>
    <row r="209" spans="2:10" x14ac:dyDescent="0.25">
      <c r="B209" t="str">
        <f t="shared" si="3"/>
        <v>Casal di PrincipePPP-IPU-B872-01</v>
      </c>
      <c r="C209" t="s">
        <v>826</v>
      </c>
      <c r="D209" s="62" t="s">
        <v>887</v>
      </c>
      <c r="E209" s="50" t="s">
        <v>910</v>
      </c>
      <c r="F209" t="s">
        <v>889</v>
      </c>
      <c r="G209" t="s">
        <v>890</v>
      </c>
      <c r="H209" s="57" t="s">
        <v>1277</v>
      </c>
      <c r="I209" t="s">
        <v>1278</v>
      </c>
      <c r="J209" s="64">
        <v>0</v>
      </c>
    </row>
    <row r="210" spans="2:10" x14ac:dyDescent="0.25">
      <c r="B210" t="str">
        <f t="shared" si="3"/>
        <v>PignolaPPP-IPU-G663-01</v>
      </c>
      <c r="C210" t="s">
        <v>826</v>
      </c>
      <c r="D210" s="62" t="s">
        <v>887</v>
      </c>
      <c r="E210" s="50" t="s">
        <v>910</v>
      </c>
      <c r="F210" t="s">
        <v>889</v>
      </c>
      <c r="G210" t="s">
        <v>890</v>
      </c>
      <c r="H210" s="57" t="s">
        <v>1279</v>
      </c>
      <c r="I210" t="s">
        <v>1280</v>
      </c>
      <c r="J210" s="64">
        <v>0</v>
      </c>
    </row>
    <row r="211" spans="2:10" x14ac:dyDescent="0.25">
      <c r="B211" t="str">
        <f t="shared" si="3"/>
        <v>GuagnanoPPP-IPU-E227-01</v>
      </c>
      <c r="C211" t="s">
        <v>826</v>
      </c>
      <c r="D211" s="62" t="s">
        <v>887</v>
      </c>
      <c r="E211" s="50" t="s">
        <v>910</v>
      </c>
      <c r="F211" t="s">
        <v>889</v>
      </c>
      <c r="G211" t="s">
        <v>890</v>
      </c>
      <c r="H211" s="57" t="s">
        <v>1281</v>
      </c>
      <c r="I211" t="s">
        <v>1282</v>
      </c>
      <c r="J211" s="64">
        <v>0</v>
      </c>
    </row>
    <row r="212" spans="2:10" x14ac:dyDescent="0.25">
      <c r="B212" t="str">
        <f t="shared" si="3"/>
        <v>PaternoPPP-IPU-M269-01</v>
      </c>
      <c r="C212" t="s">
        <v>826</v>
      </c>
      <c r="D212" s="62" t="s">
        <v>887</v>
      </c>
      <c r="E212" s="50" t="s">
        <v>910</v>
      </c>
      <c r="F212" t="s">
        <v>889</v>
      </c>
      <c r="G212" t="s">
        <v>890</v>
      </c>
      <c r="H212" s="57" t="s">
        <v>1283</v>
      </c>
      <c r="I212" t="s">
        <v>1284</v>
      </c>
      <c r="J212" s="64">
        <v>0</v>
      </c>
    </row>
    <row r="213" spans="2:10" x14ac:dyDescent="0.25">
      <c r="B213" t="str">
        <f t="shared" si="3"/>
        <v>Campobello di MazaraPPP-IPU-B521-01</v>
      </c>
      <c r="C213" t="s">
        <v>826</v>
      </c>
      <c r="D213" s="62" t="s">
        <v>887</v>
      </c>
      <c r="E213" s="50" t="s">
        <v>910</v>
      </c>
      <c r="F213" t="s">
        <v>889</v>
      </c>
      <c r="G213" t="s">
        <v>890</v>
      </c>
      <c r="H213" s="57" t="s">
        <v>1285</v>
      </c>
      <c r="I213" t="s">
        <v>1286</v>
      </c>
      <c r="J213" s="64">
        <v>0</v>
      </c>
    </row>
    <row r="214" spans="2:10" x14ac:dyDescent="0.25">
      <c r="B214" t="str">
        <f t="shared" si="3"/>
        <v>BisignanoATI-IPU-A887-01</v>
      </c>
      <c r="C214" t="s">
        <v>826</v>
      </c>
      <c r="D214" s="62" t="s">
        <v>887</v>
      </c>
      <c r="E214" s="50" t="s">
        <v>910</v>
      </c>
      <c r="F214" t="s">
        <v>889</v>
      </c>
      <c r="G214" t="s">
        <v>890</v>
      </c>
      <c r="H214" s="57" t="s">
        <v>1287</v>
      </c>
      <c r="I214" t="s">
        <v>1288</v>
      </c>
      <c r="J214" s="64">
        <v>30.391919999999999</v>
      </c>
    </row>
    <row r="215" spans="2:10" x14ac:dyDescent="0.25">
      <c r="B215" t="str">
        <f t="shared" si="3"/>
        <v>MelissanoATI-IPU-F109-01</v>
      </c>
      <c r="C215" t="s">
        <v>826</v>
      </c>
      <c r="D215" s="62" t="s">
        <v>887</v>
      </c>
      <c r="E215" s="50" t="s">
        <v>910</v>
      </c>
      <c r="F215" t="s">
        <v>889</v>
      </c>
      <c r="G215" t="s">
        <v>890</v>
      </c>
      <c r="H215" s="57" t="s">
        <v>1289</v>
      </c>
      <c r="I215" t="s">
        <v>1290</v>
      </c>
      <c r="J215" s="64">
        <v>15.33672</v>
      </c>
    </row>
    <row r="216" spans="2:10" x14ac:dyDescent="0.25">
      <c r="B216" t="str">
        <f t="shared" si="3"/>
        <v>Montecorvino RovellaATI-IPU-F481-01</v>
      </c>
      <c r="C216" t="s">
        <v>826</v>
      </c>
      <c r="D216" s="62" t="s">
        <v>887</v>
      </c>
      <c r="E216" s="50" t="s">
        <v>910</v>
      </c>
      <c r="F216" t="s">
        <v>889</v>
      </c>
      <c r="G216" t="s">
        <v>890</v>
      </c>
      <c r="H216" s="57" t="s">
        <v>1291</v>
      </c>
      <c r="I216" t="s">
        <v>1292</v>
      </c>
      <c r="J216" s="64">
        <v>19.143419999999999</v>
      </c>
    </row>
    <row r="217" spans="2:10" x14ac:dyDescent="0.25">
      <c r="B217" t="str">
        <f t="shared" si="3"/>
        <v>ParabitaATI-IPU-G325-01</v>
      </c>
      <c r="C217" t="s">
        <v>826</v>
      </c>
      <c r="D217" s="62" t="s">
        <v>887</v>
      </c>
      <c r="E217" s="50" t="s">
        <v>910</v>
      </c>
      <c r="F217" t="s">
        <v>889</v>
      </c>
      <c r="G217" t="s">
        <v>890</v>
      </c>
      <c r="H217" s="57" t="s">
        <v>1293</v>
      </c>
      <c r="I217" t="s">
        <v>1294</v>
      </c>
      <c r="J217" s="64">
        <v>23.583659999999998</v>
      </c>
    </row>
    <row r="218" spans="2:10" x14ac:dyDescent="0.25">
      <c r="B218" t="str">
        <f t="shared" si="3"/>
        <v>PietragallaATI-IPU-G616-01</v>
      </c>
      <c r="C218" t="s">
        <v>826</v>
      </c>
      <c r="D218" s="62" t="s">
        <v>887</v>
      </c>
      <c r="E218" s="50" t="s">
        <v>910</v>
      </c>
      <c r="F218" t="s">
        <v>889</v>
      </c>
      <c r="G218" t="s">
        <v>890</v>
      </c>
      <c r="H218" s="57" t="s">
        <v>1295</v>
      </c>
      <c r="I218" t="s">
        <v>1296</v>
      </c>
      <c r="J218" s="64">
        <v>41.784870000000005</v>
      </c>
    </row>
    <row r="219" spans="2:10" x14ac:dyDescent="0.25">
      <c r="B219" t="str">
        <f t="shared" si="3"/>
        <v>San Gregorio MagnoATI-IPU-H943-01</v>
      </c>
      <c r="C219" t="s">
        <v>826</v>
      </c>
      <c r="D219" s="62" t="s">
        <v>887</v>
      </c>
      <c r="E219" s="50" t="s">
        <v>910</v>
      </c>
      <c r="F219" t="s">
        <v>889</v>
      </c>
      <c r="G219" t="s">
        <v>890</v>
      </c>
      <c r="H219" s="57" t="s">
        <v>1297</v>
      </c>
      <c r="I219" t="s">
        <v>1298</v>
      </c>
      <c r="J219" s="64">
        <v>34.911900000000003</v>
      </c>
    </row>
    <row r="220" spans="2:10" x14ac:dyDescent="0.25">
      <c r="B220" t="str">
        <f t="shared" si="3"/>
        <v>Sant'ArsenioATI-IPU-I307-01</v>
      </c>
      <c r="C220" t="s">
        <v>826</v>
      </c>
      <c r="D220" s="62" t="s">
        <v>887</v>
      </c>
      <c r="E220" s="50" t="s">
        <v>910</v>
      </c>
      <c r="F220" t="s">
        <v>889</v>
      </c>
      <c r="G220" t="s">
        <v>890</v>
      </c>
      <c r="H220" s="57" t="s">
        <v>1299</v>
      </c>
      <c r="I220" t="s">
        <v>1300</v>
      </c>
      <c r="J220" s="64">
        <v>10.279260000000001</v>
      </c>
    </row>
    <row r="221" spans="2:10" x14ac:dyDescent="0.25">
      <c r="B221" t="str">
        <f t="shared" si="3"/>
        <v>AcerraCL4-IPU-A024-01</v>
      </c>
      <c r="C221" t="s">
        <v>958</v>
      </c>
      <c r="D221" s="62" t="s">
        <v>887</v>
      </c>
      <c r="E221" s="50" t="s">
        <v>910</v>
      </c>
      <c r="F221" t="s">
        <v>889</v>
      </c>
      <c r="G221" t="s">
        <v>1301</v>
      </c>
      <c r="H221" s="57" t="s">
        <v>1302</v>
      </c>
      <c r="I221" t="s">
        <v>1303</v>
      </c>
      <c r="J221" s="64">
        <v>42.353089999999995</v>
      </c>
    </row>
    <row r="222" spans="2:10" x14ac:dyDescent="0.25">
      <c r="B222" t="str">
        <f t="shared" si="3"/>
        <v>CasandrinoCL4-IPU-B925-01</v>
      </c>
      <c r="C222" t="s">
        <v>958</v>
      </c>
      <c r="D222" s="62" t="s">
        <v>887</v>
      </c>
      <c r="E222" s="50" t="s">
        <v>910</v>
      </c>
      <c r="F222" t="s">
        <v>889</v>
      </c>
      <c r="G222" t="s">
        <v>1301</v>
      </c>
      <c r="H222" s="57" t="s">
        <v>1304</v>
      </c>
      <c r="I222" t="s">
        <v>1305</v>
      </c>
      <c r="J222" s="64">
        <v>12.212540000000001</v>
      </c>
    </row>
    <row r="223" spans="2:10" x14ac:dyDescent="0.25">
      <c r="B223" t="str">
        <f t="shared" si="3"/>
        <v>CasavatoreCL4-IPU-B946-01</v>
      </c>
      <c r="C223" t="s">
        <v>958</v>
      </c>
      <c r="D223" s="62" t="s">
        <v>887</v>
      </c>
      <c r="E223" s="50" t="s">
        <v>910</v>
      </c>
      <c r="F223" t="s">
        <v>889</v>
      </c>
      <c r="G223" t="s">
        <v>1301</v>
      </c>
      <c r="H223" s="57" t="s">
        <v>1306</v>
      </c>
      <c r="I223" t="s">
        <v>1307</v>
      </c>
      <c r="J223" s="64">
        <v>11.01252</v>
      </c>
    </row>
    <row r="224" spans="2:10" x14ac:dyDescent="0.25">
      <c r="B224" t="str">
        <f t="shared" si="3"/>
        <v>CrispanoCL4-IPU-D170-01</v>
      </c>
      <c r="C224" t="s">
        <v>958</v>
      </c>
      <c r="D224" s="62" t="s">
        <v>887</v>
      </c>
      <c r="E224" s="50" t="s">
        <v>910</v>
      </c>
      <c r="F224" t="s">
        <v>889</v>
      </c>
      <c r="G224" t="s">
        <v>1301</v>
      </c>
      <c r="H224" s="57" t="s">
        <v>1308</v>
      </c>
      <c r="I224" t="s">
        <v>1309</v>
      </c>
      <c r="J224" s="64">
        <v>10.68501</v>
      </c>
    </row>
    <row r="225" spans="2:10" x14ac:dyDescent="0.25">
      <c r="B225" t="str">
        <f t="shared" si="3"/>
        <v>FoggiaCL4-IPU-D643-01</v>
      </c>
      <c r="C225" t="s">
        <v>958</v>
      </c>
      <c r="D225" s="62" t="s">
        <v>887</v>
      </c>
      <c r="E225" s="50" t="s">
        <v>910</v>
      </c>
      <c r="F225" t="s">
        <v>889</v>
      </c>
      <c r="G225" t="s">
        <v>1301</v>
      </c>
      <c r="H225" s="57" t="s">
        <v>1310</v>
      </c>
      <c r="I225" t="s">
        <v>1311</v>
      </c>
      <c r="J225" s="64">
        <v>215.20180999999999</v>
      </c>
    </row>
    <row r="226" spans="2:10" x14ac:dyDescent="0.25">
      <c r="B226" t="str">
        <f t="shared" si="3"/>
        <v>ManfredoniaCL4-IPU-E885-01</v>
      </c>
      <c r="C226" t="s">
        <v>958</v>
      </c>
      <c r="D226" s="62" t="s">
        <v>887</v>
      </c>
      <c r="E226" s="50" t="s">
        <v>910</v>
      </c>
      <c r="F226" t="s">
        <v>889</v>
      </c>
      <c r="G226" t="s">
        <v>1301</v>
      </c>
      <c r="H226" s="57" t="s">
        <v>1312</v>
      </c>
      <c r="I226" t="s">
        <v>1313</v>
      </c>
      <c r="J226" s="64">
        <v>93.230789999999999</v>
      </c>
    </row>
    <row r="227" spans="2:10" x14ac:dyDescent="0.25">
      <c r="B227" t="str">
        <f t="shared" si="3"/>
        <v>MariglianoCL4-IPU-E955-01</v>
      </c>
      <c r="C227" t="s">
        <v>958</v>
      </c>
      <c r="D227" s="62" t="s">
        <v>887</v>
      </c>
      <c r="E227" s="50" t="s">
        <v>910</v>
      </c>
      <c r="F227" t="s">
        <v>889</v>
      </c>
      <c r="G227" t="s">
        <v>1301</v>
      </c>
      <c r="H227" s="57" t="s">
        <v>1314</v>
      </c>
      <c r="I227" t="s">
        <v>1315</v>
      </c>
      <c r="J227" s="64">
        <v>37.49832</v>
      </c>
    </row>
    <row r="228" spans="2:10" x14ac:dyDescent="0.25">
      <c r="B228" t="str">
        <f t="shared" si="3"/>
        <v>Palma CampaniaCL4-IPU-G283-01</v>
      </c>
      <c r="C228" t="s">
        <v>958</v>
      </c>
      <c r="D228" s="62" t="s">
        <v>887</v>
      </c>
      <c r="E228" s="50" t="s">
        <v>910</v>
      </c>
      <c r="F228" t="s">
        <v>889</v>
      </c>
      <c r="G228" t="s">
        <v>1301</v>
      </c>
      <c r="H228" s="57" t="s">
        <v>1316</v>
      </c>
      <c r="I228" t="s">
        <v>1317</v>
      </c>
      <c r="J228" s="64">
        <v>30.644259999999999</v>
      </c>
    </row>
    <row r="229" spans="2:10" x14ac:dyDescent="0.25">
      <c r="B229" t="str">
        <f t="shared" si="3"/>
        <v>PoggiomarinoCL4-IPU-G762-01</v>
      </c>
      <c r="C229" t="s">
        <v>958</v>
      </c>
      <c r="D229" s="62" t="s">
        <v>887</v>
      </c>
      <c r="E229" s="50" t="s">
        <v>910</v>
      </c>
      <c r="F229" t="s">
        <v>889</v>
      </c>
      <c r="G229" t="s">
        <v>1301</v>
      </c>
      <c r="H229" s="57" t="s">
        <v>1318</v>
      </c>
      <c r="I229" t="s">
        <v>1319</v>
      </c>
      <c r="J229" s="64">
        <v>21.189619999999998</v>
      </c>
    </row>
    <row r="230" spans="2:10" x14ac:dyDescent="0.25">
      <c r="B230" t="str">
        <f t="shared" si="3"/>
        <v>SalernoCL4-IPU-H703-01</v>
      </c>
      <c r="C230" t="s">
        <v>958</v>
      </c>
      <c r="D230" s="62" t="s">
        <v>887</v>
      </c>
      <c r="E230" s="50" t="s">
        <v>910</v>
      </c>
      <c r="F230" t="s">
        <v>889</v>
      </c>
      <c r="G230" t="s">
        <v>1301</v>
      </c>
      <c r="H230" s="57" t="s">
        <v>1320</v>
      </c>
      <c r="I230" t="s">
        <v>1321</v>
      </c>
      <c r="J230" s="64">
        <v>258.26159999999999</v>
      </c>
    </row>
    <row r="231" spans="2:10" x14ac:dyDescent="0.25">
      <c r="B231" t="str">
        <f t="shared" si="3"/>
        <v>San Marco in LamisCL4-IPU-H985-01</v>
      </c>
      <c r="C231" t="s">
        <v>958</v>
      </c>
      <c r="D231" s="62" t="s">
        <v>887</v>
      </c>
      <c r="E231" s="50" t="s">
        <v>910</v>
      </c>
      <c r="F231" t="s">
        <v>889</v>
      </c>
      <c r="G231" t="s">
        <v>1301</v>
      </c>
      <c r="H231" s="57" t="s">
        <v>1322</v>
      </c>
      <c r="I231" t="s">
        <v>1323</v>
      </c>
      <c r="J231" s="64">
        <v>25.265139999999999</v>
      </c>
    </row>
    <row r="232" spans="2:10" x14ac:dyDescent="0.25">
      <c r="B232" t="str">
        <f t="shared" si="3"/>
        <v>San Nicandro GarganicoCL4-IPU-I054-01</v>
      </c>
      <c r="C232" t="s">
        <v>958</v>
      </c>
      <c r="D232" s="62" t="s">
        <v>887</v>
      </c>
      <c r="E232" s="50" t="s">
        <v>910</v>
      </c>
      <c r="F232" t="s">
        <v>889</v>
      </c>
      <c r="G232" t="s">
        <v>1301</v>
      </c>
      <c r="H232" s="57" t="s">
        <v>1324</v>
      </c>
      <c r="I232" t="s">
        <v>1325</v>
      </c>
      <c r="J232" s="64">
        <v>16.53237</v>
      </c>
    </row>
    <row r="233" spans="2:10" x14ac:dyDescent="0.25">
      <c r="B233" t="str">
        <f t="shared" si="3"/>
        <v>SciscianoCL4-IPU-I540-01</v>
      </c>
      <c r="C233" t="s">
        <v>958</v>
      </c>
      <c r="D233" s="62" t="s">
        <v>887</v>
      </c>
      <c r="E233" s="50" t="s">
        <v>910</v>
      </c>
      <c r="F233" t="s">
        <v>889</v>
      </c>
      <c r="G233" t="s">
        <v>1301</v>
      </c>
      <c r="H233" s="57" t="s">
        <v>1326</v>
      </c>
      <c r="I233" t="s">
        <v>1327</v>
      </c>
      <c r="J233" s="64">
        <v>10.61768</v>
      </c>
    </row>
    <row r="234" spans="2:10" x14ac:dyDescent="0.25">
      <c r="B234" t="str">
        <f t="shared" si="3"/>
        <v>TerzignoCL4-IPU-L142-01</v>
      </c>
      <c r="C234" t="s">
        <v>958</v>
      </c>
      <c r="D234" s="62" t="s">
        <v>887</v>
      </c>
      <c r="E234" s="50" t="s">
        <v>910</v>
      </c>
      <c r="F234" t="s">
        <v>889</v>
      </c>
      <c r="G234" t="s">
        <v>1301</v>
      </c>
      <c r="H234" s="57" t="s">
        <v>1328</v>
      </c>
      <c r="I234" t="s">
        <v>1329</v>
      </c>
      <c r="J234" s="64">
        <v>31.885609999999996</v>
      </c>
    </row>
    <row r="235" spans="2:10" x14ac:dyDescent="0.25">
      <c r="B235" t="str">
        <f t="shared" si="3"/>
        <v>VollaCL4-IPU-M115-01</v>
      </c>
      <c r="C235" t="s">
        <v>958</v>
      </c>
      <c r="D235" s="62" t="s">
        <v>887</v>
      </c>
      <c r="E235" s="50" t="s">
        <v>910</v>
      </c>
      <c r="F235" t="s">
        <v>889</v>
      </c>
      <c r="G235" t="s">
        <v>1301</v>
      </c>
      <c r="H235" s="57" t="s">
        <v>1330</v>
      </c>
      <c r="I235" t="s">
        <v>1331</v>
      </c>
      <c r="J235" s="64">
        <v>19.70495</v>
      </c>
    </row>
    <row r="236" spans="2:10" x14ac:dyDescent="0.25">
      <c r="B236" t="str">
        <f t="shared" si="3"/>
        <v>AccetturaPPP-IPU-A017-01</v>
      </c>
      <c r="C236" t="s">
        <v>826</v>
      </c>
      <c r="D236" s="62" t="s">
        <v>887</v>
      </c>
      <c r="E236" s="50" t="s">
        <v>910</v>
      </c>
      <c r="F236" t="s">
        <v>889</v>
      </c>
      <c r="G236" t="s">
        <v>890</v>
      </c>
      <c r="H236" s="57" t="s">
        <v>1332</v>
      </c>
      <c r="I236" t="s">
        <v>1333</v>
      </c>
      <c r="J236" s="64">
        <v>35.323050000000002</v>
      </c>
    </row>
    <row r="237" spans="2:10" x14ac:dyDescent="0.25">
      <c r="B237" t="str">
        <f t="shared" si="3"/>
        <v>AllistePPP-IPU-A208-01</v>
      </c>
      <c r="C237" t="s">
        <v>826</v>
      </c>
      <c r="D237" s="62" t="s">
        <v>887</v>
      </c>
      <c r="E237" s="50" t="s">
        <v>910</v>
      </c>
      <c r="F237" t="s">
        <v>889</v>
      </c>
      <c r="G237" t="s">
        <v>890</v>
      </c>
      <c r="H237" s="57" t="s">
        <v>1334</v>
      </c>
      <c r="I237" t="s">
        <v>1335</v>
      </c>
      <c r="J237" s="64">
        <v>151.73496</v>
      </c>
    </row>
    <row r="238" spans="2:10" x14ac:dyDescent="0.25">
      <c r="B238" t="str">
        <f t="shared" si="3"/>
        <v>ApricenaPPP-IPU-A339-01</v>
      </c>
      <c r="C238" t="s">
        <v>826</v>
      </c>
      <c r="D238" s="62" t="s">
        <v>887</v>
      </c>
      <c r="E238" s="50" t="s">
        <v>910</v>
      </c>
      <c r="F238" t="s">
        <v>889</v>
      </c>
      <c r="G238" t="s">
        <v>890</v>
      </c>
      <c r="H238" s="57" t="s">
        <v>1336</v>
      </c>
      <c r="I238" t="s">
        <v>1337</v>
      </c>
      <c r="J238" s="60">
        <v>161.15764650253246</v>
      </c>
    </row>
    <row r="239" spans="2:10" x14ac:dyDescent="0.25">
      <c r="B239" t="str">
        <f t="shared" si="3"/>
        <v>Aradeo (Pj Elena)PPP-IPU-A350-01</v>
      </c>
      <c r="C239" t="s">
        <v>826</v>
      </c>
      <c r="D239" s="62" t="s">
        <v>887</v>
      </c>
      <c r="E239" s="50" t="s">
        <v>910</v>
      </c>
      <c r="F239" t="s">
        <v>889</v>
      </c>
      <c r="G239" t="s">
        <v>890</v>
      </c>
      <c r="H239" s="57" t="s">
        <v>1338</v>
      </c>
      <c r="I239" t="s">
        <v>1339</v>
      </c>
      <c r="J239" s="64">
        <v>100.02162</v>
      </c>
    </row>
    <row r="240" spans="2:10" x14ac:dyDescent="0.25">
      <c r="B240" t="str">
        <f t="shared" si="3"/>
        <v>Avigliano PLPPP-IPU-A519-01</v>
      </c>
      <c r="C240" t="s">
        <v>826</v>
      </c>
      <c r="D240" s="62" t="s">
        <v>887</v>
      </c>
      <c r="E240" s="50" t="s">
        <v>910</v>
      </c>
      <c r="F240" t="s">
        <v>889</v>
      </c>
      <c r="G240" t="s">
        <v>890</v>
      </c>
      <c r="H240" s="57" t="s">
        <v>1340</v>
      </c>
      <c r="I240" t="s">
        <v>1341</v>
      </c>
      <c r="J240" s="64">
        <v>179.08493999999999</v>
      </c>
    </row>
    <row r="241" spans="2:10" x14ac:dyDescent="0.25">
      <c r="B241" t="str">
        <f t="shared" si="3"/>
        <v>BaragianoPPP-IPU-A615-01</v>
      </c>
      <c r="C241" t="s">
        <v>826</v>
      </c>
      <c r="D241" s="62" t="s">
        <v>887</v>
      </c>
      <c r="E241" s="50" t="s">
        <v>910</v>
      </c>
      <c r="F241" t="s">
        <v>889</v>
      </c>
      <c r="G241" t="s">
        <v>890</v>
      </c>
      <c r="H241" s="57" t="s">
        <v>1342</v>
      </c>
      <c r="I241" t="s">
        <v>1343</v>
      </c>
      <c r="J241" s="64">
        <v>55.521000000000001</v>
      </c>
    </row>
    <row r="242" spans="2:10" x14ac:dyDescent="0.25">
      <c r="B242" t="str">
        <f t="shared" si="3"/>
        <v>BaronissiPPP-IPU-A674-01</v>
      </c>
      <c r="C242" t="s">
        <v>826</v>
      </c>
      <c r="D242" s="62" t="s">
        <v>887</v>
      </c>
      <c r="E242" s="50" t="s">
        <v>910</v>
      </c>
      <c r="F242" t="s">
        <v>889</v>
      </c>
      <c r="G242" t="s">
        <v>890</v>
      </c>
      <c r="H242" s="57" t="s">
        <v>1344</v>
      </c>
      <c r="I242" t="s">
        <v>1345</v>
      </c>
      <c r="J242" s="64">
        <v>229.79148000000001</v>
      </c>
    </row>
    <row r="243" spans="2:10" x14ac:dyDescent="0.25">
      <c r="B243" t="str">
        <f t="shared" si="3"/>
        <v>BellaPPP-IPU-A743-01</v>
      </c>
      <c r="C243" t="s">
        <v>826</v>
      </c>
      <c r="D243" s="62" t="s">
        <v>887</v>
      </c>
      <c r="E243" s="50" t="s">
        <v>910</v>
      </c>
      <c r="F243" t="s">
        <v>889</v>
      </c>
      <c r="G243" t="s">
        <v>890</v>
      </c>
      <c r="H243" s="57" t="s">
        <v>1346</v>
      </c>
      <c r="I243" t="s">
        <v>1347</v>
      </c>
      <c r="J243" s="64">
        <v>62.574300000000001</v>
      </c>
    </row>
    <row r="244" spans="2:10" x14ac:dyDescent="0.25">
      <c r="B244" t="str">
        <f t="shared" si="3"/>
        <v>BiccariPPP-IPU-A854-01</v>
      </c>
      <c r="C244" t="s">
        <v>826</v>
      </c>
      <c r="D244" s="62" t="s">
        <v>887</v>
      </c>
      <c r="E244" s="50" t="s">
        <v>910</v>
      </c>
      <c r="F244" t="s">
        <v>889</v>
      </c>
      <c r="G244" t="s">
        <v>890</v>
      </c>
      <c r="H244" s="57" t="s">
        <v>1348</v>
      </c>
      <c r="I244" t="s">
        <v>1349</v>
      </c>
      <c r="J244" s="64">
        <v>42.857519999999994</v>
      </c>
    </row>
    <row r="245" spans="2:10" x14ac:dyDescent="0.25">
      <c r="B245" t="str">
        <f t="shared" si="3"/>
        <v>Nova SiriPPP-IPU-A942-01</v>
      </c>
      <c r="C245" t="s">
        <v>826</v>
      </c>
      <c r="D245" s="62" t="s">
        <v>887</v>
      </c>
      <c r="E245" s="50" t="s">
        <v>910</v>
      </c>
      <c r="F245" t="s">
        <v>889</v>
      </c>
      <c r="G245" t="s">
        <v>890</v>
      </c>
      <c r="H245" s="57" t="s">
        <v>1350</v>
      </c>
      <c r="I245" t="s">
        <v>1351</v>
      </c>
      <c r="J245" s="64">
        <v>164.95818</v>
      </c>
    </row>
    <row r="246" spans="2:10" x14ac:dyDescent="0.25">
      <c r="B246" t="str">
        <f t="shared" si="3"/>
        <v>BraciglianoPPP-IPU-B115-01</v>
      </c>
      <c r="C246" t="s">
        <v>826</v>
      </c>
      <c r="D246" s="62" t="s">
        <v>887</v>
      </c>
      <c r="E246" s="50" t="s">
        <v>910</v>
      </c>
      <c r="F246" t="s">
        <v>889</v>
      </c>
      <c r="G246" t="s">
        <v>890</v>
      </c>
      <c r="H246" s="57" t="s">
        <v>1352</v>
      </c>
      <c r="I246" t="s">
        <v>1353</v>
      </c>
      <c r="J246" s="64">
        <v>89.547719999999998</v>
      </c>
    </row>
    <row r="247" spans="2:10" x14ac:dyDescent="0.25">
      <c r="B247" t="str">
        <f t="shared" si="3"/>
        <v>ASI BrindisiPPP-IPU-B180-01</v>
      </c>
      <c r="C247" t="s">
        <v>826</v>
      </c>
      <c r="D247" s="62" t="s">
        <v>887</v>
      </c>
      <c r="E247" s="50" t="s">
        <v>910</v>
      </c>
      <c r="F247" t="s">
        <v>889</v>
      </c>
      <c r="G247" t="s">
        <v>890</v>
      </c>
      <c r="H247" s="57" t="s">
        <v>1354</v>
      </c>
      <c r="I247" t="s">
        <v>1355</v>
      </c>
      <c r="J247" s="64">
        <v>37.159980000000004</v>
      </c>
    </row>
    <row r="248" spans="2:10" x14ac:dyDescent="0.25">
      <c r="B248" t="str">
        <f t="shared" si="3"/>
        <v>CalcianoPPP-IPU-B391-01</v>
      </c>
      <c r="C248" t="s">
        <v>826</v>
      </c>
      <c r="D248" s="62" t="s">
        <v>887</v>
      </c>
      <c r="E248" s="50" t="s">
        <v>910</v>
      </c>
      <c r="F248" t="s">
        <v>889</v>
      </c>
      <c r="G248" t="s">
        <v>890</v>
      </c>
      <c r="H248" s="57" t="s">
        <v>1356</v>
      </c>
      <c r="I248" t="s">
        <v>1357</v>
      </c>
      <c r="J248" s="64">
        <v>19.858139999999999</v>
      </c>
    </row>
    <row r="249" spans="2:10" x14ac:dyDescent="0.25">
      <c r="B249" t="str">
        <f t="shared" si="3"/>
        <v>CalitriPPP-IPU-B415-01</v>
      </c>
      <c r="C249" t="s">
        <v>826</v>
      </c>
      <c r="D249" s="62" t="s">
        <v>887</v>
      </c>
      <c r="E249" s="50" t="s">
        <v>910</v>
      </c>
      <c r="F249" t="s">
        <v>889</v>
      </c>
      <c r="G249" t="s">
        <v>890</v>
      </c>
      <c r="H249" s="57" t="s">
        <v>1358</v>
      </c>
      <c r="I249" t="s">
        <v>1359</v>
      </c>
      <c r="J249" s="64">
        <v>145.78736999999998</v>
      </c>
    </row>
    <row r="250" spans="2:10" x14ac:dyDescent="0.25">
      <c r="B250" t="str">
        <f t="shared" si="3"/>
        <v>CamerotaPPP-IPU-B476-01</v>
      </c>
      <c r="C250" t="s">
        <v>826</v>
      </c>
      <c r="D250" s="62" t="s">
        <v>887</v>
      </c>
      <c r="E250" s="50" t="s">
        <v>910</v>
      </c>
      <c r="F250" t="s">
        <v>889</v>
      </c>
      <c r="G250" t="s">
        <v>890</v>
      </c>
      <c r="H250" s="57" t="s">
        <v>1360</v>
      </c>
      <c r="I250" t="s">
        <v>1361</v>
      </c>
      <c r="J250" s="64">
        <v>147.34491</v>
      </c>
    </row>
    <row r="251" spans="2:10" x14ac:dyDescent="0.25">
      <c r="B251" t="str">
        <f t="shared" si="3"/>
        <v>Campi SalentinaPPP-IPU-B506-01</v>
      </c>
      <c r="C251" t="s">
        <v>826</v>
      </c>
      <c r="D251" s="62" t="s">
        <v>887</v>
      </c>
      <c r="E251" s="50" t="s">
        <v>910</v>
      </c>
      <c r="F251" t="s">
        <v>889</v>
      </c>
      <c r="G251" t="s">
        <v>890</v>
      </c>
      <c r="H251" s="57" t="s">
        <v>1362</v>
      </c>
      <c r="I251" t="s">
        <v>1363</v>
      </c>
      <c r="J251" s="64">
        <v>19.69998</v>
      </c>
    </row>
    <row r="252" spans="2:10" x14ac:dyDescent="0.25">
      <c r="B252" t="str">
        <f t="shared" si="3"/>
        <v>Castelnuovo CilentoPPP-IPU-C231-01</v>
      </c>
      <c r="C252" t="s">
        <v>826</v>
      </c>
      <c r="D252" s="62" t="s">
        <v>887</v>
      </c>
      <c r="E252" s="50" t="s">
        <v>910</v>
      </c>
      <c r="F252" t="s">
        <v>889</v>
      </c>
      <c r="G252" t="s">
        <v>890</v>
      </c>
      <c r="H252" s="57" t="s">
        <v>1364</v>
      </c>
      <c r="I252" t="s">
        <v>1365</v>
      </c>
      <c r="J252" s="64">
        <v>56.111280000000001</v>
      </c>
    </row>
    <row r="253" spans="2:10" x14ac:dyDescent="0.25">
      <c r="B253" t="str">
        <f t="shared" si="3"/>
        <v>Castri di Lecce (Pj Elena)PPP-IPU-C334-01</v>
      </c>
      <c r="C253" t="s">
        <v>826</v>
      </c>
      <c r="D253" s="62" t="s">
        <v>887</v>
      </c>
      <c r="E253" s="50" t="s">
        <v>910</v>
      </c>
      <c r="F253" t="s">
        <v>889</v>
      </c>
      <c r="G253" t="s">
        <v>890</v>
      </c>
      <c r="H253" s="57" t="s">
        <v>1366</v>
      </c>
      <c r="I253" t="s">
        <v>1367</v>
      </c>
      <c r="J253" s="64">
        <v>15.81955</v>
      </c>
    </row>
    <row r="254" spans="2:10" x14ac:dyDescent="0.25">
      <c r="B254" t="str">
        <f t="shared" si="3"/>
        <v>Cellino San Marco (Pj Elena) PLPPP-IPU-C448-01</v>
      </c>
      <c r="C254" t="s">
        <v>826</v>
      </c>
      <c r="D254" s="62" t="s">
        <v>887</v>
      </c>
      <c r="E254" s="50" t="s">
        <v>910</v>
      </c>
      <c r="F254" t="s">
        <v>889</v>
      </c>
      <c r="G254" t="s">
        <v>890</v>
      </c>
      <c r="H254" s="57" t="s">
        <v>1368</v>
      </c>
      <c r="I254" t="s">
        <v>1369</v>
      </c>
      <c r="J254" s="64">
        <v>52.550849999999997</v>
      </c>
    </row>
    <row r="255" spans="2:10" x14ac:dyDescent="0.25">
      <c r="B255" t="str">
        <f t="shared" si="3"/>
        <v>CerasoPPP-IPU-C485-01</v>
      </c>
      <c r="C255" t="s">
        <v>826</v>
      </c>
      <c r="D255" s="62" t="s">
        <v>887</v>
      </c>
      <c r="E255" s="50" t="s">
        <v>910</v>
      </c>
      <c r="F255" t="s">
        <v>889</v>
      </c>
      <c r="G255" t="s">
        <v>890</v>
      </c>
      <c r="H255" s="57" t="s">
        <v>1370</v>
      </c>
      <c r="I255" t="s">
        <v>1371</v>
      </c>
      <c r="J255" s="64">
        <v>51.277860000000004</v>
      </c>
    </row>
    <row r="256" spans="2:10" x14ac:dyDescent="0.25">
      <c r="B256" t="str">
        <f t="shared" si="3"/>
        <v>Santa Maria del CedroPPP-IPU-C717-01</v>
      </c>
      <c r="C256" t="s">
        <v>826</v>
      </c>
      <c r="D256" s="62" t="s">
        <v>887</v>
      </c>
      <c r="E256" s="50" t="s">
        <v>910</v>
      </c>
      <c r="F256" t="s">
        <v>889</v>
      </c>
      <c r="G256" t="s">
        <v>890</v>
      </c>
      <c r="H256" s="57" t="s">
        <v>1372</v>
      </c>
      <c r="I256" t="s">
        <v>1373</v>
      </c>
      <c r="J256" s="64">
        <v>160.76895000000002</v>
      </c>
    </row>
    <row r="257" spans="2:10" x14ac:dyDescent="0.25">
      <c r="B257" t="str">
        <f t="shared" si="3"/>
        <v>CrispianoPPP-IPU-D171-01</v>
      </c>
      <c r="C257" t="s">
        <v>826</v>
      </c>
      <c r="D257" s="62" t="s">
        <v>887</v>
      </c>
      <c r="E257" s="50" t="s">
        <v>910</v>
      </c>
      <c r="F257" t="s">
        <v>889</v>
      </c>
      <c r="G257" t="s">
        <v>890</v>
      </c>
      <c r="H257" s="57" t="s">
        <v>1374</v>
      </c>
      <c r="I257" t="s">
        <v>1375</v>
      </c>
      <c r="J257" s="64">
        <v>161.27646999999999</v>
      </c>
    </row>
    <row r="258" spans="2:10" x14ac:dyDescent="0.25">
      <c r="B258" t="str">
        <f t="shared" si="3"/>
        <v>CursiPPP-IPU-D223-01</v>
      </c>
      <c r="C258" t="s">
        <v>826</v>
      </c>
      <c r="D258" s="62" t="s">
        <v>887</v>
      </c>
      <c r="E258" s="50" t="s">
        <v>910</v>
      </c>
      <c r="F258" t="s">
        <v>889</v>
      </c>
      <c r="G258" t="s">
        <v>890</v>
      </c>
      <c r="H258" s="57" t="s">
        <v>1376</v>
      </c>
      <c r="I258" t="s">
        <v>1377</v>
      </c>
      <c r="J258" s="64">
        <v>64.833780000000004</v>
      </c>
    </row>
    <row r="259" spans="2:10" x14ac:dyDescent="0.25">
      <c r="B259" t="str">
        <f t="shared" si="3"/>
        <v>DragoniPPP-IPU-D361-01</v>
      </c>
      <c r="C259" t="s">
        <v>826</v>
      </c>
      <c r="D259" s="62" t="s">
        <v>887</v>
      </c>
      <c r="E259" s="50" t="s">
        <v>910</v>
      </c>
      <c r="F259" t="s">
        <v>889</v>
      </c>
      <c r="G259" t="s">
        <v>890</v>
      </c>
      <c r="H259" s="57" t="s">
        <v>1378</v>
      </c>
      <c r="I259" t="s">
        <v>1379</v>
      </c>
      <c r="J259" s="64">
        <v>62.516460000000002</v>
      </c>
    </row>
    <row r="260" spans="2:10" x14ac:dyDescent="0.25">
      <c r="B260" t="str">
        <f t="shared" ref="B260:B323" si="4">+I260&amp;H260</f>
        <v>Fagnano CastelloPPP-IPU-D464-01</v>
      </c>
      <c r="C260" t="s">
        <v>826</v>
      </c>
      <c r="D260" s="62" t="s">
        <v>887</v>
      </c>
      <c r="E260" s="50" t="s">
        <v>910</v>
      </c>
      <c r="F260" t="s">
        <v>889</v>
      </c>
      <c r="G260" t="s">
        <v>890</v>
      </c>
      <c r="H260" s="57" t="s">
        <v>1380</v>
      </c>
      <c r="I260" t="s">
        <v>1381</v>
      </c>
      <c r="J260" s="64">
        <v>83.029080000000008</v>
      </c>
    </row>
    <row r="261" spans="2:10" x14ac:dyDescent="0.25">
      <c r="B261" t="str">
        <f t="shared" si="4"/>
        <v>Filiano PLPPP-IPU-D593-01</v>
      </c>
      <c r="C261" t="s">
        <v>826</v>
      </c>
      <c r="D261" s="62" t="s">
        <v>887</v>
      </c>
      <c r="E261" s="50" t="s">
        <v>910</v>
      </c>
      <c r="F261" t="s">
        <v>889</v>
      </c>
      <c r="G261" t="s">
        <v>890</v>
      </c>
      <c r="H261" s="57" t="s">
        <v>1382</v>
      </c>
      <c r="I261" t="s">
        <v>1383</v>
      </c>
      <c r="J261" s="64">
        <v>88.114740000000012</v>
      </c>
    </row>
    <row r="262" spans="2:10" x14ac:dyDescent="0.25">
      <c r="B262" t="str">
        <f t="shared" si="4"/>
        <v>FiscianoPPP-IPU-D615-01</v>
      </c>
      <c r="C262" t="s">
        <v>826</v>
      </c>
      <c r="D262" s="62" t="s">
        <v>887</v>
      </c>
      <c r="E262" s="50" t="s">
        <v>910</v>
      </c>
      <c r="F262" t="s">
        <v>889</v>
      </c>
      <c r="G262" t="s">
        <v>890</v>
      </c>
      <c r="H262" s="57" t="s">
        <v>1384</v>
      </c>
      <c r="I262" t="s">
        <v>1385</v>
      </c>
      <c r="J262" s="64">
        <v>227.24142000000001</v>
      </c>
    </row>
    <row r="263" spans="2:10" x14ac:dyDescent="0.25">
      <c r="B263" t="str">
        <f t="shared" si="4"/>
        <v>Gallipoli (Pj Elena) PLPPP-IPU-D883-01</v>
      </c>
      <c r="C263" t="s">
        <v>826</v>
      </c>
      <c r="D263" s="62" t="s">
        <v>887</v>
      </c>
      <c r="E263" s="50" t="s">
        <v>910</v>
      </c>
      <c r="F263" t="s">
        <v>889</v>
      </c>
      <c r="G263" t="s">
        <v>890</v>
      </c>
      <c r="H263" s="57" t="s">
        <v>1386</v>
      </c>
      <c r="I263" t="s">
        <v>1387</v>
      </c>
      <c r="J263" s="64">
        <v>131.54782</v>
      </c>
    </row>
    <row r="264" spans="2:10" x14ac:dyDescent="0.25">
      <c r="B264" t="str">
        <f t="shared" si="4"/>
        <v>Giffoni Sei CasaliPPP-IPU-E026-01</v>
      </c>
      <c r="C264" t="s">
        <v>826</v>
      </c>
      <c r="D264" s="62" t="s">
        <v>887</v>
      </c>
      <c r="E264" s="50" t="s">
        <v>910</v>
      </c>
      <c r="F264" t="s">
        <v>889</v>
      </c>
      <c r="G264" t="s">
        <v>890</v>
      </c>
      <c r="H264" s="57" t="s">
        <v>1388</v>
      </c>
      <c r="I264" t="s">
        <v>1389</v>
      </c>
      <c r="J264" s="64">
        <v>60.404400000000003</v>
      </c>
    </row>
    <row r="265" spans="2:10" x14ac:dyDescent="0.25">
      <c r="B265" t="str">
        <f t="shared" si="4"/>
        <v>GinestraPPP-IPU-E033-01</v>
      </c>
      <c r="C265" t="s">
        <v>826</v>
      </c>
      <c r="D265" s="62" t="s">
        <v>887</v>
      </c>
      <c r="E265" s="50" t="s">
        <v>910</v>
      </c>
      <c r="F265" t="s">
        <v>889</v>
      </c>
      <c r="G265" t="s">
        <v>890</v>
      </c>
      <c r="H265" s="57" t="s">
        <v>1390</v>
      </c>
      <c r="I265" t="s">
        <v>1391</v>
      </c>
      <c r="J265" s="64">
        <v>34.23028</v>
      </c>
    </row>
    <row r="266" spans="2:10" x14ac:dyDescent="0.25">
      <c r="B266" t="str">
        <f t="shared" si="4"/>
        <v>GiuggianelloPPP-IPU-E053-01</v>
      </c>
      <c r="C266" t="s">
        <v>826</v>
      </c>
      <c r="D266" s="62" t="s">
        <v>887</v>
      </c>
      <c r="E266" s="50" t="s">
        <v>910</v>
      </c>
      <c r="F266" t="s">
        <v>889</v>
      </c>
      <c r="G266" t="s">
        <v>890</v>
      </c>
      <c r="H266" s="57" t="s">
        <v>1392</v>
      </c>
      <c r="I266" t="s">
        <v>1393</v>
      </c>
      <c r="J266" s="64">
        <v>25.40982</v>
      </c>
    </row>
    <row r="267" spans="2:10" x14ac:dyDescent="0.25">
      <c r="B267" t="str">
        <f t="shared" si="4"/>
        <v>LavianoPPP-IPU-E498-01</v>
      </c>
      <c r="C267" t="s">
        <v>826</v>
      </c>
      <c r="D267" s="62" t="s">
        <v>887</v>
      </c>
      <c r="E267" s="50" t="s">
        <v>910</v>
      </c>
      <c r="F267" t="s">
        <v>889</v>
      </c>
      <c r="G267" t="s">
        <v>890</v>
      </c>
      <c r="H267" s="57" t="s">
        <v>1394</v>
      </c>
      <c r="I267" t="s">
        <v>1395</v>
      </c>
      <c r="J267" s="64">
        <v>88.152779999999993</v>
      </c>
    </row>
    <row r="268" spans="2:10" x14ac:dyDescent="0.25">
      <c r="B268" t="str">
        <f t="shared" si="4"/>
        <v>LizzanoPPP-IPU-E630-01</v>
      </c>
      <c r="C268" t="s">
        <v>826</v>
      </c>
      <c r="D268" s="62" t="s">
        <v>887</v>
      </c>
      <c r="E268" s="50" t="s">
        <v>910</v>
      </c>
      <c r="F268" t="s">
        <v>889</v>
      </c>
      <c r="G268" t="s">
        <v>890</v>
      </c>
      <c r="H268" s="57" t="s">
        <v>1396</v>
      </c>
      <c r="I268" t="s">
        <v>1397</v>
      </c>
      <c r="J268" s="64">
        <v>173.11962</v>
      </c>
    </row>
    <row r="269" spans="2:10" x14ac:dyDescent="0.25">
      <c r="B269" t="str">
        <f t="shared" si="4"/>
        <v>LuceraPPP-IPU-E716-01</v>
      </c>
      <c r="C269" t="s">
        <v>826</v>
      </c>
      <c r="D269" s="62" t="s">
        <v>887</v>
      </c>
      <c r="E269" s="50" t="s">
        <v>910</v>
      </c>
      <c r="F269" t="s">
        <v>889</v>
      </c>
      <c r="G269" t="s">
        <v>890</v>
      </c>
      <c r="H269" s="57" t="s">
        <v>1398</v>
      </c>
      <c r="I269" t="s">
        <v>1399</v>
      </c>
      <c r="J269" s="64">
        <v>348.75258000000002</v>
      </c>
    </row>
    <row r="270" spans="2:10" x14ac:dyDescent="0.25">
      <c r="B270" t="str">
        <f t="shared" si="4"/>
        <v>Manduria (Pj Elena) PLPPP-IPU-E882-01</v>
      </c>
      <c r="C270" t="s">
        <v>826</v>
      </c>
      <c r="D270" s="62" t="s">
        <v>887</v>
      </c>
      <c r="E270" s="50" t="s">
        <v>910</v>
      </c>
      <c r="F270" t="s">
        <v>889</v>
      </c>
      <c r="G270" t="s">
        <v>890</v>
      </c>
      <c r="H270" s="57" t="s">
        <v>1400</v>
      </c>
      <c r="I270" t="s">
        <v>1401</v>
      </c>
      <c r="J270" s="64">
        <v>193.09075000000001</v>
      </c>
    </row>
    <row r="271" spans="2:10" x14ac:dyDescent="0.25">
      <c r="B271" t="str">
        <f t="shared" si="4"/>
        <v>MarateaPPP-IPU-E919-01</v>
      </c>
      <c r="C271" t="s">
        <v>826</v>
      </c>
      <c r="D271" s="62" t="s">
        <v>887</v>
      </c>
      <c r="E271" s="50" t="s">
        <v>910</v>
      </c>
      <c r="F271" t="s">
        <v>889</v>
      </c>
      <c r="G271" t="s">
        <v>890</v>
      </c>
      <c r="H271" s="57" t="s">
        <v>1402</v>
      </c>
      <c r="I271" t="s">
        <v>1403</v>
      </c>
      <c r="J271" s="64">
        <v>142.82739000000001</v>
      </c>
    </row>
    <row r="272" spans="2:10" x14ac:dyDescent="0.25">
      <c r="B272" t="str">
        <f t="shared" si="4"/>
        <v>Marsico NuovoPPP-IPU-E976-01</v>
      </c>
      <c r="C272" t="s">
        <v>826</v>
      </c>
      <c r="D272" s="62" t="s">
        <v>887</v>
      </c>
      <c r="E272" s="50" t="s">
        <v>910</v>
      </c>
      <c r="F272" t="s">
        <v>889</v>
      </c>
      <c r="G272" t="s">
        <v>890</v>
      </c>
      <c r="H272" s="57" t="s">
        <v>1404</v>
      </c>
      <c r="I272" t="s">
        <v>1405</v>
      </c>
      <c r="J272" s="64">
        <v>170.7749</v>
      </c>
    </row>
    <row r="273" spans="2:10" x14ac:dyDescent="0.25">
      <c r="B273" t="str">
        <f t="shared" si="4"/>
        <v>MiglionicoPPP-IPU-F201-01</v>
      </c>
      <c r="C273" t="s">
        <v>826</v>
      </c>
      <c r="D273" s="62" t="s">
        <v>887</v>
      </c>
      <c r="E273" s="50" t="s">
        <v>910</v>
      </c>
      <c r="F273" t="s">
        <v>889</v>
      </c>
      <c r="G273" t="s">
        <v>890</v>
      </c>
      <c r="H273" s="57" t="s">
        <v>1406</v>
      </c>
      <c r="I273" t="s">
        <v>1407</v>
      </c>
      <c r="J273" s="64">
        <v>54.1464</v>
      </c>
    </row>
    <row r="274" spans="2:10" x14ac:dyDescent="0.25">
      <c r="B274" t="str">
        <f t="shared" si="4"/>
        <v>MongrassanoPPP-IPU-F370-01</v>
      </c>
      <c r="C274" t="s">
        <v>826</v>
      </c>
      <c r="D274" s="62" t="s">
        <v>887</v>
      </c>
      <c r="E274" s="50" t="s">
        <v>910</v>
      </c>
      <c r="F274" t="s">
        <v>889</v>
      </c>
      <c r="G274" t="s">
        <v>890</v>
      </c>
      <c r="H274" s="57" t="s">
        <v>1408</v>
      </c>
      <c r="I274" t="s">
        <v>1409</v>
      </c>
      <c r="J274" s="64">
        <v>51.427980000000005</v>
      </c>
    </row>
    <row r="275" spans="2:10" x14ac:dyDescent="0.25">
      <c r="B275" t="str">
        <f t="shared" si="4"/>
        <v>MontescagliosoPPP-IPU-F637-01</v>
      </c>
      <c r="C275" t="s">
        <v>826</v>
      </c>
      <c r="D275" s="62" t="s">
        <v>887</v>
      </c>
      <c r="E275" s="50" t="s">
        <v>910</v>
      </c>
      <c r="F275" t="s">
        <v>889</v>
      </c>
      <c r="G275" t="s">
        <v>890</v>
      </c>
      <c r="H275" s="57" t="s">
        <v>1410</v>
      </c>
      <c r="I275" t="s">
        <v>1411</v>
      </c>
      <c r="J275" s="64">
        <v>158.43971999999999</v>
      </c>
    </row>
    <row r="276" spans="2:10" x14ac:dyDescent="0.25">
      <c r="B276" t="str">
        <f t="shared" si="4"/>
        <v>NardodipacePPP-IPU-F843-01</v>
      </c>
      <c r="C276" t="s">
        <v>826</v>
      </c>
      <c r="D276" s="62" t="s">
        <v>887</v>
      </c>
      <c r="E276" s="50" t="s">
        <v>910</v>
      </c>
      <c r="F276" t="s">
        <v>889</v>
      </c>
      <c r="G276" t="s">
        <v>890</v>
      </c>
      <c r="H276" s="57" t="s">
        <v>1412</v>
      </c>
      <c r="I276" t="s">
        <v>1413</v>
      </c>
      <c r="J276" s="64">
        <v>47.991120000000002</v>
      </c>
    </row>
    <row r="277" spans="2:10" x14ac:dyDescent="0.25">
      <c r="B277" t="str">
        <f t="shared" si="4"/>
        <v>NociPPP-IPU-F915-01</v>
      </c>
      <c r="C277" t="s">
        <v>826</v>
      </c>
      <c r="D277" s="62" t="s">
        <v>887</v>
      </c>
      <c r="E277" s="50" t="s">
        <v>910</v>
      </c>
      <c r="F277" t="s">
        <v>889</v>
      </c>
      <c r="G277" t="s">
        <v>890</v>
      </c>
      <c r="H277" s="57" t="s">
        <v>1414</v>
      </c>
      <c r="I277" t="s">
        <v>1415</v>
      </c>
      <c r="J277" s="60">
        <v>359.44439590429306</v>
      </c>
    </row>
    <row r="278" spans="2:10" x14ac:dyDescent="0.25">
      <c r="B278" t="str">
        <f t="shared" si="4"/>
        <v>Olevano sul TuscianoPPP-IPU-G023-01</v>
      </c>
      <c r="C278" t="s">
        <v>826</v>
      </c>
      <c r="D278" s="62" t="s">
        <v>887</v>
      </c>
      <c r="E278" s="50" t="s">
        <v>910</v>
      </c>
      <c r="F278" t="s">
        <v>889</v>
      </c>
      <c r="G278" t="s">
        <v>890</v>
      </c>
      <c r="H278" s="57" t="s">
        <v>1416</v>
      </c>
      <c r="I278" t="s">
        <v>1417</v>
      </c>
      <c r="J278" s="64">
        <v>121.7589</v>
      </c>
    </row>
    <row r="279" spans="2:10" x14ac:dyDescent="0.25">
      <c r="B279" t="str">
        <f t="shared" si="4"/>
        <v>OrtellePPP-IPU-G136-01</v>
      </c>
      <c r="C279" t="s">
        <v>826</v>
      </c>
      <c r="D279" s="62" t="s">
        <v>887</v>
      </c>
      <c r="E279" s="50" t="s">
        <v>910</v>
      </c>
      <c r="F279" t="s">
        <v>889</v>
      </c>
      <c r="G279" t="s">
        <v>890</v>
      </c>
      <c r="H279" s="57" t="s">
        <v>1418</v>
      </c>
      <c r="I279" t="s">
        <v>1419</v>
      </c>
      <c r="J279" s="64">
        <v>73.548839999999998</v>
      </c>
    </row>
    <row r="280" spans="2:10" x14ac:dyDescent="0.25">
      <c r="B280" t="str">
        <f t="shared" si="4"/>
        <v>PadulaPPP-IPU-G226-01</v>
      </c>
      <c r="C280" t="s">
        <v>826</v>
      </c>
      <c r="D280" s="62" t="s">
        <v>887</v>
      </c>
      <c r="E280" s="50" t="s">
        <v>910</v>
      </c>
      <c r="F280" t="s">
        <v>889</v>
      </c>
      <c r="G280" t="s">
        <v>890</v>
      </c>
      <c r="H280" s="57" t="s">
        <v>1420</v>
      </c>
      <c r="I280" t="s">
        <v>1421</v>
      </c>
      <c r="J280" s="64">
        <v>137.49822</v>
      </c>
    </row>
    <row r="281" spans="2:10" x14ac:dyDescent="0.25">
      <c r="B281" t="str">
        <f t="shared" si="4"/>
        <v>PaganiPPP-IPU-G230-01</v>
      </c>
      <c r="C281" t="s">
        <v>826</v>
      </c>
      <c r="D281" s="62" t="s">
        <v>887</v>
      </c>
      <c r="E281" s="50" t="s">
        <v>910</v>
      </c>
      <c r="F281" t="s">
        <v>889</v>
      </c>
      <c r="G281" t="s">
        <v>890</v>
      </c>
      <c r="H281" s="57" t="s">
        <v>1422</v>
      </c>
      <c r="I281" t="s">
        <v>1423</v>
      </c>
      <c r="J281" s="60">
        <v>259.72343728323739</v>
      </c>
    </row>
    <row r="282" spans="2:10" x14ac:dyDescent="0.25">
      <c r="B282" t="str">
        <f t="shared" si="4"/>
        <v>PartinicoPPP-IPU-G348-01</v>
      </c>
      <c r="C282" t="s">
        <v>826</v>
      </c>
      <c r="D282" s="62" t="s">
        <v>887</v>
      </c>
      <c r="E282" s="50" t="s">
        <v>910</v>
      </c>
      <c r="F282" t="s">
        <v>889</v>
      </c>
      <c r="G282" t="s">
        <v>890</v>
      </c>
      <c r="H282" s="57" t="s">
        <v>1424</v>
      </c>
      <c r="I282" t="s">
        <v>1425</v>
      </c>
      <c r="J282" s="64">
        <v>649.16956999999991</v>
      </c>
    </row>
    <row r="283" spans="2:10" x14ac:dyDescent="0.25">
      <c r="B283" t="str">
        <f t="shared" si="4"/>
        <v>PellezzanoPPP-IPU-G426-01</v>
      </c>
      <c r="C283" t="s">
        <v>826</v>
      </c>
      <c r="D283" s="62" t="s">
        <v>887</v>
      </c>
      <c r="E283" s="50" t="s">
        <v>910</v>
      </c>
      <c r="F283" t="s">
        <v>889</v>
      </c>
      <c r="G283" t="s">
        <v>890</v>
      </c>
      <c r="H283" s="57" t="s">
        <v>1426</v>
      </c>
      <c r="I283" t="s">
        <v>1712</v>
      </c>
      <c r="J283" s="64">
        <v>173.99268000000001</v>
      </c>
    </row>
    <row r="284" spans="2:10" x14ac:dyDescent="0.25">
      <c r="B284" t="str">
        <f t="shared" si="4"/>
        <v>PicernoPPP-IPU-G590-01</v>
      </c>
      <c r="C284" t="s">
        <v>826</v>
      </c>
      <c r="D284" s="62" t="s">
        <v>887</v>
      </c>
      <c r="E284" s="50" t="s">
        <v>910</v>
      </c>
      <c r="F284" t="s">
        <v>889</v>
      </c>
      <c r="G284" t="s">
        <v>890</v>
      </c>
      <c r="H284" s="57" t="s">
        <v>1428</v>
      </c>
      <c r="I284" t="s">
        <v>1429</v>
      </c>
      <c r="J284" s="64">
        <v>61.465919999999997</v>
      </c>
    </row>
    <row r="285" spans="2:10" x14ac:dyDescent="0.25">
      <c r="B285" t="str">
        <f t="shared" si="4"/>
        <v>PisciottaPPP-IPU-G707-01</v>
      </c>
      <c r="C285" t="s">
        <v>826</v>
      </c>
      <c r="D285" s="62" t="s">
        <v>887</v>
      </c>
      <c r="E285" s="50" t="s">
        <v>910</v>
      </c>
      <c r="F285" t="s">
        <v>889</v>
      </c>
      <c r="G285" t="s">
        <v>890</v>
      </c>
      <c r="H285" s="57" t="s">
        <v>1430</v>
      </c>
      <c r="I285" t="s">
        <v>1431</v>
      </c>
      <c r="J285" s="64">
        <v>96.941279999999992</v>
      </c>
    </row>
    <row r="286" spans="2:10" x14ac:dyDescent="0.25">
      <c r="B286" t="str">
        <f t="shared" si="4"/>
        <v>PoggiardoPPP-IPU-G751-01</v>
      </c>
      <c r="C286" t="s">
        <v>826</v>
      </c>
      <c r="D286" s="62" t="s">
        <v>887</v>
      </c>
      <c r="E286" s="50" t="s">
        <v>910</v>
      </c>
      <c r="F286" t="s">
        <v>889</v>
      </c>
      <c r="G286" t="s">
        <v>890</v>
      </c>
      <c r="H286" s="57" t="s">
        <v>1432</v>
      </c>
      <c r="I286" t="s">
        <v>1433</v>
      </c>
      <c r="J286" s="64">
        <v>132.45371</v>
      </c>
    </row>
    <row r="287" spans="2:10" x14ac:dyDescent="0.25">
      <c r="B287" t="str">
        <f t="shared" si="4"/>
        <v>Poggio ImperialePPP-IPU-G761-01</v>
      </c>
      <c r="C287" t="s">
        <v>826</v>
      </c>
      <c r="D287" s="62" t="s">
        <v>887</v>
      </c>
      <c r="E287" s="50" t="s">
        <v>910</v>
      </c>
      <c r="F287" t="s">
        <v>889</v>
      </c>
      <c r="G287" t="s">
        <v>890</v>
      </c>
      <c r="H287" s="57" t="s">
        <v>1434</v>
      </c>
      <c r="I287" t="s">
        <v>1435</v>
      </c>
      <c r="J287" s="64">
        <v>79.161419999999993</v>
      </c>
    </row>
    <row r="288" spans="2:10" x14ac:dyDescent="0.25">
      <c r="B288" t="str">
        <f t="shared" si="4"/>
        <v>PomaricoPPP-IPU-G806-01</v>
      </c>
      <c r="C288" t="s">
        <v>826</v>
      </c>
      <c r="D288" s="62" t="s">
        <v>887</v>
      </c>
      <c r="E288" s="50" t="s">
        <v>910</v>
      </c>
      <c r="F288" t="s">
        <v>889</v>
      </c>
      <c r="G288" t="s">
        <v>890</v>
      </c>
      <c r="H288" s="57" t="s">
        <v>1436</v>
      </c>
      <c r="I288" t="s">
        <v>1437</v>
      </c>
      <c r="J288" s="64">
        <v>93.931080000000009</v>
      </c>
    </row>
    <row r="289" spans="2:10" x14ac:dyDescent="0.25">
      <c r="B289" t="str">
        <f t="shared" si="4"/>
        <v>RacalePPP-IPU-H147-01</v>
      </c>
      <c r="C289" t="s">
        <v>826</v>
      </c>
      <c r="D289" s="62" t="s">
        <v>887</v>
      </c>
      <c r="E289" s="50" t="s">
        <v>910</v>
      </c>
      <c r="F289" t="s">
        <v>889</v>
      </c>
      <c r="G289" t="s">
        <v>890</v>
      </c>
      <c r="H289" s="57" t="s">
        <v>1438</v>
      </c>
      <c r="I289" t="s">
        <v>1439</v>
      </c>
      <c r="J289" s="64">
        <v>245.75543999999999</v>
      </c>
    </row>
    <row r="290" spans="2:10" x14ac:dyDescent="0.25">
      <c r="B290" t="str">
        <f t="shared" si="4"/>
        <v>Rionero in VulturePPP-IPU-H307-01</v>
      </c>
      <c r="C290" t="s">
        <v>826</v>
      </c>
      <c r="D290" s="62" t="s">
        <v>887</v>
      </c>
      <c r="E290" s="50" t="s">
        <v>910</v>
      </c>
      <c r="F290" t="s">
        <v>889</v>
      </c>
      <c r="G290" t="s">
        <v>890</v>
      </c>
      <c r="H290" s="57" t="s">
        <v>1440</v>
      </c>
      <c r="I290" t="s">
        <v>1441</v>
      </c>
      <c r="J290" s="64">
        <v>216.59820000000002</v>
      </c>
    </row>
    <row r="291" spans="2:10" x14ac:dyDescent="0.25">
      <c r="B291" t="str">
        <f t="shared" si="4"/>
        <v>RuotiPPP-IPU-H641-01</v>
      </c>
      <c r="C291" t="s">
        <v>826</v>
      </c>
      <c r="D291" s="62" t="s">
        <v>887</v>
      </c>
      <c r="E291" s="50" t="s">
        <v>910</v>
      </c>
      <c r="F291" t="s">
        <v>889</v>
      </c>
      <c r="G291" t="s">
        <v>890</v>
      </c>
      <c r="H291" s="57" t="s">
        <v>1442</v>
      </c>
      <c r="I291" t="s">
        <v>1443</v>
      </c>
      <c r="J291" s="64">
        <v>63.73554</v>
      </c>
    </row>
    <row r="292" spans="2:10" x14ac:dyDescent="0.25">
      <c r="B292" t="str">
        <f t="shared" si="4"/>
        <v>San Cesario di Lecce (Pj Elena)PPP-IPU-H793-01</v>
      </c>
      <c r="C292" t="s">
        <v>826</v>
      </c>
      <c r="D292" s="62" t="s">
        <v>887</v>
      </c>
      <c r="E292" s="50" t="s">
        <v>910</v>
      </c>
      <c r="F292" t="s">
        <v>889</v>
      </c>
      <c r="G292" t="s">
        <v>890</v>
      </c>
      <c r="H292" s="57" t="s">
        <v>1444</v>
      </c>
      <c r="I292" t="s">
        <v>1445</v>
      </c>
      <c r="J292" s="64">
        <v>18.999959999999998</v>
      </c>
    </row>
    <row r="293" spans="2:10" x14ac:dyDescent="0.25">
      <c r="B293" t="str">
        <f t="shared" si="4"/>
        <v>San Chirico NuovoPPP-IPU-H795-01</v>
      </c>
      <c r="C293" t="s">
        <v>826</v>
      </c>
      <c r="D293" s="62" t="s">
        <v>887</v>
      </c>
      <c r="E293" s="50" t="s">
        <v>910</v>
      </c>
      <c r="F293" t="s">
        <v>889</v>
      </c>
      <c r="G293" t="s">
        <v>890</v>
      </c>
      <c r="H293" s="57" t="s">
        <v>1446</v>
      </c>
      <c r="I293" t="s">
        <v>1447</v>
      </c>
      <c r="J293" s="64">
        <v>23.682299999999998</v>
      </c>
    </row>
    <row r="294" spans="2:10" x14ac:dyDescent="0.25">
      <c r="B294" t="str">
        <f t="shared" si="4"/>
        <v>San Marzano sul SarnoPPP-IPU-I019-01</v>
      </c>
      <c r="C294" t="s">
        <v>826</v>
      </c>
      <c r="D294" s="62" t="s">
        <v>887</v>
      </c>
      <c r="E294" s="50" t="s">
        <v>910</v>
      </c>
      <c r="F294" t="s">
        <v>889</v>
      </c>
      <c r="G294" t="s">
        <v>890</v>
      </c>
      <c r="H294" s="57" t="s">
        <v>1448</v>
      </c>
      <c r="I294" t="s">
        <v>1449</v>
      </c>
      <c r="J294" s="64">
        <v>89.478839999999991</v>
      </c>
    </row>
    <row r="295" spans="2:10" x14ac:dyDescent="0.25">
      <c r="B295" t="str">
        <f t="shared" si="4"/>
        <v>Sant'arcangeloPPP-IPU-I305-01</v>
      </c>
      <c r="C295" t="s">
        <v>826</v>
      </c>
      <c r="D295" s="62" t="s">
        <v>887</v>
      </c>
      <c r="E295" s="50" t="s">
        <v>910</v>
      </c>
      <c r="F295" t="s">
        <v>889</v>
      </c>
      <c r="G295" t="s">
        <v>890</v>
      </c>
      <c r="H295" s="57" t="s">
        <v>1450</v>
      </c>
      <c r="I295" t="s">
        <v>1451</v>
      </c>
      <c r="J295" s="64">
        <v>83.950020000000009</v>
      </c>
    </row>
    <row r="296" spans="2:10" x14ac:dyDescent="0.25">
      <c r="B296" t="str">
        <f t="shared" si="4"/>
        <v>Sasso di CastaldaPPP-IPU-I457-01</v>
      </c>
      <c r="C296" t="s">
        <v>826</v>
      </c>
      <c r="D296" s="62" t="s">
        <v>887</v>
      </c>
      <c r="E296" s="50" t="s">
        <v>910</v>
      </c>
      <c r="F296" t="s">
        <v>889</v>
      </c>
      <c r="G296" t="s">
        <v>890</v>
      </c>
      <c r="H296" s="57" t="s">
        <v>1452</v>
      </c>
      <c r="I296" t="s">
        <v>1453</v>
      </c>
      <c r="J296" s="64">
        <v>23.079919999999998</v>
      </c>
    </row>
    <row r="297" spans="2:10" x14ac:dyDescent="0.25">
      <c r="B297" t="str">
        <f t="shared" si="4"/>
        <v>Sogliano CavourPPP-IPU-I780-01</v>
      </c>
      <c r="C297" t="s">
        <v>826</v>
      </c>
      <c r="D297" s="62" t="s">
        <v>887</v>
      </c>
      <c r="E297" s="50" t="s">
        <v>910</v>
      </c>
      <c r="F297" t="s">
        <v>889</v>
      </c>
      <c r="G297" t="s">
        <v>890</v>
      </c>
      <c r="H297" s="57" t="s">
        <v>1454</v>
      </c>
      <c r="I297" t="s">
        <v>1455</v>
      </c>
      <c r="J297" s="64">
        <v>0</v>
      </c>
    </row>
    <row r="298" spans="2:10" x14ac:dyDescent="0.25">
      <c r="B298" t="str">
        <f t="shared" si="4"/>
        <v>SolofraPPP-IPU-I805-01</v>
      </c>
      <c r="C298" t="s">
        <v>826</v>
      </c>
      <c r="D298" s="62" t="s">
        <v>887</v>
      </c>
      <c r="E298" s="50" t="s">
        <v>910</v>
      </c>
      <c r="F298" t="s">
        <v>889</v>
      </c>
      <c r="G298" t="s">
        <v>890</v>
      </c>
      <c r="H298" s="57" t="s">
        <v>1456</v>
      </c>
      <c r="I298" t="s">
        <v>1457</v>
      </c>
      <c r="J298" s="64">
        <v>172.56736999999998</v>
      </c>
    </row>
    <row r="299" spans="2:10" x14ac:dyDescent="0.25">
      <c r="B299" t="str">
        <f t="shared" si="4"/>
        <v>SpinosoPPP-IPU-I917-01</v>
      </c>
      <c r="C299" t="s">
        <v>826</v>
      </c>
      <c r="D299" s="62" t="s">
        <v>887</v>
      </c>
      <c r="E299" s="50" t="s">
        <v>910</v>
      </c>
      <c r="F299" t="s">
        <v>889</v>
      </c>
      <c r="G299" t="s">
        <v>890</v>
      </c>
      <c r="H299" s="57" t="s">
        <v>1458</v>
      </c>
      <c r="I299" t="s">
        <v>1459</v>
      </c>
      <c r="J299" s="64">
        <v>35.554499999999997</v>
      </c>
    </row>
    <row r="300" spans="2:10" x14ac:dyDescent="0.25">
      <c r="B300" t="str">
        <f t="shared" si="4"/>
        <v>SupersanoPPP-IPU-L008-01</v>
      </c>
      <c r="C300" t="s">
        <v>826</v>
      </c>
      <c r="D300" s="62" t="s">
        <v>887</v>
      </c>
      <c r="E300" s="50" t="s">
        <v>910</v>
      </c>
      <c r="F300" t="s">
        <v>889</v>
      </c>
      <c r="G300" t="s">
        <v>890</v>
      </c>
      <c r="H300" s="57" t="s">
        <v>1460</v>
      </c>
      <c r="I300" t="s">
        <v>1461</v>
      </c>
      <c r="J300" s="64">
        <v>60.108419999999995</v>
      </c>
    </row>
    <row r="301" spans="2:10" x14ac:dyDescent="0.25">
      <c r="B301" t="str">
        <f t="shared" si="4"/>
        <v>TavianoPPP-IPU-L074-01</v>
      </c>
      <c r="C301" t="s">
        <v>826</v>
      </c>
      <c r="D301" s="62" t="s">
        <v>887</v>
      </c>
      <c r="E301" s="50" t="s">
        <v>910</v>
      </c>
      <c r="F301" t="s">
        <v>889</v>
      </c>
      <c r="G301" t="s">
        <v>890</v>
      </c>
      <c r="H301" s="57" t="s">
        <v>1462</v>
      </c>
      <c r="I301" t="s">
        <v>1463</v>
      </c>
      <c r="J301" s="64">
        <v>251.23746</v>
      </c>
    </row>
    <row r="302" spans="2:10" x14ac:dyDescent="0.25">
      <c r="B302" t="str">
        <f t="shared" si="4"/>
        <v>TramutolaPPP-IPU-L326-01</v>
      </c>
      <c r="C302" t="s">
        <v>826</v>
      </c>
      <c r="D302" s="62" t="s">
        <v>887</v>
      </c>
      <c r="E302" s="50" t="s">
        <v>910</v>
      </c>
      <c r="F302" t="s">
        <v>889</v>
      </c>
      <c r="G302" t="s">
        <v>890</v>
      </c>
      <c r="H302" s="57" t="s">
        <v>1464</v>
      </c>
      <c r="I302" t="s">
        <v>1465</v>
      </c>
      <c r="J302" s="64">
        <v>62.244</v>
      </c>
    </row>
    <row r="303" spans="2:10" x14ac:dyDescent="0.25">
      <c r="B303" t="str">
        <f t="shared" si="4"/>
        <v>Ugento (Pj Elena)PPP-IPU-L484-01</v>
      </c>
      <c r="C303" t="s">
        <v>826</v>
      </c>
      <c r="D303" s="62" t="s">
        <v>887</v>
      </c>
      <c r="E303" s="50" t="s">
        <v>910</v>
      </c>
      <c r="F303" t="s">
        <v>889</v>
      </c>
      <c r="G303" t="s">
        <v>890</v>
      </c>
      <c r="H303" s="57" t="s">
        <v>1466</v>
      </c>
      <c r="I303" t="s">
        <v>1467</v>
      </c>
      <c r="J303" s="64">
        <v>204.15755999999999</v>
      </c>
    </row>
    <row r="304" spans="2:10" x14ac:dyDescent="0.25">
      <c r="B304" t="str">
        <f t="shared" si="4"/>
        <v>ValvaPPP-IPU-L656-01</v>
      </c>
      <c r="C304" t="s">
        <v>826</v>
      </c>
      <c r="D304" s="62" t="s">
        <v>887</v>
      </c>
      <c r="E304" s="50" t="s">
        <v>910</v>
      </c>
      <c r="F304" t="s">
        <v>889</v>
      </c>
      <c r="G304" t="s">
        <v>890</v>
      </c>
      <c r="H304" s="57" t="s">
        <v>1468</v>
      </c>
      <c r="I304" t="s">
        <v>1469</v>
      </c>
      <c r="J304" s="64">
        <v>43.269959999999998</v>
      </c>
    </row>
    <row r="305" spans="2:10" x14ac:dyDescent="0.25">
      <c r="B305" t="str">
        <f t="shared" si="4"/>
        <v>VibonatiPPP-IPU-L835-01</v>
      </c>
      <c r="C305" t="s">
        <v>826</v>
      </c>
      <c r="D305" s="62" t="s">
        <v>887</v>
      </c>
      <c r="E305" s="50" t="s">
        <v>910</v>
      </c>
      <c r="F305" t="s">
        <v>889</v>
      </c>
      <c r="G305" t="s">
        <v>890</v>
      </c>
      <c r="H305" s="57" t="s">
        <v>1470</v>
      </c>
      <c r="I305" t="s">
        <v>1471</v>
      </c>
      <c r="J305" s="64">
        <v>75.482280000000003</v>
      </c>
    </row>
    <row r="306" spans="2:10" x14ac:dyDescent="0.25">
      <c r="B306" t="str">
        <f t="shared" si="4"/>
        <v>MontemurroSEC-IPU-F573-01</v>
      </c>
      <c r="C306" t="s">
        <v>826</v>
      </c>
      <c r="D306" s="62" t="s">
        <v>887</v>
      </c>
      <c r="E306" s="50" t="s">
        <v>910</v>
      </c>
      <c r="F306" t="s">
        <v>1079</v>
      </c>
      <c r="G306" t="s">
        <v>1079</v>
      </c>
      <c r="H306" s="57" t="s">
        <v>1472</v>
      </c>
      <c r="I306" t="s">
        <v>1473</v>
      </c>
      <c r="J306" s="64">
        <v>3.2918499999999997</v>
      </c>
    </row>
    <row r="307" spans="2:10" x14ac:dyDescent="0.25">
      <c r="B307" t="str">
        <f t="shared" si="4"/>
        <v>ArmentoPPP-IPU-A415-01</v>
      </c>
      <c r="C307" t="s">
        <v>826</v>
      </c>
      <c r="D307" s="62" t="s">
        <v>887</v>
      </c>
      <c r="E307" s="50" t="s">
        <v>910</v>
      </c>
      <c r="F307" t="s">
        <v>889</v>
      </c>
      <c r="G307" t="s">
        <v>890</v>
      </c>
      <c r="H307" s="57" t="s">
        <v>1474</v>
      </c>
      <c r="I307" t="s">
        <v>1475</v>
      </c>
      <c r="J307" s="64">
        <v>8.2825400000000009</v>
      </c>
    </row>
    <row r="308" spans="2:10" x14ac:dyDescent="0.25">
      <c r="B308" t="str">
        <f t="shared" si="4"/>
        <v>CustonaciPPP-IPU-D234-01</v>
      </c>
      <c r="C308" t="s">
        <v>826</v>
      </c>
      <c r="D308" s="62" t="s">
        <v>887</v>
      </c>
      <c r="E308" s="50" t="s">
        <v>910</v>
      </c>
      <c r="F308" t="s">
        <v>889</v>
      </c>
      <c r="G308" t="s">
        <v>890</v>
      </c>
      <c r="H308" s="57" t="s">
        <v>1476</v>
      </c>
      <c r="I308" t="s">
        <v>1477</v>
      </c>
      <c r="J308" s="64">
        <v>0</v>
      </c>
    </row>
    <row r="309" spans="2:10" x14ac:dyDescent="0.25">
      <c r="B309" t="str">
        <f t="shared" si="4"/>
        <v>MarsalaPPP-IPU-E974-01</v>
      </c>
      <c r="C309" t="s">
        <v>826</v>
      </c>
      <c r="D309" s="62" t="s">
        <v>887</v>
      </c>
      <c r="E309" s="50" t="s">
        <v>910</v>
      </c>
      <c r="F309" t="s">
        <v>889</v>
      </c>
      <c r="G309" t="s">
        <v>890</v>
      </c>
      <c r="H309" s="57" t="s">
        <v>1478</v>
      </c>
      <c r="I309" t="s">
        <v>1479</v>
      </c>
      <c r="J309" s="64">
        <v>0</v>
      </c>
    </row>
    <row r="310" spans="2:10" x14ac:dyDescent="0.25">
      <c r="B310" t="str">
        <f t="shared" si="4"/>
        <v>MazzarinoPPP-IPU-F065-01</v>
      </c>
      <c r="C310" t="s">
        <v>826</v>
      </c>
      <c r="D310" s="62" t="s">
        <v>887</v>
      </c>
      <c r="E310" s="50" t="s">
        <v>910</v>
      </c>
      <c r="F310" t="s">
        <v>889</v>
      </c>
      <c r="G310" t="s">
        <v>890</v>
      </c>
      <c r="H310" s="57" t="s">
        <v>1480</v>
      </c>
      <c r="I310" t="s">
        <v>1481</v>
      </c>
      <c r="J310" s="64">
        <v>0</v>
      </c>
    </row>
    <row r="311" spans="2:10" x14ac:dyDescent="0.25">
      <c r="B311" t="str">
        <f t="shared" si="4"/>
        <v>MilazzoPPP-IPU-F206-01</v>
      </c>
      <c r="C311" t="s">
        <v>826</v>
      </c>
      <c r="D311" s="62" t="s">
        <v>887</v>
      </c>
      <c r="E311" s="50" t="s">
        <v>910</v>
      </c>
      <c r="F311" t="s">
        <v>889</v>
      </c>
      <c r="G311" t="s">
        <v>890</v>
      </c>
      <c r="H311" s="57" t="s">
        <v>1482</v>
      </c>
      <c r="I311" t="s">
        <v>1483</v>
      </c>
      <c r="J311" s="64">
        <v>0</v>
      </c>
    </row>
    <row r="312" spans="2:10" x14ac:dyDescent="0.25">
      <c r="B312" t="str">
        <f t="shared" si="4"/>
        <v>Pietragalla RinnovoATI-IPU-G616-02</v>
      </c>
      <c r="C312" t="s">
        <v>826</v>
      </c>
      <c r="D312" s="62" t="s">
        <v>887</v>
      </c>
      <c r="E312" s="50" t="s">
        <v>910</v>
      </c>
      <c r="F312" t="s">
        <v>889</v>
      </c>
      <c r="G312" t="s">
        <v>890</v>
      </c>
      <c r="H312" s="57" t="s">
        <v>1484</v>
      </c>
      <c r="I312" t="s">
        <v>1485</v>
      </c>
      <c r="J312" s="64">
        <v>0</v>
      </c>
    </row>
    <row r="313" spans="2:10" x14ac:dyDescent="0.25">
      <c r="B313" t="str">
        <f t="shared" si="4"/>
        <v>Ostuni PLPPP-IPU-G187-01</v>
      </c>
      <c r="C313" t="s">
        <v>826</v>
      </c>
      <c r="D313" s="62" t="s">
        <v>887</v>
      </c>
      <c r="E313" s="50" t="s">
        <v>910</v>
      </c>
      <c r="F313" t="s">
        <v>889</v>
      </c>
      <c r="G313" t="s">
        <v>890</v>
      </c>
      <c r="H313" s="57" t="s">
        <v>1486</v>
      </c>
      <c r="I313" t="s">
        <v>1487</v>
      </c>
      <c r="J313" s="64">
        <v>0</v>
      </c>
    </row>
    <row r="314" spans="2:10" x14ac:dyDescent="0.25">
      <c r="B314" t="str">
        <f t="shared" si="4"/>
        <v>JesoloPPP-IPU-C388-01</v>
      </c>
      <c r="C314" s="50" t="s">
        <v>826</v>
      </c>
      <c r="D314" s="51" t="s">
        <v>1488</v>
      </c>
      <c r="E314" s="50" t="s">
        <v>959</v>
      </c>
      <c r="F314" s="50" t="s">
        <v>889</v>
      </c>
      <c r="G314" s="50" t="s">
        <v>890</v>
      </c>
      <c r="H314" s="57" t="s">
        <v>1489</v>
      </c>
      <c r="I314" s="50" t="s">
        <v>1490</v>
      </c>
      <c r="J314" s="54">
        <v>36</v>
      </c>
    </row>
    <row r="315" spans="2:10" x14ac:dyDescent="0.25">
      <c r="B315" t="str">
        <f t="shared" si="4"/>
        <v>CeggiaPPP-IPU-C422-01</v>
      </c>
      <c r="C315" s="50" t="s">
        <v>826</v>
      </c>
      <c r="D315" s="51" t="s">
        <v>1488</v>
      </c>
      <c r="E315" s="50" t="s">
        <v>959</v>
      </c>
      <c r="F315" s="50" t="s">
        <v>889</v>
      </c>
      <c r="G315" s="50" t="s">
        <v>890</v>
      </c>
      <c r="H315" s="57" t="s">
        <v>1491</v>
      </c>
      <c r="I315" s="50" t="s">
        <v>1492</v>
      </c>
      <c r="J315" s="54">
        <v>6.0000000000000053</v>
      </c>
    </row>
    <row r="316" spans="2:10" x14ac:dyDescent="0.25">
      <c r="B316" t="str">
        <f t="shared" si="4"/>
        <v>Cogollo del CengioPPP-IPU-C824-01</v>
      </c>
      <c r="C316" t="s">
        <v>826</v>
      </c>
      <c r="D316" s="62" t="s">
        <v>1493</v>
      </c>
      <c r="E316" s="50" t="s">
        <v>959</v>
      </c>
      <c r="F316" t="s">
        <v>889</v>
      </c>
      <c r="G316" t="s">
        <v>890</v>
      </c>
      <c r="H316" s="57" t="s">
        <v>1494</v>
      </c>
      <c r="I316" t="s">
        <v>1495</v>
      </c>
      <c r="J316" s="64">
        <v>34.65972</v>
      </c>
    </row>
    <row r="317" spans="2:10" x14ac:dyDescent="0.25">
      <c r="B317" t="str">
        <f t="shared" si="4"/>
        <v>Concordia sulla SecchiaPPP-IPU-C951-01</v>
      </c>
      <c r="C317" s="50" t="s">
        <v>826</v>
      </c>
      <c r="D317" s="51" t="s">
        <v>1488</v>
      </c>
      <c r="E317" s="50" t="s">
        <v>959</v>
      </c>
      <c r="F317" s="50" t="s">
        <v>889</v>
      </c>
      <c r="G317" s="50" t="s">
        <v>890</v>
      </c>
      <c r="H317" s="57" t="s">
        <v>1496</v>
      </c>
      <c r="I317" s="50" t="s">
        <v>1497</v>
      </c>
      <c r="J317" s="54">
        <v>0</v>
      </c>
    </row>
    <row r="318" spans="2:10" x14ac:dyDescent="0.25">
      <c r="B318" t="str">
        <f t="shared" si="4"/>
        <v>CrosiaPPP-IPU-D184-01</v>
      </c>
      <c r="C318" s="50" t="s">
        <v>826</v>
      </c>
      <c r="D318" s="51" t="s">
        <v>1488</v>
      </c>
      <c r="E318" s="50" t="s">
        <v>910</v>
      </c>
      <c r="F318" s="50" t="s">
        <v>889</v>
      </c>
      <c r="G318" s="50" t="s">
        <v>890</v>
      </c>
      <c r="H318" s="57" t="s">
        <v>1498</v>
      </c>
      <c r="I318" s="50" t="s">
        <v>1499</v>
      </c>
      <c r="J318" s="54">
        <v>235.42301999999998</v>
      </c>
    </row>
    <row r="319" spans="2:10" x14ac:dyDescent="0.25">
      <c r="B319" t="str">
        <f t="shared" si="4"/>
        <v>EracleaPPP-IPU-D415-01</v>
      </c>
      <c r="C319" s="50" t="s">
        <v>826</v>
      </c>
      <c r="D319" s="51" t="s">
        <v>1488</v>
      </c>
      <c r="E319" s="50" t="s">
        <v>959</v>
      </c>
      <c r="F319" s="50" t="s">
        <v>889</v>
      </c>
      <c r="G319" s="50" t="s">
        <v>890</v>
      </c>
      <c r="H319" s="57" t="s">
        <v>1500</v>
      </c>
      <c r="I319" s="50" t="s">
        <v>1501</v>
      </c>
      <c r="J319" s="54">
        <v>14.39999999999999</v>
      </c>
    </row>
    <row r="320" spans="2:10" x14ac:dyDescent="0.25">
      <c r="B320" t="str">
        <f t="shared" si="4"/>
        <v>Fossalta di PiavePPP-IPU-D740-01</v>
      </c>
      <c r="C320" s="50" t="s">
        <v>826</v>
      </c>
      <c r="D320" s="51" t="s">
        <v>1488</v>
      </c>
      <c r="E320" s="50" t="s">
        <v>959</v>
      </c>
      <c r="F320" s="50" t="s">
        <v>889</v>
      </c>
      <c r="G320" s="50" t="s">
        <v>890</v>
      </c>
      <c r="H320" s="57" t="s">
        <v>1502</v>
      </c>
      <c r="I320" s="50" t="s">
        <v>1503</v>
      </c>
      <c r="J320" s="54">
        <v>10.800000000000002</v>
      </c>
    </row>
    <row r="321" spans="2:10" x14ac:dyDescent="0.25">
      <c r="B321" t="str">
        <f t="shared" si="4"/>
        <v>MeoloPPP-IPU-F130-01</v>
      </c>
      <c r="C321" s="50" t="s">
        <v>826</v>
      </c>
      <c r="D321" s="51" t="s">
        <v>1488</v>
      </c>
      <c r="E321" s="50" t="s">
        <v>959</v>
      </c>
      <c r="F321" s="50" t="s">
        <v>889</v>
      </c>
      <c r="G321" s="50" t="s">
        <v>890</v>
      </c>
      <c r="H321" s="57" t="s">
        <v>1504</v>
      </c>
      <c r="I321" s="50" t="s">
        <v>1505</v>
      </c>
      <c r="J321" s="54">
        <v>29.999999999999989</v>
      </c>
    </row>
    <row r="322" spans="2:10" x14ac:dyDescent="0.25">
      <c r="B322" t="str">
        <f t="shared" si="4"/>
        <v>Musile di PiavePPP-IPU-F826-01</v>
      </c>
      <c r="C322" s="50" t="s">
        <v>826</v>
      </c>
      <c r="D322" s="51" t="s">
        <v>1488</v>
      </c>
      <c r="E322" s="50" t="s">
        <v>959</v>
      </c>
      <c r="F322" s="50" t="s">
        <v>889</v>
      </c>
      <c r="G322" s="50" t="s">
        <v>890</v>
      </c>
      <c r="H322" s="57" t="s">
        <v>1506</v>
      </c>
      <c r="I322" s="50" t="s">
        <v>1507</v>
      </c>
      <c r="J322" s="54">
        <v>53.999999999999822</v>
      </c>
    </row>
    <row r="323" spans="2:10" x14ac:dyDescent="0.25">
      <c r="B323" t="str">
        <f t="shared" si="4"/>
        <v>Noventa di PiavePPP-IPU-F963-01</v>
      </c>
      <c r="C323" s="50" t="s">
        <v>826</v>
      </c>
      <c r="D323" s="51" t="s">
        <v>1488</v>
      </c>
      <c r="E323" s="50" t="s">
        <v>959</v>
      </c>
      <c r="F323" s="50" t="s">
        <v>889</v>
      </c>
      <c r="G323" s="50" t="s">
        <v>890</v>
      </c>
      <c r="H323" s="57" t="s">
        <v>1508</v>
      </c>
      <c r="I323" s="50" t="s">
        <v>1509</v>
      </c>
      <c r="J323" s="54">
        <v>0</v>
      </c>
    </row>
    <row r="324" spans="2:10" x14ac:dyDescent="0.25">
      <c r="B324" t="str">
        <f t="shared" ref="B324:B387" si="5">+I324&amp;H324</f>
        <v>PianezzePPP-IPU-G560-01</v>
      </c>
      <c r="C324" t="s">
        <v>826</v>
      </c>
      <c r="D324" s="62" t="s">
        <v>1493</v>
      </c>
      <c r="E324" s="50" t="s">
        <v>959</v>
      </c>
      <c r="F324" t="s">
        <v>889</v>
      </c>
      <c r="G324" t="s">
        <v>890</v>
      </c>
      <c r="H324" s="57" t="s">
        <v>1510</v>
      </c>
      <c r="I324" t="s">
        <v>1511</v>
      </c>
      <c r="J324" s="64">
        <v>25.403939999999999</v>
      </c>
    </row>
    <row r="325" spans="2:10" x14ac:dyDescent="0.25">
      <c r="B325" t="str">
        <f t="shared" si="5"/>
        <v>Piazzola sul BrentaPPP-IPU-G587-01</v>
      </c>
      <c r="C325" t="s">
        <v>826</v>
      </c>
      <c r="D325" s="62" t="s">
        <v>1493</v>
      </c>
      <c r="E325" s="50" t="s">
        <v>959</v>
      </c>
      <c r="F325" t="s">
        <v>889</v>
      </c>
      <c r="G325" t="s">
        <v>890</v>
      </c>
      <c r="H325" s="57" t="s">
        <v>1512</v>
      </c>
      <c r="I325" t="s">
        <v>1513</v>
      </c>
      <c r="J325" s="64">
        <v>119.90371</v>
      </c>
    </row>
    <row r="326" spans="2:10" x14ac:dyDescent="0.25">
      <c r="B326" t="str">
        <f t="shared" si="5"/>
        <v>PulsanoPPP-IPU-H090-01</v>
      </c>
      <c r="C326" t="s">
        <v>826</v>
      </c>
      <c r="D326" s="62" t="s">
        <v>1514</v>
      </c>
      <c r="E326" s="50" t="s">
        <v>910</v>
      </c>
      <c r="F326" t="s">
        <v>889</v>
      </c>
      <c r="G326" t="s">
        <v>890</v>
      </c>
      <c r="H326" s="57" t="s">
        <v>1515</v>
      </c>
      <c r="I326" t="s">
        <v>1516</v>
      </c>
      <c r="J326" s="64">
        <v>293.52350000000001</v>
      </c>
    </row>
    <row r="327" spans="2:10" x14ac:dyDescent="0.25">
      <c r="B327" t="str">
        <f t="shared" si="5"/>
        <v>Rossano VenetoPPP-IPU-H580-01</v>
      </c>
      <c r="C327" t="s">
        <v>826</v>
      </c>
      <c r="D327" s="62" t="s">
        <v>1493</v>
      </c>
      <c r="E327" s="50" t="s">
        <v>959</v>
      </c>
      <c r="F327" t="s">
        <v>889</v>
      </c>
      <c r="G327" t="s">
        <v>890</v>
      </c>
      <c r="H327" s="57" t="s">
        <v>1517</v>
      </c>
      <c r="I327" t="s">
        <v>1518</v>
      </c>
      <c r="J327" s="64">
        <v>65.499359999999996</v>
      </c>
    </row>
    <row r="328" spans="2:10" x14ac:dyDescent="0.25">
      <c r="B328" t="str">
        <f t="shared" si="5"/>
        <v>San Donà di PiavePPP-IPU-H823-01</v>
      </c>
      <c r="C328" s="50" t="s">
        <v>826</v>
      </c>
      <c r="D328" s="51" t="s">
        <v>1488</v>
      </c>
      <c r="E328" s="50" t="s">
        <v>959</v>
      </c>
      <c r="F328" s="50" t="s">
        <v>889</v>
      </c>
      <c r="G328" s="50" t="s">
        <v>890</v>
      </c>
      <c r="H328" s="57" t="s">
        <v>1519</v>
      </c>
      <c r="I328" s="50" t="s">
        <v>1520</v>
      </c>
      <c r="J328" s="54">
        <v>238.79999999999987</v>
      </c>
    </row>
    <row r="329" spans="2:10" x14ac:dyDescent="0.25">
      <c r="B329" t="str">
        <f t="shared" si="5"/>
        <v>Spezzano AlbanesePPP-IPU-I895-01</v>
      </c>
      <c r="C329" s="50" t="s">
        <v>826</v>
      </c>
      <c r="D329" s="51" t="s">
        <v>1488</v>
      </c>
      <c r="E329" s="50" t="s">
        <v>910</v>
      </c>
      <c r="F329" s="50" t="s">
        <v>889</v>
      </c>
      <c r="G329" s="50" t="s">
        <v>890</v>
      </c>
      <c r="H329" s="57" t="s">
        <v>1521</v>
      </c>
      <c r="I329" s="50" t="s">
        <v>1522</v>
      </c>
      <c r="J329" s="54">
        <v>106.8489</v>
      </c>
    </row>
    <row r="330" spans="2:10" x14ac:dyDescent="0.25">
      <c r="B330" t="str">
        <f t="shared" si="5"/>
        <v>ColceresaPPP-IPU-M426-01</v>
      </c>
      <c r="C330" t="s">
        <v>826</v>
      </c>
      <c r="D330" s="62" t="s">
        <v>1493</v>
      </c>
      <c r="E330" s="50" t="s">
        <v>959</v>
      </c>
      <c r="F330" t="s">
        <v>889</v>
      </c>
      <c r="G330" t="s">
        <v>890</v>
      </c>
      <c r="H330" s="57" t="s">
        <v>1523</v>
      </c>
      <c r="I330" t="s">
        <v>1524</v>
      </c>
      <c r="J330" s="64">
        <v>44.899920000000002</v>
      </c>
    </row>
    <row r="331" spans="2:10" x14ac:dyDescent="0.25">
      <c r="B331" t="str">
        <f t="shared" si="5"/>
        <v>SannicolaPPP-IPU-I059-01</v>
      </c>
      <c r="C331" t="s">
        <v>826</v>
      </c>
      <c r="D331" s="62" t="s">
        <v>943</v>
      </c>
      <c r="E331" s="50" t="s">
        <v>910</v>
      </c>
      <c r="F331" t="s">
        <v>889</v>
      </c>
      <c r="G331" t="s">
        <v>890</v>
      </c>
      <c r="H331" s="57" t="s">
        <v>1525</v>
      </c>
      <c r="I331" t="s">
        <v>1526</v>
      </c>
      <c r="J331" s="64">
        <v>0</v>
      </c>
    </row>
    <row r="332" spans="2:10" x14ac:dyDescent="0.25">
      <c r="B332" t="str">
        <f t="shared" si="5"/>
        <v>Montalbano JonicoPPP-IPU-F399-01</v>
      </c>
      <c r="C332" t="s">
        <v>826</v>
      </c>
      <c r="D332" s="62" t="s">
        <v>943</v>
      </c>
      <c r="E332" s="50" t="s">
        <v>910</v>
      </c>
      <c r="F332" t="s">
        <v>889</v>
      </c>
      <c r="G332" t="s">
        <v>890</v>
      </c>
      <c r="H332" s="57" t="s">
        <v>1527</v>
      </c>
      <c r="I332" t="s">
        <v>1528</v>
      </c>
      <c r="J332" s="64">
        <v>0</v>
      </c>
    </row>
    <row r="333" spans="2:10" x14ac:dyDescent="0.25">
      <c r="B333" t="str">
        <f t="shared" si="5"/>
        <v>San Martino D'AgriPPP-IPU-H994-01</v>
      </c>
      <c r="C333" t="s">
        <v>826</v>
      </c>
      <c r="D333" s="62" t="s">
        <v>943</v>
      </c>
      <c r="E333" s="50" t="s">
        <v>910</v>
      </c>
      <c r="F333" t="s">
        <v>889</v>
      </c>
      <c r="G333" t="s">
        <v>890</v>
      </c>
      <c r="H333" s="57" t="s">
        <v>1529</v>
      </c>
      <c r="I333" t="s">
        <v>1530</v>
      </c>
      <c r="J333" s="64">
        <v>0</v>
      </c>
    </row>
    <row r="334" spans="2:10" x14ac:dyDescent="0.25">
      <c r="B334" t="str">
        <f t="shared" si="5"/>
        <v>Vaglio BasilicataPPP-IPU-L532-01</v>
      </c>
      <c r="C334" t="s">
        <v>826</v>
      </c>
      <c r="D334" s="62" t="s">
        <v>943</v>
      </c>
      <c r="E334" s="50" t="s">
        <v>910</v>
      </c>
      <c r="F334" t="s">
        <v>889</v>
      </c>
      <c r="G334" t="s">
        <v>890</v>
      </c>
      <c r="H334" s="57" t="s">
        <v>1531</v>
      </c>
      <c r="I334" t="s">
        <v>1532</v>
      </c>
      <c r="J334" s="64">
        <v>0</v>
      </c>
    </row>
    <row r="335" spans="2:10" x14ac:dyDescent="0.25">
      <c r="B335" t="str">
        <f t="shared" si="5"/>
        <v>Savona ComuneEPC-IPU-I480-02</v>
      </c>
      <c r="C335" t="s">
        <v>826</v>
      </c>
      <c r="D335" s="62" t="s">
        <v>887</v>
      </c>
      <c r="E335" s="50" t="s">
        <v>888</v>
      </c>
      <c r="F335" t="s">
        <v>1533</v>
      </c>
      <c r="G335" t="s">
        <v>1533</v>
      </c>
      <c r="H335" s="57" t="s">
        <v>1534</v>
      </c>
      <c r="I335" t="s">
        <v>985</v>
      </c>
      <c r="J335" s="64">
        <v>0</v>
      </c>
    </row>
    <row r="336" spans="2:10" x14ac:dyDescent="0.25">
      <c r="B336" t="str">
        <f t="shared" si="5"/>
        <v>Pontirolo NuovoEPC-IPU-G867-01</v>
      </c>
      <c r="C336" t="s">
        <v>826</v>
      </c>
      <c r="D336" s="62" t="s">
        <v>887</v>
      </c>
      <c r="E336" s="50" t="s">
        <v>888</v>
      </c>
      <c r="F336" t="s">
        <v>1533</v>
      </c>
      <c r="G336" t="s">
        <v>1533</v>
      </c>
      <c r="H336" s="57" t="s">
        <v>1535</v>
      </c>
      <c r="I336" t="s">
        <v>993</v>
      </c>
      <c r="J336" s="64">
        <v>0</v>
      </c>
    </row>
    <row r="337" spans="2:10" x14ac:dyDescent="0.25">
      <c r="B337" t="str">
        <f t="shared" si="5"/>
        <v>Vedano OlonaEPC-IPU-L703-01</v>
      </c>
      <c r="C337" t="s">
        <v>958</v>
      </c>
      <c r="D337" s="62" t="s">
        <v>887</v>
      </c>
      <c r="E337" s="50" t="s">
        <v>888</v>
      </c>
      <c r="F337" t="s">
        <v>1533</v>
      </c>
      <c r="G337" t="s">
        <v>1533</v>
      </c>
      <c r="H337" s="57" t="s">
        <v>1536</v>
      </c>
      <c r="I337" t="s">
        <v>995</v>
      </c>
      <c r="J337" s="64">
        <v>0</v>
      </c>
    </row>
    <row r="338" spans="2:10" x14ac:dyDescent="0.25">
      <c r="B338" t="str">
        <f t="shared" si="5"/>
        <v>MezzagoEPC-IPU-F165-01</v>
      </c>
      <c r="C338" t="s">
        <v>826</v>
      </c>
      <c r="D338" s="62" t="s">
        <v>887</v>
      </c>
      <c r="E338" s="50" t="s">
        <v>888</v>
      </c>
      <c r="F338" t="s">
        <v>1533</v>
      </c>
      <c r="G338" t="s">
        <v>1533</v>
      </c>
      <c r="H338" s="57" t="s">
        <v>1537</v>
      </c>
      <c r="I338" t="s">
        <v>999</v>
      </c>
      <c r="J338" s="64">
        <v>0</v>
      </c>
    </row>
    <row r="339" spans="2:10" x14ac:dyDescent="0.25">
      <c r="B339" t="str">
        <f t="shared" si="5"/>
        <v>GavirateEPC-IPU-D946-01</v>
      </c>
      <c r="C339" t="s">
        <v>958</v>
      </c>
      <c r="D339" s="62" t="s">
        <v>887</v>
      </c>
      <c r="E339" s="50" t="s">
        <v>888</v>
      </c>
      <c r="F339" t="s">
        <v>1533</v>
      </c>
      <c r="G339" t="s">
        <v>1533</v>
      </c>
      <c r="H339" s="57" t="s">
        <v>1538</v>
      </c>
      <c r="I339" t="s">
        <v>1005</v>
      </c>
      <c r="J339" s="64">
        <v>0</v>
      </c>
    </row>
    <row r="340" spans="2:10" x14ac:dyDescent="0.25">
      <c r="B340" t="str">
        <f t="shared" si="5"/>
        <v>CantalupaEPC-IPU-B628-01</v>
      </c>
      <c r="C340" t="s">
        <v>826</v>
      </c>
      <c r="D340" s="62" t="s">
        <v>887</v>
      </c>
      <c r="E340" s="50" t="s">
        <v>888</v>
      </c>
      <c r="F340" t="s">
        <v>1533</v>
      </c>
      <c r="G340" t="s">
        <v>1533</v>
      </c>
      <c r="H340" s="57" t="s">
        <v>1539</v>
      </c>
      <c r="I340" t="s">
        <v>1007</v>
      </c>
      <c r="J340" s="64">
        <v>0</v>
      </c>
    </row>
    <row r="341" spans="2:10" x14ac:dyDescent="0.25">
      <c r="B341" t="str">
        <f t="shared" si="5"/>
        <v>FrossascoEPC-IPU-D812-01</v>
      </c>
      <c r="C341" t="s">
        <v>826</v>
      </c>
      <c r="D341" s="62" t="s">
        <v>887</v>
      </c>
      <c r="E341" s="50" t="s">
        <v>888</v>
      </c>
      <c r="F341" t="s">
        <v>1533</v>
      </c>
      <c r="G341" t="s">
        <v>1533</v>
      </c>
      <c r="H341" s="57" t="s">
        <v>1540</v>
      </c>
      <c r="I341" t="s">
        <v>1009</v>
      </c>
      <c r="J341" s="64">
        <v>0</v>
      </c>
    </row>
    <row r="342" spans="2:10" x14ac:dyDescent="0.25">
      <c r="B342" t="str">
        <f t="shared" si="5"/>
        <v>PineroloEPC-IPU-G674-01</v>
      </c>
      <c r="C342" t="s">
        <v>826</v>
      </c>
      <c r="D342" s="62" t="s">
        <v>887</v>
      </c>
      <c r="E342" s="50" t="s">
        <v>888</v>
      </c>
      <c r="F342" t="s">
        <v>1533</v>
      </c>
      <c r="G342" t="s">
        <v>1533</v>
      </c>
      <c r="H342" s="57" t="s">
        <v>1541</v>
      </c>
      <c r="I342" t="s">
        <v>1011</v>
      </c>
      <c r="J342" s="64">
        <v>0</v>
      </c>
    </row>
    <row r="343" spans="2:10" x14ac:dyDescent="0.25">
      <c r="B343" t="str">
        <f t="shared" si="5"/>
        <v>RolettoEPC-IPU-H498-01</v>
      </c>
      <c r="C343" t="s">
        <v>826</v>
      </c>
      <c r="D343" s="62" t="s">
        <v>887</v>
      </c>
      <c r="E343" s="50" t="s">
        <v>888</v>
      </c>
      <c r="F343" t="s">
        <v>1533</v>
      </c>
      <c r="G343" t="s">
        <v>1533</v>
      </c>
      <c r="H343" s="57" t="s">
        <v>1542</v>
      </c>
      <c r="I343" t="s">
        <v>1013</v>
      </c>
      <c r="J343" s="64">
        <v>0</v>
      </c>
    </row>
    <row r="344" spans="2:10" x14ac:dyDescent="0.25">
      <c r="B344" t="str">
        <f t="shared" si="5"/>
        <v>VolpianoEPC-IPU-M122-01</v>
      </c>
      <c r="C344" t="s">
        <v>826</v>
      </c>
      <c r="D344" s="62" t="s">
        <v>887</v>
      </c>
      <c r="E344" s="50" t="s">
        <v>888</v>
      </c>
      <c r="F344" t="s">
        <v>1533</v>
      </c>
      <c r="G344" t="s">
        <v>1533</v>
      </c>
      <c r="H344" s="57" t="s">
        <v>1543</v>
      </c>
      <c r="I344" t="s">
        <v>1015</v>
      </c>
      <c r="J344" s="64">
        <v>0</v>
      </c>
    </row>
    <row r="345" spans="2:10" x14ac:dyDescent="0.25">
      <c r="B345" t="str">
        <f t="shared" si="5"/>
        <v>Arcisate ConsipEPC-IPU-A371-01</v>
      </c>
      <c r="C345" t="s">
        <v>958</v>
      </c>
      <c r="D345" s="62" t="s">
        <v>887</v>
      </c>
      <c r="E345" s="50" t="s">
        <v>888</v>
      </c>
      <c r="F345" t="s">
        <v>1533</v>
      </c>
      <c r="G345" t="s">
        <v>1533</v>
      </c>
      <c r="H345" s="57" t="s">
        <v>1544</v>
      </c>
      <c r="I345" t="s">
        <v>1018</v>
      </c>
      <c r="J345" s="64">
        <v>0</v>
      </c>
    </row>
    <row r="346" spans="2:10" x14ac:dyDescent="0.25">
      <c r="B346" t="str">
        <f t="shared" si="5"/>
        <v>ArlunoEPC-IPU-A413-01</v>
      </c>
      <c r="C346" t="s">
        <v>958</v>
      </c>
      <c r="D346" s="62" t="s">
        <v>887</v>
      </c>
      <c r="E346" s="50" t="s">
        <v>888</v>
      </c>
      <c r="F346" t="s">
        <v>1533</v>
      </c>
      <c r="G346" t="s">
        <v>1533</v>
      </c>
      <c r="H346" s="57" t="s">
        <v>1545</v>
      </c>
      <c r="I346" t="s">
        <v>1020</v>
      </c>
      <c r="J346" s="64">
        <v>16.399999999999999</v>
      </c>
    </row>
    <row r="347" spans="2:10" x14ac:dyDescent="0.25">
      <c r="B347" t="str">
        <f t="shared" si="5"/>
        <v>Barzago ConsipEPC-IPU-A683-01</v>
      </c>
      <c r="C347" t="s">
        <v>958</v>
      </c>
      <c r="D347" s="62" t="s">
        <v>887</v>
      </c>
      <c r="E347" s="50" t="s">
        <v>888</v>
      </c>
      <c r="F347" t="s">
        <v>1533</v>
      </c>
      <c r="G347" t="s">
        <v>1533</v>
      </c>
      <c r="H347" s="57" t="s">
        <v>1546</v>
      </c>
      <c r="I347" t="s">
        <v>1022</v>
      </c>
      <c r="J347" s="64">
        <v>0</v>
      </c>
    </row>
    <row r="348" spans="2:10" x14ac:dyDescent="0.25">
      <c r="B348" t="str">
        <f t="shared" si="5"/>
        <v>Bresso ConsipEPC-IPU-B162-01</v>
      </c>
      <c r="C348" t="s">
        <v>958</v>
      </c>
      <c r="D348" s="62" t="s">
        <v>887</v>
      </c>
      <c r="E348" s="50" t="s">
        <v>888</v>
      </c>
      <c r="F348" t="s">
        <v>1533</v>
      </c>
      <c r="G348" t="s">
        <v>1533</v>
      </c>
      <c r="H348" s="57" t="s">
        <v>1547</v>
      </c>
      <c r="I348" t="s">
        <v>1024</v>
      </c>
      <c r="J348" s="64">
        <v>0</v>
      </c>
    </row>
    <row r="349" spans="2:10" x14ac:dyDescent="0.25">
      <c r="B349" t="str">
        <f t="shared" si="5"/>
        <v>Canegrate ConsipEPC-IPU-B593-01</v>
      </c>
      <c r="C349" t="s">
        <v>958</v>
      </c>
      <c r="D349" s="62" t="s">
        <v>887</v>
      </c>
      <c r="E349" s="50" t="s">
        <v>888</v>
      </c>
      <c r="F349" t="s">
        <v>1533</v>
      </c>
      <c r="G349" t="s">
        <v>1533</v>
      </c>
      <c r="H349" s="57" t="s">
        <v>1548</v>
      </c>
      <c r="I349" t="s">
        <v>1026</v>
      </c>
      <c r="J349" s="64">
        <v>0</v>
      </c>
    </row>
    <row r="350" spans="2:10" x14ac:dyDescent="0.25">
      <c r="B350" t="str">
        <f t="shared" si="5"/>
        <v>CaponagoEPC-IPU-B671-01</v>
      </c>
      <c r="C350" t="s">
        <v>958</v>
      </c>
      <c r="D350" s="62" t="s">
        <v>887</v>
      </c>
      <c r="E350" s="50" t="s">
        <v>888</v>
      </c>
      <c r="F350" t="s">
        <v>1533</v>
      </c>
      <c r="G350" t="s">
        <v>1533</v>
      </c>
      <c r="H350" s="57" t="s">
        <v>1549</v>
      </c>
      <c r="I350" t="s">
        <v>1028</v>
      </c>
      <c r="J350" s="64">
        <v>0</v>
      </c>
    </row>
    <row r="351" spans="2:10" x14ac:dyDescent="0.25">
      <c r="B351" t="str">
        <f t="shared" si="5"/>
        <v>CaravaggioEPC-IPU-B731-01</v>
      </c>
      <c r="C351" t="s">
        <v>958</v>
      </c>
      <c r="D351" s="62" t="s">
        <v>887</v>
      </c>
      <c r="E351" s="50" t="s">
        <v>888</v>
      </c>
      <c r="F351" t="s">
        <v>1533</v>
      </c>
      <c r="G351" t="s">
        <v>1533</v>
      </c>
      <c r="H351" s="57" t="s">
        <v>1550</v>
      </c>
      <c r="I351" t="s">
        <v>1030</v>
      </c>
      <c r="J351" s="64">
        <v>0</v>
      </c>
    </row>
    <row r="352" spans="2:10" x14ac:dyDescent="0.25">
      <c r="B352" t="str">
        <f t="shared" si="5"/>
        <v>Cardano al Campo ConsipEPC-IPU-B754-01</v>
      </c>
      <c r="C352" t="s">
        <v>958</v>
      </c>
      <c r="D352" s="62" t="s">
        <v>887</v>
      </c>
      <c r="E352" s="50" t="s">
        <v>888</v>
      </c>
      <c r="F352" t="s">
        <v>1533</v>
      </c>
      <c r="G352" t="s">
        <v>1533</v>
      </c>
      <c r="H352" s="57" t="s">
        <v>1551</v>
      </c>
      <c r="I352" t="s">
        <v>1032</v>
      </c>
      <c r="J352" s="64">
        <v>0</v>
      </c>
    </row>
    <row r="353" spans="2:10" x14ac:dyDescent="0.25">
      <c r="B353" t="str">
        <f t="shared" si="5"/>
        <v>Civate ConsipEPC-IPU-C752-01</v>
      </c>
      <c r="C353" t="s">
        <v>958</v>
      </c>
      <c r="D353" s="62" t="s">
        <v>887</v>
      </c>
      <c r="E353" s="50" t="s">
        <v>888</v>
      </c>
      <c r="F353" t="s">
        <v>1533</v>
      </c>
      <c r="G353" t="s">
        <v>1533</v>
      </c>
      <c r="H353" s="57" t="s">
        <v>1552</v>
      </c>
      <c r="I353" t="s">
        <v>1034</v>
      </c>
      <c r="J353" s="64">
        <v>0</v>
      </c>
    </row>
    <row r="354" spans="2:10" x14ac:dyDescent="0.25">
      <c r="B354" t="str">
        <f t="shared" si="5"/>
        <v>Gallarate ConsipEPC-IPU-D869-01</v>
      </c>
      <c r="C354" t="s">
        <v>958</v>
      </c>
      <c r="D354" s="62" t="s">
        <v>887</v>
      </c>
      <c r="E354" s="50" t="s">
        <v>888</v>
      </c>
      <c r="F354" t="s">
        <v>1533</v>
      </c>
      <c r="G354" t="s">
        <v>1533</v>
      </c>
      <c r="H354" s="57" t="s">
        <v>1553</v>
      </c>
      <c r="I354" t="s">
        <v>1036</v>
      </c>
      <c r="J354" s="64">
        <v>0</v>
      </c>
    </row>
    <row r="355" spans="2:10" x14ac:dyDescent="0.25">
      <c r="B355" t="str">
        <f t="shared" si="5"/>
        <v>Mariano ComenseEPC-IPU-E951-01</v>
      </c>
      <c r="C355" t="s">
        <v>958</v>
      </c>
      <c r="D355" s="62" t="s">
        <v>887</v>
      </c>
      <c r="E355" s="50" t="s">
        <v>888</v>
      </c>
      <c r="F355" t="s">
        <v>1533</v>
      </c>
      <c r="G355" t="s">
        <v>1533</v>
      </c>
      <c r="H355" s="57" t="s">
        <v>1554</v>
      </c>
      <c r="I355" t="s">
        <v>1038</v>
      </c>
      <c r="J355" s="64">
        <v>0</v>
      </c>
    </row>
    <row r="356" spans="2:10" x14ac:dyDescent="0.25">
      <c r="B356" t="str">
        <f t="shared" si="5"/>
        <v>MornagoEPC-IPU-F736-01</v>
      </c>
      <c r="C356" t="s">
        <v>958</v>
      </c>
      <c r="D356" s="62" t="s">
        <v>887</v>
      </c>
      <c r="E356" s="50" t="s">
        <v>888</v>
      </c>
      <c r="F356" t="s">
        <v>1533</v>
      </c>
      <c r="G356" t="s">
        <v>1533</v>
      </c>
      <c r="H356" s="57" t="s">
        <v>1555</v>
      </c>
      <c r="I356" t="s">
        <v>1040</v>
      </c>
      <c r="J356" s="64">
        <v>0</v>
      </c>
    </row>
    <row r="357" spans="2:10" x14ac:dyDescent="0.25">
      <c r="B357" t="str">
        <f t="shared" si="5"/>
        <v>Novara ConsipEPC-IPU-F952-01</v>
      </c>
      <c r="C357" t="s">
        <v>958</v>
      </c>
      <c r="D357" s="62" t="s">
        <v>887</v>
      </c>
      <c r="E357" s="50" t="s">
        <v>888</v>
      </c>
      <c r="F357" t="s">
        <v>1533</v>
      </c>
      <c r="G357" t="s">
        <v>1533</v>
      </c>
      <c r="H357" s="57" t="s">
        <v>1556</v>
      </c>
      <c r="I357" t="s">
        <v>1042</v>
      </c>
      <c r="J357" s="64">
        <v>0</v>
      </c>
    </row>
    <row r="358" spans="2:10" x14ac:dyDescent="0.25">
      <c r="B358" t="str">
        <f t="shared" si="5"/>
        <v>RescaldinaEPC-IPU-H240-01</v>
      </c>
      <c r="C358" t="s">
        <v>958</v>
      </c>
      <c r="D358" s="62" t="s">
        <v>887</v>
      </c>
      <c r="E358" s="50" t="s">
        <v>888</v>
      </c>
      <c r="F358" t="s">
        <v>1533</v>
      </c>
      <c r="G358" t="s">
        <v>1533</v>
      </c>
      <c r="H358" s="57" t="s">
        <v>1557</v>
      </c>
      <c r="I358" t="s">
        <v>1046</v>
      </c>
      <c r="J358" s="64">
        <v>0</v>
      </c>
    </row>
    <row r="359" spans="2:10" x14ac:dyDescent="0.25">
      <c r="B359" t="str">
        <f t="shared" si="5"/>
        <v>Rovellasca ConsipEPC-IPU-H601-01</v>
      </c>
      <c r="C359" t="s">
        <v>958</v>
      </c>
      <c r="D359" s="62" t="s">
        <v>887</v>
      </c>
      <c r="E359" s="50" t="s">
        <v>888</v>
      </c>
      <c r="F359" t="s">
        <v>1533</v>
      </c>
      <c r="G359" t="s">
        <v>1533</v>
      </c>
      <c r="H359" s="57" t="s">
        <v>1558</v>
      </c>
      <c r="I359" t="s">
        <v>1048</v>
      </c>
      <c r="J359" s="64">
        <v>0</v>
      </c>
    </row>
    <row r="360" spans="2:10" x14ac:dyDescent="0.25">
      <c r="B360" t="str">
        <f t="shared" si="5"/>
        <v>Rovello PorroEPC-IPU-H602-01</v>
      </c>
      <c r="C360" t="s">
        <v>958</v>
      </c>
      <c r="D360" s="62" t="s">
        <v>887</v>
      </c>
      <c r="E360" s="50" t="s">
        <v>888</v>
      </c>
      <c r="F360" t="s">
        <v>1533</v>
      </c>
      <c r="G360" t="s">
        <v>1533</v>
      </c>
      <c r="H360" s="57" t="s">
        <v>1559</v>
      </c>
      <c r="I360" t="s">
        <v>1050</v>
      </c>
      <c r="J360" s="64">
        <v>0</v>
      </c>
    </row>
    <row r="361" spans="2:10" x14ac:dyDescent="0.25">
      <c r="B361" t="str">
        <f t="shared" si="5"/>
        <v>San Giuliano Milanese ConsipEPC-IPU-H930-01</v>
      </c>
      <c r="C361" t="s">
        <v>958</v>
      </c>
      <c r="D361" s="62" t="s">
        <v>887</v>
      </c>
      <c r="E361" s="50" t="s">
        <v>888</v>
      </c>
      <c r="F361" t="s">
        <v>1533</v>
      </c>
      <c r="G361" t="s">
        <v>1533</v>
      </c>
      <c r="H361" s="57" t="s">
        <v>1560</v>
      </c>
      <c r="I361" t="s">
        <v>1052</v>
      </c>
      <c r="J361" s="64">
        <v>0</v>
      </c>
    </row>
    <row r="362" spans="2:10" x14ac:dyDescent="0.25">
      <c r="B362" t="str">
        <f t="shared" si="5"/>
        <v>Saronno ConsipEPC-IPU-I441-01</v>
      </c>
      <c r="C362" t="s">
        <v>958</v>
      </c>
      <c r="D362" s="62" t="s">
        <v>887</v>
      </c>
      <c r="E362" s="50" t="s">
        <v>888</v>
      </c>
      <c r="F362" t="s">
        <v>1533</v>
      </c>
      <c r="G362" t="s">
        <v>1533</v>
      </c>
      <c r="H362" s="57" t="s">
        <v>1561</v>
      </c>
      <c r="I362" t="s">
        <v>1091</v>
      </c>
      <c r="J362" s="64">
        <v>0</v>
      </c>
    </row>
    <row r="363" spans="2:10" x14ac:dyDescent="0.25">
      <c r="B363" t="str">
        <f t="shared" si="5"/>
        <v>Tribiano ConsipEPC-IPU-L415-01</v>
      </c>
      <c r="C363" t="s">
        <v>958</v>
      </c>
      <c r="D363" s="62" t="s">
        <v>887</v>
      </c>
      <c r="E363" s="50" t="s">
        <v>888</v>
      </c>
      <c r="F363" t="s">
        <v>1533</v>
      </c>
      <c r="G363" t="s">
        <v>1533</v>
      </c>
      <c r="H363" s="57" t="s">
        <v>1562</v>
      </c>
      <c r="I363" t="s">
        <v>1093</v>
      </c>
      <c r="J363" s="64">
        <v>-0.18</v>
      </c>
    </row>
    <row r="364" spans="2:10" x14ac:dyDescent="0.25">
      <c r="B364" t="str">
        <f t="shared" si="5"/>
        <v>BasianoEPC-IPU-A697-01</v>
      </c>
      <c r="C364" t="s">
        <v>826</v>
      </c>
      <c r="D364" s="62" t="s">
        <v>887</v>
      </c>
      <c r="E364" s="50" t="s">
        <v>888</v>
      </c>
      <c r="F364" t="s">
        <v>1533</v>
      </c>
      <c r="G364" t="s">
        <v>1533</v>
      </c>
      <c r="H364" s="57" t="s">
        <v>1563</v>
      </c>
      <c r="I364" t="s">
        <v>1062</v>
      </c>
      <c r="J364" s="64">
        <v>0</v>
      </c>
    </row>
    <row r="365" spans="2:10" x14ac:dyDescent="0.25">
      <c r="B365" t="str">
        <f t="shared" si="5"/>
        <v>BruinoEPC-IPU-B216-01</v>
      </c>
      <c r="C365" t="s">
        <v>826</v>
      </c>
      <c r="D365" s="62" t="s">
        <v>887</v>
      </c>
      <c r="E365" s="50" t="s">
        <v>888</v>
      </c>
      <c r="F365" t="s">
        <v>1533</v>
      </c>
      <c r="G365" t="s">
        <v>1533</v>
      </c>
      <c r="H365" s="57" t="s">
        <v>1564</v>
      </c>
      <c r="I365" t="s">
        <v>1064</v>
      </c>
      <c r="J365" s="64">
        <v>0</v>
      </c>
    </row>
    <row r="366" spans="2:10" x14ac:dyDescent="0.25">
      <c r="B366" t="str">
        <f t="shared" si="5"/>
        <v>CourmayeurEPC-IPU-D012-01</v>
      </c>
      <c r="C366" t="s">
        <v>826</v>
      </c>
      <c r="D366" s="62" t="s">
        <v>887</v>
      </c>
      <c r="E366" s="50" t="s">
        <v>888</v>
      </c>
      <c r="F366" t="s">
        <v>1533</v>
      </c>
      <c r="G366" t="s">
        <v>1533</v>
      </c>
      <c r="H366" s="57" t="s">
        <v>1565</v>
      </c>
      <c r="I366" t="s">
        <v>1066</v>
      </c>
      <c r="J366" s="64">
        <v>0</v>
      </c>
    </row>
    <row r="367" spans="2:10" x14ac:dyDescent="0.25">
      <c r="B367" t="str">
        <f t="shared" si="5"/>
        <v>Gravellona LomellinaEPC-IPU-E152-01</v>
      </c>
      <c r="C367" t="s">
        <v>826</v>
      </c>
      <c r="D367" s="62" t="s">
        <v>887</v>
      </c>
      <c r="E367" s="50" t="s">
        <v>888</v>
      </c>
      <c r="F367" t="s">
        <v>1533</v>
      </c>
      <c r="G367" t="s">
        <v>1533</v>
      </c>
      <c r="H367" s="57" t="s">
        <v>1566</v>
      </c>
      <c r="I367" t="s">
        <v>1068</v>
      </c>
      <c r="J367" s="64">
        <v>0</v>
      </c>
    </row>
    <row r="368" spans="2:10" x14ac:dyDescent="0.25">
      <c r="B368" t="str">
        <f t="shared" si="5"/>
        <v>LezzenoEPC-IPU-E569-01</v>
      </c>
      <c r="C368" t="s">
        <v>826</v>
      </c>
      <c r="D368" s="62" t="s">
        <v>887</v>
      </c>
      <c r="E368" s="50" t="s">
        <v>888</v>
      </c>
      <c r="F368" t="s">
        <v>1533</v>
      </c>
      <c r="G368" t="s">
        <v>1533</v>
      </c>
      <c r="H368" s="57" t="s">
        <v>1567</v>
      </c>
      <c r="I368" t="s">
        <v>1070</v>
      </c>
      <c r="J368" s="64">
        <v>0</v>
      </c>
    </row>
    <row r="369" spans="2:10" x14ac:dyDescent="0.25">
      <c r="B369" t="str">
        <f t="shared" si="5"/>
        <v>NervianoEPC-IPU-F874-01</v>
      </c>
      <c r="C369" t="s">
        <v>826</v>
      </c>
      <c r="D369" s="62" t="s">
        <v>887</v>
      </c>
      <c r="E369" s="50" t="s">
        <v>888</v>
      </c>
      <c r="F369" t="s">
        <v>1533</v>
      </c>
      <c r="G369" t="s">
        <v>1533</v>
      </c>
      <c r="H369" s="57" t="s">
        <v>1568</v>
      </c>
      <c r="I369" t="s">
        <v>1072</v>
      </c>
      <c r="J369" s="64">
        <v>0</v>
      </c>
    </row>
    <row r="370" spans="2:10" x14ac:dyDescent="0.25">
      <c r="B370" t="str">
        <f t="shared" si="5"/>
        <v>Torrevecchia PiaEPC-IPU-L285-01</v>
      </c>
      <c r="C370" t="s">
        <v>826</v>
      </c>
      <c r="D370" s="62" t="s">
        <v>887</v>
      </c>
      <c r="E370" s="50" t="s">
        <v>888</v>
      </c>
      <c r="F370" t="s">
        <v>1533</v>
      </c>
      <c r="G370" t="s">
        <v>1533</v>
      </c>
      <c r="H370" s="57" t="s">
        <v>1569</v>
      </c>
      <c r="I370" t="s">
        <v>1074</v>
      </c>
      <c r="J370" s="64">
        <v>19.209389999999999</v>
      </c>
    </row>
    <row r="371" spans="2:10" x14ac:dyDescent="0.25">
      <c r="B371" t="str">
        <f t="shared" si="5"/>
        <v>TrecateEPC-IPU-L356-01</v>
      </c>
      <c r="C371" t="s">
        <v>826</v>
      </c>
      <c r="D371" s="62" t="s">
        <v>887</v>
      </c>
      <c r="E371" s="50" t="s">
        <v>888</v>
      </c>
      <c r="F371" t="s">
        <v>1533</v>
      </c>
      <c r="G371" t="s">
        <v>1533</v>
      </c>
      <c r="H371" s="57" t="s">
        <v>1570</v>
      </c>
      <c r="I371" t="s">
        <v>1076</v>
      </c>
      <c r="J371" s="64">
        <v>0</v>
      </c>
    </row>
    <row r="372" spans="2:10" x14ac:dyDescent="0.25">
      <c r="B372" t="str">
        <f t="shared" si="5"/>
        <v>BiandronnoEPC-IPU-A845-01</v>
      </c>
      <c r="C372" t="s">
        <v>958</v>
      </c>
      <c r="D372" s="62" t="s">
        <v>887</v>
      </c>
      <c r="E372" s="50" t="s">
        <v>888</v>
      </c>
      <c r="F372" t="s">
        <v>1533</v>
      </c>
      <c r="G372" t="s">
        <v>1533</v>
      </c>
      <c r="H372" s="57" t="s">
        <v>1571</v>
      </c>
      <c r="I372" t="s">
        <v>1083</v>
      </c>
      <c r="J372" s="64">
        <v>0</v>
      </c>
    </row>
    <row r="373" spans="2:10" x14ac:dyDescent="0.25">
      <c r="B373" t="str">
        <f t="shared" si="5"/>
        <v>Canegrate proroga tecnicaEPC-IPU-B593-02</v>
      </c>
      <c r="C373" t="s">
        <v>958</v>
      </c>
      <c r="D373" s="62" t="s">
        <v>887</v>
      </c>
      <c r="E373" s="50" t="s">
        <v>888</v>
      </c>
      <c r="F373" t="s">
        <v>1533</v>
      </c>
      <c r="G373" t="s">
        <v>1533</v>
      </c>
      <c r="H373" s="57" t="s">
        <v>1572</v>
      </c>
      <c r="I373" t="s">
        <v>1087</v>
      </c>
      <c r="J373" s="64">
        <v>0</v>
      </c>
    </row>
    <row r="374" spans="2:10" x14ac:dyDescent="0.25">
      <c r="B374" t="str">
        <f t="shared" si="5"/>
        <v>Civate proroga tecnicaEPC-IPU-C752-02</v>
      </c>
      <c r="C374" t="s">
        <v>958</v>
      </c>
      <c r="D374" s="62" t="s">
        <v>887</v>
      </c>
      <c r="E374" s="50" t="s">
        <v>888</v>
      </c>
      <c r="F374" t="s">
        <v>1533</v>
      </c>
      <c r="G374" t="s">
        <v>1533</v>
      </c>
      <c r="H374" s="57" t="s">
        <v>1573</v>
      </c>
      <c r="I374" t="s">
        <v>1089</v>
      </c>
      <c r="J374" s="64">
        <v>0</v>
      </c>
    </row>
    <row r="375" spans="2:10" x14ac:dyDescent="0.25">
      <c r="B375" t="str">
        <f t="shared" si="5"/>
        <v>Saronno proroga tecnicaEPC-IPU-I441-02</v>
      </c>
      <c r="C375" t="s">
        <v>958</v>
      </c>
      <c r="D375" s="62" t="s">
        <v>887</v>
      </c>
      <c r="E375" s="50" t="s">
        <v>888</v>
      </c>
      <c r="F375" t="s">
        <v>1533</v>
      </c>
      <c r="G375" t="s">
        <v>1533</v>
      </c>
      <c r="H375" s="57" t="s">
        <v>1574</v>
      </c>
      <c r="I375" t="s">
        <v>1054</v>
      </c>
      <c r="J375" s="64">
        <v>0</v>
      </c>
    </row>
    <row r="376" spans="2:10" x14ac:dyDescent="0.25">
      <c r="B376" t="str">
        <f t="shared" si="5"/>
        <v>Vinovo PL proroga tecnicaEPC-IPU-M060-02</v>
      </c>
      <c r="C376" t="s">
        <v>826</v>
      </c>
      <c r="D376" s="62" t="s">
        <v>887</v>
      </c>
      <c r="E376" s="50" t="s">
        <v>888</v>
      </c>
      <c r="F376" t="s">
        <v>1533</v>
      </c>
      <c r="G376" t="s">
        <v>1533</v>
      </c>
      <c r="H376" s="57" t="s">
        <v>1575</v>
      </c>
      <c r="I376" t="s">
        <v>1078</v>
      </c>
      <c r="J376" s="64">
        <v>0</v>
      </c>
    </row>
    <row r="377" spans="2:10" x14ac:dyDescent="0.25">
      <c r="B377" t="str">
        <f t="shared" si="5"/>
        <v>TolentinoEPC-IPU-L191-01</v>
      </c>
      <c r="C377" t="s">
        <v>958</v>
      </c>
      <c r="D377" s="62" t="s">
        <v>887</v>
      </c>
      <c r="E377" s="50" t="s">
        <v>896</v>
      </c>
      <c r="F377" t="s">
        <v>1533</v>
      </c>
      <c r="G377" t="s">
        <v>1533</v>
      </c>
      <c r="H377" s="57" t="s">
        <v>1576</v>
      </c>
      <c r="I377" t="s">
        <v>1133</v>
      </c>
      <c r="J377" s="64">
        <v>0</v>
      </c>
    </row>
    <row r="378" spans="2:10" x14ac:dyDescent="0.25">
      <c r="B378" t="str">
        <f t="shared" si="5"/>
        <v>Albinea ConsipEPC-IPU-A162-01</v>
      </c>
      <c r="C378" t="s">
        <v>958</v>
      </c>
      <c r="D378" s="62" t="s">
        <v>887</v>
      </c>
      <c r="E378" s="50" t="s">
        <v>896</v>
      </c>
      <c r="F378" t="s">
        <v>1533</v>
      </c>
      <c r="G378" t="s">
        <v>1533</v>
      </c>
      <c r="H378" s="57" t="s">
        <v>1577</v>
      </c>
      <c r="I378" t="s">
        <v>1135</v>
      </c>
      <c r="J378" s="64">
        <v>0</v>
      </c>
    </row>
    <row r="379" spans="2:10" x14ac:dyDescent="0.25">
      <c r="B379" t="str">
        <f t="shared" si="5"/>
        <v>Falconara Marittima ConsipEPC-IPU-D472-01</v>
      </c>
      <c r="C379" t="s">
        <v>958</v>
      </c>
      <c r="D379" s="62" t="s">
        <v>887</v>
      </c>
      <c r="E379" s="50" t="s">
        <v>896</v>
      </c>
      <c r="F379" t="s">
        <v>1533</v>
      </c>
      <c r="G379" t="s">
        <v>1533</v>
      </c>
      <c r="H379" s="57" t="s">
        <v>1578</v>
      </c>
      <c r="I379" t="s">
        <v>1141</v>
      </c>
      <c r="J379" s="64">
        <v>0</v>
      </c>
    </row>
    <row r="380" spans="2:10" x14ac:dyDescent="0.25">
      <c r="B380" t="str">
        <f t="shared" si="5"/>
        <v>Montegranaro ConsipEPC-IPU-F522-01</v>
      </c>
      <c r="C380" t="s">
        <v>958</v>
      </c>
      <c r="D380" s="62" t="s">
        <v>887</v>
      </c>
      <c r="E380" s="50" t="s">
        <v>896</v>
      </c>
      <c r="F380" t="s">
        <v>1533</v>
      </c>
      <c r="G380" t="s">
        <v>1533</v>
      </c>
      <c r="H380" s="57" t="s">
        <v>1579</v>
      </c>
      <c r="I380" t="s">
        <v>1151</v>
      </c>
      <c r="J380" s="64">
        <v>0</v>
      </c>
    </row>
    <row r="381" spans="2:10" x14ac:dyDescent="0.25">
      <c r="B381" t="str">
        <f t="shared" si="5"/>
        <v>Pioraco ConsipEPC-IPU-G690-01</v>
      </c>
      <c r="C381" t="s">
        <v>958</v>
      </c>
      <c r="D381" s="62" t="s">
        <v>887</v>
      </c>
      <c r="E381" s="50" t="s">
        <v>896</v>
      </c>
      <c r="F381" t="s">
        <v>1533</v>
      </c>
      <c r="G381" t="s">
        <v>1533</v>
      </c>
      <c r="H381" s="57" t="s">
        <v>1580</v>
      </c>
      <c r="I381" t="s">
        <v>1153</v>
      </c>
      <c r="J381" s="64">
        <v>0</v>
      </c>
    </row>
    <row r="382" spans="2:10" x14ac:dyDescent="0.25">
      <c r="B382" t="str">
        <f t="shared" si="5"/>
        <v>Scheggia e Pascelupo ConsipEPC-IPU-I522-01</v>
      </c>
      <c r="C382" t="s">
        <v>958</v>
      </c>
      <c r="D382" s="62" t="s">
        <v>887</v>
      </c>
      <c r="E382" s="50" t="s">
        <v>896</v>
      </c>
      <c r="F382" t="s">
        <v>1533</v>
      </c>
      <c r="G382" t="s">
        <v>1533</v>
      </c>
      <c r="H382" s="57" t="s">
        <v>1581</v>
      </c>
      <c r="I382" t="s">
        <v>1157</v>
      </c>
      <c r="J382" s="64">
        <v>0</v>
      </c>
    </row>
    <row r="383" spans="2:10" x14ac:dyDescent="0.25">
      <c r="B383" t="str">
        <f t="shared" si="5"/>
        <v>Santa Maria di SalaEPC-IPU-I242-01</v>
      </c>
      <c r="C383" t="s">
        <v>826</v>
      </c>
      <c r="D383" s="62" t="s">
        <v>887</v>
      </c>
      <c r="E383" s="50" t="s">
        <v>959</v>
      </c>
      <c r="F383" t="s">
        <v>1533</v>
      </c>
      <c r="G383" t="s">
        <v>1533</v>
      </c>
      <c r="H383" s="57" t="s">
        <v>1582</v>
      </c>
      <c r="I383" t="s">
        <v>1234</v>
      </c>
      <c r="J383" s="64">
        <v>0</v>
      </c>
    </row>
    <row r="384" spans="2:10" x14ac:dyDescent="0.25">
      <c r="B384" t="str">
        <f t="shared" si="5"/>
        <v>Venezia HMEPC-EEE-L736-02</v>
      </c>
      <c r="C384" t="s">
        <v>958</v>
      </c>
      <c r="D384" s="62" t="s">
        <v>887</v>
      </c>
      <c r="E384" s="63" t="s">
        <v>959</v>
      </c>
      <c r="F384" t="s">
        <v>1533</v>
      </c>
      <c r="G384" t="s">
        <v>1533</v>
      </c>
      <c r="H384" t="s">
        <v>1583</v>
      </c>
      <c r="I384" t="s">
        <v>1238</v>
      </c>
      <c r="J384" s="64">
        <v>23.38494</v>
      </c>
    </row>
    <row r="385" spans="2:10" x14ac:dyDescent="0.25">
      <c r="B385" t="str">
        <f t="shared" si="5"/>
        <v>Fiesso d'ArticoEPC-IPU-D578-01</v>
      </c>
      <c r="C385" t="s">
        <v>826</v>
      </c>
      <c r="D385" s="62" t="s">
        <v>887</v>
      </c>
      <c r="E385" s="50" t="s">
        <v>959</v>
      </c>
      <c r="F385" t="s">
        <v>1533</v>
      </c>
      <c r="G385" t="s">
        <v>1533</v>
      </c>
      <c r="H385" s="57" t="s">
        <v>1584</v>
      </c>
      <c r="I385" t="s">
        <v>1240</v>
      </c>
      <c r="J385" s="64">
        <v>0</v>
      </c>
    </row>
    <row r="386" spans="2:10" x14ac:dyDescent="0.25">
      <c r="B386" t="str">
        <f t="shared" si="5"/>
        <v>FossòEPC-IPU-D748-01</v>
      </c>
      <c r="C386" t="s">
        <v>826</v>
      </c>
      <c r="D386" s="62" t="s">
        <v>887</v>
      </c>
      <c r="E386" s="50" t="s">
        <v>959</v>
      </c>
      <c r="F386" t="s">
        <v>1533</v>
      </c>
      <c r="G386" t="s">
        <v>1533</v>
      </c>
      <c r="H386" s="57" t="s">
        <v>1585</v>
      </c>
      <c r="I386" t="s">
        <v>1242</v>
      </c>
      <c r="J386" s="64">
        <v>0</v>
      </c>
    </row>
    <row r="387" spans="2:10" x14ac:dyDescent="0.25">
      <c r="B387" t="str">
        <f t="shared" si="5"/>
        <v>MiraEPC-IPU-F229-01</v>
      </c>
      <c r="C387" t="s">
        <v>826</v>
      </c>
      <c r="D387" s="62" t="s">
        <v>887</v>
      </c>
      <c r="E387" s="50" t="s">
        <v>959</v>
      </c>
      <c r="F387" t="s">
        <v>1533</v>
      </c>
      <c r="G387" t="s">
        <v>1533</v>
      </c>
      <c r="H387" s="57" t="s">
        <v>1586</v>
      </c>
      <c r="I387" t="s">
        <v>1244</v>
      </c>
      <c r="J387" s="64">
        <v>0</v>
      </c>
    </row>
    <row r="388" spans="2:10" x14ac:dyDescent="0.25">
      <c r="B388" t="str">
        <f t="shared" ref="B388:B451" si="6">+I388&amp;H388</f>
        <v>MiranoEPC-IPU-F241-01</v>
      </c>
      <c r="C388" t="s">
        <v>826</v>
      </c>
      <c r="D388" s="62" t="s">
        <v>887</v>
      </c>
      <c r="E388" s="50" t="s">
        <v>959</v>
      </c>
      <c r="F388" t="s">
        <v>1533</v>
      </c>
      <c r="G388" t="s">
        <v>1533</v>
      </c>
      <c r="H388" s="57" t="s">
        <v>1587</v>
      </c>
      <c r="I388" t="s">
        <v>1246</v>
      </c>
      <c r="J388" s="64">
        <v>0</v>
      </c>
    </row>
    <row r="389" spans="2:10" x14ac:dyDescent="0.25">
      <c r="B389" t="str">
        <f t="shared" si="6"/>
        <v>PozzoleoneEPC-IPU-G957-01</v>
      </c>
      <c r="C389" t="s">
        <v>826</v>
      </c>
      <c r="D389" s="62" t="s">
        <v>887</v>
      </c>
      <c r="E389" s="50" t="s">
        <v>959</v>
      </c>
      <c r="F389" t="s">
        <v>1533</v>
      </c>
      <c r="G389" t="s">
        <v>1533</v>
      </c>
      <c r="H389" s="57" t="s">
        <v>1588</v>
      </c>
      <c r="I389" t="s">
        <v>1248</v>
      </c>
      <c r="J389" s="64">
        <v>0</v>
      </c>
    </row>
    <row r="390" spans="2:10" x14ac:dyDescent="0.25">
      <c r="B390" t="str">
        <f t="shared" si="6"/>
        <v>SolesinoEPC-IPU-I799-01</v>
      </c>
      <c r="C390" t="s">
        <v>958</v>
      </c>
      <c r="D390" s="62" t="s">
        <v>887</v>
      </c>
      <c r="E390" s="50" t="s">
        <v>959</v>
      </c>
      <c r="F390" t="s">
        <v>1533</v>
      </c>
      <c r="G390" t="s">
        <v>1533</v>
      </c>
      <c r="H390" s="57" t="s">
        <v>1589</v>
      </c>
      <c r="I390" t="s">
        <v>1250</v>
      </c>
      <c r="J390" s="64">
        <v>0</v>
      </c>
    </row>
    <row r="391" spans="2:10" x14ac:dyDescent="0.25">
      <c r="B391" t="str">
        <f t="shared" si="6"/>
        <v>StraEPC-IPU-I965-01</v>
      </c>
      <c r="C391" t="s">
        <v>826</v>
      </c>
      <c r="D391" s="62" t="s">
        <v>887</v>
      </c>
      <c r="E391" s="50" t="s">
        <v>959</v>
      </c>
      <c r="F391" t="s">
        <v>1533</v>
      </c>
      <c r="G391" t="s">
        <v>1533</v>
      </c>
      <c r="H391" s="57" t="s">
        <v>1590</v>
      </c>
      <c r="I391" t="s">
        <v>1252</v>
      </c>
      <c r="J391" s="64">
        <v>0</v>
      </c>
    </row>
    <row r="392" spans="2:10" x14ac:dyDescent="0.25">
      <c r="B392" t="str">
        <f t="shared" si="6"/>
        <v>Venezia PLEPC-IPU-L736-01</v>
      </c>
      <c r="C392" t="s">
        <v>958</v>
      </c>
      <c r="D392" s="62" t="s">
        <v>887</v>
      </c>
      <c r="E392" s="50" t="s">
        <v>959</v>
      </c>
      <c r="F392" t="s">
        <v>1533</v>
      </c>
      <c r="G392" t="s">
        <v>1533</v>
      </c>
      <c r="H392" s="57" t="s">
        <v>1591</v>
      </c>
      <c r="I392" t="s">
        <v>1254</v>
      </c>
      <c r="J392" s="64">
        <v>332.61479000000003</v>
      </c>
    </row>
    <row r="393" spans="2:10" x14ac:dyDescent="0.25">
      <c r="B393" t="str">
        <f t="shared" si="6"/>
        <v>Chioggia BuildingEPC-EEE-C638-01</v>
      </c>
      <c r="C393" t="s">
        <v>958</v>
      </c>
      <c r="D393" s="62" t="s">
        <v>887</v>
      </c>
      <c r="E393" s="50" t="s">
        <v>959</v>
      </c>
      <c r="F393" t="s">
        <v>1533</v>
      </c>
      <c r="G393" t="s">
        <v>1533</v>
      </c>
      <c r="H393" s="57" t="s">
        <v>1592</v>
      </c>
      <c r="I393" t="s">
        <v>1256</v>
      </c>
      <c r="J393" s="64">
        <v>40.78998</v>
      </c>
    </row>
    <row r="394" spans="2:10" x14ac:dyDescent="0.25">
      <c r="B394" t="str">
        <f t="shared" si="6"/>
        <v>ChioggiaEPC-IPU-C638-01</v>
      </c>
      <c r="C394" t="s">
        <v>958</v>
      </c>
      <c r="D394" s="62" t="s">
        <v>887</v>
      </c>
      <c r="E394" s="50" t="s">
        <v>959</v>
      </c>
      <c r="F394" t="s">
        <v>1533</v>
      </c>
      <c r="G394" t="s">
        <v>1533</v>
      </c>
      <c r="H394" s="57" t="s">
        <v>1593</v>
      </c>
      <c r="I394" t="s">
        <v>1258</v>
      </c>
      <c r="J394" s="64">
        <v>3.036</v>
      </c>
    </row>
    <row r="395" spans="2:10" x14ac:dyDescent="0.25">
      <c r="B395" t="str">
        <f t="shared" si="6"/>
        <v>TriesteEPC-IPU-L424-01</v>
      </c>
      <c r="C395" t="s">
        <v>958</v>
      </c>
      <c r="D395" s="62" t="s">
        <v>887</v>
      </c>
      <c r="E395" s="50" t="s">
        <v>959</v>
      </c>
      <c r="F395" t="s">
        <v>1533</v>
      </c>
      <c r="G395" t="s">
        <v>1533</v>
      </c>
      <c r="H395" s="57" t="s">
        <v>1594</v>
      </c>
      <c r="I395" t="s">
        <v>1260</v>
      </c>
      <c r="J395" s="64">
        <v>62.500019999999999</v>
      </c>
    </row>
    <row r="396" spans="2:10" x14ac:dyDescent="0.25">
      <c r="B396" t="str">
        <f t="shared" si="6"/>
        <v>BaronissiEPC-IPU-A674-01</v>
      </c>
      <c r="C396" t="s">
        <v>826</v>
      </c>
      <c r="D396" s="62" t="s">
        <v>887</v>
      </c>
      <c r="E396" s="50" t="s">
        <v>910</v>
      </c>
      <c r="F396" t="s">
        <v>1533</v>
      </c>
      <c r="G396" t="s">
        <v>1533</v>
      </c>
      <c r="H396" s="57" t="s">
        <v>1595</v>
      </c>
      <c r="I396" t="s">
        <v>1345</v>
      </c>
      <c r="J396" s="64">
        <v>0</v>
      </c>
    </row>
    <row r="397" spans="2:10" x14ac:dyDescent="0.25">
      <c r="B397" t="str">
        <f t="shared" si="6"/>
        <v>BiccariEPC-IPU-A854-01</v>
      </c>
      <c r="C397" t="s">
        <v>826</v>
      </c>
      <c r="D397" s="62" t="s">
        <v>887</v>
      </c>
      <c r="E397" s="50" t="s">
        <v>910</v>
      </c>
      <c r="F397" t="s">
        <v>1533</v>
      </c>
      <c r="G397" t="s">
        <v>1533</v>
      </c>
      <c r="H397" s="57" t="s">
        <v>1596</v>
      </c>
      <c r="I397" t="s">
        <v>1349</v>
      </c>
      <c r="J397" s="64">
        <v>0</v>
      </c>
    </row>
    <row r="398" spans="2:10" x14ac:dyDescent="0.25">
      <c r="B398" t="str">
        <f t="shared" si="6"/>
        <v>Santa Maria del CedroEPC-IPU-C717-01</v>
      </c>
      <c r="C398" t="s">
        <v>826</v>
      </c>
      <c r="D398" s="62" t="s">
        <v>887</v>
      </c>
      <c r="E398" s="50" t="s">
        <v>910</v>
      </c>
      <c r="F398" t="s">
        <v>1533</v>
      </c>
      <c r="G398" t="s">
        <v>1533</v>
      </c>
      <c r="H398" s="57" t="s">
        <v>1597</v>
      </c>
      <c r="I398" t="s">
        <v>1373</v>
      </c>
      <c r="J398" s="64">
        <v>0</v>
      </c>
    </row>
    <row r="399" spans="2:10" x14ac:dyDescent="0.25">
      <c r="B399" t="str">
        <f t="shared" si="6"/>
        <v>Fagnano CastelloEPC-IPU-D464-01</v>
      </c>
      <c r="C399" t="s">
        <v>826</v>
      </c>
      <c r="D399" s="62" t="s">
        <v>887</v>
      </c>
      <c r="E399" s="50" t="s">
        <v>910</v>
      </c>
      <c r="F399" t="s">
        <v>1533</v>
      </c>
      <c r="G399" t="s">
        <v>1533</v>
      </c>
      <c r="H399" s="57" t="s">
        <v>1598</v>
      </c>
      <c r="I399" t="s">
        <v>1381</v>
      </c>
      <c r="J399" s="64">
        <v>0</v>
      </c>
    </row>
    <row r="400" spans="2:10" x14ac:dyDescent="0.25">
      <c r="B400" t="str">
        <f t="shared" si="6"/>
        <v>LuceraEPC-IPU-E716-01</v>
      </c>
      <c r="C400" t="s">
        <v>826</v>
      </c>
      <c r="D400" s="62" t="s">
        <v>887</v>
      </c>
      <c r="E400" s="50" t="s">
        <v>910</v>
      </c>
      <c r="F400" t="s">
        <v>1533</v>
      </c>
      <c r="G400" t="s">
        <v>1533</v>
      </c>
      <c r="H400" s="57" t="s">
        <v>1599</v>
      </c>
      <c r="I400" t="s">
        <v>1399</v>
      </c>
      <c r="J400" s="64">
        <v>0</v>
      </c>
    </row>
    <row r="401" spans="2:10" x14ac:dyDescent="0.25">
      <c r="B401" t="str">
        <f t="shared" si="6"/>
        <v>Manduria (Pj Elena) PLEPC-IPU-E882-01</v>
      </c>
      <c r="C401" t="s">
        <v>826</v>
      </c>
      <c r="D401" s="62" t="s">
        <v>887</v>
      </c>
      <c r="E401" s="50" t="s">
        <v>910</v>
      </c>
      <c r="F401" t="s">
        <v>1533</v>
      </c>
      <c r="G401" t="s">
        <v>1533</v>
      </c>
      <c r="H401" s="57" t="s">
        <v>1600</v>
      </c>
      <c r="I401" t="s">
        <v>1401</v>
      </c>
      <c r="J401" s="64">
        <v>0</v>
      </c>
    </row>
    <row r="402" spans="2:10" x14ac:dyDescent="0.25">
      <c r="B402" t="str">
        <f t="shared" si="6"/>
        <v>PadulaEPC-IPU-G226-01</v>
      </c>
      <c r="C402" t="s">
        <v>826</v>
      </c>
      <c r="D402" s="62" t="s">
        <v>887</v>
      </c>
      <c r="E402" s="50" t="s">
        <v>910</v>
      </c>
      <c r="F402" t="s">
        <v>1533</v>
      </c>
      <c r="G402" t="s">
        <v>1533</v>
      </c>
      <c r="H402" s="57" t="s">
        <v>1601</v>
      </c>
      <c r="I402" t="s">
        <v>1421</v>
      </c>
      <c r="J402" s="64">
        <v>0</v>
      </c>
    </row>
    <row r="403" spans="2:10" x14ac:dyDescent="0.25">
      <c r="B403" t="str">
        <f t="shared" si="6"/>
        <v>PoggiardoEPC-IPU-G751-01</v>
      </c>
      <c r="C403" t="s">
        <v>826</v>
      </c>
      <c r="D403" s="62" t="s">
        <v>887</v>
      </c>
      <c r="E403" s="50" t="s">
        <v>910</v>
      </c>
      <c r="F403" t="s">
        <v>1533</v>
      </c>
      <c r="G403" t="s">
        <v>1533</v>
      </c>
      <c r="H403" s="57" t="s">
        <v>1602</v>
      </c>
      <c r="I403" t="s">
        <v>1433</v>
      </c>
      <c r="J403" s="64">
        <v>0</v>
      </c>
    </row>
    <row r="404" spans="2:10" x14ac:dyDescent="0.25">
      <c r="B404" t="str">
        <f t="shared" si="6"/>
        <v>PomaricoEPC-IPU-G806-01</v>
      </c>
      <c r="C404" t="s">
        <v>826</v>
      </c>
      <c r="D404" s="62" t="s">
        <v>887</v>
      </c>
      <c r="E404" s="50" t="s">
        <v>910</v>
      </c>
      <c r="F404" t="s">
        <v>1533</v>
      </c>
      <c r="G404" t="s">
        <v>1533</v>
      </c>
      <c r="H404" s="57" t="s">
        <v>1603</v>
      </c>
      <c r="I404" t="s">
        <v>1437</v>
      </c>
      <c r="J404" s="64">
        <v>0</v>
      </c>
    </row>
    <row r="405" spans="2:10" x14ac:dyDescent="0.25">
      <c r="B405" t="str">
        <f t="shared" si="6"/>
        <v>RuotiEPC-IPU-H641-01</v>
      </c>
      <c r="C405" t="s">
        <v>826</v>
      </c>
      <c r="D405" s="62" t="s">
        <v>887</v>
      </c>
      <c r="E405" s="50" t="s">
        <v>910</v>
      </c>
      <c r="F405" t="s">
        <v>1533</v>
      </c>
      <c r="G405" t="s">
        <v>1533</v>
      </c>
      <c r="H405" s="57" t="s">
        <v>1604</v>
      </c>
      <c r="I405" t="s">
        <v>1443</v>
      </c>
      <c r="J405" s="64">
        <v>0</v>
      </c>
    </row>
    <row r="406" spans="2:10" x14ac:dyDescent="0.25">
      <c r="B406" t="str">
        <f t="shared" si="6"/>
        <v>JesoloEPC-IPU-C388-01</v>
      </c>
      <c r="C406" s="50" t="s">
        <v>826</v>
      </c>
      <c r="D406" s="51" t="s">
        <v>1488</v>
      </c>
      <c r="E406" s="50" t="s">
        <v>959</v>
      </c>
      <c r="F406" s="50" t="s">
        <v>1533</v>
      </c>
      <c r="G406" s="50" t="s">
        <v>1533</v>
      </c>
      <c r="H406" s="57" t="s">
        <v>1605</v>
      </c>
      <c r="I406" s="50" t="s">
        <v>1490</v>
      </c>
      <c r="J406" s="54">
        <v>0</v>
      </c>
    </row>
    <row r="407" spans="2:10" x14ac:dyDescent="0.25">
      <c r="B407" t="str">
        <f t="shared" si="6"/>
        <v>Cogollo del CengioEPC-IPU-C824-01</v>
      </c>
      <c r="C407" t="s">
        <v>826</v>
      </c>
      <c r="D407" s="62" t="s">
        <v>1493</v>
      </c>
      <c r="E407" s="50" t="s">
        <v>959</v>
      </c>
      <c r="F407" t="s">
        <v>1533</v>
      </c>
      <c r="G407" t="s">
        <v>1533</v>
      </c>
      <c r="H407" s="57" t="s">
        <v>1606</v>
      </c>
      <c r="I407" t="s">
        <v>1495</v>
      </c>
      <c r="J407" s="64">
        <v>0</v>
      </c>
    </row>
    <row r="408" spans="2:10" x14ac:dyDescent="0.25">
      <c r="B408" t="str">
        <f t="shared" si="6"/>
        <v>Concordia sulla SecchiaEPC-IPU-C951-01</v>
      </c>
      <c r="C408" s="50" t="s">
        <v>826</v>
      </c>
      <c r="D408" s="51" t="s">
        <v>1488</v>
      </c>
      <c r="E408" s="50" t="s">
        <v>959</v>
      </c>
      <c r="F408" s="50" t="s">
        <v>1533</v>
      </c>
      <c r="G408" s="50" t="s">
        <v>1533</v>
      </c>
      <c r="H408" s="57" t="s">
        <v>1607</v>
      </c>
      <c r="I408" s="50" t="s">
        <v>1497</v>
      </c>
      <c r="J408" s="54">
        <v>0</v>
      </c>
    </row>
    <row r="409" spans="2:10" x14ac:dyDescent="0.25">
      <c r="B409" t="str">
        <f t="shared" si="6"/>
        <v>CrosiaEPC-IPU-D184-01</v>
      </c>
      <c r="C409" s="50" t="s">
        <v>826</v>
      </c>
      <c r="D409" s="51" t="s">
        <v>1488</v>
      </c>
      <c r="E409" s="50" t="s">
        <v>910</v>
      </c>
      <c r="F409" s="50" t="s">
        <v>1533</v>
      </c>
      <c r="G409" s="50" t="s">
        <v>1533</v>
      </c>
      <c r="H409" s="57" t="s">
        <v>1608</v>
      </c>
      <c r="I409" s="50" t="s">
        <v>1499</v>
      </c>
      <c r="J409" s="54">
        <v>0</v>
      </c>
    </row>
    <row r="410" spans="2:10" x14ac:dyDescent="0.25">
      <c r="B410" t="str">
        <f t="shared" si="6"/>
        <v>EracleaEPC-IPU-D415-01</v>
      </c>
      <c r="C410" s="50" t="s">
        <v>826</v>
      </c>
      <c r="D410" s="51" t="s">
        <v>1488</v>
      </c>
      <c r="E410" s="50" t="s">
        <v>959</v>
      </c>
      <c r="F410" s="50" t="s">
        <v>1533</v>
      </c>
      <c r="G410" s="50" t="s">
        <v>1533</v>
      </c>
      <c r="H410" s="57" t="s">
        <v>1609</v>
      </c>
      <c r="I410" s="50" t="s">
        <v>1501</v>
      </c>
      <c r="J410" s="54">
        <v>0</v>
      </c>
    </row>
    <row r="411" spans="2:10" x14ac:dyDescent="0.25">
      <c r="B411" t="str">
        <f t="shared" si="6"/>
        <v>Fossalta di PiaveEPC-IPU-D740-01</v>
      </c>
      <c r="C411" s="50" t="s">
        <v>826</v>
      </c>
      <c r="D411" s="51" t="s">
        <v>1488</v>
      </c>
      <c r="E411" s="50" t="s">
        <v>959</v>
      </c>
      <c r="F411" s="50" t="s">
        <v>1533</v>
      </c>
      <c r="G411" s="50" t="s">
        <v>1533</v>
      </c>
      <c r="H411" s="57" t="s">
        <v>1610</v>
      </c>
      <c r="I411" s="50" t="s">
        <v>1503</v>
      </c>
      <c r="J411" s="54">
        <v>0</v>
      </c>
    </row>
    <row r="412" spans="2:10" x14ac:dyDescent="0.25">
      <c r="B412" t="str">
        <f t="shared" si="6"/>
        <v>MeoloEPC-IPU-F130-01</v>
      </c>
      <c r="C412" s="50" t="s">
        <v>826</v>
      </c>
      <c r="D412" s="51" t="s">
        <v>1488</v>
      </c>
      <c r="E412" s="50" t="s">
        <v>959</v>
      </c>
      <c r="F412" s="50" t="s">
        <v>1533</v>
      </c>
      <c r="G412" s="50" t="s">
        <v>1533</v>
      </c>
      <c r="H412" s="57" t="s">
        <v>1611</v>
      </c>
      <c r="I412" s="50" t="s">
        <v>1505</v>
      </c>
      <c r="J412" s="54">
        <v>0</v>
      </c>
    </row>
    <row r="413" spans="2:10" x14ac:dyDescent="0.25">
      <c r="B413" t="str">
        <f t="shared" si="6"/>
        <v>Musile di PiaveEPC-IPU-F826-01</v>
      </c>
      <c r="C413" s="50" t="s">
        <v>826</v>
      </c>
      <c r="D413" s="51" t="s">
        <v>1488</v>
      </c>
      <c r="E413" s="50" t="s">
        <v>959</v>
      </c>
      <c r="F413" s="50" t="s">
        <v>1533</v>
      </c>
      <c r="G413" s="50" t="s">
        <v>1533</v>
      </c>
      <c r="H413" s="57" t="s">
        <v>1612</v>
      </c>
      <c r="I413" s="50" t="s">
        <v>1507</v>
      </c>
      <c r="J413" s="54">
        <v>0</v>
      </c>
    </row>
    <row r="414" spans="2:10" x14ac:dyDescent="0.25">
      <c r="B414" t="str">
        <f t="shared" si="6"/>
        <v>PianezzeEPC-IPU-G560-01</v>
      </c>
      <c r="C414" t="s">
        <v>826</v>
      </c>
      <c r="D414" s="62" t="s">
        <v>1493</v>
      </c>
      <c r="E414" s="50" t="s">
        <v>959</v>
      </c>
      <c r="F414" t="s">
        <v>1533</v>
      </c>
      <c r="G414" t="s">
        <v>1533</v>
      </c>
      <c r="H414" s="57" t="s">
        <v>1613</v>
      </c>
      <c r="I414" t="s">
        <v>1511</v>
      </c>
      <c r="J414" s="64">
        <v>0</v>
      </c>
    </row>
    <row r="415" spans="2:10" x14ac:dyDescent="0.25">
      <c r="B415" t="str">
        <f t="shared" si="6"/>
        <v>Piazzola sul BrentaEPC-IPU-G587-01</v>
      </c>
      <c r="C415" t="s">
        <v>826</v>
      </c>
      <c r="D415" s="62" t="s">
        <v>1493</v>
      </c>
      <c r="E415" s="50" t="s">
        <v>959</v>
      </c>
      <c r="F415" t="s">
        <v>1533</v>
      </c>
      <c r="G415" t="s">
        <v>1533</v>
      </c>
      <c r="H415" s="57" t="s">
        <v>1614</v>
      </c>
      <c r="I415" t="s">
        <v>1513</v>
      </c>
      <c r="J415" s="64">
        <v>0</v>
      </c>
    </row>
    <row r="416" spans="2:10" x14ac:dyDescent="0.25">
      <c r="B416" t="str">
        <f t="shared" si="6"/>
        <v>PulsanoEPC-IPU-H090-01</v>
      </c>
      <c r="C416" t="s">
        <v>826</v>
      </c>
      <c r="D416" s="62" t="s">
        <v>1514</v>
      </c>
      <c r="E416" s="50" t="s">
        <v>910</v>
      </c>
      <c r="F416" t="s">
        <v>1533</v>
      </c>
      <c r="G416" t="s">
        <v>1533</v>
      </c>
      <c r="H416" s="57" t="s">
        <v>1615</v>
      </c>
      <c r="I416" t="s">
        <v>1516</v>
      </c>
      <c r="J416" s="64">
        <v>0</v>
      </c>
    </row>
    <row r="417" spans="2:10" x14ac:dyDescent="0.25">
      <c r="B417" t="str">
        <f t="shared" si="6"/>
        <v>Rossano VenetoEPC-IPU-H580-01</v>
      </c>
      <c r="C417" t="s">
        <v>826</v>
      </c>
      <c r="D417" s="62" t="s">
        <v>1493</v>
      </c>
      <c r="E417" s="50" t="s">
        <v>959</v>
      </c>
      <c r="F417" t="s">
        <v>1533</v>
      </c>
      <c r="G417" t="s">
        <v>1533</v>
      </c>
      <c r="H417" s="57" t="s">
        <v>1616</v>
      </c>
      <c r="I417" t="s">
        <v>1518</v>
      </c>
      <c r="J417" s="64">
        <v>0</v>
      </c>
    </row>
    <row r="418" spans="2:10" x14ac:dyDescent="0.25">
      <c r="B418" t="str">
        <f t="shared" si="6"/>
        <v>San Donà di PiaveEPC-IPU-H823-01</v>
      </c>
      <c r="C418" s="50" t="s">
        <v>826</v>
      </c>
      <c r="D418" s="51" t="s">
        <v>1488</v>
      </c>
      <c r="E418" s="50" t="s">
        <v>959</v>
      </c>
      <c r="F418" s="50" t="s">
        <v>1533</v>
      </c>
      <c r="G418" s="50" t="s">
        <v>1533</v>
      </c>
      <c r="H418" s="57" t="s">
        <v>1617</v>
      </c>
      <c r="I418" s="50" t="s">
        <v>1520</v>
      </c>
      <c r="J418" s="54">
        <v>0</v>
      </c>
    </row>
    <row r="419" spans="2:10" x14ac:dyDescent="0.25">
      <c r="B419" t="str">
        <f t="shared" si="6"/>
        <v>Spezzano AlbaneseEPC-IPU-I895-01</v>
      </c>
      <c r="C419" s="50" t="s">
        <v>826</v>
      </c>
      <c r="D419" s="51" t="s">
        <v>1488</v>
      </c>
      <c r="E419" s="50" t="s">
        <v>910</v>
      </c>
      <c r="F419" s="50" t="s">
        <v>1533</v>
      </c>
      <c r="G419" s="50" t="s">
        <v>1533</v>
      </c>
      <c r="H419" s="57" t="s">
        <v>1618</v>
      </c>
      <c r="I419" s="50" t="s">
        <v>1522</v>
      </c>
      <c r="J419" s="54">
        <v>0</v>
      </c>
    </row>
    <row r="420" spans="2:10" x14ac:dyDescent="0.25">
      <c r="B420" t="str">
        <f t="shared" si="6"/>
        <v>ColceresaEPC-IPU-M426-01</v>
      </c>
      <c r="C420" t="s">
        <v>826</v>
      </c>
      <c r="D420" s="62" t="s">
        <v>1493</v>
      </c>
      <c r="E420" s="50" t="s">
        <v>959</v>
      </c>
      <c r="F420" t="s">
        <v>1533</v>
      </c>
      <c r="G420" t="s">
        <v>1533</v>
      </c>
      <c r="H420" s="57" t="s">
        <v>1619</v>
      </c>
      <c r="I420" t="s">
        <v>1524</v>
      </c>
      <c r="J420" s="64">
        <v>0</v>
      </c>
    </row>
    <row r="421" spans="2:10" x14ac:dyDescent="0.25">
      <c r="B421" t="str">
        <f t="shared" si="6"/>
        <v>Belvedere Marittimo</v>
      </c>
      <c r="C421" t="s">
        <v>826</v>
      </c>
      <c r="D421" s="62" t="s">
        <v>928</v>
      </c>
      <c r="E421" s="63" t="s">
        <v>910</v>
      </c>
      <c r="F421" t="s">
        <v>1533</v>
      </c>
      <c r="G421" t="s">
        <v>1533</v>
      </c>
      <c r="H421" s="53"/>
      <c r="I421" t="s">
        <v>929</v>
      </c>
      <c r="J421" s="64">
        <v>0</v>
      </c>
    </row>
    <row r="422" spans="2:10" x14ac:dyDescent="0.25">
      <c r="B422" t="str">
        <f t="shared" si="6"/>
        <v>Roccamonfina</v>
      </c>
      <c r="C422" t="s">
        <v>826</v>
      </c>
      <c r="D422" s="62" t="s">
        <v>928</v>
      </c>
      <c r="E422" s="63" t="s">
        <v>910</v>
      </c>
      <c r="F422" t="s">
        <v>1533</v>
      </c>
      <c r="G422" t="s">
        <v>1533</v>
      </c>
      <c r="H422" s="53"/>
      <c r="I422" t="s">
        <v>930</v>
      </c>
      <c r="J422" s="64">
        <v>0</v>
      </c>
    </row>
    <row r="423" spans="2:10" x14ac:dyDescent="0.25">
      <c r="B423" t="str">
        <f t="shared" si="6"/>
        <v>Sesto Campano</v>
      </c>
      <c r="C423" t="s">
        <v>826</v>
      </c>
      <c r="D423" s="62" t="s">
        <v>928</v>
      </c>
      <c r="E423" s="63" t="s">
        <v>896</v>
      </c>
      <c r="F423" t="s">
        <v>1533</v>
      </c>
      <c r="G423" t="s">
        <v>1533</v>
      </c>
      <c r="H423" s="53"/>
      <c r="I423" t="s">
        <v>931</v>
      </c>
      <c r="J423" s="64">
        <v>0</v>
      </c>
    </row>
    <row r="424" spans="2:10" x14ac:dyDescent="0.25">
      <c r="B424" t="str">
        <f t="shared" si="6"/>
        <v>San Mango Piemonte</v>
      </c>
      <c r="C424" t="s">
        <v>826</v>
      </c>
      <c r="D424" s="62" t="s">
        <v>928</v>
      </c>
      <c r="E424" s="63" t="s">
        <v>910</v>
      </c>
      <c r="F424" t="s">
        <v>1533</v>
      </c>
      <c r="G424" t="s">
        <v>1533</v>
      </c>
      <c r="H424" s="53"/>
      <c r="I424" t="s">
        <v>970</v>
      </c>
      <c r="J424" s="64">
        <v>0</v>
      </c>
    </row>
    <row r="425" spans="2:10" x14ac:dyDescent="0.25">
      <c r="B425" t="str">
        <f t="shared" si="6"/>
        <v>Romagnano Sesia</v>
      </c>
      <c r="C425" t="s">
        <v>826</v>
      </c>
      <c r="D425" s="62" t="s">
        <v>932</v>
      </c>
      <c r="E425" s="63" t="s">
        <v>888</v>
      </c>
      <c r="F425" t="s">
        <v>1533</v>
      </c>
      <c r="G425" t="s">
        <v>1533</v>
      </c>
      <c r="H425" s="53"/>
      <c r="I425" t="s">
        <v>972</v>
      </c>
      <c r="J425" s="64">
        <v>0</v>
      </c>
    </row>
    <row r="426" spans="2:10" x14ac:dyDescent="0.25">
      <c r="B426" t="str">
        <f t="shared" si="6"/>
        <v>Massalengo</v>
      </c>
      <c r="C426" t="s">
        <v>826</v>
      </c>
      <c r="D426" s="62" t="s">
        <v>932</v>
      </c>
      <c r="E426" s="63" t="s">
        <v>888</v>
      </c>
      <c r="F426" t="s">
        <v>1533</v>
      </c>
      <c r="G426" t="s">
        <v>1533</v>
      </c>
      <c r="H426" s="53"/>
      <c r="I426" t="s">
        <v>974</v>
      </c>
      <c r="J426" s="64">
        <v>0</v>
      </c>
    </row>
    <row r="427" spans="2:10" x14ac:dyDescent="0.25">
      <c r="B427" t="str">
        <f t="shared" si="6"/>
        <v>Rivarossa</v>
      </c>
      <c r="C427" t="s">
        <v>826</v>
      </c>
      <c r="D427" s="62" t="s">
        <v>932</v>
      </c>
      <c r="E427" s="63" t="s">
        <v>888</v>
      </c>
      <c r="F427" t="s">
        <v>1533</v>
      </c>
      <c r="G427" t="s">
        <v>1533</v>
      </c>
      <c r="H427" s="53"/>
      <c r="I427" t="s">
        <v>934</v>
      </c>
      <c r="J427" s="64">
        <v>0</v>
      </c>
    </row>
    <row r="428" spans="2:10" x14ac:dyDescent="0.25">
      <c r="B428" t="str">
        <f t="shared" si="6"/>
        <v>Torre D'Isola</v>
      </c>
      <c r="C428" t="s">
        <v>826</v>
      </c>
      <c r="D428" s="62" t="s">
        <v>932</v>
      </c>
      <c r="E428" s="63" t="s">
        <v>888</v>
      </c>
      <c r="F428" t="s">
        <v>1533</v>
      </c>
      <c r="G428" t="s">
        <v>1533</v>
      </c>
      <c r="H428" s="53"/>
      <c r="I428" t="s">
        <v>936</v>
      </c>
      <c r="J428" s="64">
        <v>0</v>
      </c>
    </row>
    <row r="429" spans="2:10" x14ac:dyDescent="0.25">
      <c r="B429" t="str">
        <f t="shared" si="6"/>
        <v>Santo Stefano Lodigiano</v>
      </c>
      <c r="C429" t="s">
        <v>826</v>
      </c>
      <c r="D429" s="62" t="s">
        <v>932</v>
      </c>
      <c r="E429" s="63" t="s">
        <v>888</v>
      </c>
      <c r="F429" t="s">
        <v>1533</v>
      </c>
      <c r="G429" t="s">
        <v>1533</v>
      </c>
      <c r="H429" s="53"/>
      <c r="I429" t="s">
        <v>938</v>
      </c>
      <c r="J429" s="64">
        <v>0</v>
      </c>
    </row>
    <row r="430" spans="2:10" x14ac:dyDescent="0.25">
      <c r="B430" t="str">
        <f t="shared" si="6"/>
        <v>Secugnago</v>
      </c>
      <c r="C430" t="s">
        <v>826</v>
      </c>
      <c r="D430" s="62" t="s">
        <v>932</v>
      </c>
      <c r="E430" s="63" t="s">
        <v>888</v>
      </c>
      <c r="F430" t="s">
        <v>1533</v>
      </c>
      <c r="G430" t="s">
        <v>1533</v>
      </c>
      <c r="H430" s="53"/>
      <c r="I430" t="s">
        <v>940</v>
      </c>
      <c r="J430" s="64">
        <v>0</v>
      </c>
    </row>
    <row r="431" spans="2:10" x14ac:dyDescent="0.25">
      <c r="B431" t="str">
        <f t="shared" si="6"/>
        <v>Loro Ciuffenna</v>
      </c>
      <c r="C431" t="s">
        <v>826</v>
      </c>
      <c r="D431" s="62" t="s">
        <v>932</v>
      </c>
      <c r="E431" s="63" t="s">
        <v>896</v>
      </c>
      <c r="F431" t="s">
        <v>1533</v>
      </c>
      <c r="G431" t="s">
        <v>1533</v>
      </c>
      <c r="H431" s="53"/>
      <c r="I431" t="s">
        <v>942</v>
      </c>
      <c r="J431" s="64">
        <v>0</v>
      </c>
    </row>
    <row r="432" spans="2:10" x14ac:dyDescent="0.25">
      <c r="B432" t="str">
        <f t="shared" si="6"/>
        <v>SannicolaEPC-IPU-I059-01</v>
      </c>
      <c r="C432" t="s">
        <v>826</v>
      </c>
      <c r="D432" s="62" t="s">
        <v>943</v>
      </c>
      <c r="E432" s="50" t="s">
        <v>910</v>
      </c>
      <c r="F432" t="s">
        <v>1533</v>
      </c>
      <c r="G432" t="s">
        <v>1533</v>
      </c>
      <c r="H432" s="57" t="s">
        <v>1620</v>
      </c>
      <c r="I432" t="s">
        <v>1526</v>
      </c>
      <c r="J432" s="64">
        <v>0</v>
      </c>
    </row>
    <row r="433" spans="2:10" x14ac:dyDescent="0.25">
      <c r="B433" t="str">
        <f t="shared" si="6"/>
        <v>Montalbano JonicoEPC-IPU-F399-01</v>
      </c>
      <c r="C433" t="s">
        <v>826</v>
      </c>
      <c r="D433" s="62" t="s">
        <v>943</v>
      </c>
      <c r="E433" s="50" t="s">
        <v>910</v>
      </c>
      <c r="F433" t="s">
        <v>1533</v>
      </c>
      <c r="G433" t="s">
        <v>1533</v>
      </c>
      <c r="H433" s="57" t="s">
        <v>1621</v>
      </c>
      <c r="I433" t="s">
        <v>1528</v>
      </c>
      <c r="J433" s="64">
        <v>0</v>
      </c>
    </row>
    <row r="434" spans="2:10" x14ac:dyDescent="0.25">
      <c r="B434" t="str">
        <f t="shared" si="6"/>
        <v>Ricigliano</v>
      </c>
      <c r="C434" t="s">
        <v>826</v>
      </c>
      <c r="D434" s="62" t="s">
        <v>943</v>
      </c>
      <c r="E434" s="63" t="s">
        <v>910</v>
      </c>
      <c r="F434" t="s">
        <v>1533</v>
      </c>
      <c r="G434" t="s">
        <v>1533</v>
      </c>
      <c r="H434" s="53"/>
      <c r="I434" t="s">
        <v>944</v>
      </c>
      <c r="J434" s="64">
        <v>0</v>
      </c>
    </row>
    <row r="435" spans="2:10" x14ac:dyDescent="0.25">
      <c r="B435" t="str">
        <f t="shared" si="6"/>
        <v>Serino</v>
      </c>
      <c r="C435" t="s">
        <v>826</v>
      </c>
      <c r="D435" s="62" t="s">
        <v>943</v>
      </c>
      <c r="E435" s="63" t="s">
        <v>910</v>
      </c>
      <c r="F435" t="s">
        <v>1533</v>
      </c>
      <c r="G435" t="s">
        <v>1533</v>
      </c>
      <c r="H435" s="53"/>
      <c r="I435" t="s">
        <v>945</v>
      </c>
      <c r="J435" s="64">
        <v>0</v>
      </c>
    </row>
    <row r="436" spans="2:10" x14ac:dyDescent="0.25">
      <c r="B436" t="str">
        <f t="shared" si="6"/>
        <v>San Martino D'AgriEPC-IPU-H994-01</v>
      </c>
      <c r="C436" t="s">
        <v>826</v>
      </c>
      <c r="D436" s="62" t="s">
        <v>943</v>
      </c>
      <c r="E436" s="50" t="s">
        <v>910</v>
      </c>
      <c r="F436" t="s">
        <v>1533</v>
      </c>
      <c r="G436" t="s">
        <v>1533</v>
      </c>
      <c r="H436" s="57" t="s">
        <v>1622</v>
      </c>
      <c r="I436" t="s">
        <v>1530</v>
      </c>
      <c r="J436" s="64">
        <v>0</v>
      </c>
    </row>
    <row r="437" spans="2:10" x14ac:dyDescent="0.25">
      <c r="B437" t="str">
        <f t="shared" si="6"/>
        <v>Vaglio BasilicataEPC-IPU-L532-01</v>
      </c>
      <c r="C437" t="s">
        <v>826</v>
      </c>
      <c r="D437" s="62" t="s">
        <v>943</v>
      </c>
      <c r="E437" s="50" t="s">
        <v>910</v>
      </c>
      <c r="F437" t="s">
        <v>1533</v>
      </c>
      <c r="G437" t="s">
        <v>1533</v>
      </c>
      <c r="H437" s="57" t="s">
        <v>1623</v>
      </c>
      <c r="I437" t="s">
        <v>1532</v>
      </c>
      <c r="J437" s="64">
        <v>0</v>
      </c>
    </row>
    <row r="438" spans="2:10" x14ac:dyDescent="0.25">
      <c r="B438" t="str">
        <f t="shared" si="6"/>
        <v>Maiori</v>
      </c>
      <c r="C438" t="s">
        <v>826</v>
      </c>
      <c r="D438" s="62" t="s">
        <v>943</v>
      </c>
      <c r="E438" s="63" t="s">
        <v>910</v>
      </c>
      <c r="F438" t="s">
        <v>1533</v>
      </c>
      <c r="G438" t="s">
        <v>1533</v>
      </c>
      <c r="H438" s="53"/>
      <c r="I438" t="s">
        <v>975</v>
      </c>
      <c r="J438" s="64">
        <v>0</v>
      </c>
    </row>
    <row r="439" spans="2:10" x14ac:dyDescent="0.25">
      <c r="B439" t="str">
        <f t="shared" si="6"/>
        <v>Minori</v>
      </c>
      <c r="C439" t="s">
        <v>826</v>
      </c>
      <c r="D439" s="62" t="s">
        <v>943</v>
      </c>
      <c r="E439" s="63" t="s">
        <v>910</v>
      </c>
      <c r="F439" t="s">
        <v>1533</v>
      </c>
      <c r="G439" t="s">
        <v>1533</v>
      </c>
      <c r="H439" s="53"/>
      <c r="I439" t="s">
        <v>976</v>
      </c>
      <c r="J439" s="64">
        <v>0</v>
      </c>
    </row>
    <row r="440" spans="2:10" x14ac:dyDescent="0.25">
      <c r="B440" t="str">
        <f t="shared" si="6"/>
        <v>Castel San Giorgio</v>
      </c>
      <c r="C440" t="s">
        <v>826</v>
      </c>
      <c r="D440" s="62" t="s">
        <v>943</v>
      </c>
      <c r="E440" s="63" t="s">
        <v>910</v>
      </c>
      <c r="F440" t="s">
        <v>1533</v>
      </c>
      <c r="G440" t="s">
        <v>1533</v>
      </c>
      <c r="H440" s="53"/>
      <c r="I440" t="s">
        <v>977</v>
      </c>
      <c r="J440" s="64">
        <v>0</v>
      </c>
    </row>
    <row r="441" spans="2:10" x14ac:dyDescent="0.25">
      <c r="B441" t="str">
        <f t="shared" si="6"/>
        <v>Ischia</v>
      </c>
      <c r="C441" t="s">
        <v>826</v>
      </c>
      <c r="D441" s="62" t="s">
        <v>943</v>
      </c>
      <c r="E441" s="63" t="s">
        <v>910</v>
      </c>
      <c r="F441" t="s">
        <v>1533</v>
      </c>
      <c r="G441" t="s">
        <v>1533</v>
      </c>
      <c r="H441" s="53"/>
      <c r="I441" t="s">
        <v>978</v>
      </c>
      <c r="J441" s="64">
        <v>0</v>
      </c>
    </row>
    <row r="442" spans="2:10" x14ac:dyDescent="0.25">
      <c r="B442" t="str">
        <f t="shared" si="6"/>
        <v>Somma Vesuviana</v>
      </c>
      <c r="C442" t="s">
        <v>826</v>
      </c>
      <c r="D442" s="62" t="s">
        <v>943</v>
      </c>
      <c r="E442" s="63" t="s">
        <v>910</v>
      </c>
      <c r="F442" t="s">
        <v>1533</v>
      </c>
      <c r="G442" t="s">
        <v>1533</v>
      </c>
      <c r="H442" s="53"/>
      <c r="I442" t="s">
        <v>979</v>
      </c>
      <c r="J442" s="64">
        <v>0</v>
      </c>
    </row>
    <row r="443" spans="2:10" x14ac:dyDescent="0.25">
      <c r="B443" t="str">
        <f t="shared" si="6"/>
        <v>San Cipriano Picentino</v>
      </c>
      <c r="C443" t="s">
        <v>826</v>
      </c>
      <c r="D443" s="62" t="s">
        <v>943</v>
      </c>
      <c r="E443" s="63" t="s">
        <v>910</v>
      </c>
      <c r="F443" t="s">
        <v>1533</v>
      </c>
      <c r="G443" t="s">
        <v>1533</v>
      </c>
      <c r="H443" s="53"/>
      <c r="I443" t="s">
        <v>947</v>
      </c>
      <c r="J443" s="64">
        <v>0</v>
      </c>
    </row>
    <row r="444" spans="2:10" x14ac:dyDescent="0.25">
      <c r="B444" t="str">
        <f t="shared" si="6"/>
        <v>Vietri sul Mare</v>
      </c>
      <c r="C444" t="s">
        <v>826</v>
      </c>
      <c r="D444" s="62" t="s">
        <v>943</v>
      </c>
      <c r="E444" s="63" t="s">
        <v>910</v>
      </c>
      <c r="F444" t="s">
        <v>1533</v>
      </c>
      <c r="G444" t="s">
        <v>1533</v>
      </c>
      <c r="H444" s="53"/>
      <c r="I444" t="s">
        <v>948</v>
      </c>
      <c r="J444" s="64">
        <v>0</v>
      </c>
    </row>
    <row r="445" spans="2:10" x14ac:dyDescent="0.25">
      <c r="B445" t="str">
        <f t="shared" si="6"/>
        <v>Dolo</v>
      </c>
      <c r="C445" t="s">
        <v>826</v>
      </c>
      <c r="D445" s="62" t="s">
        <v>980</v>
      </c>
      <c r="E445" s="63" t="s">
        <v>959</v>
      </c>
      <c r="F445" t="s">
        <v>1533</v>
      </c>
      <c r="G445" t="s">
        <v>1533</v>
      </c>
      <c r="H445" s="53"/>
      <c r="I445" t="s">
        <v>981</v>
      </c>
      <c r="J445" s="64">
        <v>0</v>
      </c>
    </row>
    <row r="446" spans="2:10" x14ac:dyDescent="0.25">
      <c r="B446" t="str">
        <f t="shared" si="6"/>
        <v>Vicari</v>
      </c>
      <c r="C446" t="s">
        <v>826</v>
      </c>
      <c r="D446" s="62" t="s">
        <v>980</v>
      </c>
      <c r="E446" s="63" t="s">
        <v>910</v>
      </c>
      <c r="F446" t="s">
        <v>1533</v>
      </c>
      <c r="G446" t="s">
        <v>1533</v>
      </c>
      <c r="H446" s="53"/>
      <c r="I446" t="s">
        <v>982</v>
      </c>
      <c r="J446" s="64">
        <v>0</v>
      </c>
    </row>
    <row r="447" spans="2:10" x14ac:dyDescent="0.25">
      <c r="B447" t="str">
        <f t="shared" si="6"/>
        <v>Marsciano</v>
      </c>
      <c r="C447" t="s">
        <v>826</v>
      </c>
      <c r="D447" s="62" t="s">
        <v>949</v>
      </c>
      <c r="E447" s="63" t="s">
        <v>896</v>
      </c>
      <c r="F447" t="s">
        <v>1533</v>
      </c>
      <c r="G447" t="s">
        <v>1533</v>
      </c>
      <c r="H447" s="53"/>
      <c r="I447" t="s">
        <v>983</v>
      </c>
      <c r="J447" s="64">
        <v>0</v>
      </c>
    </row>
    <row r="448" spans="2:10" x14ac:dyDescent="0.25">
      <c r="B448" t="str">
        <f t="shared" si="6"/>
        <v>Umbertide</v>
      </c>
      <c r="C448" t="s">
        <v>826</v>
      </c>
      <c r="D448" s="62" t="s">
        <v>949</v>
      </c>
      <c r="E448" s="63" t="s">
        <v>896</v>
      </c>
      <c r="F448" t="s">
        <v>1533</v>
      </c>
      <c r="G448" t="s">
        <v>1533</v>
      </c>
      <c r="H448" s="53"/>
      <c r="I448" t="s">
        <v>950</v>
      </c>
      <c r="J448" s="64">
        <v>0</v>
      </c>
    </row>
    <row r="449" spans="2:10" x14ac:dyDescent="0.25">
      <c r="B449" t="str">
        <f t="shared" si="6"/>
        <v>Lizzanello</v>
      </c>
      <c r="C449" t="s">
        <v>826</v>
      </c>
      <c r="D449" s="62" t="s">
        <v>951</v>
      </c>
      <c r="E449" s="63" t="s">
        <v>910</v>
      </c>
      <c r="F449" t="s">
        <v>1533</v>
      </c>
      <c r="G449" t="s">
        <v>1533</v>
      </c>
      <c r="H449" s="53"/>
      <c r="I449" t="s">
        <v>952</v>
      </c>
      <c r="J449" s="64">
        <v>0</v>
      </c>
    </row>
    <row r="450" spans="2:10" x14ac:dyDescent="0.25">
      <c r="B450" t="str">
        <f t="shared" si="6"/>
        <v>San Donato Milanese</v>
      </c>
      <c r="C450" t="s">
        <v>826</v>
      </c>
      <c r="D450" s="62" t="s">
        <v>951</v>
      </c>
      <c r="E450" s="63" t="s">
        <v>910</v>
      </c>
      <c r="F450" t="s">
        <v>1533</v>
      </c>
      <c r="G450" t="s">
        <v>1533</v>
      </c>
      <c r="H450" s="53"/>
      <c r="I450" t="s">
        <v>953</v>
      </c>
      <c r="J450" s="64">
        <v>0</v>
      </c>
    </row>
    <row r="451" spans="2:10" x14ac:dyDescent="0.25">
      <c r="B451" t="str">
        <f t="shared" si="6"/>
        <v>Altro Not identified (Sud) 1</v>
      </c>
      <c r="C451" t="s">
        <v>826</v>
      </c>
      <c r="D451" s="62" t="s">
        <v>954</v>
      </c>
      <c r="E451" s="63" t="s">
        <v>910</v>
      </c>
      <c r="F451" t="s">
        <v>1533</v>
      </c>
      <c r="G451" t="s">
        <v>1533</v>
      </c>
      <c r="H451" s="53"/>
      <c r="I451" t="s">
        <v>955</v>
      </c>
      <c r="J451" s="64">
        <v>0</v>
      </c>
    </row>
    <row r="452" spans="2:10" x14ac:dyDescent="0.25">
      <c r="B452" t="str">
        <f t="shared" ref="B452:B515" si="7">+I452&amp;H452</f>
        <v>Altro Not identified (Centre)</v>
      </c>
      <c r="C452" t="s">
        <v>826</v>
      </c>
      <c r="D452" s="62" t="s">
        <v>954</v>
      </c>
      <c r="E452" s="63" t="s">
        <v>896</v>
      </c>
      <c r="F452" t="s">
        <v>1533</v>
      </c>
      <c r="G452" t="s">
        <v>1533</v>
      </c>
      <c r="H452" s="53"/>
      <c r="I452" t="s">
        <v>956</v>
      </c>
      <c r="J452" s="64">
        <v>0</v>
      </c>
    </row>
    <row r="453" spans="2:10" x14ac:dyDescent="0.25">
      <c r="B453" t="str">
        <f t="shared" si="7"/>
        <v>Altro Not identified (North West)</v>
      </c>
      <c r="C453" t="s">
        <v>826</v>
      </c>
      <c r="D453" s="62" t="s">
        <v>954</v>
      </c>
      <c r="E453" s="63" t="s">
        <v>888</v>
      </c>
      <c r="F453" t="s">
        <v>1533</v>
      </c>
      <c r="G453" t="s">
        <v>1533</v>
      </c>
      <c r="H453" s="53"/>
      <c r="I453" t="s">
        <v>957</v>
      </c>
      <c r="J453" s="64">
        <v>0</v>
      </c>
    </row>
    <row r="454" spans="2:10" x14ac:dyDescent="0.25">
      <c r="B454" t="str">
        <f t="shared" si="7"/>
        <v>Altro Not identified (North East)</v>
      </c>
      <c r="C454" t="s">
        <v>958</v>
      </c>
      <c r="D454" s="62" t="s">
        <v>954</v>
      </c>
      <c r="E454" s="63" t="s">
        <v>959</v>
      </c>
      <c r="F454" t="s">
        <v>1533</v>
      </c>
      <c r="G454" t="s">
        <v>1533</v>
      </c>
      <c r="H454" s="53"/>
      <c r="I454" t="s">
        <v>960</v>
      </c>
      <c r="J454" s="64">
        <v>0</v>
      </c>
    </row>
    <row r="455" spans="2:10" x14ac:dyDescent="0.25">
      <c r="B455" t="str">
        <f t="shared" si="7"/>
        <v>Altro Not identified (Sud) 2</v>
      </c>
      <c r="C455" t="s">
        <v>826</v>
      </c>
      <c r="D455" s="62" t="s">
        <v>954</v>
      </c>
      <c r="E455" s="63" t="s">
        <v>910</v>
      </c>
      <c r="F455" t="s">
        <v>1533</v>
      </c>
      <c r="G455" t="s">
        <v>1533</v>
      </c>
      <c r="H455" s="53"/>
      <c r="I455" t="s">
        <v>969</v>
      </c>
      <c r="J455" s="64">
        <v>0</v>
      </c>
    </row>
    <row r="456" spans="2:10" x14ac:dyDescent="0.25">
      <c r="B456" t="str">
        <f t="shared" si="7"/>
        <v>Vinovo PLEPC-IPU-M060-01</v>
      </c>
      <c r="C456" t="s">
        <v>826</v>
      </c>
      <c r="D456" s="62" t="s">
        <v>887</v>
      </c>
      <c r="E456" s="50" t="s">
        <v>888</v>
      </c>
      <c r="F456" t="s">
        <v>1533</v>
      </c>
      <c r="G456" t="s">
        <v>1533</v>
      </c>
      <c r="H456" s="57" t="s">
        <v>1624</v>
      </c>
      <c r="I456" t="s">
        <v>1095</v>
      </c>
      <c r="J456" s="64">
        <v>0</v>
      </c>
    </row>
    <row r="457" spans="2:10" x14ac:dyDescent="0.25">
      <c r="B457" t="str">
        <f t="shared" si="7"/>
        <v>Sport Club Nuova Casale A.S.DEPC-IPU-B885-01</v>
      </c>
      <c r="C457" t="s">
        <v>826</v>
      </c>
      <c r="D457" s="62" t="s">
        <v>887</v>
      </c>
      <c r="E457" s="50" t="s">
        <v>888</v>
      </c>
      <c r="F457" t="s">
        <v>1533</v>
      </c>
      <c r="G457" t="s">
        <v>1533</v>
      </c>
      <c r="H457" s="57" t="s">
        <v>1625</v>
      </c>
      <c r="I457" t="s">
        <v>1081</v>
      </c>
      <c r="J457" s="64">
        <v>0</v>
      </c>
    </row>
    <row r="458" spans="2:10" x14ac:dyDescent="0.25">
      <c r="B458" t="str">
        <f t="shared" si="7"/>
        <v>Arcisate proroga tecnicaEPC-IPU-A371-02</v>
      </c>
      <c r="C458" t="s">
        <v>958</v>
      </c>
      <c r="D458" s="62" t="s">
        <v>887</v>
      </c>
      <c r="E458" s="50" t="s">
        <v>888</v>
      </c>
      <c r="F458" t="s">
        <v>1533</v>
      </c>
      <c r="G458" t="s">
        <v>1533</v>
      </c>
      <c r="H458" s="57" t="s">
        <v>1626</v>
      </c>
      <c r="I458" t="s">
        <v>1085</v>
      </c>
      <c r="J458" s="64">
        <v>0</v>
      </c>
    </row>
    <row r="459" spans="2:10" x14ac:dyDescent="0.25">
      <c r="B459" t="str">
        <f t="shared" si="7"/>
        <v>Tribiano proroga tecnicaEPC-IPU-L415-02</v>
      </c>
      <c r="C459" t="s">
        <v>958</v>
      </c>
      <c r="D459" s="62" t="s">
        <v>887</v>
      </c>
      <c r="E459" s="50" t="s">
        <v>888</v>
      </c>
      <c r="F459" t="s">
        <v>1533</v>
      </c>
      <c r="G459" t="s">
        <v>1533</v>
      </c>
      <c r="H459" s="57" t="s">
        <v>1627</v>
      </c>
      <c r="I459" t="s">
        <v>1058</v>
      </c>
      <c r="J459" s="64">
        <v>19.108610000000002</v>
      </c>
    </row>
    <row r="460" spans="2:10" x14ac:dyDescent="0.25">
      <c r="B460" t="str">
        <f t="shared" si="7"/>
        <v>CeggiaEPC-IPU-C422-01</v>
      </c>
      <c r="C460" s="50" t="s">
        <v>826</v>
      </c>
      <c r="D460" s="51" t="s">
        <v>1488</v>
      </c>
      <c r="E460" s="50" t="s">
        <v>959</v>
      </c>
      <c r="F460" s="50" t="s">
        <v>1533</v>
      </c>
      <c r="G460" s="50" t="s">
        <v>1533</v>
      </c>
      <c r="H460" s="57" t="s">
        <v>1628</v>
      </c>
      <c r="I460" s="50" t="s">
        <v>1492</v>
      </c>
      <c r="J460" s="54">
        <v>0</v>
      </c>
    </row>
    <row r="461" spans="2:10" x14ac:dyDescent="0.25">
      <c r="B461" t="str">
        <f t="shared" si="7"/>
        <v>Noventa di PiaveEPC-IPU-F963-01</v>
      </c>
      <c r="C461" s="50" t="s">
        <v>826</v>
      </c>
      <c r="D461" s="51" t="s">
        <v>1488</v>
      </c>
      <c r="E461" s="50" t="s">
        <v>959</v>
      </c>
      <c r="F461" s="50" t="s">
        <v>1533</v>
      </c>
      <c r="G461" s="50" t="s">
        <v>1533</v>
      </c>
      <c r="H461" s="57" t="s">
        <v>1629</v>
      </c>
      <c r="I461" s="50" t="s">
        <v>1509</v>
      </c>
      <c r="J461" s="54">
        <v>0</v>
      </c>
    </row>
    <row r="462" spans="2:10" x14ac:dyDescent="0.25">
      <c r="B462" t="str">
        <f t="shared" si="7"/>
        <v>Provincia MZ-BZEPC-IPU-F704-03</v>
      </c>
      <c r="C462" t="s">
        <v>826</v>
      </c>
      <c r="D462" s="62" t="s">
        <v>887</v>
      </c>
      <c r="E462" s="50" t="s">
        <v>888</v>
      </c>
      <c r="F462" t="s">
        <v>1630</v>
      </c>
      <c r="G462" t="s">
        <v>1630</v>
      </c>
      <c r="H462" s="57" t="s">
        <v>1631</v>
      </c>
      <c r="I462" t="s">
        <v>1632</v>
      </c>
      <c r="J462" s="64">
        <v>0</v>
      </c>
    </row>
    <row r="463" spans="2:10" x14ac:dyDescent="0.25">
      <c r="B463" t="str">
        <f t="shared" si="7"/>
        <v>Città Metropolitana di Milano</v>
      </c>
      <c r="C463" t="s">
        <v>826</v>
      </c>
      <c r="D463" s="62" t="s">
        <v>887</v>
      </c>
      <c r="E463" s="63" t="s">
        <v>888</v>
      </c>
      <c r="F463" t="s">
        <v>1630</v>
      </c>
      <c r="G463" t="s">
        <v>1630</v>
      </c>
      <c r="H463" s="53"/>
      <c r="I463" t="s">
        <v>1633</v>
      </c>
      <c r="J463" s="64">
        <v>0</v>
      </c>
    </row>
    <row r="464" spans="2:10" x14ac:dyDescent="0.25">
      <c r="B464" t="str">
        <f t="shared" si="7"/>
        <v>Sacca San BiagioEPC-EEE-L736-01</v>
      </c>
      <c r="C464" t="s">
        <v>958</v>
      </c>
      <c r="D464" s="62" t="s">
        <v>887</v>
      </c>
      <c r="E464" s="50" t="s">
        <v>959</v>
      </c>
      <c r="F464" t="s">
        <v>1630</v>
      </c>
      <c r="G464" t="s">
        <v>1630</v>
      </c>
      <c r="H464" s="57" t="s">
        <v>1634</v>
      </c>
      <c r="I464" t="s">
        <v>1635</v>
      </c>
      <c r="J464" s="64">
        <v>1055.0991999999999</v>
      </c>
    </row>
    <row r="465" spans="2:10" x14ac:dyDescent="0.25">
      <c r="B465" t="str">
        <f t="shared" si="7"/>
        <v>VIER</v>
      </c>
      <c r="C465" t="s">
        <v>958</v>
      </c>
      <c r="D465" s="62" t="s">
        <v>887</v>
      </c>
      <c r="E465" s="63" t="s">
        <v>959</v>
      </c>
      <c r="F465" t="s">
        <v>1630</v>
      </c>
      <c r="G465" t="s">
        <v>1630</v>
      </c>
      <c r="H465" s="53"/>
      <c r="I465" t="s">
        <v>1636</v>
      </c>
      <c r="J465" s="64">
        <v>0</v>
      </c>
    </row>
    <row r="466" spans="2:10" x14ac:dyDescent="0.25">
      <c r="B466" t="str">
        <f t="shared" si="7"/>
        <v>Provincia di Potenza - One Off Works</v>
      </c>
      <c r="C466" t="s">
        <v>826</v>
      </c>
      <c r="D466" s="62" t="s">
        <v>887</v>
      </c>
      <c r="E466" s="50" t="s">
        <v>896</v>
      </c>
      <c r="F466" t="s">
        <v>1630</v>
      </c>
      <c r="G466" t="s">
        <v>1630</v>
      </c>
      <c r="H466" s="53"/>
      <c r="I466" t="s">
        <v>1637</v>
      </c>
      <c r="J466" s="64">
        <v>0</v>
      </c>
    </row>
    <row r="467" spans="2:10" x14ac:dyDescent="0.25">
      <c r="B467" t="str">
        <f t="shared" si="7"/>
        <v>Sales</v>
      </c>
      <c r="C467" t="s">
        <v>826</v>
      </c>
      <c r="D467" s="62" t="s">
        <v>887</v>
      </c>
      <c r="E467" s="63" t="s">
        <v>910</v>
      </c>
      <c r="F467" t="s">
        <v>1630</v>
      </c>
      <c r="G467" t="s">
        <v>1630</v>
      </c>
      <c r="H467" s="53"/>
      <c r="I467" t="s">
        <v>1638</v>
      </c>
      <c r="J467" s="64">
        <v>0</v>
      </c>
    </row>
    <row r="468" spans="2:10" x14ac:dyDescent="0.25">
      <c r="B468" t="str">
        <f t="shared" si="7"/>
        <v>Gare lavori</v>
      </c>
      <c r="C468" t="s">
        <v>826</v>
      </c>
      <c r="D468" s="62" t="s">
        <v>887</v>
      </c>
      <c r="E468" s="63" t="s">
        <v>888</v>
      </c>
      <c r="F468" t="s">
        <v>1630</v>
      </c>
      <c r="G468" t="s">
        <v>1630</v>
      </c>
      <c r="H468" s="53"/>
      <c r="I468" t="s">
        <v>1639</v>
      </c>
      <c r="J468" s="64">
        <v>0</v>
      </c>
    </row>
    <row r="469" spans="2:10" x14ac:dyDescent="0.25">
      <c r="B469" t="str">
        <f t="shared" si="7"/>
        <v>Lavori fotovoltaico</v>
      </c>
      <c r="C469" t="s">
        <v>958</v>
      </c>
      <c r="D469" s="62" t="s">
        <v>887</v>
      </c>
      <c r="E469" s="63" t="s">
        <v>959</v>
      </c>
      <c r="F469" t="s">
        <v>1630</v>
      </c>
      <c r="G469" t="s">
        <v>1630</v>
      </c>
      <c r="H469" s="53"/>
      <c r="I469" t="s">
        <v>1640</v>
      </c>
      <c r="J469" s="64">
        <v>0</v>
      </c>
    </row>
    <row r="470" spans="2:10" x14ac:dyDescent="0.25">
      <c r="B470" t="str">
        <f t="shared" si="7"/>
        <v>VIER SG31</v>
      </c>
      <c r="C470" t="s">
        <v>958</v>
      </c>
      <c r="D470" s="62" t="s">
        <v>887</v>
      </c>
      <c r="E470" s="63" t="s">
        <v>959</v>
      </c>
      <c r="F470" t="s">
        <v>1630</v>
      </c>
      <c r="G470" t="s">
        <v>1630</v>
      </c>
      <c r="H470" s="53"/>
      <c r="I470" t="s">
        <v>1641</v>
      </c>
      <c r="J470" s="64">
        <v>0</v>
      </c>
    </row>
    <row r="471" spans="2:10" x14ac:dyDescent="0.25">
      <c r="B471" t="str">
        <f t="shared" si="7"/>
        <v>VIER smart metering</v>
      </c>
      <c r="C471" t="s">
        <v>958</v>
      </c>
      <c r="D471" s="62" t="s">
        <v>887</v>
      </c>
      <c r="E471" s="63" t="s">
        <v>959</v>
      </c>
      <c r="F471" t="s">
        <v>1630</v>
      </c>
      <c r="G471" t="s">
        <v>1630</v>
      </c>
      <c r="H471" s="53"/>
      <c r="I471" t="s">
        <v>1642</v>
      </c>
      <c r="J471" s="64">
        <v>0</v>
      </c>
    </row>
    <row r="472" spans="2:10" x14ac:dyDescent="0.25">
      <c r="B472" t="str">
        <f t="shared" si="7"/>
        <v>VIER monitoraggioEPC-PHV-L736-04</v>
      </c>
      <c r="C472" t="s">
        <v>958</v>
      </c>
      <c r="D472" s="62" t="s">
        <v>887</v>
      </c>
      <c r="E472" s="50" t="s">
        <v>959</v>
      </c>
      <c r="F472" t="s">
        <v>1630</v>
      </c>
      <c r="G472" t="s">
        <v>1630</v>
      </c>
      <c r="H472" s="57" t="s">
        <v>1643</v>
      </c>
      <c r="I472" t="s">
        <v>1644</v>
      </c>
      <c r="J472" s="64">
        <v>0</v>
      </c>
    </row>
    <row r="473" spans="2:10" x14ac:dyDescent="0.25">
      <c r="B473" t="str">
        <f t="shared" si="7"/>
        <v>Chioggia mobility</v>
      </c>
      <c r="C473" t="s">
        <v>958</v>
      </c>
      <c r="D473" s="62" t="s">
        <v>887</v>
      </c>
      <c r="E473" s="63" t="s">
        <v>959</v>
      </c>
      <c r="F473" t="s">
        <v>1630</v>
      </c>
      <c r="G473" t="s">
        <v>1630</v>
      </c>
      <c r="H473" s="53"/>
      <c r="I473" t="s">
        <v>1645</v>
      </c>
      <c r="J473" s="64">
        <v>0</v>
      </c>
    </row>
    <row r="474" spans="2:10" x14ac:dyDescent="0.25">
      <c r="B474" t="str">
        <f t="shared" si="7"/>
        <v>Chioggia Arena</v>
      </c>
      <c r="C474" t="s">
        <v>958</v>
      </c>
      <c r="D474" s="62" t="s">
        <v>887</v>
      </c>
      <c r="E474" s="63" t="s">
        <v>959</v>
      </c>
      <c r="F474" t="s">
        <v>1630</v>
      </c>
      <c r="G474" t="s">
        <v>1630</v>
      </c>
      <c r="H474" s="53"/>
      <c r="I474" t="s">
        <v>1646</v>
      </c>
      <c r="J474" s="64">
        <v>0</v>
      </c>
    </row>
    <row r="475" spans="2:10" x14ac:dyDescent="0.25">
      <c r="B475" t="str">
        <f t="shared" si="7"/>
        <v>VIER ex AlcoaEPC-PHV-L736-03</v>
      </c>
      <c r="C475" t="s">
        <v>958</v>
      </c>
      <c r="D475" s="62" t="s">
        <v>887</v>
      </c>
      <c r="E475" s="50" t="s">
        <v>959</v>
      </c>
      <c r="F475" t="s">
        <v>1630</v>
      </c>
      <c r="G475" t="s">
        <v>1630</v>
      </c>
      <c r="H475" s="57" t="s">
        <v>1647</v>
      </c>
      <c r="I475" t="s">
        <v>1648</v>
      </c>
      <c r="J475" s="64">
        <v>0</v>
      </c>
    </row>
    <row r="476" spans="2:10" x14ac:dyDescent="0.25">
      <c r="B476" t="str">
        <f t="shared" si="7"/>
        <v>A2AEPC-IPU-H943-01</v>
      </c>
      <c r="C476" t="s">
        <v>826</v>
      </c>
      <c r="D476" s="62" t="s">
        <v>887</v>
      </c>
      <c r="E476" s="50" t="s">
        <v>910</v>
      </c>
      <c r="F476" t="s">
        <v>1630</v>
      </c>
      <c r="G476" t="s">
        <v>1630</v>
      </c>
      <c r="H476" s="57" t="s">
        <v>1649</v>
      </c>
      <c r="I476" t="s">
        <v>1650</v>
      </c>
      <c r="J476" s="64">
        <v>0</v>
      </c>
    </row>
    <row r="477" spans="2:10" x14ac:dyDescent="0.25">
      <c r="B477" t="str">
        <f t="shared" si="7"/>
        <v>Elena fornitura materiali</v>
      </c>
      <c r="C477" t="s">
        <v>826</v>
      </c>
      <c r="D477" s="62" t="s">
        <v>887</v>
      </c>
      <c r="E477" s="63" t="s">
        <v>910</v>
      </c>
      <c r="F477" t="s">
        <v>1651</v>
      </c>
      <c r="G477" t="s">
        <v>1651</v>
      </c>
      <c r="H477" s="53"/>
      <c r="I477" t="s">
        <v>1652</v>
      </c>
      <c r="J477" s="64">
        <v>0</v>
      </c>
    </row>
    <row r="478" spans="2:10" x14ac:dyDescent="0.25">
      <c r="B478" t="str">
        <f t="shared" si="7"/>
        <v>GiuggianelloEPC-IPU-E053-02</v>
      </c>
      <c r="C478" t="s">
        <v>826</v>
      </c>
      <c r="D478" s="62" t="s">
        <v>887</v>
      </c>
      <c r="E478" s="50" t="s">
        <v>910</v>
      </c>
      <c r="F478" t="s">
        <v>1533</v>
      </c>
      <c r="G478" t="s">
        <v>1533</v>
      </c>
      <c r="H478" s="57" t="s">
        <v>1653</v>
      </c>
      <c r="I478" t="s">
        <v>1393</v>
      </c>
      <c r="J478" s="64">
        <v>0</v>
      </c>
    </row>
    <row r="479" spans="2:10" x14ac:dyDescent="0.25">
      <c r="B479" t="str">
        <f t="shared" si="7"/>
        <v>Campi Salentina (Pj Elena)</v>
      </c>
      <c r="C479" t="s">
        <v>826</v>
      </c>
      <c r="D479" s="62" t="s">
        <v>887</v>
      </c>
      <c r="E479" s="63" t="s">
        <v>910</v>
      </c>
      <c r="F479" t="s">
        <v>965</v>
      </c>
      <c r="G479" t="s">
        <v>965</v>
      </c>
      <c r="H479" s="53"/>
      <c r="I479" t="s">
        <v>1654</v>
      </c>
      <c r="J479" s="64">
        <v>0</v>
      </c>
    </row>
    <row r="480" spans="2:10" x14ac:dyDescent="0.25">
      <c r="B480" t="str">
        <f t="shared" si="7"/>
        <v>Cellino San Marco (Pj Elena) HM</v>
      </c>
      <c r="C480" t="s">
        <v>826</v>
      </c>
      <c r="D480" s="62" t="s">
        <v>887</v>
      </c>
      <c r="E480" s="63" t="s">
        <v>910</v>
      </c>
      <c r="F480" t="s">
        <v>965</v>
      </c>
      <c r="G480" t="s">
        <v>965</v>
      </c>
      <c r="H480" s="53"/>
      <c r="I480" t="s">
        <v>1655</v>
      </c>
      <c r="J480" s="64">
        <v>0</v>
      </c>
    </row>
    <row r="481" spans="2:10" x14ac:dyDescent="0.25">
      <c r="B481" t="str">
        <f t="shared" si="7"/>
        <v>Copertino (Pj Elena)</v>
      </c>
      <c r="C481" t="s">
        <v>826</v>
      </c>
      <c r="D481" s="62" t="s">
        <v>887</v>
      </c>
      <c r="E481" s="63" t="s">
        <v>910</v>
      </c>
      <c r="F481" t="s">
        <v>965</v>
      </c>
      <c r="G481" t="s">
        <v>965</v>
      </c>
      <c r="H481" s="53"/>
      <c r="I481" t="s">
        <v>1656</v>
      </c>
      <c r="J481" s="64">
        <v>0</v>
      </c>
    </row>
    <row r="482" spans="2:10" x14ac:dyDescent="0.25">
      <c r="B482" t="str">
        <f t="shared" si="7"/>
        <v>Galatone (Pj Elena)</v>
      </c>
      <c r="C482" t="s">
        <v>826</v>
      </c>
      <c r="D482" s="62" t="s">
        <v>887</v>
      </c>
      <c r="E482" s="63" t="s">
        <v>910</v>
      </c>
      <c r="F482" t="s">
        <v>965</v>
      </c>
      <c r="G482" t="s">
        <v>965</v>
      </c>
      <c r="H482" s="53"/>
      <c r="I482" t="s">
        <v>1657</v>
      </c>
      <c r="J482" s="64">
        <v>0</v>
      </c>
    </row>
    <row r="483" spans="2:10" x14ac:dyDescent="0.25">
      <c r="B483" t="str">
        <f t="shared" si="7"/>
        <v>Gallipoli (Pj Elena) HM</v>
      </c>
      <c r="C483" t="s">
        <v>826</v>
      </c>
      <c r="D483" s="62" t="s">
        <v>887</v>
      </c>
      <c r="E483" s="63" t="s">
        <v>910</v>
      </c>
      <c r="F483" t="s">
        <v>965</v>
      </c>
      <c r="G483" t="s">
        <v>965</v>
      </c>
      <c r="H483" s="53"/>
      <c r="I483" t="s">
        <v>1658</v>
      </c>
      <c r="J483" s="64">
        <v>0</v>
      </c>
    </row>
    <row r="484" spans="2:10" x14ac:dyDescent="0.25">
      <c r="B484" t="str">
        <f t="shared" si="7"/>
        <v>Guagnano (Pj Elena)</v>
      </c>
      <c r="C484" t="s">
        <v>826</v>
      </c>
      <c r="D484" s="62" t="s">
        <v>887</v>
      </c>
      <c r="E484" s="63" t="s">
        <v>910</v>
      </c>
      <c r="F484" t="s">
        <v>965</v>
      </c>
      <c r="G484" t="s">
        <v>965</v>
      </c>
      <c r="H484" s="53"/>
      <c r="I484" t="s">
        <v>1659</v>
      </c>
      <c r="J484" s="64">
        <v>0</v>
      </c>
    </row>
    <row r="485" spans="2:10" x14ac:dyDescent="0.25">
      <c r="B485" t="str">
        <f t="shared" si="7"/>
        <v>Leverano (Pj Elena)</v>
      </c>
      <c r="C485" t="s">
        <v>826</v>
      </c>
      <c r="D485" s="62" t="s">
        <v>887</v>
      </c>
      <c r="E485" s="63" t="s">
        <v>910</v>
      </c>
      <c r="F485" t="s">
        <v>965</v>
      </c>
      <c r="G485" t="s">
        <v>965</v>
      </c>
      <c r="H485" s="53"/>
      <c r="I485" t="s">
        <v>1660</v>
      </c>
      <c r="J485" s="64">
        <v>0</v>
      </c>
    </row>
    <row r="486" spans="2:10" x14ac:dyDescent="0.25">
      <c r="B486" t="str">
        <f t="shared" si="7"/>
        <v>Lizzanello (Pj Elena)</v>
      </c>
      <c r="C486" t="s">
        <v>826</v>
      </c>
      <c r="D486" s="62" t="s">
        <v>887</v>
      </c>
      <c r="E486" s="63" t="s">
        <v>910</v>
      </c>
      <c r="F486" t="s">
        <v>965</v>
      </c>
      <c r="G486" t="s">
        <v>965</v>
      </c>
      <c r="H486" s="53"/>
      <c r="I486" t="s">
        <v>1661</v>
      </c>
      <c r="J486" s="64">
        <v>0</v>
      </c>
    </row>
    <row r="487" spans="2:10" x14ac:dyDescent="0.25">
      <c r="B487" t="str">
        <f t="shared" si="7"/>
        <v>Manduria (Pj Elena) HM</v>
      </c>
      <c r="C487" t="s">
        <v>826</v>
      </c>
      <c r="D487" s="62" t="s">
        <v>887</v>
      </c>
      <c r="E487" s="63" t="s">
        <v>910</v>
      </c>
      <c r="F487" t="s">
        <v>965</v>
      </c>
      <c r="G487" t="s">
        <v>965</v>
      </c>
      <c r="H487" s="53"/>
      <c r="I487" t="s">
        <v>1662</v>
      </c>
      <c r="J487" s="64">
        <v>0</v>
      </c>
    </row>
    <row r="488" spans="2:10" x14ac:dyDescent="0.25">
      <c r="B488" t="str">
        <f t="shared" si="7"/>
        <v>Maruggio (Pj Elena)</v>
      </c>
      <c r="C488" t="s">
        <v>826</v>
      </c>
      <c r="D488" s="62" t="s">
        <v>887</v>
      </c>
      <c r="E488" s="63" t="s">
        <v>910</v>
      </c>
      <c r="F488" t="s">
        <v>965</v>
      </c>
      <c r="G488" t="s">
        <v>965</v>
      </c>
      <c r="H488" s="53"/>
      <c r="I488" t="s">
        <v>1663</v>
      </c>
      <c r="J488" s="64">
        <v>0</v>
      </c>
    </row>
    <row r="489" spans="2:10" x14ac:dyDescent="0.25">
      <c r="B489" t="str">
        <f t="shared" si="7"/>
        <v>Saleci Salentino (Pj Elena)</v>
      </c>
      <c r="C489" t="s">
        <v>826</v>
      </c>
      <c r="D489" s="62" t="s">
        <v>887</v>
      </c>
      <c r="E489" s="63" t="s">
        <v>910</v>
      </c>
      <c r="F489" t="s">
        <v>965</v>
      </c>
      <c r="G489" t="s">
        <v>965</v>
      </c>
      <c r="H489" s="53"/>
      <c r="I489" t="s">
        <v>1664</v>
      </c>
      <c r="J489" s="64">
        <v>0</v>
      </c>
    </row>
    <row r="490" spans="2:10" x14ac:dyDescent="0.25">
      <c r="B490" t="str">
        <f t="shared" si="7"/>
        <v>San Donaci (Pj Elena)</v>
      </c>
      <c r="C490" t="s">
        <v>826</v>
      </c>
      <c r="D490" s="62" t="s">
        <v>887</v>
      </c>
      <c r="E490" s="63" t="s">
        <v>910</v>
      </c>
      <c r="F490" t="s">
        <v>965</v>
      </c>
      <c r="G490" t="s">
        <v>965</v>
      </c>
      <c r="H490" s="53"/>
      <c r="I490" t="s">
        <v>1665</v>
      </c>
      <c r="J490" s="64">
        <v>0</v>
      </c>
    </row>
    <row r="491" spans="2:10" x14ac:dyDescent="0.25">
      <c r="B491" t="str">
        <f t="shared" si="7"/>
        <v>Squinzano (Pj Elena)</v>
      </c>
      <c r="C491" t="s">
        <v>826</v>
      </c>
      <c r="D491" s="62" t="s">
        <v>887</v>
      </c>
      <c r="E491" s="63" t="s">
        <v>910</v>
      </c>
      <c r="F491" t="s">
        <v>965</v>
      </c>
      <c r="G491" t="s">
        <v>965</v>
      </c>
      <c r="H491" s="53"/>
      <c r="I491" t="s">
        <v>1666</v>
      </c>
      <c r="J491" s="64">
        <v>0</v>
      </c>
    </row>
    <row r="492" spans="2:10" x14ac:dyDescent="0.25">
      <c r="B492" t="str">
        <f t="shared" si="7"/>
        <v>Surbo (Pj Elena)</v>
      </c>
      <c r="C492" t="s">
        <v>826</v>
      </c>
      <c r="D492" s="62" t="s">
        <v>887</v>
      </c>
      <c r="E492" s="63" t="s">
        <v>910</v>
      </c>
      <c r="F492" t="s">
        <v>965</v>
      </c>
      <c r="G492" t="s">
        <v>965</v>
      </c>
      <c r="H492" s="53"/>
      <c r="I492" t="s">
        <v>1667</v>
      </c>
      <c r="J492" s="64">
        <v>0</v>
      </c>
    </row>
    <row r="493" spans="2:10" x14ac:dyDescent="0.25">
      <c r="B493" t="str">
        <f t="shared" si="7"/>
        <v>Trepuzzi (Pj Elena)</v>
      </c>
      <c r="C493" t="s">
        <v>826</v>
      </c>
      <c r="D493" s="62" t="s">
        <v>887</v>
      </c>
      <c r="E493" s="63" t="s">
        <v>910</v>
      </c>
      <c r="F493" t="s">
        <v>965</v>
      </c>
      <c r="G493" t="s">
        <v>965</v>
      </c>
      <c r="H493" s="53"/>
      <c r="I493" t="s">
        <v>1668</v>
      </c>
      <c r="J493" s="64">
        <v>0</v>
      </c>
    </row>
    <row r="494" spans="2:10" x14ac:dyDescent="0.25">
      <c r="B494" t="str">
        <f t="shared" si="7"/>
        <v>Veglie (Pj Elena)</v>
      </c>
      <c r="C494" t="s">
        <v>826</v>
      </c>
      <c r="D494" s="62" t="s">
        <v>887</v>
      </c>
      <c r="E494" s="63" t="s">
        <v>910</v>
      </c>
      <c r="F494" t="s">
        <v>965</v>
      </c>
      <c r="G494" t="s">
        <v>965</v>
      </c>
      <c r="H494" s="53"/>
      <c r="I494" t="s">
        <v>1669</v>
      </c>
      <c r="J494" s="64">
        <v>0</v>
      </c>
    </row>
    <row r="495" spans="2:10" x14ac:dyDescent="0.25">
      <c r="B495" t="str">
        <f t="shared" si="7"/>
        <v>Altri capex 1</v>
      </c>
      <c r="C495" t="s">
        <v>826</v>
      </c>
      <c r="D495" s="62" t="s">
        <v>887</v>
      </c>
      <c r="E495" s="63" t="s">
        <v>910</v>
      </c>
      <c r="F495" t="s">
        <v>1670</v>
      </c>
      <c r="G495" t="s">
        <v>1670</v>
      </c>
      <c r="H495" s="53"/>
      <c r="I495" t="s">
        <v>1671</v>
      </c>
      <c r="J495" s="64">
        <v>0</v>
      </c>
    </row>
    <row r="496" spans="2:10" x14ac:dyDescent="0.25">
      <c r="B496" t="str">
        <f t="shared" si="7"/>
        <v>Altri capex 2</v>
      </c>
      <c r="C496" t="s">
        <v>826</v>
      </c>
      <c r="D496" s="62" t="s">
        <v>887</v>
      </c>
      <c r="E496" s="63" t="s">
        <v>896</v>
      </c>
      <c r="F496" t="s">
        <v>1670</v>
      </c>
      <c r="G496" t="s">
        <v>1670</v>
      </c>
      <c r="H496" s="53"/>
      <c r="I496" t="s">
        <v>1672</v>
      </c>
      <c r="J496" s="64">
        <v>0</v>
      </c>
    </row>
    <row r="497" spans="2:10" x14ac:dyDescent="0.25">
      <c r="B497" t="str">
        <f t="shared" si="7"/>
        <v>Altri capex 3</v>
      </c>
      <c r="C497" t="s">
        <v>826</v>
      </c>
      <c r="D497" s="62" t="s">
        <v>887</v>
      </c>
      <c r="E497" s="63" t="s">
        <v>888</v>
      </c>
      <c r="F497" t="s">
        <v>1670</v>
      </c>
      <c r="G497" t="s">
        <v>1670</v>
      </c>
      <c r="H497" s="53"/>
      <c r="I497" t="s">
        <v>1673</v>
      </c>
      <c r="J497" s="64">
        <v>0</v>
      </c>
    </row>
    <row r="498" spans="2:10" x14ac:dyDescent="0.25">
      <c r="B498" t="str">
        <f t="shared" si="7"/>
        <v>Altri capex 4</v>
      </c>
      <c r="C498" t="s">
        <v>826</v>
      </c>
      <c r="D498" s="62" t="s">
        <v>887</v>
      </c>
      <c r="E498" s="63" t="s">
        <v>959</v>
      </c>
      <c r="F498" t="s">
        <v>1670</v>
      </c>
      <c r="G498" t="s">
        <v>1670</v>
      </c>
      <c r="H498" s="53"/>
      <c r="I498" t="s">
        <v>1674</v>
      </c>
      <c r="J498" s="64">
        <v>0</v>
      </c>
    </row>
    <row r="499" spans="2:10" x14ac:dyDescent="0.25">
      <c r="B499" t="str">
        <f t="shared" si="7"/>
        <v>Elena Incentives</v>
      </c>
      <c r="C499" t="s">
        <v>826</v>
      </c>
      <c r="D499" s="62" t="s">
        <v>887</v>
      </c>
      <c r="E499" s="63" t="s">
        <v>910</v>
      </c>
      <c r="F499" t="s">
        <v>965</v>
      </c>
      <c r="G499" t="s">
        <v>965</v>
      </c>
      <c r="H499" s="53"/>
      <c r="I499" t="s">
        <v>1675</v>
      </c>
      <c r="J499" s="64">
        <v>0</v>
      </c>
    </row>
    <row r="500" spans="2:10" x14ac:dyDescent="0.25">
      <c r="B500" t="str">
        <f t="shared" si="7"/>
        <v>PV incentives South</v>
      </c>
      <c r="C500" t="s">
        <v>826</v>
      </c>
      <c r="D500" s="62" t="s">
        <v>887</v>
      </c>
      <c r="E500" s="63" t="s">
        <v>910</v>
      </c>
      <c r="F500" t="s">
        <v>897</v>
      </c>
      <c r="G500" t="s">
        <v>897</v>
      </c>
      <c r="H500" s="53"/>
      <c r="I500" t="s">
        <v>1676</v>
      </c>
      <c r="J500" s="64">
        <v>0</v>
      </c>
    </row>
    <row r="501" spans="2:10" x14ac:dyDescent="0.25">
      <c r="B501" t="str">
        <f t="shared" si="7"/>
        <v>PV incentives Centre</v>
      </c>
      <c r="C501" t="s">
        <v>826</v>
      </c>
      <c r="D501" s="62" t="s">
        <v>887</v>
      </c>
      <c r="E501" s="63" t="s">
        <v>896</v>
      </c>
      <c r="F501" t="s">
        <v>897</v>
      </c>
      <c r="G501" t="s">
        <v>897</v>
      </c>
      <c r="H501" s="53"/>
      <c r="I501" t="s">
        <v>1677</v>
      </c>
      <c r="J501" s="64">
        <v>0</v>
      </c>
    </row>
    <row r="502" spans="2:10" x14ac:dyDescent="0.25">
      <c r="B502" t="str">
        <f t="shared" si="7"/>
        <v>Provvigioni a intermediari</v>
      </c>
      <c r="C502" t="s">
        <v>826</v>
      </c>
      <c r="D502" s="62" t="s">
        <v>887</v>
      </c>
      <c r="E502" s="63" t="s">
        <v>959</v>
      </c>
      <c r="F502" t="s">
        <v>1670</v>
      </c>
      <c r="G502" t="s">
        <v>1670</v>
      </c>
      <c r="H502" s="53"/>
      <c r="I502" t="s">
        <v>1678</v>
      </c>
      <c r="J502" s="64">
        <v>0</v>
      </c>
    </row>
    <row r="503" spans="2:10" x14ac:dyDescent="0.25">
      <c r="B503" t="str">
        <f t="shared" si="7"/>
        <v>Progetto PBCS</v>
      </c>
      <c r="C503" t="s">
        <v>826</v>
      </c>
      <c r="D503" s="62" t="s">
        <v>887</v>
      </c>
      <c r="E503" s="63" t="s">
        <v>959</v>
      </c>
      <c r="F503" t="s">
        <v>1670</v>
      </c>
      <c r="G503" t="s">
        <v>1670</v>
      </c>
      <c r="H503" s="53"/>
      <c r="I503" t="s">
        <v>1679</v>
      </c>
      <c r="J503" s="64">
        <v>0</v>
      </c>
    </row>
    <row r="504" spans="2:10" x14ac:dyDescent="0.25">
      <c r="B504" t="str">
        <f t="shared" si="7"/>
        <v>ScaleaPPP-IPU-I489-01</v>
      </c>
      <c r="C504" t="s">
        <v>826</v>
      </c>
      <c r="D504" s="62" t="s">
        <v>887</v>
      </c>
      <c r="E504" s="50" t="s">
        <v>910</v>
      </c>
      <c r="F504" t="s">
        <v>889</v>
      </c>
      <c r="G504" t="s">
        <v>890</v>
      </c>
      <c r="H504" s="57" t="s">
        <v>1680</v>
      </c>
      <c r="I504" t="s">
        <v>1681</v>
      </c>
      <c r="J504" s="64">
        <v>0</v>
      </c>
    </row>
    <row r="505" spans="2:10" x14ac:dyDescent="0.25">
      <c r="B505" t="str">
        <f t="shared" si="7"/>
        <v>San Salvatore TelesinoPPP-IPU-I145-01</v>
      </c>
      <c r="C505" t="s">
        <v>826</v>
      </c>
      <c r="D505" s="62" t="s">
        <v>887</v>
      </c>
      <c r="E505" s="50" t="s">
        <v>910</v>
      </c>
      <c r="F505" t="s">
        <v>889</v>
      </c>
      <c r="G505" t="s">
        <v>890</v>
      </c>
      <c r="H505" s="57" t="s">
        <v>1682</v>
      </c>
      <c r="I505" t="s">
        <v>1683</v>
      </c>
      <c r="J505" s="64">
        <v>34.590710000000001</v>
      </c>
    </row>
    <row r="506" spans="2:10" x14ac:dyDescent="0.25">
      <c r="B506" t="str">
        <f t="shared" si="7"/>
        <v>PresiccePPP-IPU-M428-02</v>
      </c>
      <c r="C506" t="s">
        <v>826</v>
      </c>
      <c r="D506" s="62" t="s">
        <v>887</v>
      </c>
      <c r="E506" s="50" t="s">
        <v>910</v>
      </c>
      <c r="F506" t="s">
        <v>889</v>
      </c>
      <c r="G506" t="s">
        <v>890</v>
      </c>
      <c r="H506" s="57" t="s">
        <v>1684</v>
      </c>
      <c r="I506" t="s">
        <v>1685</v>
      </c>
      <c r="J506" s="64">
        <v>104.50188</v>
      </c>
    </row>
    <row r="507" spans="2:10" x14ac:dyDescent="0.25">
      <c r="B507" t="str">
        <f t="shared" si="7"/>
        <v>NovaraCL3-IPU-F952-02</v>
      </c>
      <c r="C507" t="s">
        <v>958</v>
      </c>
      <c r="D507" s="62" t="s">
        <v>887</v>
      </c>
      <c r="E507" s="50" t="s">
        <v>888</v>
      </c>
      <c r="F507" t="s">
        <v>889</v>
      </c>
      <c r="G507" t="s">
        <v>1016</v>
      </c>
      <c r="H507" s="57" t="s">
        <v>1686</v>
      </c>
      <c r="I507" t="s">
        <v>1687</v>
      </c>
      <c r="J507" s="64">
        <v>0</v>
      </c>
    </row>
    <row r="508" spans="2:10" x14ac:dyDescent="0.25">
      <c r="B508" t="str">
        <f t="shared" si="7"/>
        <v>ChiuppanoPPP-IPU-C650-01</v>
      </c>
      <c r="C508" t="s">
        <v>826</v>
      </c>
      <c r="D508" s="62" t="s">
        <v>1493</v>
      </c>
      <c r="E508" s="50" t="s">
        <v>959</v>
      </c>
      <c r="F508" t="s">
        <v>889</v>
      </c>
      <c r="G508" t="s">
        <v>890</v>
      </c>
      <c r="H508" s="57" t="s">
        <v>1688</v>
      </c>
      <c r="I508" t="s">
        <v>1689</v>
      </c>
      <c r="J508" s="64">
        <v>-10.18604</v>
      </c>
    </row>
    <row r="509" spans="2:10" x14ac:dyDescent="0.25">
      <c r="B509" t="str">
        <f t="shared" si="7"/>
        <v>DelicetoPPP-IPU-D269-01</v>
      </c>
      <c r="C509" t="s">
        <v>826</v>
      </c>
      <c r="D509" s="62" t="s">
        <v>887</v>
      </c>
      <c r="E509" s="50" t="s">
        <v>910</v>
      </c>
      <c r="F509" t="s">
        <v>889</v>
      </c>
      <c r="G509" t="s">
        <v>890</v>
      </c>
      <c r="H509" s="57" t="s">
        <v>1690</v>
      </c>
      <c r="I509" t="s">
        <v>1691</v>
      </c>
      <c r="J509" s="64">
        <v>30.52561</v>
      </c>
    </row>
    <row r="510" spans="2:10" x14ac:dyDescent="0.25">
      <c r="B510" t="str">
        <f t="shared" si="7"/>
        <v>Piovene RocchettePPP-IPU-G694-01</v>
      </c>
      <c r="C510" t="s">
        <v>826</v>
      </c>
      <c r="D510" s="62" t="s">
        <v>1493</v>
      </c>
      <c r="E510" s="50" t="s">
        <v>959</v>
      </c>
      <c r="F510" t="s">
        <v>889</v>
      </c>
      <c r="G510" t="s">
        <v>890</v>
      </c>
      <c r="H510" s="57" t="s">
        <v>1692</v>
      </c>
      <c r="I510" t="s">
        <v>1693</v>
      </c>
      <c r="J510" s="64">
        <v>5.93154</v>
      </c>
    </row>
    <row r="511" spans="2:10" x14ac:dyDescent="0.25">
      <c r="B511" t="str">
        <f t="shared" si="7"/>
        <v>Campi SalentinaPPP-EEE-B506-04</v>
      </c>
      <c r="C511" t="s">
        <v>826</v>
      </c>
      <c r="D511" s="62" t="s">
        <v>887</v>
      </c>
      <c r="E511" s="50" t="s">
        <v>910</v>
      </c>
      <c r="F511" t="s">
        <v>965</v>
      </c>
      <c r="G511" t="s">
        <v>965</v>
      </c>
      <c r="H511" s="57" t="s">
        <v>1694</v>
      </c>
      <c r="I511" t="s">
        <v>1363</v>
      </c>
      <c r="J511" s="64">
        <v>0</v>
      </c>
    </row>
    <row r="512" spans="2:10" x14ac:dyDescent="0.25">
      <c r="B512" t="str">
        <f t="shared" si="7"/>
        <v>PetrianoCL3-IPU-G514-01</v>
      </c>
      <c r="C512" t="s">
        <v>958</v>
      </c>
      <c r="D512" s="62" t="s">
        <v>887</v>
      </c>
      <c r="E512" s="50" t="s">
        <v>896</v>
      </c>
      <c r="F512" t="s">
        <v>889</v>
      </c>
      <c r="G512" t="s">
        <v>1016</v>
      </c>
      <c r="H512" s="57" t="s">
        <v>1695</v>
      </c>
      <c r="I512" t="s">
        <v>1696</v>
      </c>
      <c r="J512" s="64">
        <v>12.375</v>
      </c>
    </row>
    <row r="513" spans="2:10" x14ac:dyDescent="0.25">
      <c r="B513" t="str">
        <f t="shared" si="7"/>
        <v>ColobraroPPP-IPU-C888-01</v>
      </c>
      <c r="C513" t="s">
        <v>826</v>
      </c>
      <c r="D513" s="62" t="s">
        <v>887</v>
      </c>
      <c r="E513" s="50" t="s">
        <v>910</v>
      </c>
      <c r="F513" t="s">
        <v>889</v>
      </c>
      <c r="G513" t="s">
        <v>890</v>
      </c>
      <c r="H513" s="57" t="s">
        <v>1697</v>
      </c>
      <c r="I513" t="s">
        <v>1698</v>
      </c>
      <c r="J513" s="64">
        <v>39.927260000000004</v>
      </c>
    </row>
    <row r="514" spans="2:10" x14ac:dyDescent="0.25">
      <c r="B514" t="str">
        <f t="shared" si="7"/>
        <v>Castel BaroniaPPP-IPU-C058-01</v>
      </c>
      <c r="C514" t="s">
        <v>826</v>
      </c>
      <c r="D514" s="62" t="s">
        <v>887</v>
      </c>
      <c r="E514" s="50" t="s">
        <v>910</v>
      </c>
      <c r="F514" t="s">
        <v>889</v>
      </c>
      <c r="G514" t="s">
        <v>890</v>
      </c>
      <c r="H514" s="57" t="s">
        <v>1699</v>
      </c>
      <c r="I514" t="s">
        <v>1700</v>
      </c>
      <c r="J514" s="64">
        <v>11.495229999999999</v>
      </c>
    </row>
    <row r="515" spans="2:10" x14ac:dyDescent="0.25">
      <c r="B515" t="str">
        <f t="shared" si="7"/>
        <v>Chioggia videosorveglianzaPPP-VS-C638-01</v>
      </c>
      <c r="C515" t="s">
        <v>958</v>
      </c>
      <c r="D515" s="62" t="s">
        <v>887</v>
      </c>
      <c r="E515" s="50" t="s">
        <v>959</v>
      </c>
      <c r="F515" t="s">
        <v>1701</v>
      </c>
      <c r="G515" t="s">
        <v>890</v>
      </c>
      <c r="H515" s="57" t="s">
        <v>1702</v>
      </c>
      <c r="I515" t="s">
        <v>1703</v>
      </c>
      <c r="J515" s="64">
        <v>0</v>
      </c>
    </row>
    <row r="516" spans="2:10" x14ac:dyDescent="0.25">
      <c r="B516" t="str">
        <f t="shared" ref="B516:B579" si="8">+I516&amp;H516</f>
        <v>AlbanesiPPP-IPU-G543-01</v>
      </c>
      <c r="C516" t="s">
        <v>826</v>
      </c>
      <c r="D516" s="62" t="s">
        <v>887</v>
      </c>
      <c r="E516" s="50" t="s">
        <v>910</v>
      </c>
      <c r="F516" t="s">
        <v>889</v>
      </c>
      <c r="G516" t="s">
        <v>890</v>
      </c>
      <c r="H516" s="57" t="s">
        <v>1704</v>
      </c>
      <c r="I516" t="s">
        <v>1705</v>
      </c>
      <c r="J516" s="64">
        <v>0</v>
      </c>
    </row>
    <row r="517" spans="2:10" x14ac:dyDescent="0.25">
      <c r="B517" t="str">
        <f t="shared" si="8"/>
        <v>ChioggiaPPP-EEE-C638-03</v>
      </c>
      <c r="C517" t="s">
        <v>958</v>
      </c>
      <c r="D517" s="62" t="s">
        <v>887</v>
      </c>
      <c r="E517" s="50" t="s">
        <v>959</v>
      </c>
      <c r="F517" t="s">
        <v>965</v>
      </c>
      <c r="G517" t="s">
        <v>965</v>
      </c>
      <c r="H517" s="57" t="s">
        <v>1706</v>
      </c>
      <c r="I517" t="s">
        <v>1258</v>
      </c>
      <c r="J517" s="64">
        <v>0</v>
      </c>
    </row>
    <row r="518" spans="2:10" x14ac:dyDescent="0.25">
      <c r="B518" t="str">
        <f t="shared" si="8"/>
        <v>PetrianoPPP-IPU-G514-01</v>
      </c>
      <c r="C518" t="s">
        <v>958</v>
      </c>
      <c r="D518" s="62" t="s">
        <v>887</v>
      </c>
      <c r="E518" s="50" t="s">
        <v>896</v>
      </c>
      <c r="F518" t="s">
        <v>889</v>
      </c>
      <c r="G518" t="s">
        <v>890</v>
      </c>
      <c r="H518" s="57" t="s">
        <v>1707</v>
      </c>
      <c r="I518" t="s">
        <v>1696</v>
      </c>
      <c r="J518" s="64">
        <v>12.375</v>
      </c>
    </row>
    <row r="519" spans="2:10" x14ac:dyDescent="0.25">
      <c r="B519" t="str">
        <f t="shared" si="8"/>
        <v>AstiPPP-IPU-A479-01</v>
      </c>
      <c r="C519" t="s">
        <v>826</v>
      </c>
      <c r="D519" s="62" t="s">
        <v>887</v>
      </c>
      <c r="E519" s="50" t="s">
        <v>888</v>
      </c>
      <c r="F519" t="s">
        <v>889</v>
      </c>
      <c r="G519" t="s">
        <v>890</v>
      </c>
      <c r="H519" s="57" t="s">
        <v>1708</v>
      </c>
      <c r="I519" t="s">
        <v>1709</v>
      </c>
      <c r="J519" s="64">
        <v>0</v>
      </c>
    </row>
    <row r="520" spans="2:10" x14ac:dyDescent="0.25">
      <c r="B520" t="str">
        <f t="shared" si="8"/>
        <v>TolentinoAQ1-IPU-L191-02</v>
      </c>
      <c r="C520" t="s">
        <v>958</v>
      </c>
      <c r="D520" s="62" t="s">
        <v>887</v>
      </c>
      <c r="E520" s="50" t="s">
        <v>896</v>
      </c>
      <c r="F520" t="s">
        <v>889</v>
      </c>
      <c r="G520" t="s">
        <v>961</v>
      </c>
      <c r="H520" s="57" t="s">
        <v>1710</v>
      </c>
      <c r="I520" t="s">
        <v>1133</v>
      </c>
      <c r="J520" s="64">
        <v>0</v>
      </c>
    </row>
    <row r="521" spans="2:10" x14ac:dyDescent="0.25">
      <c r="B521" t="str">
        <f t="shared" si="8"/>
        <v>PellezzanoEPC-IPU-G426-02</v>
      </c>
      <c r="C521" t="s">
        <v>826</v>
      </c>
      <c r="D521" s="62" t="s">
        <v>887</v>
      </c>
      <c r="E521" s="50" t="s">
        <v>910</v>
      </c>
      <c r="F521" t="s">
        <v>1533</v>
      </c>
      <c r="G521" t="s">
        <v>1533</v>
      </c>
      <c r="H521" s="57" t="s">
        <v>1711</v>
      </c>
      <c r="I521" t="s">
        <v>1712</v>
      </c>
      <c r="J521" s="64">
        <v>0</v>
      </c>
    </row>
    <row r="522" spans="2:10" x14ac:dyDescent="0.25">
      <c r="B522" t="str">
        <f t="shared" si="8"/>
        <v>FermoEPC-IPU-D542-01</v>
      </c>
      <c r="C522" t="s">
        <v>958</v>
      </c>
      <c r="D522" s="62" t="s">
        <v>887</v>
      </c>
      <c r="E522" s="50" t="s">
        <v>896</v>
      </c>
      <c r="F522" t="s">
        <v>1533</v>
      </c>
      <c r="G522" t="s">
        <v>1533</v>
      </c>
      <c r="H522" s="57" t="s">
        <v>1713</v>
      </c>
      <c r="I522" t="s">
        <v>1714</v>
      </c>
      <c r="J522" s="64">
        <v>0</v>
      </c>
    </row>
    <row r="523" spans="2:10" x14ac:dyDescent="0.25">
      <c r="B523" t="str">
        <f t="shared" si="8"/>
        <v>BressoEPC-IPU-B162-03</v>
      </c>
      <c r="C523" t="s">
        <v>958</v>
      </c>
      <c r="D523" s="62" t="s">
        <v>887</v>
      </c>
      <c r="E523" s="50" t="s">
        <v>888</v>
      </c>
      <c r="F523" t="s">
        <v>1533</v>
      </c>
      <c r="G523" t="s">
        <v>1533</v>
      </c>
      <c r="H523" s="57" t="s">
        <v>1715</v>
      </c>
      <c r="I523" t="s">
        <v>1716</v>
      </c>
      <c r="J523" s="64">
        <v>4.5116800000000001</v>
      </c>
    </row>
    <row r="524" spans="2:10" x14ac:dyDescent="0.25">
      <c r="B524" t="str">
        <f t="shared" si="8"/>
        <v>PietragallaEPC-IPU-G616-01</v>
      </c>
      <c r="C524" t="s">
        <v>826</v>
      </c>
      <c r="D524" s="62" t="s">
        <v>887</v>
      </c>
      <c r="E524" s="50" t="s">
        <v>910</v>
      </c>
      <c r="F524" t="s">
        <v>1533</v>
      </c>
      <c r="G524" t="s">
        <v>1533</v>
      </c>
      <c r="H524" s="57" t="s">
        <v>1717</v>
      </c>
      <c r="I524" t="s">
        <v>1296</v>
      </c>
      <c r="J524" s="64">
        <v>0.95189000000000001</v>
      </c>
    </row>
    <row r="525" spans="2:10" x14ac:dyDescent="0.25">
      <c r="B525" t="str">
        <f t="shared" si="8"/>
        <v>LanuvioEPC-IPU-C767-02</v>
      </c>
      <c r="C525" t="s">
        <v>826</v>
      </c>
      <c r="D525" s="62" t="s">
        <v>887</v>
      </c>
      <c r="E525" s="50" t="s">
        <v>896</v>
      </c>
      <c r="F525" t="s">
        <v>1533</v>
      </c>
      <c r="G525" t="s">
        <v>1533</v>
      </c>
      <c r="H525" s="57" t="s">
        <v>1718</v>
      </c>
      <c r="I525" t="s">
        <v>1178</v>
      </c>
      <c r="J525" s="64">
        <v>0</v>
      </c>
    </row>
    <row r="526" spans="2:10" x14ac:dyDescent="0.25">
      <c r="B526" t="str">
        <f t="shared" si="8"/>
        <v>Santa Maria del CedroEPC-IPU-C717-02</v>
      </c>
      <c r="C526" t="s">
        <v>826</v>
      </c>
      <c r="D526" s="62" t="s">
        <v>887</v>
      </c>
      <c r="E526" s="50" t="s">
        <v>910</v>
      </c>
      <c r="F526" t="s">
        <v>1533</v>
      </c>
      <c r="G526" t="s">
        <v>1533</v>
      </c>
      <c r="H526" s="57" t="s">
        <v>1719</v>
      </c>
      <c r="I526" t="s">
        <v>1373</v>
      </c>
      <c r="J526" s="64">
        <v>20.24071</v>
      </c>
    </row>
    <row r="527" spans="2:10" x14ac:dyDescent="0.25">
      <c r="B527" t="str">
        <f t="shared" si="8"/>
        <v>SettalaEPC-IPU-I696-01</v>
      </c>
      <c r="C527" t="s">
        <v>958</v>
      </c>
      <c r="D527" s="62" t="s">
        <v>887</v>
      </c>
      <c r="E527" s="50" t="s">
        <v>888</v>
      </c>
      <c r="F527" t="s">
        <v>1533</v>
      </c>
      <c r="G527" t="s">
        <v>1533</v>
      </c>
      <c r="H527" s="57" t="s">
        <v>1720</v>
      </c>
      <c r="I527" t="s">
        <v>1056</v>
      </c>
      <c r="J527" s="64">
        <v>0</v>
      </c>
    </row>
    <row r="528" spans="2:10" x14ac:dyDescent="0.25">
      <c r="B528" t="str">
        <f t="shared" si="8"/>
        <v>Potenza PicenaCL3-IPU-F632-01</v>
      </c>
      <c r="C528" t="s">
        <v>958</v>
      </c>
      <c r="D528" s="62" t="s">
        <v>887</v>
      </c>
      <c r="E528" s="50" t="s">
        <v>896</v>
      </c>
      <c r="F528" t="s">
        <v>889</v>
      </c>
      <c r="G528" t="s">
        <v>1016</v>
      </c>
      <c r="H528" s="57" t="s">
        <v>1721</v>
      </c>
      <c r="I528" t="s">
        <v>1725</v>
      </c>
      <c r="J528" s="64">
        <v>75.084999999999994</v>
      </c>
    </row>
    <row r="529" spans="2:10" x14ac:dyDescent="0.25">
      <c r="B529" t="str">
        <f t="shared" si="8"/>
        <v>Illegno SRLEPC-IPU-E951-04</v>
      </c>
      <c r="C529" t="s">
        <v>826</v>
      </c>
      <c r="D529" s="62" t="s">
        <v>887</v>
      </c>
      <c r="E529" s="50" t="s">
        <v>888</v>
      </c>
      <c r="F529" t="s">
        <v>1630</v>
      </c>
      <c r="G529" t="s">
        <v>1630</v>
      </c>
      <c r="H529" s="57" t="s">
        <v>1722</v>
      </c>
      <c r="I529" t="s">
        <v>1723</v>
      </c>
      <c r="J529" s="64">
        <v>3.53647</v>
      </c>
    </row>
    <row r="530" spans="2:10" x14ac:dyDescent="0.25">
      <c r="B530" t="str">
        <f t="shared" si="8"/>
        <v>Potenza PicenaEPC-IPU-F632-02</v>
      </c>
      <c r="C530" t="s">
        <v>958</v>
      </c>
      <c r="D530" s="62" t="s">
        <v>887</v>
      </c>
      <c r="E530" s="50" t="s">
        <v>896</v>
      </c>
      <c r="F530" t="s">
        <v>1533</v>
      </c>
      <c r="G530" t="s">
        <v>1533</v>
      </c>
      <c r="H530" s="57" t="s">
        <v>1724</v>
      </c>
      <c r="I530" t="s">
        <v>1725</v>
      </c>
      <c r="J530" s="64">
        <v>0</v>
      </c>
    </row>
    <row r="531" spans="2:10" x14ac:dyDescent="0.25">
      <c r="B531" t="str">
        <f t="shared" si="8"/>
        <v>GallarateEPC-IPU-D869-02</v>
      </c>
      <c r="C531" t="s">
        <v>958</v>
      </c>
      <c r="D531" s="62" t="s">
        <v>887</v>
      </c>
      <c r="E531" s="50" t="s">
        <v>888</v>
      </c>
      <c r="F531" t="s">
        <v>1533</v>
      </c>
      <c r="G531" t="s">
        <v>1533</v>
      </c>
      <c r="H531" s="57" t="s">
        <v>1726</v>
      </c>
      <c r="I531" t="s">
        <v>1727</v>
      </c>
      <c r="J531" s="64">
        <v>0</v>
      </c>
    </row>
    <row r="532" spans="2:10" x14ac:dyDescent="0.25">
      <c r="B532" t="str">
        <f t="shared" si="8"/>
        <v>ArlunoEPC-IPU-A413-06</v>
      </c>
      <c r="C532" t="s">
        <v>958</v>
      </c>
      <c r="D532" s="62" t="s">
        <v>887</v>
      </c>
      <c r="E532" s="50" t="s">
        <v>888</v>
      </c>
      <c r="F532" t="s">
        <v>1533</v>
      </c>
      <c r="G532" t="s">
        <v>1533</v>
      </c>
      <c r="H532" s="57" t="s">
        <v>1728</v>
      </c>
      <c r="I532" t="s">
        <v>1020</v>
      </c>
      <c r="J532" s="64">
        <v>0</v>
      </c>
    </row>
    <row r="533" spans="2:10" x14ac:dyDescent="0.25">
      <c r="B533" t="str">
        <f t="shared" si="8"/>
        <v>BressoEPC-IPU-B162-04</v>
      </c>
      <c r="C533" t="s">
        <v>958</v>
      </c>
      <c r="D533" s="62" t="s">
        <v>887</v>
      </c>
      <c r="E533" s="50" t="s">
        <v>888</v>
      </c>
      <c r="F533" t="s">
        <v>1533</v>
      </c>
      <c r="G533" t="s">
        <v>1533</v>
      </c>
      <c r="H533" s="57" t="s">
        <v>1729</v>
      </c>
      <c r="I533" t="s">
        <v>1716</v>
      </c>
      <c r="J533" s="64">
        <v>0</v>
      </c>
    </row>
    <row r="534" spans="2:10" x14ac:dyDescent="0.25">
      <c r="B534" t="str">
        <f t="shared" si="8"/>
        <v>AgoraEPC-IPU-F736-02</v>
      </c>
      <c r="C534" t="s">
        <v>826</v>
      </c>
      <c r="D534" s="62" t="s">
        <v>887</v>
      </c>
      <c r="E534" s="50" t="s">
        <v>888</v>
      </c>
      <c r="F534" t="s">
        <v>1630</v>
      </c>
      <c r="G534" t="s">
        <v>1630</v>
      </c>
      <c r="H534" s="57" t="s">
        <v>1730</v>
      </c>
      <c r="I534" t="s">
        <v>1731</v>
      </c>
      <c r="J534" s="64">
        <v>1.1790999999999998</v>
      </c>
    </row>
    <row r="535" spans="2:10" x14ac:dyDescent="0.25">
      <c r="B535" t="str">
        <f t="shared" si="8"/>
        <v>MondolfoEPC-IPU-F348-04</v>
      </c>
      <c r="C535" t="s">
        <v>958</v>
      </c>
      <c r="D535" s="62" t="s">
        <v>887</v>
      </c>
      <c r="E535" s="50" t="s">
        <v>896</v>
      </c>
      <c r="F535" t="s">
        <v>1533</v>
      </c>
      <c r="G535" t="s">
        <v>1533</v>
      </c>
      <c r="H535" s="57" t="s">
        <v>1732</v>
      </c>
      <c r="I535" t="s">
        <v>1733</v>
      </c>
      <c r="J535" s="64">
        <v>0</v>
      </c>
    </row>
    <row r="536" spans="2:10" x14ac:dyDescent="0.25">
      <c r="B536" t="str">
        <f t="shared" si="8"/>
        <v>MiglionicoEPC-IPU-F201-01</v>
      </c>
      <c r="C536" t="s">
        <v>826</v>
      </c>
      <c r="D536" s="62" t="s">
        <v>887</v>
      </c>
      <c r="E536" s="50" t="s">
        <v>910</v>
      </c>
      <c r="F536" t="s">
        <v>1533</v>
      </c>
      <c r="G536" t="s">
        <v>1533</v>
      </c>
      <c r="H536" s="57" t="s">
        <v>1734</v>
      </c>
      <c r="I536" t="s">
        <v>1407</v>
      </c>
      <c r="J536" s="64">
        <v>0</v>
      </c>
    </row>
    <row r="537" spans="2:10" x14ac:dyDescent="0.25">
      <c r="B537" t="str">
        <f t="shared" si="8"/>
        <v>SaronnoEPC-IPU-I441-04</v>
      </c>
      <c r="C537" t="s">
        <v>958</v>
      </c>
      <c r="D537" s="62" t="s">
        <v>887</v>
      </c>
      <c r="E537" s="50" t="s">
        <v>888</v>
      </c>
      <c r="F537" t="s">
        <v>1533</v>
      </c>
      <c r="G537" t="s">
        <v>1533</v>
      </c>
      <c r="H537" s="57" t="s">
        <v>1735</v>
      </c>
      <c r="I537" t="s">
        <v>1736</v>
      </c>
      <c r="J537" s="64">
        <v>414.23128000000003</v>
      </c>
    </row>
    <row r="538" spans="2:10" x14ac:dyDescent="0.25">
      <c r="B538" t="str">
        <f t="shared" si="8"/>
        <v>COLCERESAEPC-IPU-M426-02</v>
      </c>
      <c r="C538" t="s">
        <v>826</v>
      </c>
      <c r="D538" s="62" t="s">
        <v>1493</v>
      </c>
      <c r="E538" s="50" t="s">
        <v>959</v>
      </c>
      <c r="F538" t="s">
        <v>1533</v>
      </c>
      <c r="G538" t="s">
        <v>1533</v>
      </c>
      <c r="H538" s="57" t="s">
        <v>1737</v>
      </c>
      <c r="I538" t="s">
        <v>1738</v>
      </c>
      <c r="J538" s="64">
        <v>1.3806700000000001</v>
      </c>
    </row>
    <row r="539" spans="2:10" x14ac:dyDescent="0.25">
      <c r="B539" t="str">
        <f t="shared" si="8"/>
        <v>SettalaEPC-IPU-I696-02</v>
      </c>
      <c r="C539" t="s">
        <v>958</v>
      </c>
      <c r="D539" s="62" t="s">
        <v>887</v>
      </c>
      <c r="E539" s="50" t="s">
        <v>888</v>
      </c>
      <c r="F539" t="s">
        <v>1533</v>
      </c>
      <c r="G539" t="s">
        <v>1533</v>
      </c>
      <c r="H539" s="57" t="s">
        <v>1739</v>
      </c>
      <c r="I539" t="s">
        <v>1056</v>
      </c>
      <c r="J539" s="64">
        <v>0</v>
      </c>
    </row>
    <row r="540" spans="2:10" x14ac:dyDescent="0.25">
      <c r="B540" t="str">
        <f t="shared" si="8"/>
        <v>MondolfoEPC-IPU-F348-01</v>
      </c>
      <c r="C540" t="s">
        <v>958</v>
      </c>
      <c r="D540" s="62" t="s">
        <v>887</v>
      </c>
      <c r="E540" s="50" t="s">
        <v>896</v>
      </c>
      <c r="F540" t="s">
        <v>1533</v>
      </c>
      <c r="G540" t="s">
        <v>1533</v>
      </c>
      <c r="H540" s="57" t="s">
        <v>1740</v>
      </c>
      <c r="I540" t="s">
        <v>1733</v>
      </c>
      <c r="J540" s="64">
        <v>0</v>
      </c>
    </row>
    <row r="541" spans="2:10" x14ac:dyDescent="0.25">
      <c r="B541" t="str">
        <f t="shared" si="8"/>
        <v>CagliCL3-IPU-B352-01</v>
      </c>
      <c r="C541" t="s">
        <v>958</v>
      </c>
      <c r="D541" s="62" t="s">
        <v>887</v>
      </c>
      <c r="E541" s="50" t="s">
        <v>896</v>
      </c>
      <c r="F541" t="s">
        <v>889</v>
      </c>
      <c r="G541" t="s">
        <v>1016</v>
      </c>
      <c r="H541" s="57" t="s">
        <v>1741</v>
      </c>
      <c r="I541" t="s">
        <v>1742</v>
      </c>
      <c r="J541" s="64">
        <v>-8.2460000000000004</v>
      </c>
    </row>
    <row r="542" spans="2:10" x14ac:dyDescent="0.25">
      <c r="B542" t="str">
        <f t="shared" si="8"/>
        <v>NovaraEPC-IPU-F952-03</v>
      </c>
      <c r="C542" t="s">
        <v>958</v>
      </c>
      <c r="D542" s="62" t="s">
        <v>887</v>
      </c>
      <c r="E542" s="50" t="s">
        <v>888</v>
      </c>
      <c r="F542" t="s">
        <v>1533</v>
      </c>
      <c r="G542" t="s">
        <v>1533</v>
      </c>
      <c r="H542" s="57" t="s">
        <v>1743</v>
      </c>
      <c r="I542" t="s">
        <v>1687</v>
      </c>
      <c r="J542" s="64">
        <v>0</v>
      </c>
    </row>
    <row r="543" spans="2:10" x14ac:dyDescent="0.25">
      <c r="B543" t="str">
        <f t="shared" si="8"/>
        <v>Mariano ComenseEPC-IPU-E951-03</v>
      </c>
      <c r="C543" t="s">
        <v>958</v>
      </c>
      <c r="D543" s="62" t="s">
        <v>887</v>
      </c>
      <c r="E543" s="50" t="s">
        <v>888</v>
      </c>
      <c r="F543" t="s">
        <v>1533</v>
      </c>
      <c r="G543" t="s">
        <v>1533</v>
      </c>
      <c r="H543" s="57" t="s">
        <v>1744</v>
      </c>
      <c r="I543" t="s">
        <v>1038</v>
      </c>
      <c r="J543" s="64">
        <v>0</v>
      </c>
    </row>
    <row r="544" spans="2:10" x14ac:dyDescent="0.25">
      <c r="B544" t="str">
        <f t="shared" si="8"/>
        <v>PianezzeEPC-IPU-G560-03</v>
      </c>
      <c r="C544" t="s">
        <v>826</v>
      </c>
      <c r="D544" s="62" t="s">
        <v>1493</v>
      </c>
      <c r="E544" s="50" t="s">
        <v>959</v>
      </c>
      <c r="F544" t="s">
        <v>1533</v>
      </c>
      <c r="G544" t="s">
        <v>1533</v>
      </c>
      <c r="H544" s="57" t="s">
        <v>1745</v>
      </c>
      <c r="I544" t="s">
        <v>1511</v>
      </c>
      <c r="J544" s="64">
        <v>0</v>
      </c>
    </row>
    <row r="545" spans="2:10" x14ac:dyDescent="0.25">
      <c r="B545" t="str">
        <f t="shared" si="8"/>
        <v>Potenza PicenaEPC-IPU-F632-01</v>
      </c>
      <c r="C545" t="s">
        <v>958</v>
      </c>
      <c r="D545" s="62" t="s">
        <v>887</v>
      </c>
      <c r="E545" s="50" t="s">
        <v>896</v>
      </c>
      <c r="F545" t="s">
        <v>1533</v>
      </c>
      <c r="G545" t="s">
        <v>1533</v>
      </c>
      <c r="H545" s="57" t="s">
        <v>1746</v>
      </c>
      <c r="I545" t="s">
        <v>1725</v>
      </c>
      <c r="J545" s="64">
        <v>8.1967099999999995</v>
      </c>
    </row>
    <row r="546" spans="2:10" x14ac:dyDescent="0.25">
      <c r="B546" t="str">
        <f t="shared" si="8"/>
        <v>NovaraEPC-IPU-F952-02</v>
      </c>
      <c r="C546" t="s">
        <v>958</v>
      </c>
      <c r="D546" s="62" t="s">
        <v>887</v>
      </c>
      <c r="E546" s="50" t="s">
        <v>888</v>
      </c>
      <c r="F546" t="s">
        <v>1533</v>
      </c>
      <c r="G546" t="s">
        <v>1533</v>
      </c>
      <c r="H546" s="57" t="s">
        <v>1747</v>
      </c>
      <c r="I546" t="s">
        <v>1687</v>
      </c>
      <c r="J546" s="64">
        <v>16.67953</v>
      </c>
    </row>
    <row r="547" spans="2:10" x14ac:dyDescent="0.25">
      <c r="B547" t="str">
        <f t="shared" si="8"/>
        <v>OrtelleEPC-IPU-G136-01</v>
      </c>
      <c r="C547" t="s">
        <v>826</v>
      </c>
      <c r="D547" s="62" t="s">
        <v>887</v>
      </c>
      <c r="E547" s="50" t="s">
        <v>910</v>
      </c>
      <c r="F547" t="s">
        <v>1533</v>
      </c>
      <c r="G547" t="s">
        <v>1533</v>
      </c>
      <c r="H547" s="57" t="s">
        <v>1748</v>
      </c>
      <c r="I547" t="s">
        <v>1419</v>
      </c>
      <c r="J547" s="64">
        <v>0</v>
      </c>
    </row>
    <row r="548" spans="2:10" x14ac:dyDescent="0.25">
      <c r="B548" t="str">
        <f t="shared" si="8"/>
        <v>MarateaEPC-IPU-E919-02</v>
      </c>
      <c r="C548" t="s">
        <v>826</v>
      </c>
      <c r="D548" s="62" t="s">
        <v>887</v>
      </c>
      <c r="E548" s="50" t="s">
        <v>910</v>
      </c>
      <c r="F548" t="s">
        <v>1533</v>
      </c>
      <c r="G548" t="s">
        <v>1533</v>
      </c>
      <c r="H548" s="57" t="s">
        <v>1749</v>
      </c>
      <c r="I548" t="s">
        <v>1403</v>
      </c>
      <c r="J548" s="64">
        <v>11.503629999999999</v>
      </c>
    </row>
    <row r="549" spans="2:10" x14ac:dyDescent="0.25">
      <c r="B549" t="str">
        <f t="shared" si="8"/>
        <v>SenigalliaEPC-IPU-I608-04</v>
      </c>
      <c r="C549" t="s">
        <v>958</v>
      </c>
      <c r="D549" s="62" t="s">
        <v>887</v>
      </c>
      <c r="E549" s="50" t="s">
        <v>888</v>
      </c>
      <c r="F549" t="s">
        <v>1533</v>
      </c>
      <c r="G549" t="s">
        <v>1533</v>
      </c>
      <c r="H549" s="57" t="s">
        <v>1750</v>
      </c>
      <c r="I549" t="s">
        <v>1751</v>
      </c>
      <c r="J549" s="64">
        <v>0</v>
      </c>
    </row>
    <row r="550" spans="2:10" x14ac:dyDescent="0.25">
      <c r="B550" t="str">
        <f t="shared" si="8"/>
        <v>FaenzaEPC-IPU-D458-01</v>
      </c>
      <c r="C550" t="s">
        <v>958</v>
      </c>
      <c r="D550" s="62" t="s">
        <v>887</v>
      </c>
      <c r="E550" s="50" t="s">
        <v>896</v>
      </c>
      <c r="F550" t="s">
        <v>1533</v>
      </c>
      <c r="G550" t="s">
        <v>1533</v>
      </c>
      <c r="H550" s="57" t="s">
        <v>1752</v>
      </c>
      <c r="I550" t="s">
        <v>1753</v>
      </c>
      <c r="J550" s="64">
        <v>0</v>
      </c>
    </row>
    <row r="551" spans="2:10" x14ac:dyDescent="0.25">
      <c r="B551" t="str">
        <f t="shared" si="8"/>
        <v>Bel GuardoEPC-IPU-F736-03</v>
      </c>
      <c r="C551" t="s">
        <v>826</v>
      </c>
      <c r="D551" s="62" t="s">
        <v>887</v>
      </c>
      <c r="E551" s="50" t="s">
        <v>888</v>
      </c>
      <c r="F551" t="s">
        <v>1630</v>
      </c>
      <c r="G551" t="s">
        <v>1630</v>
      </c>
      <c r="H551" s="57" t="s">
        <v>1754</v>
      </c>
      <c r="I551" t="s">
        <v>1755</v>
      </c>
      <c r="J551" s="64">
        <v>1.1790999999999998</v>
      </c>
    </row>
    <row r="552" spans="2:10" x14ac:dyDescent="0.25">
      <c r="B552" t="str">
        <f t="shared" si="8"/>
        <v>overheadsSINISTRI</v>
      </c>
      <c r="C552" t="s">
        <v>826</v>
      </c>
      <c r="D552" s="62" t="s">
        <v>887</v>
      </c>
      <c r="E552" s="50" t="s">
        <v>1756</v>
      </c>
      <c r="F552" t="s">
        <v>855</v>
      </c>
      <c r="G552" t="s">
        <v>855</v>
      </c>
      <c r="H552" s="57" t="s">
        <v>1757</v>
      </c>
      <c r="I552" t="s">
        <v>1758</v>
      </c>
      <c r="J552" s="64">
        <v>0</v>
      </c>
    </row>
    <row r="553" spans="2:10" x14ac:dyDescent="0.25">
      <c r="B553" t="str">
        <f t="shared" si="8"/>
        <v>overheadsSTRUTTURA BU NORD</v>
      </c>
      <c r="C553" t="s">
        <v>826</v>
      </c>
      <c r="D553" s="62" t="s">
        <v>887</v>
      </c>
      <c r="E553" s="50" t="s">
        <v>1756</v>
      </c>
      <c r="F553" t="s">
        <v>855</v>
      </c>
      <c r="G553" t="s">
        <v>855</v>
      </c>
      <c r="H553" s="57" t="s">
        <v>1759</v>
      </c>
      <c r="I553" t="s">
        <v>1758</v>
      </c>
      <c r="J553" s="64">
        <v>0</v>
      </c>
    </row>
    <row r="554" spans="2:10" x14ac:dyDescent="0.25">
      <c r="B554" t="str">
        <f t="shared" si="8"/>
        <v>FilianoSEC-CIM-D593-01</v>
      </c>
      <c r="C554" t="s">
        <v>826</v>
      </c>
      <c r="D554" s="62" t="s">
        <v>887</v>
      </c>
      <c r="E554" s="50" t="s">
        <v>910</v>
      </c>
      <c r="F554" t="s">
        <v>912</v>
      </c>
      <c r="G554" t="s">
        <v>912</v>
      </c>
      <c r="H554" s="57" t="s">
        <v>1760</v>
      </c>
      <c r="I554" t="s">
        <v>1761</v>
      </c>
      <c r="J554" s="64">
        <v>9.4119500000000009</v>
      </c>
    </row>
    <row r="555" spans="2:10" x14ac:dyDescent="0.25">
      <c r="B555" t="str">
        <f t="shared" si="8"/>
        <v>overheadsCABLAGGIO MLS</v>
      </c>
      <c r="C555" t="s">
        <v>826</v>
      </c>
      <c r="D555" s="62" t="s">
        <v>887</v>
      </c>
      <c r="E555" s="50" t="s">
        <v>1756</v>
      </c>
      <c r="F555" t="s">
        <v>855</v>
      </c>
      <c r="G555" t="s">
        <v>855</v>
      </c>
      <c r="H555" s="57" t="s">
        <v>1762</v>
      </c>
      <c r="I555" t="s">
        <v>1758</v>
      </c>
      <c r="J555" s="64">
        <v>0</v>
      </c>
    </row>
    <row r="556" spans="2:10" x14ac:dyDescent="0.25">
      <c r="B556" t="str">
        <f t="shared" si="8"/>
        <v>FilianoSEC-PHV-D593-01</v>
      </c>
      <c r="C556" t="s">
        <v>826</v>
      </c>
      <c r="D556" s="62" t="s">
        <v>887</v>
      </c>
      <c r="E556" s="50" t="s">
        <v>910</v>
      </c>
      <c r="F556" t="s">
        <v>897</v>
      </c>
      <c r="G556" t="s">
        <v>897</v>
      </c>
      <c r="H556" s="57" t="s">
        <v>1763</v>
      </c>
      <c r="I556" t="s">
        <v>1761</v>
      </c>
      <c r="J556" s="64">
        <v>0</v>
      </c>
    </row>
    <row r="557" spans="2:10" x14ac:dyDescent="0.25">
      <c r="B557" t="str">
        <f t="shared" si="8"/>
        <v>overheadsSTRUTTURA</v>
      </c>
      <c r="C557" t="s">
        <v>826</v>
      </c>
      <c r="D557" s="62" t="s">
        <v>887</v>
      </c>
      <c r="E557" s="50" t="s">
        <v>1756</v>
      </c>
      <c r="F557" t="s">
        <v>855</v>
      </c>
      <c r="G557" t="s">
        <v>855</v>
      </c>
      <c r="H557" s="57" t="s">
        <v>1764</v>
      </c>
      <c r="I557" t="s">
        <v>1758</v>
      </c>
      <c r="J557" s="64">
        <v>0</v>
      </c>
    </row>
    <row r="558" spans="2:10" x14ac:dyDescent="0.25">
      <c r="B558" t="str">
        <f t="shared" si="8"/>
        <v>AviglianoSEC-CIM-A519-01</v>
      </c>
      <c r="C558" t="s">
        <v>826</v>
      </c>
      <c r="D558" s="62" t="s">
        <v>887</v>
      </c>
      <c r="E558" s="50" t="s">
        <v>910</v>
      </c>
      <c r="F558" t="s">
        <v>912</v>
      </c>
      <c r="G558" t="s">
        <v>912</v>
      </c>
      <c r="H558" s="57" t="s">
        <v>1765</v>
      </c>
      <c r="I558" t="s">
        <v>1766</v>
      </c>
      <c r="J558" s="64">
        <v>-28.56</v>
      </c>
    </row>
    <row r="559" spans="2:10" x14ac:dyDescent="0.25">
      <c r="B559" t="str">
        <f t="shared" si="8"/>
        <v>GinestraSEC-CIM-E033-01</v>
      </c>
      <c r="C559" t="s">
        <v>826</v>
      </c>
      <c r="D559" s="62" t="s">
        <v>887</v>
      </c>
      <c r="E559" s="50" t="s">
        <v>910</v>
      </c>
      <c r="F559" t="s">
        <v>912</v>
      </c>
      <c r="G559" t="s">
        <v>890</v>
      </c>
      <c r="H559" s="57" t="s">
        <v>1767</v>
      </c>
      <c r="I559" t="s">
        <v>1391</v>
      </c>
      <c r="J559" s="64">
        <v>0</v>
      </c>
    </row>
    <row r="560" spans="2:10" x14ac:dyDescent="0.25">
      <c r="B560" t="str">
        <f t="shared" si="8"/>
        <v>overheadsPREVENTIVI SELETTRA</v>
      </c>
      <c r="C560" t="s">
        <v>826</v>
      </c>
      <c r="D560" s="62" t="s">
        <v>887</v>
      </c>
      <c r="E560" s="50" t="s">
        <v>1756</v>
      </c>
      <c r="F560" t="s">
        <v>855</v>
      </c>
      <c r="G560" t="s">
        <v>855</v>
      </c>
      <c r="H560" s="57" t="s">
        <v>1768</v>
      </c>
      <c r="I560" t="s">
        <v>1758</v>
      </c>
      <c r="J560" s="64">
        <v>0</v>
      </c>
    </row>
    <row r="561" spans="2:10" x14ac:dyDescent="0.25">
      <c r="B561" t="str">
        <f t="shared" si="8"/>
        <v>overheadsSTRUTTURA BU CENTRO</v>
      </c>
      <c r="C561" t="s">
        <v>826</v>
      </c>
      <c r="D561" s="62" t="s">
        <v>887</v>
      </c>
      <c r="E561" s="50" t="s">
        <v>896</v>
      </c>
      <c r="F561" t="s">
        <v>855</v>
      </c>
      <c r="G561" t="s">
        <v>855</v>
      </c>
      <c r="H561" s="57" t="s">
        <v>1769</v>
      </c>
      <c r="I561" t="s">
        <v>1758</v>
      </c>
      <c r="J561" s="64">
        <v>0</v>
      </c>
    </row>
    <row r="562" spans="2:10" x14ac:dyDescent="0.25">
      <c r="B562" t="str">
        <f t="shared" si="8"/>
        <v>overheadsSTRUTTURA BU SUD</v>
      </c>
      <c r="C562" t="s">
        <v>826</v>
      </c>
      <c r="D562" s="62" t="s">
        <v>887</v>
      </c>
      <c r="E562" s="50" t="s">
        <v>910</v>
      </c>
      <c r="F562" t="s">
        <v>855</v>
      </c>
      <c r="G562" t="s">
        <v>855</v>
      </c>
      <c r="H562" s="57" t="s">
        <v>1770</v>
      </c>
      <c r="I562" t="s">
        <v>1758</v>
      </c>
      <c r="J562" s="64">
        <v>0</v>
      </c>
    </row>
    <row r="563" spans="2:10" x14ac:dyDescent="0.25">
      <c r="B563" t="str">
        <f t="shared" si="8"/>
        <v>overheadsMANUTENZIONE MEZZI AZIENDALI</v>
      </c>
      <c r="C563" t="s">
        <v>826</v>
      </c>
      <c r="D563" s="62" t="s">
        <v>887</v>
      </c>
      <c r="E563" s="50" t="s">
        <v>1756</v>
      </c>
      <c r="F563" t="s">
        <v>855</v>
      </c>
      <c r="G563" t="s">
        <v>855</v>
      </c>
      <c r="H563" s="57" t="s">
        <v>1771</v>
      </c>
      <c r="I563" t="s">
        <v>1758</v>
      </c>
      <c r="J563" s="64">
        <v>0</v>
      </c>
    </row>
    <row r="564" spans="2:10" x14ac:dyDescent="0.25">
      <c r="B564" t="str">
        <f t="shared" si="8"/>
        <v>overheadsCONSUMABILI</v>
      </c>
      <c r="C564" t="s">
        <v>826</v>
      </c>
      <c r="D564" s="62" t="s">
        <v>887</v>
      </c>
      <c r="E564" s="50" t="s">
        <v>1756</v>
      </c>
      <c r="F564" t="s">
        <v>855</v>
      </c>
      <c r="G564" t="s">
        <v>855</v>
      </c>
      <c r="H564" s="57" t="s">
        <v>1772</v>
      </c>
      <c r="I564" t="s">
        <v>1758</v>
      </c>
      <c r="J564" s="64">
        <v>0</v>
      </c>
    </row>
    <row r="565" spans="2:10" x14ac:dyDescent="0.25">
      <c r="B565" t="str">
        <f t="shared" si="8"/>
        <v>overheadsSTRUTTURA BU NORD OVEST</v>
      </c>
      <c r="C565" t="s">
        <v>826</v>
      </c>
      <c r="D565" s="62" t="s">
        <v>887</v>
      </c>
      <c r="E565" s="50" t="s">
        <v>888</v>
      </c>
      <c r="F565" t="s">
        <v>855</v>
      </c>
      <c r="G565" t="s">
        <v>855</v>
      </c>
      <c r="H565" s="57" t="s">
        <v>1773</v>
      </c>
      <c r="I565" t="s">
        <v>1758</v>
      </c>
      <c r="J565" s="64">
        <v>0</v>
      </c>
    </row>
    <row r="566" spans="2:10" x14ac:dyDescent="0.25">
      <c r="B566" t="str">
        <f t="shared" si="8"/>
        <v>AviglianoSEC-PHV-A519-06</v>
      </c>
      <c r="C566" t="s">
        <v>826</v>
      </c>
      <c r="D566" s="62" t="s">
        <v>887</v>
      </c>
      <c r="E566" s="50" t="s">
        <v>910</v>
      </c>
      <c r="F566" t="s">
        <v>897</v>
      </c>
      <c r="G566" t="s">
        <v>897</v>
      </c>
      <c r="H566" s="57" t="s">
        <v>1774</v>
      </c>
      <c r="I566" t="s">
        <v>1766</v>
      </c>
      <c r="J566" s="64">
        <v>0</v>
      </c>
    </row>
    <row r="567" spans="2:10" x14ac:dyDescent="0.25">
      <c r="B567" t="str">
        <f t="shared" si="8"/>
        <v>Montalto Delle MarcheSEC-PHV-F415-01</v>
      </c>
      <c r="C567" t="s">
        <v>826</v>
      </c>
      <c r="D567" s="62" t="s">
        <v>887</v>
      </c>
      <c r="E567" s="50" t="s">
        <v>910</v>
      </c>
      <c r="F567" t="s">
        <v>897</v>
      </c>
      <c r="G567" t="s">
        <v>897</v>
      </c>
      <c r="H567" s="57" t="s">
        <v>1775</v>
      </c>
      <c r="I567" t="s">
        <v>1776</v>
      </c>
      <c r="J567" s="64">
        <v>0</v>
      </c>
    </row>
    <row r="568" spans="2:10" x14ac:dyDescent="0.25">
      <c r="B568" t="str">
        <f t="shared" si="8"/>
        <v>PaternoSEC-PHV-M269-01</v>
      </c>
      <c r="C568" t="s">
        <v>826</v>
      </c>
      <c r="D568" s="62" t="s">
        <v>887</v>
      </c>
      <c r="E568" s="50" t="s">
        <v>910</v>
      </c>
      <c r="F568" t="s">
        <v>897</v>
      </c>
      <c r="G568" t="s">
        <v>897</v>
      </c>
      <c r="H568" s="57" t="s">
        <v>1777</v>
      </c>
      <c r="I568" t="s">
        <v>1284</v>
      </c>
      <c r="J568" s="64">
        <v>0</v>
      </c>
    </row>
    <row r="569" spans="2:10" x14ac:dyDescent="0.25">
      <c r="B569" t="str">
        <f t="shared" si="8"/>
        <v>PaternoSEC-PHV-M269-03</v>
      </c>
      <c r="C569" t="s">
        <v>826</v>
      </c>
      <c r="D569" s="62" t="s">
        <v>887</v>
      </c>
      <c r="E569" s="50" t="s">
        <v>910</v>
      </c>
      <c r="F569" t="s">
        <v>897</v>
      </c>
      <c r="G569" t="s">
        <v>897</v>
      </c>
      <c r="H569" s="57" t="s">
        <v>1778</v>
      </c>
      <c r="I569" t="s">
        <v>1284</v>
      </c>
      <c r="J569" s="64">
        <v>1.6622999999999999</v>
      </c>
    </row>
    <row r="570" spans="2:10" x14ac:dyDescent="0.25">
      <c r="B570" t="str">
        <f t="shared" si="8"/>
        <v>overheadsL104 PERMESSI</v>
      </c>
      <c r="C570" t="s">
        <v>826</v>
      </c>
      <c r="D570" s="62" t="s">
        <v>887</v>
      </c>
      <c r="E570" s="50" t="s">
        <v>1756</v>
      </c>
      <c r="F570" t="s">
        <v>855</v>
      </c>
      <c r="G570" t="s">
        <v>855</v>
      </c>
      <c r="H570" s="57" t="s">
        <v>1779</v>
      </c>
      <c r="I570" t="s">
        <v>1758</v>
      </c>
      <c r="J570" s="64">
        <v>0</v>
      </c>
    </row>
    <row r="571" spans="2:10" x14ac:dyDescent="0.25">
      <c r="B571" t="str">
        <f t="shared" si="8"/>
        <v>Chioggia BuildingPPP-EEE-C638-02</v>
      </c>
      <c r="C571" t="s">
        <v>958</v>
      </c>
      <c r="D571" s="62" t="s">
        <v>887</v>
      </c>
      <c r="E571" s="50" t="s">
        <v>959</v>
      </c>
      <c r="F571" t="s">
        <v>965</v>
      </c>
      <c r="G571" t="s">
        <v>965</v>
      </c>
      <c r="H571" s="57" t="s">
        <v>1780</v>
      </c>
      <c r="I571" t="s">
        <v>1256</v>
      </c>
      <c r="J571" s="64">
        <v>123.99997999999999</v>
      </c>
    </row>
    <row r="572" spans="2:10" x14ac:dyDescent="0.25">
      <c r="B572" t="str">
        <f t="shared" si="8"/>
        <v>Sasso di CastaldaSEC-PHV-I457-01</v>
      </c>
      <c r="C572" t="s">
        <v>826</v>
      </c>
      <c r="D572" s="62" t="s">
        <v>887</v>
      </c>
      <c r="E572" s="50" t="s">
        <v>910</v>
      </c>
      <c r="F572" t="s">
        <v>897</v>
      </c>
      <c r="G572" t="s">
        <v>897</v>
      </c>
      <c r="H572" s="57" t="s">
        <v>1781</v>
      </c>
      <c r="I572" t="s">
        <v>1453</v>
      </c>
      <c r="J572" s="64">
        <v>0</v>
      </c>
    </row>
    <row r="573" spans="2:10" x14ac:dyDescent="0.25">
      <c r="B573" t="str">
        <f t="shared" si="8"/>
        <v>AviglianoSEC-PHV-A519-05</v>
      </c>
      <c r="C573" t="s">
        <v>826</v>
      </c>
      <c r="D573" s="62" t="s">
        <v>887</v>
      </c>
      <c r="E573" s="50" t="s">
        <v>910</v>
      </c>
      <c r="F573" t="s">
        <v>897</v>
      </c>
      <c r="G573" t="s">
        <v>897</v>
      </c>
      <c r="H573" s="57" t="s">
        <v>1782</v>
      </c>
      <c r="I573" t="s">
        <v>1766</v>
      </c>
      <c r="J573" s="64">
        <v>0</v>
      </c>
    </row>
    <row r="574" spans="2:10" x14ac:dyDescent="0.25">
      <c r="B574" t="str">
        <f t="shared" si="8"/>
        <v>overheadsNUMERO VERDE</v>
      </c>
      <c r="C574" t="s">
        <v>826</v>
      </c>
      <c r="D574" s="62" t="s">
        <v>887</v>
      </c>
      <c r="E574" s="50" t="s">
        <v>1756</v>
      </c>
      <c r="F574" t="s">
        <v>855</v>
      </c>
      <c r="G574" t="s">
        <v>855</v>
      </c>
      <c r="H574" s="57" t="s">
        <v>1783</v>
      </c>
      <c r="I574" t="s">
        <v>1758</v>
      </c>
      <c r="J574" s="64">
        <v>0</v>
      </c>
    </row>
    <row r="575" spans="2:10" x14ac:dyDescent="0.25">
      <c r="B575" t="str">
        <f t="shared" si="8"/>
        <v>overheadsSTRUTTURA BU NORD EST</v>
      </c>
      <c r="C575" t="s">
        <v>826</v>
      </c>
      <c r="D575" s="62" t="s">
        <v>887</v>
      </c>
      <c r="E575" s="50" t="s">
        <v>959</v>
      </c>
      <c r="F575" t="s">
        <v>855</v>
      </c>
      <c r="G575" t="s">
        <v>855</v>
      </c>
      <c r="H575" s="57" t="s">
        <v>1784</v>
      </c>
      <c r="I575" t="s">
        <v>1758</v>
      </c>
      <c r="J575" s="64">
        <v>0</v>
      </c>
    </row>
    <row r="576" spans="2:10" x14ac:dyDescent="0.25">
      <c r="B576" t="str">
        <f t="shared" si="8"/>
        <v>AviglianoSEC-PHV-A519-01</v>
      </c>
      <c r="C576" t="s">
        <v>826</v>
      </c>
      <c r="D576" s="62" t="s">
        <v>887</v>
      </c>
      <c r="E576" s="50" t="s">
        <v>910</v>
      </c>
      <c r="F576" t="s">
        <v>897</v>
      </c>
      <c r="G576" t="s">
        <v>897</v>
      </c>
      <c r="H576" s="57" t="s">
        <v>1785</v>
      </c>
      <c r="I576" t="s">
        <v>1766</v>
      </c>
      <c r="J576" s="64">
        <v>9.781999999999999E-2</v>
      </c>
    </row>
    <row r="577" spans="2:10" x14ac:dyDescent="0.25">
      <c r="B577" t="str">
        <f t="shared" si="8"/>
        <v>overheadsMALATTIA</v>
      </c>
      <c r="C577" t="s">
        <v>826</v>
      </c>
      <c r="D577" s="62" t="s">
        <v>887</v>
      </c>
      <c r="E577" s="50" t="s">
        <v>1756</v>
      </c>
      <c r="F577" t="s">
        <v>855</v>
      </c>
      <c r="G577" t="s">
        <v>855</v>
      </c>
      <c r="H577" s="57" t="s">
        <v>1786</v>
      </c>
      <c r="I577" t="s">
        <v>1758</v>
      </c>
      <c r="J577" s="64">
        <v>0</v>
      </c>
    </row>
    <row r="578" spans="2:10" x14ac:dyDescent="0.25">
      <c r="B578" t="str">
        <f t="shared" si="8"/>
        <v>ElettrosystemEPC-IPU-A683-02</v>
      </c>
      <c r="C578" t="s">
        <v>826</v>
      </c>
      <c r="D578" s="62" t="s">
        <v>887</v>
      </c>
      <c r="E578" s="50" t="s">
        <v>888</v>
      </c>
      <c r="F578" t="s">
        <v>1630</v>
      </c>
      <c r="G578" t="s">
        <v>1630</v>
      </c>
      <c r="H578" s="57" t="s">
        <v>1787</v>
      </c>
      <c r="I578" t="s">
        <v>1788</v>
      </c>
      <c r="J578" s="64">
        <v>1.5717300000000001</v>
      </c>
    </row>
    <row r="579" spans="2:10" x14ac:dyDescent="0.25">
      <c r="B579" t="str">
        <f t="shared" si="8"/>
        <v>EquipeEPC-IPU-E951-08</v>
      </c>
      <c r="C579" t="s">
        <v>826</v>
      </c>
      <c r="D579" s="62" t="s">
        <v>887</v>
      </c>
      <c r="E579" s="50" t="s">
        <v>888</v>
      </c>
      <c r="F579" t="s">
        <v>1630</v>
      </c>
      <c r="G579" t="s">
        <v>1630</v>
      </c>
      <c r="H579" s="57" t="s">
        <v>1789</v>
      </c>
      <c r="I579" t="s">
        <v>1790</v>
      </c>
      <c r="J579" s="64">
        <v>0.62673999999999996</v>
      </c>
    </row>
    <row r="580" spans="2:10" x14ac:dyDescent="0.25">
      <c r="B580" t="str">
        <f t="shared" ref="B580:B643" si="9">+I580&amp;H580</f>
        <v>E. GIANTURCOEPC-IPU-A519-04</v>
      </c>
      <c r="C580" t="s">
        <v>826</v>
      </c>
      <c r="D580" s="62" t="s">
        <v>887</v>
      </c>
      <c r="E580" s="50" t="s">
        <v>910</v>
      </c>
      <c r="F580" t="s">
        <v>1630</v>
      </c>
      <c r="G580" t="s">
        <v>1630</v>
      </c>
      <c r="H580" s="57" t="s">
        <v>1791</v>
      </c>
      <c r="I580" t="s">
        <v>1792</v>
      </c>
      <c r="J580" s="64">
        <v>0</v>
      </c>
    </row>
    <row r="581" spans="2:10" x14ac:dyDescent="0.25">
      <c r="B581" t="str">
        <f t="shared" si="9"/>
        <v>BuguggiateEPC-IPU-B258-01</v>
      </c>
      <c r="C581" t="s">
        <v>826</v>
      </c>
      <c r="D581" s="62" t="s">
        <v>887</v>
      </c>
      <c r="E581" s="50" t="s">
        <v>888</v>
      </c>
      <c r="F581" t="s">
        <v>1630</v>
      </c>
      <c r="G581" t="s">
        <v>1630</v>
      </c>
      <c r="H581" s="57" t="s">
        <v>1793</v>
      </c>
      <c r="I581" t="s">
        <v>1794</v>
      </c>
      <c r="J581" s="64">
        <v>1.8719000000000001</v>
      </c>
    </row>
    <row r="582" spans="2:10" x14ac:dyDescent="0.25">
      <c r="B582" t="str">
        <f t="shared" si="9"/>
        <v>TrecchinaEPC-IPU-L357-01</v>
      </c>
      <c r="C582" t="s">
        <v>826</v>
      </c>
      <c r="D582" s="62" t="s">
        <v>887</v>
      </c>
      <c r="E582" s="50" t="s">
        <v>910</v>
      </c>
      <c r="F582" t="s">
        <v>1630</v>
      </c>
      <c r="G582" t="s">
        <v>1630</v>
      </c>
      <c r="H582" s="57" t="s">
        <v>1795</v>
      </c>
      <c r="I582" t="s">
        <v>1796</v>
      </c>
      <c r="J582" s="64">
        <v>3.8778999999999999</v>
      </c>
    </row>
    <row r="583" spans="2:10" x14ac:dyDescent="0.25">
      <c r="B583" t="str">
        <f t="shared" si="9"/>
        <v>PaternoEPC-IPU-M269-04</v>
      </c>
      <c r="C583" t="s">
        <v>826</v>
      </c>
      <c r="D583" s="62" t="s">
        <v>887</v>
      </c>
      <c r="E583" s="50" t="s">
        <v>910</v>
      </c>
      <c r="F583" t="s">
        <v>1630</v>
      </c>
      <c r="G583" t="s">
        <v>1630</v>
      </c>
      <c r="H583" s="57" t="s">
        <v>1797</v>
      </c>
      <c r="I583" t="s">
        <v>1284</v>
      </c>
      <c r="J583" s="64">
        <v>11.383850000000001</v>
      </c>
    </row>
    <row r="584" spans="2:10" x14ac:dyDescent="0.25">
      <c r="B584" t="str">
        <f t="shared" si="9"/>
        <v>Costruzioni AcocellaEPC-IPU-C058-01</v>
      </c>
      <c r="C584" t="s">
        <v>826</v>
      </c>
      <c r="D584" s="62" t="s">
        <v>887</v>
      </c>
      <c r="E584" s="50" t="s">
        <v>896</v>
      </c>
      <c r="F584" t="s">
        <v>1630</v>
      </c>
      <c r="G584" t="s">
        <v>1630</v>
      </c>
      <c r="H584" s="57" t="s">
        <v>1798</v>
      </c>
      <c r="I584" t="s">
        <v>1799</v>
      </c>
      <c r="J584" s="64">
        <v>0</v>
      </c>
    </row>
    <row r="585" spans="2:10" x14ac:dyDescent="0.25">
      <c r="B585" t="str">
        <f t="shared" si="9"/>
        <v>Sauze Di CesanaEPC-IPU-I465-01</v>
      </c>
      <c r="C585" t="s">
        <v>826</v>
      </c>
      <c r="D585" s="62" t="s">
        <v>887</v>
      </c>
      <c r="E585" s="50" t="s">
        <v>910</v>
      </c>
      <c r="F585" t="s">
        <v>1630</v>
      </c>
      <c r="G585" t="s">
        <v>1630</v>
      </c>
      <c r="H585" s="57" t="s">
        <v>1800</v>
      </c>
      <c r="I585" t="s">
        <v>1801</v>
      </c>
      <c r="J585" s="64">
        <v>0</v>
      </c>
    </row>
    <row r="586" spans="2:10" x14ac:dyDescent="0.25">
      <c r="B586" t="str">
        <f t="shared" si="9"/>
        <v>ICG srlEPC-IPU-E716-05</v>
      </c>
      <c r="C586" t="s">
        <v>826</v>
      </c>
      <c r="D586" s="62" t="s">
        <v>887</v>
      </c>
      <c r="E586" s="50" t="s">
        <v>910</v>
      </c>
      <c r="F586" t="s">
        <v>1630</v>
      </c>
      <c r="G586" t="s">
        <v>1630</v>
      </c>
      <c r="H586" s="57" t="s">
        <v>1802</v>
      </c>
      <c r="I586" t="s">
        <v>1803</v>
      </c>
      <c r="J586" s="64">
        <v>13.36717</v>
      </c>
    </row>
    <row r="587" spans="2:10" x14ac:dyDescent="0.25">
      <c r="B587" t="str">
        <f t="shared" si="9"/>
        <v>PisticciEPC-IPU-G712-01</v>
      </c>
      <c r="C587" t="s">
        <v>826</v>
      </c>
      <c r="D587" s="62" t="s">
        <v>887</v>
      </c>
      <c r="E587" s="50" t="s">
        <v>910</v>
      </c>
      <c r="F587" t="s">
        <v>1630</v>
      </c>
      <c r="G587" t="s">
        <v>1630</v>
      </c>
      <c r="H587" s="57" t="s">
        <v>1804</v>
      </c>
      <c r="I587" t="s">
        <v>1805</v>
      </c>
      <c r="J587" s="64">
        <v>0</v>
      </c>
    </row>
    <row r="588" spans="2:10" x14ac:dyDescent="0.25">
      <c r="B588" t="str">
        <f t="shared" si="9"/>
        <v>FajoEPC-IPU-E951-05</v>
      </c>
      <c r="C588" t="s">
        <v>826</v>
      </c>
      <c r="D588" s="62" t="s">
        <v>887</v>
      </c>
      <c r="E588" s="50" t="s">
        <v>888</v>
      </c>
      <c r="F588" t="s">
        <v>1630</v>
      </c>
      <c r="G588" t="s">
        <v>1630</v>
      </c>
      <c r="H588" s="57" t="s">
        <v>1806</v>
      </c>
      <c r="I588" t="s">
        <v>1807</v>
      </c>
      <c r="J588" s="64">
        <v>1.4613800000000001</v>
      </c>
    </row>
    <row r="589" spans="2:10" x14ac:dyDescent="0.25">
      <c r="B589" t="str">
        <f t="shared" si="9"/>
        <v>Agrate BrianzaSEC-IPU-A087-01</v>
      </c>
      <c r="C589" t="s">
        <v>826</v>
      </c>
      <c r="D589" s="62" t="s">
        <v>887</v>
      </c>
      <c r="E589" s="50" t="s">
        <v>888</v>
      </c>
      <c r="F589" t="s">
        <v>1630</v>
      </c>
      <c r="G589" t="s">
        <v>1630</v>
      </c>
      <c r="H589" s="57" t="s">
        <v>1808</v>
      </c>
      <c r="I589" t="s">
        <v>1809</v>
      </c>
      <c r="J589" s="64">
        <v>0.69652000000000003</v>
      </c>
    </row>
    <row r="590" spans="2:10" x14ac:dyDescent="0.25">
      <c r="B590" t="str">
        <f t="shared" si="9"/>
        <v>BasianoEPC-IPU-A697-02</v>
      </c>
      <c r="C590" t="s">
        <v>826</v>
      </c>
      <c r="D590" s="62" t="s">
        <v>887</v>
      </c>
      <c r="E590" s="50" t="s">
        <v>888</v>
      </c>
      <c r="F590" t="s">
        <v>1630</v>
      </c>
      <c r="G590" t="s">
        <v>1630</v>
      </c>
      <c r="H590" s="57" t="s">
        <v>1810</v>
      </c>
      <c r="I590" t="s">
        <v>1062</v>
      </c>
      <c r="J590" s="64">
        <v>0</v>
      </c>
    </row>
    <row r="591" spans="2:10" x14ac:dyDescent="0.25">
      <c r="B591" t="str">
        <f t="shared" si="9"/>
        <v>Vier (Ca' Solaro)EPC-PHV-L736-02</v>
      </c>
      <c r="C591" t="s">
        <v>958</v>
      </c>
      <c r="D591" s="62" t="s">
        <v>887</v>
      </c>
      <c r="E591" s="50" t="s">
        <v>959</v>
      </c>
      <c r="F591" t="s">
        <v>1630</v>
      </c>
      <c r="G591" t="s">
        <v>1630</v>
      </c>
      <c r="H591" s="57" t="s">
        <v>1811</v>
      </c>
      <c r="I591" t="s">
        <v>1812</v>
      </c>
      <c r="J591" s="64">
        <v>355.84944000000002</v>
      </c>
    </row>
    <row r="592" spans="2:10" x14ac:dyDescent="0.25">
      <c r="B592" t="str">
        <f t="shared" si="9"/>
        <v>Provincia di Monza e BrianzaEPC-IPU-F704-04</v>
      </c>
      <c r="C592" t="s">
        <v>958</v>
      </c>
      <c r="D592" s="62" t="s">
        <v>887</v>
      </c>
      <c r="E592" s="50" t="s">
        <v>888</v>
      </c>
      <c r="F592" t="s">
        <v>1630</v>
      </c>
      <c r="G592" t="s">
        <v>1630</v>
      </c>
      <c r="H592" s="57" t="s">
        <v>1813</v>
      </c>
      <c r="I592" t="s">
        <v>2304</v>
      </c>
      <c r="J592" s="64">
        <v>1.4847000000000001</v>
      </c>
    </row>
    <row r="593" spans="2:10" x14ac:dyDescent="0.25">
      <c r="B593" t="str">
        <f t="shared" si="9"/>
        <v>La FeniceEPC-IPU-A512-01</v>
      </c>
      <c r="C593" t="s">
        <v>826</v>
      </c>
      <c r="D593" s="62" t="s">
        <v>887</v>
      </c>
      <c r="E593" s="50" t="s">
        <v>910</v>
      </c>
      <c r="F593" t="s">
        <v>1630</v>
      </c>
      <c r="G593" t="s">
        <v>1630</v>
      </c>
      <c r="H593" s="57" t="s">
        <v>1814</v>
      </c>
      <c r="I593" t="s">
        <v>1815</v>
      </c>
      <c r="J593" s="64">
        <v>0.73199999999999998</v>
      </c>
    </row>
    <row r="594" spans="2:10" x14ac:dyDescent="0.25">
      <c r="B594" t="str">
        <f t="shared" si="9"/>
        <v>COSTRUZIONI ING. E. PASQUALUCCI SRLEPC-IPU-B162-02</v>
      </c>
      <c r="C594" t="s">
        <v>826</v>
      </c>
      <c r="D594" s="62" t="s">
        <v>887</v>
      </c>
      <c r="E594" s="50" t="s">
        <v>888</v>
      </c>
      <c r="F594" t="s">
        <v>1630</v>
      </c>
      <c r="G594" t="s">
        <v>1630</v>
      </c>
      <c r="H594" s="57" t="s">
        <v>1816</v>
      </c>
      <c r="I594" t="s">
        <v>1817</v>
      </c>
      <c r="J594" s="64">
        <v>1.0671400000000002</v>
      </c>
    </row>
    <row r="595" spans="2:10" x14ac:dyDescent="0.25">
      <c r="B595" t="str">
        <f t="shared" si="9"/>
        <v>GUARDIA PERTICARAEPC-IPU-E246-03</v>
      </c>
      <c r="C595" t="s">
        <v>826</v>
      </c>
      <c r="D595" s="62" t="s">
        <v>887</v>
      </c>
      <c r="E595" s="50" t="s">
        <v>896</v>
      </c>
      <c r="F595" t="s">
        <v>1630</v>
      </c>
      <c r="G595" t="s">
        <v>1630</v>
      </c>
      <c r="H595" s="57" t="s">
        <v>1818</v>
      </c>
      <c r="I595" t="s">
        <v>1819</v>
      </c>
      <c r="J595" s="64">
        <v>0</v>
      </c>
    </row>
    <row r="596" spans="2:10" x14ac:dyDescent="0.25">
      <c r="B596" t="str">
        <f t="shared" si="9"/>
        <v>Delta Impianti srlEPC-IPU-E906-01</v>
      </c>
      <c r="C596" t="s">
        <v>826</v>
      </c>
      <c r="D596" s="62" t="s">
        <v>887</v>
      </c>
      <c r="E596" s="50" t="s">
        <v>910</v>
      </c>
      <c r="F596" t="s">
        <v>1630</v>
      </c>
      <c r="G596" t="s">
        <v>1630</v>
      </c>
      <c r="H596" s="57" t="s">
        <v>1820</v>
      </c>
      <c r="I596" t="s">
        <v>1821</v>
      </c>
      <c r="J596" s="64">
        <v>1.65933</v>
      </c>
    </row>
    <row r="597" spans="2:10" x14ac:dyDescent="0.25">
      <c r="B597" t="str">
        <f t="shared" si="9"/>
        <v>PaganiPPP-IPU-G230-02</v>
      </c>
      <c r="C597" t="s">
        <v>826</v>
      </c>
      <c r="D597" s="62" t="s">
        <v>887</v>
      </c>
      <c r="E597" s="50" t="s">
        <v>910</v>
      </c>
      <c r="F597" t="s">
        <v>1630</v>
      </c>
      <c r="G597" t="s">
        <v>1630</v>
      </c>
      <c r="H597" s="57" t="s">
        <v>1822</v>
      </c>
      <c r="I597" t="s">
        <v>1423</v>
      </c>
      <c r="J597" s="64">
        <v>0</v>
      </c>
    </row>
    <row r="598" spans="2:10" x14ac:dyDescent="0.25">
      <c r="B598" t="str">
        <f t="shared" si="9"/>
        <v>Danilo ConsonniEPC-IPU-B731-02</v>
      </c>
      <c r="C598" t="s">
        <v>826</v>
      </c>
      <c r="D598" s="62" t="s">
        <v>887</v>
      </c>
      <c r="E598" s="50" t="s">
        <v>888</v>
      </c>
      <c r="F598" t="s">
        <v>1630</v>
      </c>
      <c r="G598" t="s">
        <v>1630</v>
      </c>
      <c r="H598" s="57" t="s">
        <v>1823</v>
      </c>
      <c r="I598" t="s">
        <v>1824</v>
      </c>
      <c r="J598" s="64">
        <v>1.19753</v>
      </c>
    </row>
    <row r="599" spans="2:10" x14ac:dyDescent="0.25">
      <c r="B599" t="str">
        <f t="shared" si="9"/>
        <v>Spezzano AlbaneseSEC-IPU-I895-01</v>
      </c>
      <c r="C599" s="50" t="s">
        <v>826</v>
      </c>
      <c r="D599" s="51" t="s">
        <v>1488</v>
      </c>
      <c r="E599" s="50" t="s">
        <v>910</v>
      </c>
      <c r="F599" s="50" t="s">
        <v>1630</v>
      </c>
      <c r="G599" s="50" t="s">
        <v>1630</v>
      </c>
      <c r="H599" s="57" t="s">
        <v>1825</v>
      </c>
      <c r="I599" s="50" t="s">
        <v>1522</v>
      </c>
      <c r="J599" s="54">
        <v>0</v>
      </c>
    </row>
    <row r="600" spans="2:10" x14ac:dyDescent="0.25">
      <c r="B600" t="str">
        <f t="shared" si="9"/>
        <v>Logidice srlEPC-IPU-D010-01</v>
      </c>
      <c r="C600" t="s">
        <v>826</v>
      </c>
      <c r="D600" s="62" t="s">
        <v>887</v>
      </c>
      <c r="E600" s="50" t="s">
        <v>910</v>
      </c>
      <c r="F600" t="s">
        <v>1630</v>
      </c>
      <c r="G600" t="s">
        <v>1630</v>
      </c>
      <c r="H600" s="57" t="s">
        <v>1826</v>
      </c>
      <c r="I600" t="s">
        <v>1827</v>
      </c>
      <c r="J600" s="64">
        <v>0.36280000000000001</v>
      </c>
    </row>
    <row r="601" spans="2:10" x14ac:dyDescent="0.25">
      <c r="B601" t="str">
        <f t="shared" si="9"/>
        <v>ClaviereEPC-IPU-C793-01</v>
      </c>
      <c r="C601" t="s">
        <v>826</v>
      </c>
      <c r="D601" s="62" t="s">
        <v>887</v>
      </c>
      <c r="E601" s="50" t="s">
        <v>888</v>
      </c>
      <c r="F601" t="s">
        <v>1630</v>
      </c>
      <c r="G601" t="s">
        <v>1630</v>
      </c>
      <c r="H601" s="57" t="s">
        <v>1828</v>
      </c>
      <c r="I601" t="s">
        <v>1829</v>
      </c>
      <c r="J601" s="64">
        <v>0</v>
      </c>
    </row>
    <row r="602" spans="2:10" x14ac:dyDescent="0.25">
      <c r="B602" t="str">
        <f t="shared" si="9"/>
        <v>BorgoroseSEC-PHV-B008-01</v>
      </c>
      <c r="C602" t="s">
        <v>826</v>
      </c>
      <c r="D602" s="62" t="s">
        <v>887</v>
      </c>
      <c r="E602" s="50" t="s">
        <v>896</v>
      </c>
      <c r="F602" t="s">
        <v>897</v>
      </c>
      <c r="G602" t="s">
        <v>897</v>
      </c>
      <c r="H602" s="57" t="s">
        <v>1830</v>
      </c>
      <c r="I602" t="s">
        <v>1831</v>
      </c>
      <c r="J602" s="64">
        <v>0</v>
      </c>
    </row>
    <row r="603" spans="2:10" x14ac:dyDescent="0.25">
      <c r="B603" t="str">
        <f t="shared" si="9"/>
        <v>Campi SalentinaSEC-PHV-B506-05</v>
      </c>
      <c r="C603" t="s">
        <v>826</v>
      </c>
      <c r="D603" s="62" t="s">
        <v>887</v>
      </c>
      <c r="E603" s="50" t="s">
        <v>910</v>
      </c>
      <c r="F603" t="s">
        <v>897</v>
      </c>
      <c r="G603" t="s">
        <v>897</v>
      </c>
      <c r="H603" s="57" t="s">
        <v>1832</v>
      </c>
      <c r="I603" t="s">
        <v>1363</v>
      </c>
      <c r="J603" s="64">
        <v>0</v>
      </c>
    </row>
    <row r="604" spans="2:10" x14ac:dyDescent="0.25">
      <c r="B604" t="str">
        <f t="shared" si="9"/>
        <v>CollarmeleSEC-PHV-C844-01</v>
      </c>
      <c r="C604" t="s">
        <v>826</v>
      </c>
      <c r="D604" s="62" t="s">
        <v>887</v>
      </c>
      <c r="E604" s="50" t="s">
        <v>896</v>
      </c>
      <c r="F604" t="s">
        <v>897</v>
      </c>
      <c r="G604" t="s">
        <v>897</v>
      </c>
      <c r="H604" s="57" t="s">
        <v>1834</v>
      </c>
      <c r="I604" t="s">
        <v>1835</v>
      </c>
      <c r="J604" s="64">
        <v>0</v>
      </c>
    </row>
    <row r="605" spans="2:10" x14ac:dyDescent="0.25">
      <c r="B605" t="str">
        <f t="shared" si="9"/>
        <v>CorfinioSEC-PHV-C999-01</v>
      </c>
      <c r="C605" t="s">
        <v>826</v>
      </c>
      <c r="D605" s="62" t="s">
        <v>887</v>
      </c>
      <c r="E605" s="50" t="s">
        <v>896</v>
      </c>
      <c r="F605" t="s">
        <v>897</v>
      </c>
      <c r="G605" t="s">
        <v>897</v>
      </c>
      <c r="H605" s="57" t="s">
        <v>1836</v>
      </c>
      <c r="I605" t="s">
        <v>1837</v>
      </c>
      <c r="J605" s="64">
        <v>0</v>
      </c>
    </row>
    <row r="606" spans="2:10" x14ac:dyDescent="0.25">
      <c r="B606" t="str">
        <f t="shared" si="9"/>
        <v>VARANOPPP-IPU-B357-01</v>
      </c>
      <c r="C606" t="s">
        <v>826</v>
      </c>
      <c r="D606" s="62" t="s">
        <v>887</v>
      </c>
      <c r="E606" s="50" t="s">
        <v>896</v>
      </c>
      <c r="F606" t="s">
        <v>889</v>
      </c>
      <c r="G606" t="s">
        <v>890</v>
      </c>
      <c r="H606" s="57" t="s">
        <v>1838</v>
      </c>
      <c r="I606" t="s">
        <v>1839</v>
      </c>
      <c r="J606" s="64">
        <v>0</v>
      </c>
    </row>
    <row r="607" spans="2:10" x14ac:dyDescent="0.25">
      <c r="B607" t="str">
        <f t="shared" si="9"/>
        <v>BorgettoPPP-IPU-A991-01</v>
      </c>
      <c r="C607" t="s">
        <v>826</v>
      </c>
      <c r="D607" s="62" t="s">
        <v>887</v>
      </c>
      <c r="E607" s="50" t="s">
        <v>910</v>
      </c>
      <c r="F607" t="s">
        <v>889</v>
      </c>
      <c r="G607" t="s">
        <v>890</v>
      </c>
      <c r="H607" s="57" t="s">
        <v>1840</v>
      </c>
      <c r="I607" t="s">
        <v>1841</v>
      </c>
      <c r="J607" s="64">
        <v>0</v>
      </c>
    </row>
    <row r="608" spans="2:10" x14ac:dyDescent="0.25">
      <c r="B608" t="str">
        <f t="shared" si="9"/>
        <v>CAMPI SALENTINAPPP-EEE-B506-02</v>
      </c>
      <c r="C608" t="s">
        <v>826</v>
      </c>
      <c r="D608" s="62" t="s">
        <v>887</v>
      </c>
      <c r="E608" s="50" t="s">
        <v>910</v>
      </c>
      <c r="F608" t="s">
        <v>965</v>
      </c>
      <c r="G608" t="s">
        <v>965</v>
      </c>
      <c r="H608" s="57" t="s">
        <v>1842</v>
      </c>
      <c r="I608" t="s">
        <v>2325</v>
      </c>
      <c r="J608" s="64">
        <v>0</v>
      </c>
    </row>
    <row r="609" spans="2:10" x14ac:dyDescent="0.25">
      <c r="B609" t="str">
        <f t="shared" si="9"/>
        <v>CAMPI SALENTINAPPP-EEE-B506-03</v>
      </c>
      <c r="C609" t="s">
        <v>826</v>
      </c>
      <c r="D609" s="62" t="s">
        <v>887</v>
      </c>
      <c r="E609" s="50" t="s">
        <v>910</v>
      </c>
      <c r="F609" t="s">
        <v>965</v>
      </c>
      <c r="G609" t="s">
        <v>965</v>
      </c>
      <c r="H609" s="57" t="s">
        <v>1843</v>
      </c>
      <c r="I609" t="s">
        <v>2325</v>
      </c>
      <c r="J609" s="64">
        <v>0</v>
      </c>
    </row>
    <row r="610" spans="2:10" x14ac:dyDescent="0.25">
      <c r="B610" t="str">
        <f t="shared" si="9"/>
        <v>CAMPI SALENTINAPPP-EEE-B506-01</v>
      </c>
      <c r="C610" t="s">
        <v>826</v>
      </c>
      <c r="D610" s="62" t="s">
        <v>887</v>
      </c>
      <c r="E610" s="50" t="s">
        <v>910</v>
      </c>
      <c r="F610" t="s">
        <v>965</v>
      </c>
      <c r="G610" t="s">
        <v>965</v>
      </c>
      <c r="H610" s="57" t="s">
        <v>1844</v>
      </c>
      <c r="I610" t="s">
        <v>2325</v>
      </c>
      <c r="J610" s="64">
        <v>0</v>
      </c>
    </row>
    <row r="611" spans="2:10" x14ac:dyDescent="0.25">
      <c r="B611" t="str">
        <f t="shared" si="9"/>
        <v>CanegratePPP-IPU-B593-01</v>
      </c>
      <c r="C611" t="s">
        <v>958</v>
      </c>
      <c r="D611" s="62" t="s">
        <v>887</v>
      </c>
      <c r="E611" s="50" t="s">
        <v>888</v>
      </c>
      <c r="F611" t="s">
        <v>889</v>
      </c>
      <c r="G611" t="s">
        <v>890</v>
      </c>
      <c r="H611" s="57" t="s">
        <v>1845</v>
      </c>
      <c r="I611" t="s">
        <v>1846</v>
      </c>
      <c r="J611" s="64">
        <v>0</v>
      </c>
    </row>
    <row r="612" spans="2:10" x14ac:dyDescent="0.25">
      <c r="B612" t="str">
        <f t="shared" si="9"/>
        <v>CARDINALEPPP-IPU-B758-01</v>
      </c>
      <c r="C612" t="s">
        <v>826</v>
      </c>
      <c r="D612" s="62" t="s">
        <v>887</v>
      </c>
      <c r="E612" s="50" t="s">
        <v>910</v>
      </c>
      <c r="F612" t="s">
        <v>889</v>
      </c>
      <c r="G612" t="s">
        <v>890</v>
      </c>
      <c r="H612" s="57" t="s">
        <v>1847</v>
      </c>
      <c r="I612" t="s">
        <v>1848</v>
      </c>
      <c r="J612" s="64">
        <v>0</v>
      </c>
    </row>
    <row r="613" spans="2:10" x14ac:dyDescent="0.25">
      <c r="B613" t="str">
        <f t="shared" si="9"/>
        <v>CASTELLAMMARE DEL GOLFOPPP-IPU-C130-01</v>
      </c>
      <c r="C613" t="s">
        <v>826</v>
      </c>
      <c r="D613" s="62" t="s">
        <v>887</v>
      </c>
      <c r="E613" s="50" t="s">
        <v>910</v>
      </c>
      <c r="F613" t="s">
        <v>889</v>
      </c>
      <c r="G613" t="s">
        <v>890</v>
      </c>
      <c r="H613" s="57" t="s">
        <v>1849</v>
      </c>
      <c r="I613" t="s">
        <v>1850</v>
      </c>
      <c r="J613" s="64">
        <v>0</v>
      </c>
    </row>
    <row r="614" spans="2:10" x14ac:dyDescent="0.25">
      <c r="B614" t="str">
        <f t="shared" si="9"/>
        <v>FAGGIANOPPP-IPU-D463-01</v>
      </c>
      <c r="C614" t="s">
        <v>826</v>
      </c>
      <c r="D614" s="62" t="s">
        <v>887</v>
      </c>
      <c r="E614" s="50" t="s">
        <v>910</v>
      </c>
      <c r="F614" t="s">
        <v>889</v>
      </c>
      <c r="G614" t="s">
        <v>890</v>
      </c>
      <c r="H614" s="57" t="s">
        <v>1851</v>
      </c>
      <c r="I614" t="s">
        <v>1852</v>
      </c>
      <c r="J614" s="64">
        <v>0</v>
      </c>
    </row>
    <row r="615" spans="2:10" x14ac:dyDescent="0.25">
      <c r="B615" t="str">
        <f t="shared" si="9"/>
        <v>GROTTAGLIEPPP-IPU-E205-01</v>
      </c>
      <c r="C615" t="s">
        <v>826</v>
      </c>
      <c r="D615" s="62" t="s">
        <v>887</v>
      </c>
      <c r="E615" s="50" t="s">
        <v>910</v>
      </c>
      <c r="F615" t="s">
        <v>889</v>
      </c>
      <c r="G615" t="s">
        <v>890</v>
      </c>
      <c r="H615" s="57" t="s">
        <v>1853</v>
      </c>
      <c r="I615" t="s">
        <v>1854</v>
      </c>
      <c r="J615" s="64">
        <v>0</v>
      </c>
    </row>
    <row r="616" spans="2:10" x14ac:dyDescent="0.25">
      <c r="B616" t="str">
        <f t="shared" si="9"/>
        <v>Guardia PerticaraPPP-IPU-E246-01</v>
      </c>
      <c r="C616" t="s">
        <v>826</v>
      </c>
      <c r="D616" s="62" t="s">
        <v>887</v>
      </c>
      <c r="E616" s="50" t="s">
        <v>910</v>
      </c>
      <c r="F616" t="s">
        <v>889</v>
      </c>
      <c r="G616" t="s">
        <v>890</v>
      </c>
      <c r="H616" s="57" t="s">
        <v>1855</v>
      </c>
      <c r="I616" t="s">
        <v>1856</v>
      </c>
      <c r="J616" s="64">
        <v>0</v>
      </c>
    </row>
    <row r="617" spans="2:10" x14ac:dyDescent="0.25">
      <c r="B617" t="str">
        <f t="shared" si="9"/>
        <v>LACEDONIAPPP-IPU-E397-01</v>
      </c>
      <c r="C617" t="s">
        <v>826</v>
      </c>
      <c r="D617" s="62" t="s">
        <v>887</v>
      </c>
      <c r="E617" s="50" t="s">
        <v>910</v>
      </c>
      <c r="F617" t="s">
        <v>889</v>
      </c>
      <c r="G617" t="s">
        <v>890</v>
      </c>
      <c r="H617" s="57" t="s">
        <v>1857</v>
      </c>
      <c r="I617" t="s">
        <v>1858</v>
      </c>
      <c r="J617" s="64">
        <v>0</v>
      </c>
    </row>
    <row r="618" spans="2:10" x14ac:dyDescent="0.25">
      <c r="B618" t="str">
        <f t="shared" si="9"/>
        <v>LAVELLOPPP-IPU-E493-01</v>
      </c>
      <c r="C618" t="s">
        <v>826</v>
      </c>
      <c r="D618" s="62" t="s">
        <v>887</v>
      </c>
      <c r="E618" s="50" t="s">
        <v>910</v>
      </c>
      <c r="F618" t="s">
        <v>889</v>
      </c>
      <c r="G618" t="s">
        <v>890</v>
      </c>
      <c r="H618" s="57" t="s">
        <v>1859</v>
      </c>
      <c r="I618" t="s">
        <v>1860</v>
      </c>
      <c r="J618" s="64">
        <v>0</v>
      </c>
    </row>
    <row r="619" spans="2:10" x14ac:dyDescent="0.25">
      <c r="B619" t="str">
        <f t="shared" si="9"/>
        <v>MESSINAPPP-IPU-F158-01</v>
      </c>
      <c r="C619" t="s">
        <v>826</v>
      </c>
      <c r="D619" s="62" t="s">
        <v>887</v>
      </c>
      <c r="E619" s="50" t="s">
        <v>910</v>
      </c>
      <c r="F619" t="s">
        <v>889</v>
      </c>
      <c r="G619" t="s">
        <v>890</v>
      </c>
      <c r="H619" s="57" t="s">
        <v>1861</v>
      </c>
      <c r="I619" t="s">
        <v>1862</v>
      </c>
      <c r="J619" s="64">
        <v>0</v>
      </c>
    </row>
    <row r="620" spans="2:10" x14ac:dyDescent="0.25">
      <c r="B620" t="str">
        <f t="shared" si="9"/>
        <v>PietragallaPPP-IPU-G616-01</v>
      </c>
      <c r="C620" t="s">
        <v>826</v>
      </c>
      <c r="D620" s="62" t="s">
        <v>887</v>
      </c>
      <c r="E620" s="50" t="s">
        <v>910</v>
      </c>
      <c r="F620" t="s">
        <v>889</v>
      </c>
      <c r="G620" t="s">
        <v>890</v>
      </c>
      <c r="H620" s="57" t="s">
        <v>1863</v>
      </c>
      <c r="I620" t="s">
        <v>1296</v>
      </c>
      <c r="J620" s="64">
        <v>0</v>
      </c>
    </row>
    <row r="621" spans="2:10" x14ac:dyDescent="0.25">
      <c r="B621" t="str">
        <f t="shared" si="9"/>
        <v>PIETRAVAIRANOPPP-IPU-G630-01</v>
      </c>
      <c r="C621" t="s">
        <v>826</v>
      </c>
      <c r="D621" s="62" t="s">
        <v>887</v>
      </c>
      <c r="E621" s="50" t="s">
        <v>910</v>
      </c>
      <c r="F621" t="s">
        <v>889</v>
      </c>
      <c r="G621" t="s">
        <v>890</v>
      </c>
      <c r="H621" s="57" t="s">
        <v>1864</v>
      </c>
      <c r="I621" t="s">
        <v>1865</v>
      </c>
      <c r="J621" s="64">
        <v>0</v>
      </c>
    </row>
    <row r="622" spans="2:10" x14ac:dyDescent="0.25">
      <c r="B622" t="str">
        <f t="shared" si="9"/>
        <v>REGALBUTOPPP-IPU-H221-01</v>
      </c>
      <c r="C622" t="s">
        <v>826</v>
      </c>
      <c r="D622" s="62" t="s">
        <v>887</v>
      </c>
      <c r="E622" s="50" t="s">
        <v>910</v>
      </c>
      <c r="F622" t="s">
        <v>889</v>
      </c>
      <c r="G622" t="s">
        <v>890</v>
      </c>
      <c r="H622" s="57" t="s">
        <v>1866</v>
      </c>
      <c r="I622" t="s">
        <v>1867</v>
      </c>
      <c r="J622" s="64">
        <v>0</v>
      </c>
    </row>
    <row r="623" spans="2:10" x14ac:dyDescent="0.25">
      <c r="B623" t="str">
        <f t="shared" si="9"/>
        <v>SAN GIULIANO MILANESEPPP-IPU-H930-01</v>
      </c>
      <c r="C623" t="s">
        <v>958</v>
      </c>
      <c r="D623" s="62" t="s">
        <v>887</v>
      </c>
      <c r="E623" s="50" t="s">
        <v>888</v>
      </c>
      <c r="F623" t="s">
        <v>889</v>
      </c>
      <c r="G623" t="s">
        <v>890</v>
      </c>
      <c r="H623" s="57" t="s">
        <v>1868</v>
      </c>
      <c r="I623" t="s">
        <v>1869</v>
      </c>
      <c r="J623" s="64">
        <v>0</v>
      </c>
    </row>
    <row r="624" spans="2:10" x14ac:dyDescent="0.25">
      <c r="B624" t="str">
        <f t="shared" si="9"/>
        <v>SAN TEODOROPPP-IPU-I329-01</v>
      </c>
      <c r="C624" t="s">
        <v>826</v>
      </c>
      <c r="D624" s="62" t="s">
        <v>887</v>
      </c>
      <c r="E624" s="50" t="s">
        <v>910</v>
      </c>
      <c r="F624" t="s">
        <v>889</v>
      </c>
      <c r="G624" t="s">
        <v>890</v>
      </c>
      <c r="H624" s="57" t="s">
        <v>1870</v>
      </c>
      <c r="I624" t="s">
        <v>1871</v>
      </c>
      <c r="J624" s="64">
        <v>0</v>
      </c>
    </row>
    <row r="625" spans="2:10" x14ac:dyDescent="0.25">
      <c r="B625" t="str">
        <f t="shared" si="9"/>
        <v>SAN VITO SULLO IONIOPPP-IPU-I393-01</v>
      </c>
      <c r="C625" t="s">
        <v>826</v>
      </c>
      <c r="D625" s="62" t="s">
        <v>887</v>
      </c>
      <c r="E625" s="50" t="s">
        <v>910</v>
      </c>
      <c r="F625" t="s">
        <v>889</v>
      </c>
      <c r="G625" t="s">
        <v>890</v>
      </c>
      <c r="H625" s="57" t="s">
        <v>1872</v>
      </c>
      <c r="I625" t="s">
        <v>1873</v>
      </c>
      <c r="J625" s="64">
        <v>0</v>
      </c>
    </row>
    <row r="626" spans="2:10" x14ac:dyDescent="0.25">
      <c r="B626" t="str">
        <f t="shared" si="9"/>
        <v>SANT'ANGELO LE FRATTEPPP-IPU-I288-01</v>
      </c>
      <c r="C626" t="s">
        <v>826</v>
      </c>
      <c r="D626" s="62" t="s">
        <v>887</v>
      </c>
      <c r="E626" s="50" t="s">
        <v>910</v>
      </c>
      <c r="F626" t="s">
        <v>889</v>
      </c>
      <c r="G626" t="s">
        <v>890</v>
      </c>
      <c r="H626" s="57" t="s">
        <v>1874</v>
      </c>
      <c r="I626" t="s">
        <v>1875</v>
      </c>
      <c r="J626" s="64">
        <v>0</v>
      </c>
    </row>
    <row r="627" spans="2:10" x14ac:dyDescent="0.25">
      <c r="B627" t="str">
        <f t="shared" si="9"/>
        <v>SOMMATINOPPP-IPU-I824-01</v>
      </c>
      <c r="C627" t="s">
        <v>826</v>
      </c>
      <c r="D627" s="62" t="s">
        <v>887</v>
      </c>
      <c r="E627" s="50" t="s">
        <v>910</v>
      </c>
      <c r="F627" t="s">
        <v>889</v>
      </c>
      <c r="G627" t="s">
        <v>890</v>
      </c>
      <c r="H627" s="57" t="s">
        <v>1876</v>
      </c>
      <c r="I627" t="s">
        <v>1877</v>
      </c>
      <c r="J627" s="64">
        <v>0</v>
      </c>
    </row>
    <row r="628" spans="2:10" x14ac:dyDescent="0.25">
      <c r="B628" t="str">
        <f t="shared" si="9"/>
        <v>TRECCHINAPPP-IPU-L357-01</v>
      </c>
      <c r="C628" t="s">
        <v>826</v>
      </c>
      <c r="D628" s="62" t="s">
        <v>887</v>
      </c>
      <c r="E628" s="50" t="s">
        <v>910</v>
      </c>
      <c r="F628" t="s">
        <v>889</v>
      </c>
      <c r="G628" t="s">
        <v>890</v>
      </c>
      <c r="H628" s="57" t="s">
        <v>1878</v>
      </c>
      <c r="I628" t="s">
        <v>1879</v>
      </c>
      <c r="J628" s="64">
        <v>0</v>
      </c>
    </row>
    <row r="629" spans="2:10" x14ac:dyDescent="0.25">
      <c r="B629" t="str">
        <f t="shared" si="9"/>
        <v>GUARDIA PIEMONTESEPPP-IPU-E242-01</v>
      </c>
      <c r="C629" t="s">
        <v>826</v>
      </c>
      <c r="D629" s="62" t="s">
        <v>887</v>
      </c>
      <c r="E629" s="50" t="s">
        <v>888</v>
      </c>
      <c r="F629" t="s">
        <v>889</v>
      </c>
      <c r="G629" t="s">
        <v>890</v>
      </c>
      <c r="H629" s="57" t="s">
        <v>1880</v>
      </c>
      <c r="I629" t="s">
        <v>1881</v>
      </c>
      <c r="J629" s="64">
        <v>0</v>
      </c>
    </row>
    <row r="630" spans="2:10" x14ac:dyDescent="0.25">
      <c r="B630" t="str">
        <f t="shared" si="9"/>
        <v>galleries - savona provPPP-IPU-I480-01</v>
      </c>
      <c r="C630" t="s">
        <v>826</v>
      </c>
      <c r="D630" s="62" t="s">
        <v>887</v>
      </c>
      <c r="E630" s="50" t="s">
        <v>888</v>
      </c>
      <c r="F630" t="s">
        <v>889</v>
      </c>
      <c r="G630" t="s">
        <v>890</v>
      </c>
      <c r="H630" s="57" t="s">
        <v>1882</v>
      </c>
      <c r="I630" t="s">
        <v>1883</v>
      </c>
      <c r="J630" s="64">
        <v>0</v>
      </c>
    </row>
    <row r="631" spans="2:10" x14ac:dyDescent="0.25">
      <c r="B631" t="str">
        <f t="shared" si="9"/>
        <v>SenigalliaCL3-IPU-I608-01</v>
      </c>
      <c r="C631" t="s">
        <v>958</v>
      </c>
      <c r="D631" s="62" t="s">
        <v>887</v>
      </c>
      <c r="E631" s="50" t="s">
        <v>896</v>
      </c>
      <c r="F631" t="s">
        <v>889</v>
      </c>
      <c r="G631" t="s">
        <v>1016</v>
      </c>
      <c r="H631" s="57" t="s">
        <v>1884</v>
      </c>
      <c r="I631" t="s">
        <v>1751</v>
      </c>
      <c r="J631" s="64">
        <v>0</v>
      </c>
    </row>
    <row r="632" spans="2:10" x14ac:dyDescent="0.25">
      <c r="B632" t="str">
        <f t="shared" si="9"/>
        <v>TribianoEPC-IPU-L415-04</v>
      </c>
      <c r="C632" t="s">
        <v>958</v>
      </c>
      <c r="D632" s="62" t="s">
        <v>887</v>
      </c>
      <c r="E632" s="50" t="s">
        <v>888</v>
      </c>
      <c r="F632" t="s">
        <v>1533</v>
      </c>
      <c r="G632" t="s">
        <v>1533</v>
      </c>
      <c r="H632" s="57" t="s">
        <v>1885</v>
      </c>
      <c r="I632" t="s">
        <v>1886</v>
      </c>
      <c r="J632" s="64">
        <v>3.6619200000000003</v>
      </c>
    </row>
    <row r="633" spans="2:10" x14ac:dyDescent="0.25">
      <c r="B633" t="str">
        <f t="shared" si="9"/>
        <v>Eco+Eco srlPPP-IPU-L736-01</v>
      </c>
      <c r="C633" t="s">
        <v>958</v>
      </c>
      <c r="D633" s="62" t="s">
        <v>887</v>
      </c>
      <c r="E633" s="50" t="s">
        <v>959</v>
      </c>
      <c r="F633" t="s">
        <v>889</v>
      </c>
      <c r="G633" t="s">
        <v>890</v>
      </c>
      <c r="H633" s="57" t="s">
        <v>1887</v>
      </c>
      <c r="I633" t="s">
        <v>1888</v>
      </c>
      <c r="J633" s="64">
        <v>0</v>
      </c>
    </row>
    <row r="634" spans="2:10" x14ac:dyDescent="0.25">
      <c r="B634" t="str">
        <f t="shared" si="9"/>
        <v>MelissanoPPP-IPU-F109-01</v>
      </c>
      <c r="C634" t="s">
        <v>826</v>
      </c>
      <c r="D634" s="62" t="s">
        <v>887</v>
      </c>
      <c r="E634" s="50" t="s">
        <v>910</v>
      </c>
      <c r="F634" t="s">
        <v>889</v>
      </c>
      <c r="G634" t="s">
        <v>890</v>
      </c>
      <c r="H634" s="57" t="s">
        <v>1889</v>
      </c>
      <c r="I634" t="s">
        <v>1290</v>
      </c>
      <c r="J634" s="64">
        <v>0</v>
      </c>
    </row>
    <row r="635" spans="2:10" x14ac:dyDescent="0.25">
      <c r="B635" t="str">
        <f t="shared" si="9"/>
        <v>Brindisi di MontagnaPPP-IPU-B181-01</v>
      </c>
      <c r="C635" t="s">
        <v>826</v>
      </c>
      <c r="D635" s="62" t="s">
        <v>887</v>
      </c>
      <c r="E635" s="50" t="s">
        <v>910</v>
      </c>
      <c r="F635" t="s">
        <v>889</v>
      </c>
      <c r="G635" t="s">
        <v>890</v>
      </c>
      <c r="H635" s="57" t="s">
        <v>1890</v>
      </c>
      <c r="I635" t="s">
        <v>1891</v>
      </c>
      <c r="J635" s="64">
        <v>0</v>
      </c>
    </row>
    <row r="636" spans="2:10" x14ac:dyDescent="0.25">
      <c r="B636" t="str">
        <f t="shared" si="9"/>
        <v>TribianoEPC-IPU-L415-05</v>
      </c>
      <c r="C636" t="s">
        <v>958</v>
      </c>
      <c r="D636" s="62" t="s">
        <v>887</v>
      </c>
      <c r="E636" s="50" t="s">
        <v>888</v>
      </c>
      <c r="F636" t="s">
        <v>1533</v>
      </c>
      <c r="G636" t="s">
        <v>1533</v>
      </c>
      <c r="H636" s="57" t="s">
        <v>1892</v>
      </c>
      <c r="I636" t="s">
        <v>1886</v>
      </c>
      <c r="J636" s="64">
        <v>1.9234100000000001</v>
      </c>
    </row>
    <row r="637" spans="2:10" x14ac:dyDescent="0.25">
      <c r="B637" t="str">
        <f t="shared" si="9"/>
        <v>AllistePPP-EEE-A208-02</v>
      </c>
      <c r="C637" t="s">
        <v>826</v>
      </c>
      <c r="D637" s="62" t="s">
        <v>887</v>
      </c>
      <c r="E637" s="50" t="s">
        <v>910</v>
      </c>
      <c r="F637" t="s">
        <v>965</v>
      </c>
      <c r="G637" t="s">
        <v>965</v>
      </c>
      <c r="H637" s="57" t="s">
        <v>1893</v>
      </c>
      <c r="I637" t="s">
        <v>1335</v>
      </c>
      <c r="J637" s="64">
        <v>0</v>
      </c>
    </row>
    <row r="638" spans="2:10" x14ac:dyDescent="0.25">
      <c r="B638" t="str">
        <f t="shared" si="9"/>
        <v>ArlunoEPC-IPU-A413-03</v>
      </c>
      <c r="C638" t="s">
        <v>958</v>
      </c>
      <c r="D638" s="62" t="s">
        <v>887</v>
      </c>
      <c r="E638" s="50" t="s">
        <v>888</v>
      </c>
      <c r="F638" t="s">
        <v>1533</v>
      </c>
      <c r="G638" t="s">
        <v>1533</v>
      </c>
      <c r="H638" s="57" t="s">
        <v>1895</v>
      </c>
      <c r="I638" t="s">
        <v>1020</v>
      </c>
      <c r="J638" s="64">
        <v>0</v>
      </c>
    </row>
    <row r="639" spans="2:10" x14ac:dyDescent="0.25">
      <c r="B639" t="str">
        <f t="shared" si="9"/>
        <v>MondolfoEPC-IPU-F348-05</v>
      </c>
      <c r="C639" t="s">
        <v>958</v>
      </c>
      <c r="D639" s="62" t="s">
        <v>887</v>
      </c>
      <c r="E639" s="50" t="s">
        <v>896</v>
      </c>
      <c r="F639" t="s">
        <v>1533</v>
      </c>
      <c r="G639" t="s">
        <v>1533</v>
      </c>
      <c r="H639" s="57" t="s">
        <v>1896</v>
      </c>
      <c r="I639" t="s">
        <v>1733</v>
      </c>
      <c r="J639" s="64">
        <v>0</v>
      </c>
    </row>
    <row r="640" spans="2:10" x14ac:dyDescent="0.25">
      <c r="B640" t="str">
        <f t="shared" si="9"/>
        <v>ArlunoEPC-IPU-A413-05</v>
      </c>
      <c r="C640" t="s">
        <v>958</v>
      </c>
      <c r="D640" s="62" t="s">
        <v>887</v>
      </c>
      <c r="E640" s="50" t="s">
        <v>888</v>
      </c>
      <c r="F640" t="s">
        <v>1533</v>
      </c>
      <c r="G640" t="s">
        <v>1533</v>
      </c>
      <c r="H640" s="57" t="s">
        <v>1897</v>
      </c>
      <c r="I640" t="s">
        <v>1020</v>
      </c>
      <c r="J640" s="64">
        <v>0</v>
      </c>
    </row>
    <row r="641" spans="2:10" x14ac:dyDescent="0.25">
      <c r="B641" t="str">
        <f t="shared" si="9"/>
        <v>San Giuliano MilaneseEPC-IPU-H930-02</v>
      </c>
      <c r="C641" t="s">
        <v>958</v>
      </c>
      <c r="D641" s="62" t="s">
        <v>887</v>
      </c>
      <c r="E641" s="50" t="s">
        <v>888</v>
      </c>
      <c r="F641" t="s">
        <v>1533</v>
      </c>
      <c r="G641" t="s">
        <v>1533</v>
      </c>
      <c r="H641" s="57" t="s">
        <v>1898</v>
      </c>
      <c r="I641" t="s">
        <v>1899</v>
      </c>
      <c r="J641" s="64">
        <v>31.855919999999998</v>
      </c>
    </row>
    <row r="642" spans="2:10" x14ac:dyDescent="0.25">
      <c r="B642" t="str">
        <f t="shared" si="9"/>
        <v>Mariano ComenseEPC-IPU-E951-07</v>
      </c>
      <c r="C642" t="s">
        <v>958</v>
      </c>
      <c r="D642" s="62" t="s">
        <v>887</v>
      </c>
      <c r="E642" s="50" t="s">
        <v>888</v>
      </c>
      <c r="F642" t="s">
        <v>1533</v>
      </c>
      <c r="G642" t="s">
        <v>1533</v>
      </c>
      <c r="H642" s="57" t="s">
        <v>1900</v>
      </c>
      <c r="I642" t="s">
        <v>1038</v>
      </c>
      <c r="J642" s="64">
        <v>0</v>
      </c>
    </row>
    <row r="643" spans="2:10" x14ac:dyDescent="0.25">
      <c r="B643" t="str">
        <f t="shared" si="9"/>
        <v>BellaEPC-IPU-A743-07</v>
      </c>
      <c r="C643" t="s">
        <v>826</v>
      </c>
      <c r="D643" s="62" t="s">
        <v>887</v>
      </c>
      <c r="E643" s="50" t="s">
        <v>910</v>
      </c>
      <c r="F643" t="s">
        <v>1533</v>
      </c>
      <c r="G643" t="s">
        <v>1533</v>
      </c>
      <c r="H643" s="57" t="s">
        <v>1901</v>
      </c>
      <c r="I643" t="s">
        <v>1347</v>
      </c>
      <c r="J643" s="64">
        <v>1.3</v>
      </c>
    </row>
    <row r="644" spans="2:10" x14ac:dyDescent="0.25">
      <c r="B644" t="str">
        <f t="shared" ref="B644:B707" si="10">+I644&amp;H644</f>
        <v>CrispianoEPC-IPU-D171-02</v>
      </c>
      <c r="C644" t="s">
        <v>826</v>
      </c>
      <c r="D644" s="62" t="s">
        <v>887</v>
      </c>
      <c r="E644" s="50" t="s">
        <v>910</v>
      </c>
      <c r="F644" t="s">
        <v>1533</v>
      </c>
      <c r="G644" t="s">
        <v>1533</v>
      </c>
      <c r="H644" s="57" t="s">
        <v>1902</v>
      </c>
      <c r="I644" t="s">
        <v>1375</v>
      </c>
      <c r="J644" s="64">
        <v>0</v>
      </c>
    </row>
    <row r="645" spans="2:10" x14ac:dyDescent="0.25">
      <c r="B645" t="str">
        <f t="shared" si="10"/>
        <v>San Giuliano MilaneseEPC-IPU-H930-03</v>
      </c>
      <c r="C645" t="s">
        <v>958</v>
      </c>
      <c r="D645" s="62" t="s">
        <v>887</v>
      </c>
      <c r="E645" s="50" t="s">
        <v>888</v>
      </c>
      <c r="F645" t="s">
        <v>1533</v>
      </c>
      <c r="G645" t="s">
        <v>1533</v>
      </c>
      <c r="H645" s="57" t="s">
        <v>1903</v>
      </c>
      <c r="I645" t="s">
        <v>1899</v>
      </c>
      <c r="J645" s="64">
        <v>0</v>
      </c>
    </row>
    <row r="646" spans="2:10" x14ac:dyDescent="0.25">
      <c r="B646" t="str">
        <f t="shared" si="10"/>
        <v>TribianoEPC-IPU-L415-03</v>
      </c>
      <c r="C646" t="s">
        <v>958</v>
      </c>
      <c r="D646" s="62" t="s">
        <v>887</v>
      </c>
      <c r="E646" s="50" t="s">
        <v>888</v>
      </c>
      <c r="F646" t="s">
        <v>1533</v>
      </c>
      <c r="G646" t="s">
        <v>1533</v>
      </c>
      <c r="H646" s="57" t="s">
        <v>1904</v>
      </c>
      <c r="I646" t="s">
        <v>1886</v>
      </c>
      <c r="J646" s="64">
        <v>15.640040000000001</v>
      </c>
    </row>
    <row r="647" spans="2:10" x14ac:dyDescent="0.25">
      <c r="B647" t="str">
        <f t="shared" si="10"/>
        <v>Palma CampaniaEPC-IPU-G283-01</v>
      </c>
      <c r="C647" t="s">
        <v>958</v>
      </c>
      <c r="D647" s="62" t="s">
        <v>887</v>
      </c>
      <c r="E647" s="50" t="s">
        <v>910</v>
      </c>
      <c r="F647" t="s">
        <v>1533</v>
      </c>
      <c r="G647" t="s">
        <v>1533</v>
      </c>
      <c r="H647" s="57" t="s">
        <v>1905</v>
      </c>
      <c r="I647" t="s">
        <v>1317</v>
      </c>
      <c r="J647" s="64">
        <v>4.0384099999999998</v>
      </c>
    </row>
    <row r="648" spans="2:10" x14ac:dyDescent="0.25">
      <c r="B648" t="str">
        <f t="shared" si="10"/>
        <v>MasateEPC-IPU-F003-01</v>
      </c>
      <c r="C648" t="s">
        <v>826</v>
      </c>
      <c r="D648" s="62" t="s">
        <v>887</v>
      </c>
      <c r="E648" s="50" t="s">
        <v>888</v>
      </c>
      <c r="F648" t="s">
        <v>1533</v>
      </c>
      <c r="G648" t="s">
        <v>1533</v>
      </c>
      <c r="H648" s="57" t="s">
        <v>1906</v>
      </c>
      <c r="I648" t="s">
        <v>1907</v>
      </c>
      <c r="J648" s="64">
        <v>0</v>
      </c>
    </row>
    <row r="649" spans="2:10" x14ac:dyDescent="0.25">
      <c r="B649" t="str">
        <f t="shared" si="10"/>
        <v>FossòEPC-IPU-D748-02</v>
      </c>
      <c r="C649" t="s">
        <v>826</v>
      </c>
      <c r="D649" s="62" t="s">
        <v>887</v>
      </c>
      <c r="E649" s="50" t="s">
        <v>959</v>
      </c>
      <c r="F649" t="s">
        <v>1533</v>
      </c>
      <c r="G649" t="s">
        <v>1533</v>
      </c>
      <c r="H649" s="57" t="s">
        <v>1908</v>
      </c>
      <c r="I649" t="s">
        <v>1242</v>
      </c>
      <c r="J649" s="64">
        <v>0</v>
      </c>
    </row>
    <row r="650" spans="2:10" x14ac:dyDescent="0.25">
      <c r="B650" t="str">
        <f t="shared" si="10"/>
        <v>MontemurroEPC-IPU-F573-07</v>
      </c>
      <c r="C650" t="s">
        <v>826</v>
      </c>
      <c r="D650" s="62" t="s">
        <v>887</v>
      </c>
      <c r="E650" s="50" t="s">
        <v>910</v>
      </c>
      <c r="F650" t="s">
        <v>1533</v>
      </c>
      <c r="G650" t="s">
        <v>1533</v>
      </c>
      <c r="H650" s="57" t="s">
        <v>1909</v>
      </c>
      <c r="I650" t="s">
        <v>1473</v>
      </c>
      <c r="J650" s="64">
        <v>0</v>
      </c>
    </row>
    <row r="651" spans="2:10" x14ac:dyDescent="0.25">
      <c r="B651" t="str">
        <f t="shared" si="10"/>
        <v>Silvano RenatoEPC-IPU-G942-02</v>
      </c>
      <c r="C651" t="s">
        <v>826</v>
      </c>
      <c r="D651" s="62" t="s">
        <v>887</v>
      </c>
      <c r="E651" s="50" t="s">
        <v>910</v>
      </c>
      <c r="F651" t="s">
        <v>1533</v>
      </c>
      <c r="G651" t="s">
        <v>1533</v>
      </c>
      <c r="H651" s="57" t="s">
        <v>1910</v>
      </c>
      <c r="I651" t="s">
        <v>1911</v>
      </c>
      <c r="J651" s="64">
        <v>2.4470000000000001</v>
      </c>
    </row>
    <row r="652" spans="2:10" x14ac:dyDescent="0.25">
      <c r="B652" t="str">
        <f t="shared" si="10"/>
        <v>Torrevecchia PiaEPC-IPU-L285-02</v>
      </c>
      <c r="C652" t="s">
        <v>826</v>
      </c>
      <c r="D652" s="62" t="s">
        <v>887</v>
      </c>
      <c r="E652" s="50" t="s">
        <v>888</v>
      </c>
      <c r="F652" t="s">
        <v>1533</v>
      </c>
      <c r="G652" t="s">
        <v>1533</v>
      </c>
      <c r="H652" s="57" t="s">
        <v>1912</v>
      </c>
      <c r="I652" t="s">
        <v>1074</v>
      </c>
      <c r="J652" s="64">
        <v>0</v>
      </c>
    </row>
    <row r="653" spans="2:10" x14ac:dyDescent="0.25">
      <c r="B653" t="str">
        <f t="shared" si="10"/>
        <v>Sant'Egidio del Monte AlbinoEPC-IPU-I317-02</v>
      </c>
      <c r="C653" t="s">
        <v>826</v>
      </c>
      <c r="D653" s="62" t="s">
        <v>887</v>
      </c>
      <c r="E653" s="50" t="s">
        <v>910</v>
      </c>
      <c r="F653" t="s">
        <v>1533</v>
      </c>
      <c r="G653" t="s">
        <v>1533</v>
      </c>
      <c r="H653" s="57" t="s">
        <v>1913</v>
      </c>
      <c r="I653" t="s">
        <v>1914</v>
      </c>
      <c r="J653" s="64">
        <v>2.6890800000000001</v>
      </c>
    </row>
    <row r="654" spans="2:10" x14ac:dyDescent="0.25">
      <c r="B654" t="str">
        <f t="shared" si="10"/>
        <v>TolentinoEPC-IPU-L191-05</v>
      </c>
      <c r="C654" t="s">
        <v>958</v>
      </c>
      <c r="D654" s="62" t="s">
        <v>887</v>
      </c>
      <c r="E654" s="50" t="s">
        <v>896</v>
      </c>
      <c r="F654" t="s">
        <v>1533</v>
      </c>
      <c r="G654" t="s">
        <v>1533</v>
      </c>
      <c r="H654" s="57" t="s">
        <v>1915</v>
      </c>
      <c r="I654" t="s">
        <v>1133</v>
      </c>
      <c r="J654" s="64">
        <v>1.6124499999999999</v>
      </c>
    </row>
    <row r="655" spans="2:10" x14ac:dyDescent="0.25">
      <c r="B655" t="str">
        <f t="shared" si="10"/>
        <v>ArlunoEPC-IPU-A413-07</v>
      </c>
      <c r="C655" t="s">
        <v>958</v>
      </c>
      <c r="D655" s="62" t="s">
        <v>887</v>
      </c>
      <c r="E655" s="50" t="s">
        <v>888</v>
      </c>
      <c r="F655" t="s">
        <v>1533</v>
      </c>
      <c r="G655" t="s">
        <v>1533</v>
      </c>
      <c r="H655" s="57" t="s">
        <v>1916</v>
      </c>
      <c r="I655" t="s">
        <v>1020</v>
      </c>
      <c r="J655" s="64">
        <v>0.49986000000000003</v>
      </c>
    </row>
    <row r="656" spans="2:10" x14ac:dyDescent="0.25">
      <c r="B656" t="str">
        <f t="shared" si="10"/>
        <v>overheadsFERIE</v>
      </c>
      <c r="C656" t="s">
        <v>826</v>
      </c>
      <c r="D656" s="62" t="s">
        <v>887</v>
      </c>
      <c r="E656" s="50" t="s">
        <v>1756</v>
      </c>
      <c r="F656" t="s">
        <v>855</v>
      </c>
      <c r="G656" t="s">
        <v>855</v>
      </c>
      <c r="H656" s="57" t="s">
        <v>1917</v>
      </c>
      <c r="I656" t="s">
        <v>1758</v>
      </c>
      <c r="J656" s="64">
        <v>0</v>
      </c>
    </row>
    <row r="657" spans="2:10" x14ac:dyDescent="0.25">
      <c r="B657" t="str">
        <f t="shared" si="10"/>
        <v>overheadsMATERNITA'</v>
      </c>
      <c r="C657" t="s">
        <v>826</v>
      </c>
      <c r="D657" s="62" t="s">
        <v>887</v>
      </c>
      <c r="E657" s="50" t="s">
        <v>1756</v>
      </c>
      <c r="F657" t="s">
        <v>855</v>
      </c>
      <c r="G657" t="s">
        <v>855</v>
      </c>
      <c r="H657" s="57" t="s">
        <v>1918</v>
      </c>
      <c r="I657" t="s">
        <v>1758</v>
      </c>
      <c r="J657" s="64">
        <v>0</v>
      </c>
    </row>
    <row r="658" spans="2:10" x14ac:dyDescent="0.25">
      <c r="B658" t="str">
        <f t="shared" si="10"/>
        <v>FilianoSEC-PHV-D593-04</v>
      </c>
      <c r="C658" t="s">
        <v>826</v>
      </c>
      <c r="D658" s="62" t="s">
        <v>887</v>
      </c>
      <c r="E658" s="50" t="s">
        <v>910</v>
      </c>
      <c r="F658" t="s">
        <v>897</v>
      </c>
      <c r="G658" t="s">
        <v>897</v>
      </c>
      <c r="H658" s="57" t="s">
        <v>1919</v>
      </c>
      <c r="I658" t="s">
        <v>1761</v>
      </c>
      <c r="J658" s="64">
        <v>3.2820000000000002E-2</v>
      </c>
    </row>
    <row r="659" spans="2:10" x14ac:dyDescent="0.25">
      <c r="B659" t="str">
        <f t="shared" si="10"/>
        <v>TolentinoEPC-IPU-L191-07</v>
      </c>
      <c r="C659" t="s">
        <v>958</v>
      </c>
      <c r="D659" s="62" t="s">
        <v>887</v>
      </c>
      <c r="E659" s="50" t="s">
        <v>896</v>
      </c>
      <c r="F659" t="s">
        <v>1533</v>
      </c>
      <c r="G659" t="s">
        <v>1533</v>
      </c>
      <c r="H659" s="57" t="s">
        <v>1920</v>
      </c>
      <c r="I659" t="s">
        <v>1133</v>
      </c>
      <c r="J659" s="64">
        <v>2.7850000000000001</v>
      </c>
    </row>
    <row r="660" spans="2:10" x14ac:dyDescent="0.25">
      <c r="B660" t="str">
        <f t="shared" si="10"/>
        <v>FilianoSEC-PHV-D593-05</v>
      </c>
      <c r="C660" t="s">
        <v>826</v>
      </c>
      <c r="D660" s="62" t="s">
        <v>887</v>
      </c>
      <c r="E660" s="50" t="s">
        <v>910</v>
      </c>
      <c r="F660" t="s">
        <v>897</v>
      </c>
      <c r="G660" t="s">
        <v>897</v>
      </c>
      <c r="H660" s="57" t="s">
        <v>1921</v>
      </c>
      <c r="I660" t="s">
        <v>1761</v>
      </c>
      <c r="J660" s="64">
        <v>0.24468000000000001</v>
      </c>
    </row>
    <row r="661" spans="2:10" x14ac:dyDescent="0.25">
      <c r="B661" t="str">
        <f t="shared" si="10"/>
        <v>AviglianoSEC-PHV-A519-07</v>
      </c>
      <c r="C661" t="s">
        <v>826</v>
      </c>
      <c r="D661" s="62" t="s">
        <v>887</v>
      </c>
      <c r="E661" s="50" t="s">
        <v>910</v>
      </c>
      <c r="F661" t="s">
        <v>897</v>
      </c>
      <c r="G661" t="s">
        <v>897</v>
      </c>
      <c r="H661" s="57" t="s">
        <v>1922</v>
      </c>
      <c r="I661" t="s">
        <v>1766</v>
      </c>
      <c r="J661" s="64">
        <v>0</v>
      </c>
    </row>
    <row r="662" spans="2:10" x14ac:dyDescent="0.25">
      <c r="B662" t="str">
        <f t="shared" si="10"/>
        <v>AviglianoSEC-PHV-A519-08</v>
      </c>
      <c r="C662" t="s">
        <v>826</v>
      </c>
      <c r="D662" s="62" t="s">
        <v>887</v>
      </c>
      <c r="E662" s="50" t="s">
        <v>910</v>
      </c>
      <c r="F662" t="s">
        <v>897</v>
      </c>
      <c r="G662" t="s">
        <v>897</v>
      </c>
      <c r="H662" s="57" t="s">
        <v>1923</v>
      </c>
      <c r="I662" t="s">
        <v>1766</v>
      </c>
      <c r="J662" s="64">
        <v>0</v>
      </c>
    </row>
    <row r="663" spans="2:10" x14ac:dyDescent="0.25">
      <c r="B663" t="str">
        <f t="shared" si="10"/>
        <v>TolentinoEPC-IPU-L191-06</v>
      </c>
      <c r="C663" t="s">
        <v>958</v>
      </c>
      <c r="D663" s="62" t="s">
        <v>887</v>
      </c>
      <c r="E663" s="50" t="s">
        <v>896</v>
      </c>
      <c r="F663" t="s">
        <v>1533</v>
      </c>
      <c r="G663" t="s">
        <v>1533</v>
      </c>
      <c r="H663" s="57" t="s">
        <v>1924</v>
      </c>
      <c r="I663" t="s">
        <v>1133</v>
      </c>
      <c r="J663" s="64">
        <v>1.88645</v>
      </c>
    </row>
    <row r="664" spans="2:10" x14ac:dyDescent="0.25">
      <c r="B664" t="str">
        <f t="shared" si="10"/>
        <v>Chioggia (veritas)PPP-IPU-C638-05</v>
      </c>
      <c r="C664" t="s">
        <v>958</v>
      </c>
      <c r="D664" s="62" t="s">
        <v>887</v>
      </c>
      <c r="E664" s="50" t="s">
        <v>959</v>
      </c>
      <c r="F664" t="s">
        <v>889</v>
      </c>
      <c r="G664" t="s">
        <v>890</v>
      </c>
      <c r="H664" s="57" t="s">
        <v>1925</v>
      </c>
      <c r="I664" t="s">
        <v>2326</v>
      </c>
      <c r="J664" s="64">
        <v>229.79507999999998</v>
      </c>
    </row>
    <row r="665" spans="2:10" x14ac:dyDescent="0.25">
      <c r="B665" t="str">
        <f t="shared" si="10"/>
        <v>AlassioPPP-IPU-A122-01</v>
      </c>
      <c r="C665" t="s">
        <v>826</v>
      </c>
      <c r="D665" s="62" t="s">
        <v>887</v>
      </c>
      <c r="E665" s="50" t="s">
        <v>888</v>
      </c>
      <c r="F665" t="s">
        <v>889</v>
      </c>
      <c r="G665" t="s">
        <v>890</v>
      </c>
      <c r="H665" s="57" t="s">
        <v>1926</v>
      </c>
      <c r="I665" t="s">
        <v>1927</v>
      </c>
      <c r="J665" s="64">
        <v>0</v>
      </c>
    </row>
    <row r="666" spans="2:10" x14ac:dyDescent="0.25">
      <c r="B666" t="str">
        <f t="shared" si="10"/>
        <v>CaltanissettaPPP-IPU-B429-01</v>
      </c>
      <c r="C666" t="s">
        <v>826</v>
      </c>
      <c r="D666" s="62" t="s">
        <v>887</v>
      </c>
      <c r="E666" s="50" t="s">
        <v>910</v>
      </c>
      <c r="F666" t="s">
        <v>889</v>
      </c>
      <c r="G666" t="s">
        <v>890</v>
      </c>
      <c r="H666" s="57" t="s">
        <v>1928</v>
      </c>
      <c r="I666" t="s">
        <v>1929</v>
      </c>
      <c r="J666" s="64">
        <v>0</v>
      </c>
    </row>
    <row r="667" spans="2:10" x14ac:dyDescent="0.25">
      <c r="B667" t="str">
        <f t="shared" si="10"/>
        <v>Canosa Di PugliaPPP-IPU-B619-01</v>
      </c>
      <c r="C667" t="s">
        <v>826</v>
      </c>
      <c r="D667" s="62" t="s">
        <v>887</v>
      </c>
      <c r="E667" s="50" t="s">
        <v>910</v>
      </c>
      <c r="F667" t="s">
        <v>889</v>
      </c>
      <c r="G667" t="s">
        <v>890</v>
      </c>
      <c r="H667" s="57" t="s">
        <v>1930</v>
      </c>
      <c r="I667" t="s">
        <v>1931</v>
      </c>
      <c r="J667" s="64">
        <v>0</v>
      </c>
    </row>
    <row r="668" spans="2:10" x14ac:dyDescent="0.25">
      <c r="B668" t="str">
        <f t="shared" si="10"/>
        <v>GirifalcoPPP-IPU-E050-01</v>
      </c>
      <c r="C668" t="s">
        <v>826</v>
      </c>
      <c r="D668" s="62" t="s">
        <v>887</v>
      </c>
      <c r="E668" s="50" t="s">
        <v>910</v>
      </c>
      <c r="F668" t="s">
        <v>889</v>
      </c>
      <c r="G668" t="s">
        <v>890</v>
      </c>
      <c r="H668" s="57" t="s">
        <v>1932</v>
      </c>
      <c r="I668" t="s">
        <v>1933</v>
      </c>
      <c r="J668" s="64">
        <v>0</v>
      </c>
    </row>
    <row r="669" spans="2:10" x14ac:dyDescent="0.25">
      <c r="B669" t="str">
        <f t="shared" si="10"/>
        <v>LuzziPPP-IPU-E773-01</v>
      </c>
      <c r="C669" t="s">
        <v>826</v>
      </c>
      <c r="D669" s="62" t="s">
        <v>887</v>
      </c>
      <c r="E669" s="50" t="s">
        <v>910</v>
      </c>
      <c r="F669" t="s">
        <v>889</v>
      </c>
      <c r="G669" t="s">
        <v>890</v>
      </c>
      <c r="H669" s="57" t="s">
        <v>1934</v>
      </c>
      <c r="I669" t="s">
        <v>1935</v>
      </c>
      <c r="J669" s="64">
        <v>0</v>
      </c>
    </row>
    <row r="670" spans="2:10" x14ac:dyDescent="0.25">
      <c r="B670" t="str">
        <f t="shared" si="10"/>
        <v>MiglionicoPPP-EEE-F201-03</v>
      </c>
      <c r="C670" t="s">
        <v>826</v>
      </c>
      <c r="D670" s="62" t="s">
        <v>887</v>
      </c>
      <c r="E670" s="50" t="s">
        <v>910</v>
      </c>
      <c r="F670" t="s">
        <v>965</v>
      </c>
      <c r="G670" t="s">
        <v>965</v>
      </c>
      <c r="H670" s="57" t="s">
        <v>1936</v>
      </c>
      <c r="I670" t="s">
        <v>1407</v>
      </c>
      <c r="J670" s="64">
        <v>0</v>
      </c>
    </row>
    <row r="671" spans="2:10" x14ac:dyDescent="0.25">
      <c r="B671" t="str">
        <f t="shared" si="10"/>
        <v>PattadaPPP-IPU-G376-01</v>
      </c>
      <c r="C671" t="s">
        <v>826</v>
      </c>
      <c r="D671" s="62" t="s">
        <v>887</v>
      </c>
      <c r="E671" s="50" t="s">
        <v>896</v>
      </c>
      <c r="F671" t="s">
        <v>889</v>
      </c>
      <c r="G671" t="s">
        <v>890</v>
      </c>
      <c r="H671" s="57" t="s">
        <v>1937</v>
      </c>
      <c r="I671" t="s">
        <v>1938</v>
      </c>
      <c r="J671" s="64">
        <v>0</v>
      </c>
    </row>
    <row r="672" spans="2:10" x14ac:dyDescent="0.25">
      <c r="B672" t="str">
        <f t="shared" si="10"/>
        <v>PellezzanoPPP-EEE-G426-03</v>
      </c>
      <c r="C672" t="s">
        <v>826</v>
      </c>
      <c r="D672" s="62" t="s">
        <v>887</v>
      </c>
      <c r="E672" s="50" t="s">
        <v>910</v>
      </c>
      <c r="F672" t="s">
        <v>965</v>
      </c>
      <c r="G672" t="s">
        <v>965</v>
      </c>
      <c r="H672" s="57" t="s">
        <v>1939</v>
      </c>
      <c r="I672" t="s">
        <v>1712</v>
      </c>
      <c r="J672" s="64">
        <v>0</v>
      </c>
    </row>
    <row r="673" spans="2:10" x14ac:dyDescent="0.25">
      <c r="B673" t="str">
        <f t="shared" si="10"/>
        <v>RiesiPPP-IPU-H281-01</v>
      </c>
      <c r="C673" t="s">
        <v>826</v>
      </c>
      <c r="D673" s="62" t="s">
        <v>887</v>
      </c>
      <c r="E673" s="50" t="s">
        <v>910</v>
      </c>
      <c r="F673" t="s">
        <v>889</v>
      </c>
      <c r="G673" t="s">
        <v>890</v>
      </c>
      <c r="H673" s="57" t="s">
        <v>1941</v>
      </c>
      <c r="I673" t="s">
        <v>1942</v>
      </c>
      <c r="J673" s="64">
        <v>0</v>
      </c>
    </row>
    <row r="674" spans="2:10" x14ac:dyDescent="0.25">
      <c r="B674" t="str">
        <f t="shared" si="10"/>
        <v>Roggiano GravinaPPP-IPU-H488-01</v>
      </c>
      <c r="C674" t="s">
        <v>826</v>
      </c>
      <c r="D674" s="62" t="s">
        <v>887</v>
      </c>
      <c r="E674" s="50" t="s">
        <v>910</v>
      </c>
      <c r="F674" t="s">
        <v>889</v>
      </c>
      <c r="G674" t="s">
        <v>890</v>
      </c>
      <c r="H674" s="57" t="s">
        <v>1943</v>
      </c>
      <c r="I674" t="s">
        <v>1944</v>
      </c>
      <c r="J674" s="64">
        <v>0</v>
      </c>
    </row>
    <row r="675" spans="2:10" x14ac:dyDescent="0.25">
      <c r="B675" t="str">
        <f t="shared" si="10"/>
        <v>Sala ConsilinaPPP-EEE-H683-01</v>
      </c>
      <c r="C675" t="s">
        <v>826</v>
      </c>
      <c r="D675" s="62" t="s">
        <v>887</v>
      </c>
      <c r="E675" s="50" t="s">
        <v>910</v>
      </c>
      <c r="F675" t="s">
        <v>965</v>
      </c>
      <c r="G675" t="s">
        <v>965</v>
      </c>
      <c r="H675" s="57" t="s">
        <v>1945</v>
      </c>
      <c r="I675" t="s">
        <v>1946</v>
      </c>
      <c r="J675" s="64">
        <v>0</v>
      </c>
    </row>
    <row r="676" spans="2:10" x14ac:dyDescent="0.25">
      <c r="B676" t="str">
        <f t="shared" si="10"/>
        <v>San Marco D'alunzioPPP-IPU-H982-01</v>
      </c>
      <c r="C676" t="s">
        <v>826</v>
      </c>
      <c r="D676" s="62" t="s">
        <v>887</v>
      </c>
      <c r="E676" s="50" t="s">
        <v>910</v>
      </c>
      <c r="F676" t="s">
        <v>889</v>
      </c>
      <c r="G676" t="s">
        <v>890</v>
      </c>
      <c r="H676" s="57" t="s">
        <v>1947</v>
      </c>
      <c r="I676" t="s">
        <v>1948</v>
      </c>
      <c r="J676" s="64">
        <v>0</v>
      </c>
    </row>
    <row r="677" spans="2:10" x14ac:dyDescent="0.25">
      <c r="B677" t="str">
        <f t="shared" si="10"/>
        <v>Scanzano JonicoPPP-IPU-M256-01</v>
      </c>
      <c r="C677" t="s">
        <v>826</v>
      </c>
      <c r="D677" s="62" t="s">
        <v>887</v>
      </c>
      <c r="E677" s="50" t="s">
        <v>910</v>
      </c>
      <c r="F677" t="s">
        <v>889</v>
      </c>
      <c r="G677" t="s">
        <v>890</v>
      </c>
      <c r="H677" s="57" t="s">
        <v>1949</v>
      </c>
      <c r="I677" t="s">
        <v>1950</v>
      </c>
      <c r="J677" s="64">
        <v>0</v>
      </c>
    </row>
    <row r="678" spans="2:10" x14ac:dyDescent="0.25">
      <c r="B678" t="str">
        <f t="shared" si="10"/>
        <v>ScordiaPPP-IPU-I548-01</v>
      </c>
      <c r="C678" t="s">
        <v>826</v>
      </c>
      <c r="D678" s="62" t="s">
        <v>887</v>
      </c>
      <c r="E678" s="50" t="s">
        <v>910</v>
      </c>
      <c r="F678" t="s">
        <v>889</v>
      </c>
      <c r="G678" t="s">
        <v>890</v>
      </c>
      <c r="H678" s="57" t="s">
        <v>1951</v>
      </c>
      <c r="I678" t="s">
        <v>1952</v>
      </c>
      <c r="J678" s="64">
        <v>0</v>
      </c>
    </row>
    <row r="679" spans="2:10" x14ac:dyDescent="0.25">
      <c r="B679" t="str">
        <f t="shared" si="10"/>
        <v>CarmianoSEC-PHV-B792-01</v>
      </c>
      <c r="C679" t="s">
        <v>826</v>
      </c>
      <c r="D679" s="62" t="s">
        <v>887</v>
      </c>
      <c r="E679" s="50" t="s">
        <v>910</v>
      </c>
      <c r="F679" t="s">
        <v>897</v>
      </c>
      <c r="G679" t="s">
        <v>897</v>
      </c>
      <c r="H679" s="57" t="s">
        <v>1953</v>
      </c>
      <c r="I679" t="s">
        <v>1954</v>
      </c>
      <c r="J679" s="64">
        <v>0</v>
      </c>
    </row>
    <row r="680" spans="2:10" x14ac:dyDescent="0.25">
      <c r="B680" t="str">
        <f t="shared" si="10"/>
        <v>Chioggia videosorveglianzaEPC-VS-C638-01</v>
      </c>
      <c r="C680" t="s">
        <v>958</v>
      </c>
      <c r="D680" s="62" t="s">
        <v>887</v>
      </c>
      <c r="E680" s="50" t="s">
        <v>959</v>
      </c>
      <c r="F680" t="s">
        <v>1533</v>
      </c>
      <c r="G680" t="s">
        <v>1533</v>
      </c>
      <c r="H680" s="57" t="s">
        <v>1955</v>
      </c>
      <c r="I680" t="s">
        <v>1703</v>
      </c>
      <c r="J680" s="64">
        <v>0</v>
      </c>
    </row>
    <row r="681" spans="2:10" x14ac:dyDescent="0.25">
      <c r="B681" t="str">
        <f t="shared" si="10"/>
        <v>VeneziaPPP-EEE-L736-02</v>
      </c>
      <c r="C681" t="s">
        <v>958</v>
      </c>
      <c r="D681" s="62" t="s">
        <v>887</v>
      </c>
      <c r="E681" s="50" t="s">
        <v>959</v>
      </c>
      <c r="F681" t="s">
        <v>965</v>
      </c>
      <c r="G681" t="s">
        <v>965</v>
      </c>
      <c r="H681" s="57" t="s">
        <v>1956</v>
      </c>
      <c r="I681" t="s">
        <v>1972</v>
      </c>
      <c r="J681" s="64">
        <v>114.15867999999999</v>
      </c>
    </row>
    <row r="682" spans="2:10" x14ac:dyDescent="0.25">
      <c r="B682" t="str">
        <f t="shared" si="10"/>
        <v>PresicceEPC-IPU-M428-01</v>
      </c>
      <c r="C682" t="s">
        <v>826</v>
      </c>
      <c r="D682" s="62" t="s">
        <v>887</v>
      </c>
      <c r="E682" s="50" t="s">
        <v>910</v>
      </c>
      <c r="F682" t="s">
        <v>1533</v>
      </c>
      <c r="G682" t="s">
        <v>1533</v>
      </c>
      <c r="H682" s="57" t="s">
        <v>1957</v>
      </c>
      <c r="I682" t="s">
        <v>1685</v>
      </c>
      <c r="J682" s="64">
        <v>0</v>
      </c>
    </row>
    <row r="683" spans="2:10" x14ac:dyDescent="0.25">
      <c r="B683" t="str">
        <f t="shared" si="10"/>
        <v>VeneziaPPP-IPU-C638-02</v>
      </c>
      <c r="C683" t="s">
        <v>958</v>
      </c>
      <c r="D683" s="62" t="s">
        <v>887</v>
      </c>
      <c r="E683" s="50" t="s">
        <v>959</v>
      </c>
      <c r="F683" t="s">
        <v>889</v>
      </c>
      <c r="G683" t="s">
        <v>890</v>
      </c>
      <c r="H683" s="57" t="s">
        <v>1958</v>
      </c>
      <c r="I683" t="s">
        <v>1972</v>
      </c>
      <c r="J683" s="64">
        <v>202.5</v>
      </c>
    </row>
    <row r="684" spans="2:10" x14ac:dyDescent="0.25">
      <c r="B684" t="str">
        <f t="shared" si="10"/>
        <v>RacalePPP-IPU-H147-02</v>
      </c>
      <c r="C684" t="s">
        <v>826</v>
      </c>
      <c r="D684" s="62" t="s">
        <v>887</v>
      </c>
      <c r="E684" s="50" t="s">
        <v>910</v>
      </c>
      <c r="F684" t="s">
        <v>889</v>
      </c>
      <c r="G684" t="s">
        <v>890</v>
      </c>
      <c r="H684" s="57" t="s">
        <v>1959</v>
      </c>
      <c r="I684" t="s">
        <v>1439</v>
      </c>
      <c r="J684" s="64">
        <v>0</v>
      </c>
    </row>
    <row r="685" spans="2:10" x14ac:dyDescent="0.25">
      <c r="B685" t="str">
        <f t="shared" si="10"/>
        <v>Francavilla MarittimaPPP-IPU-D764-01</v>
      </c>
      <c r="C685" t="s">
        <v>826</v>
      </c>
      <c r="D685" s="62" t="s">
        <v>887</v>
      </c>
      <c r="E685" s="50" t="s">
        <v>896</v>
      </c>
      <c r="F685" t="s">
        <v>889</v>
      </c>
      <c r="G685" t="s">
        <v>890</v>
      </c>
      <c r="H685" s="57" t="s">
        <v>1960</v>
      </c>
      <c r="I685" t="s">
        <v>1961</v>
      </c>
      <c r="J685" s="64">
        <v>0</v>
      </c>
    </row>
    <row r="686" spans="2:10" x14ac:dyDescent="0.25">
      <c r="B686" t="str">
        <f t="shared" si="10"/>
        <v>BellaEPC-IPU-A743-04</v>
      </c>
      <c r="C686" t="s">
        <v>826</v>
      </c>
      <c r="D686" s="62" t="s">
        <v>887</v>
      </c>
      <c r="E686" s="50" t="s">
        <v>910</v>
      </c>
      <c r="F686" t="s">
        <v>1533</v>
      </c>
      <c r="G686" t="s">
        <v>1533</v>
      </c>
      <c r="H686" s="57" t="s">
        <v>1962</v>
      </c>
      <c r="I686" t="s">
        <v>1347</v>
      </c>
      <c r="J686" s="64">
        <v>0</v>
      </c>
    </row>
    <row r="687" spans="2:10" x14ac:dyDescent="0.25">
      <c r="B687" t="str">
        <f t="shared" si="10"/>
        <v>San Martino In PensilisEPC-IPU-H990-01</v>
      </c>
      <c r="C687" t="s">
        <v>826</v>
      </c>
      <c r="D687" s="62" t="s">
        <v>887</v>
      </c>
      <c r="E687" s="50" t="s">
        <v>896</v>
      </c>
      <c r="F687" t="s">
        <v>1533</v>
      </c>
      <c r="G687" t="s">
        <v>1533</v>
      </c>
      <c r="H687" s="57" t="s">
        <v>1963</v>
      </c>
      <c r="I687" t="s">
        <v>1198</v>
      </c>
      <c r="J687" s="64">
        <v>0</v>
      </c>
    </row>
    <row r="688" spans="2:10" x14ac:dyDescent="0.25">
      <c r="B688" t="str">
        <f t="shared" si="10"/>
        <v>PetrianoEPC-IPU-G514-01</v>
      </c>
      <c r="C688" t="s">
        <v>958</v>
      </c>
      <c r="D688" s="62" t="s">
        <v>887</v>
      </c>
      <c r="E688" s="50" t="s">
        <v>896</v>
      </c>
      <c r="F688" t="s">
        <v>1533</v>
      </c>
      <c r="G688" t="s">
        <v>1533</v>
      </c>
      <c r="H688" s="57" t="s">
        <v>1964</v>
      </c>
      <c r="I688" t="s">
        <v>1696</v>
      </c>
      <c r="J688" s="64">
        <v>0</v>
      </c>
    </row>
    <row r="689" spans="2:10" x14ac:dyDescent="0.25">
      <c r="B689" t="str">
        <f t="shared" si="10"/>
        <v>PulsanoEPC-IPU-H090-02</v>
      </c>
      <c r="C689" t="s">
        <v>826</v>
      </c>
      <c r="D689" s="62" t="s">
        <v>1514</v>
      </c>
      <c r="E689" s="50" t="s">
        <v>910</v>
      </c>
      <c r="F689" t="s">
        <v>1533</v>
      </c>
      <c r="G689" t="s">
        <v>1533</v>
      </c>
      <c r="H689" s="57" t="s">
        <v>1965</v>
      </c>
      <c r="I689" t="s">
        <v>1516</v>
      </c>
      <c r="J689" s="64">
        <v>5.7131400000000001</v>
      </c>
    </row>
    <row r="690" spans="2:10" x14ac:dyDescent="0.25">
      <c r="B690" t="str">
        <f t="shared" si="10"/>
        <v>Marsico NuovoEPC-IPU-E976-01</v>
      </c>
      <c r="C690" t="s">
        <v>826</v>
      </c>
      <c r="D690" s="62" t="s">
        <v>887</v>
      </c>
      <c r="E690" s="50" t="s">
        <v>910</v>
      </c>
      <c r="F690" t="s">
        <v>1533</v>
      </c>
      <c r="G690" t="s">
        <v>1533</v>
      </c>
      <c r="H690" s="57" t="s">
        <v>1966</v>
      </c>
      <c r="I690" t="s">
        <v>1405</v>
      </c>
      <c r="J690" s="64">
        <v>3.9475599999999997</v>
      </c>
    </row>
    <row r="691" spans="2:10" x14ac:dyDescent="0.25">
      <c r="B691" t="str">
        <f t="shared" si="10"/>
        <v>BressoEPC-IPU-B162-05</v>
      </c>
      <c r="C691" t="s">
        <v>958</v>
      </c>
      <c r="D691" s="62" t="s">
        <v>887</v>
      </c>
      <c r="E691" s="50" t="s">
        <v>888</v>
      </c>
      <c r="F691" t="s">
        <v>1533</v>
      </c>
      <c r="G691" t="s">
        <v>1533</v>
      </c>
      <c r="H691" s="57" t="s">
        <v>1967</v>
      </c>
      <c r="I691" t="s">
        <v>1716</v>
      </c>
      <c r="J691" s="64">
        <v>0</v>
      </c>
    </row>
    <row r="692" spans="2:10" x14ac:dyDescent="0.25">
      <c r="B692" t="str">
        <f t="shared" si="10"/>
        <v>Mariano ComenseEPC-IPU-E951-06</v>
      </c>
      <c r="C692" t="s">
        <v>958</v>
      </c>
      <c r="D692" s="62" t="s">
        <v>887</v>
      </c>
      <c r="E692" s="50" t="s">
        <v>888</v>
      </c>
      <c r="F692" t="s">
        <v>1533</v>
      </c>
      <c r="G692" t="s">
        <v>1533</v>
      </c>
      <c r="H692" s="57" t="s">
        <v>1968</v>
      </c>
      <c r="I692" t="s">
        <v>1038</v>
      </c>
      <c r="J692" s="64">
        <v>0</v>
      </c>
    </row>
    <row r="693" spans="2:10" x14ac:dyDescent="0.25">
      <c r="B693" t="str">
        <f t="shared" si="10"/>
        <v>GiuggianelloEPC-IPU-E053-01</v>
      </c>
      <c r="C693" t="s">
        <v>826</v>
      </c>
      <c r="D693" s="62" t="s">
        <v>887</v>
      </c>
      <c r="E693" s="50" t="s">
        <v>910</v>
      </c>
      <c r="F693" t="s">
        <v>1533</v>
      </c>
      <c r="G693" t="s">
        <v>1533</v>
      </c>
      <c r="H693" s="57" t="s">
        <v>1969</v>
      </c>
      <c r="I693" t="s">
        <v>1393</v>
      </c>
      <c r="J693" s="64">
        <v>0</v>
      </c>
    </row>
    <row r="694" spans="2:10" x14ac:dyDescent="0.25">
      <c r="B694" t="str">
        <f t="shared" si="10"/>
        <v>Castelnuovo CilentoEPC-IPU-C231-02</v>
      </c>
      <c r="C694" t="s">
        <v>826</v>
      </c>
      <c r="D694" s="62" t="s">
        <v>887</v>
      </c>
      <c r="E694" s="50" t="s">
        <v>910</v>
      </c>
      <c r="F694" t="s">
        <v>1533</v>
      </c>
      <c r="G694" t="s">
        <v>1533</v>
      </c>
      <c r="H694" s="57" t="s">
        <v>1970</v>
      </c>
      <c r="I694" t="s">
        <v>1365</v>
      </c>
      <c r="J694" s="64">
        <v>2.5998699999999997</v>
      </c>
    </row>
    <row r="695" spans="2:10" x14ac:dyDescent="0.25">
      <c r="B695" t="str">
        <f t="shared" si="10"/>
        <v>VeneziaEPC-IPU-L736-02</v>
      </c>
      <c r="C695" t="s">
        <v>958</v>
      </c>
      <c r="D695" s="62" t="s">
        <v>887</v>
      </c>
      <c r="E695" s="50" t="s">
        <v>959</v>
      </c>
      <c r="F695" t="s">
        <v>1533</v>
      </c>
      <c r="G695" t="s">
        <v>1533</v>
      </c>
      <c r="H695" s="57" t="s">
        <v>1971</v>
      </c>
      <c r="I695" t="s">
        <v>1972</v>
      </c>
      <c r="J695" s="64">
        <v>6.57158</v>
      </c>
    </row>
    <row r="696" spans="2:10" x14ac:dyDescent="0.25">
      <c r="B696" t="str">
        <f t="shared" si="10"/>
        <v>TolentinoEPC-IPU-L191-02</v>
      </c>
      <c r="C696" t="s">
        <v>958</v>
      </c>
      <c r="D696" s="62" t="s">
        <v>887</v>
      </c>
      <c r="E696" s="50" t="s">
        <v>896</v>
      </c>
      <c r="F696" t="s">
        <v>1533</v>
      </c>
      <c r="G696" t="s">
        <v>1533</v>
      </c>
      <c r="H696" s="57" t="s">
        <v>1973</v>
      </c>
      <c r="I696" t="s">
        <v>1133</v>
      </c>
      <c r="J696" s="64">
        <v>0</v>
      </c>
    </row>
    <row r="697" spans="2:10" x14ac:dyDescent="0.25">
      <c r="B697" t="str">
        <f t="shared" si="10"/>
        <v>Potenza PicenaEPC-IPU-F632-03</v>
      </c>
      <c r="C697" t="s">
        <v>958</v>
      </c>
      <c r="D697" s="62" t="s">
        <v>887</v>
      </c>
      <c r="E697" s="50" t="s">
        <v>896</v>
      </c>
      <c r="F697" t="s">
        <v>1533</v>
      </c>
      <c r="G697" t="s">
        <v>1533</v>
      </c>
      <c r="H697" s="57" t="s">
        <v>1974</v>
      </c>
      <c r="I697" t="s">
        <v>1725</v>
      </c>
      <c r="J697" s="64">
        <v>1.0535699999999999</v>
      </c>
    </row>
    <row r="698" spans="2:10" x14ac:dyDescent="0.25">
      <c r="B698" t="str">
        <f t="shared" si="10"/>
        <v>OriggioEPC-IPU-G103-02</v>
      </c>
      <c r="C698" t="s">
        <v>958</v>
      </c>
      <c r="D698" s="62" t="s">
        <v>887</v>
      </c>
      <c r="E698" s="50" t="s">
        <v>888</v>
      </c>
      <c r="F698" t="s">
        <v>1533</v>
      </c>
      <c r="G698" t="s">
        <v>1533</v>
      </c>
      <c r="H698" s="57" t="s">
        <v>1975</v>
      </c>
      <c r="I698" t="s">
        <v>1044</v>
      </c>
      <c r="J698" s="64">
        <v>14.31423</v>
      </c>
    </row>
    <row r="699" spans="2:10" x14ac:dyDescent="0.25">
      <c r="B699" t="str">
        <f t="shared" si="10"/>
        <v>SenigalliaEPC-IPU-I608-05</v>
      </c>
      <c r="C699" t="s">
        <v>958</v>
      </c>
      <c r="D699" s="62" t="s">
        <v>887</v>
      </c>
      <c r="E699" s="50" t="s">
        <v>896</v>
      </c>
      <c r="F699" t="s">
        <v>1533</v>
      </c>
      <c r="G699" t="s">
        <v>1533</v>
      </c>
      <c r="H699" s="57" t="s">
        <v>1976</v>
      </c>
      <c r="I699" t="s">
        <v>1751</v>
      </c>
      <c r="J699" s="64">
        <v>1.64463</v>
      </c>
    </row>
    <row r="700" spans="2:10" x14ac:dyDescent="0.25">
      <c r="B700" t="str">
        <f t="shared" si="10"/>
        <v>PoggiomarinoEPC-IPU-G762-01</v>
      </c>
      <c r="C700" t="s">
        <v>958</v>
      </c>
      <c r="D700" s="62" t="s">
        <v>887</v>
      </c>
      <c r="E700" s="50" t="s">
        <v>910</v>
      </c>
      <c r="F700" t="s">
        <v>1533</v>
      </c>
      <c r="G700" t="s">
        <v>1533</v>
      </c>
      <c r="H700" s="57" t="s">
        <v>1977</v>
      </c>
      <c r="I700" t="s">
        <v>1319</v>
      </c>
      <c r="J700" s="64">
        <v>4.9885099999999998</v>
      </c>
    </row>
    <row r="701" spans="2:10" x14ac:dyDescent="0.25">
      <c r="B701" t="str">
        <f t="shared" si="10"/>
        <v>Provincia di Monza e BrianzaEPC-IPU-F704-02</v>
      </c>
      <c r="C701" t="s">
        <v>958</v>
      </c>
      <c r="D701" s="62" t="s">
        <v>887</v>
      </c>
      <c r="E701" s="50" t="s">
        <v>888</v>
      </c>
      <c r="F701" t="s">
        <v>1533</v>
      </c>
      <c r="G701" t="s">
        <v>1533</v>
      </c>
      <c r="H701" s="57" t="s">
        <v>1978</v>
      </c>
      <c r="I701" t="s">
        <v>2304</v>
      </c>
      <c r="J701" s="64">
        <v>1.4847000000000001</v>
      </c>
    </row>
    <row r="702" spans="2:10" x14ac:dyDescent="0.25">
      <c r="B702" t="str">
        <f t="shared" si="10"/>
        <v>Edil Condotte srlEPC-IPU-L124-01</v>
      </c>
      <c r="C702" t="s">
        <v>826</v>
      </c>
      <c r="D702" s="62" t="s">
        <v>887</v>
      </c>
      <c r="E702" s="50" t="s">
        <v>910</v>
      </c>
      <c r="F702" t="s">
        <v>1630</v>
      </c>
      <c r="G702" t="s">
        <v>1630</v>
      </c>
      <c r="H702" s="57" t="s">
        <v>1979</v>
      </c>
      <c r="I702" t="s">
        <v>1980</v>
      </c>
      <c r="J702" s="64">
        <v>3.4665599999999999</v>
      </c>
    </row>
    <row r="703" spans="2:10" x14ac:dyDescent="0.25">
      <c r="B703" t="str">
        <f t="shared" si="10"/>
        <v>Ubaldi LucianaEPC-IPU-M367-02</v>
      </c>
      <c r="C703" t="s">
        <v>826</v>
      </c>
      <c r="D703" s="62" t="s">
        <v>887</v>
      </c>
      <c r="E703" s="50" t="s">
        <v>896</v>
      </c>
      <c r="F703" t="s">
        <v>1630</v>
      </c>
      <c r="G703" t="s">
        <v>1630</v>
      </c>
      <c r="H703" s="57" t="s">
        <v>1981</v>
      </c>
      <c r="I703" t="s">
        <v>1982</v>
      </c>
      <c r="J703" s="64">
        <v>1.5</v>
      </c>
    </row>
    <row r="704" spans="2:10" x14ac:dyDescent="0.25">
      <c r="B704" t="str">
        <f t="shared" si="10"/>
        <v>MondolfoEPC-IPU-F348-06</v>
      </c>
      <c r="C704" t="s">
        <v>958</v>
      </c>
      <c r="D704" s="62" t="s">
        <v>887</v>
      </c>
      <c r="E704" s="50" t="s">
        <v>896</v>
      </c>
      <c r="F704" t="s">
        <v>1533</v>
      </c>
      <c r="G704" t="s">
        <v>1533</v>
      </c>
      <c r="H704" s="57" t="s">
        <v>1983</v>
      </c>
      <c r="I704" t="s">
        <v>1733</v>
      </c>
      <c r="J704" s="64">
        <v>2.4109600000000002</v>
      </c>
    </row>
    <row r="705" spans="2:10" x14ac:dyDescent="0.25">
      <c r="B705" t="str">
        <f t="shared" si="10"/>
        <v>C.A. GroupEPC-IPU-I332-02</v>
      </c>
      <c r="C705" t="s">
        <v>826</v>
      </c>
      <c r="D705" s="62" t="s">
        <v>887</v>
      </c>
      <c r="E705" s="50" t="s">
        <v>896</v>
      </c>
      <c r="F705" t="s">
        <v>1630</v>
      </c>
      <c r="G705" t="s">
        <v>1630</v>
      </c>
      <c r="H705" s="57" t="s">
        <v>1984</v>
      </c>
      <c r="I705" t="s">
        <v>1985</v>
      </c>
      <c r="J705" s="64">
        <v>5.7313299999999998</v>
      </c>
    </row>
    <row r="706" spans="2:10" x14ac:dyDescent="0.25">
      <c r="B706" t="str">
        <f t="shared" si="10"/>
        <v>Mennekes Electric Italia SrlEPC-IPU-F205-01</v>
      </c>
      <c r="C706" t="s">
        <v>826</v>
      </c>
      <c r="D706" s="62" t="s">
        <v>887</v>
      </c>
      <c r="E706" s="50" t="s">
        <v>888</v>
      </c>
      <c r="F706" t="s">
        <v>1533</v>
      </c>
      <c r="G706" t="s">
        <v>1533</v>
      </c>
      <c r="H706" s="57" t="s">
        <v>1986</v>
      </c>
      <c r="I706" t="s">
        <v>1987</v>
      </c>
      <c r="J706" s="64">
        <v>0</v>
      </c>
    </row>
    <row r="707" spans="2:10" x14ac:dyDescent="0.25">
      <c r="B707" t="str">
        <f t="shared" si="10"/>
        <v>De Luca AmaliaEPC-IPU-G878-02</v>
      </c>
      <c r="C707" t="s">
        <v>826</v>
      </c>
      <c r="D707" s="62" t="s">
        <v>887</v>
      </c>
      <c r="E707" s="50" t="s">
        <v>896</v>
      </c>
      <c r="F707" t="s">
        <v>1630</v>
      </c>
      <c r="G707" t="s">
        <v>1630</v>
      </c>
      <c r="H707" s="57" t="s">
        <v>1988</v>
      </c>
      <c r="I707" t="s">
        <v>1989</v>
      </c>
      <c r="J707" s="64">
        <v>1.9316300000000002</v>
      </c>
    </row>
    <row r="708" spans="2:10" x14ac:dyDescent="0.25">
      <c r="B708" t="str">
        <f t="shared" ref="B708:B771" si="11">+I708&amp;H708</f>
        <v>Sorem FornitureEPC-IPU-I089-01</v>
      </c>
      <c r="C708" t="s">
        <v>826</v>
      </c>
      <c r="D708" s="62" t="s">
        <v>887</v>
      </c>
      <c r="E708" s="50" t="s">
        <v>896</v>
      </c>
      <c r="F708" t="s">
        <v>1630</v>
      </c>
      <c r="G708" t="s">
        <v>1630</v>
      </c>
      <c r="H708" s="57" t="s">
        <v>1990</v>
      </c>
      <c r="I708" t="s">
        <v>1991</v>
      </c>
      <c r="J708" s="64">
        <v>0.55000000000000004</v>
      </c>
    </row>
    <row r="709" spans="2:10" x14ac:dyDescent="0.25">
      <c r="B709" t="str">
        <f t="shared" si="11"/>
        <v>AviglianoSEC-PHV-A519-02</v>
      </c>
      <c r="C709" t="s">
        <v>826</v>
      </c>
      <c r="D709" s="62" t="s">
        <v>887</v>
      </c>
      <c r="E709" s="50" t="s">
        <v>910</v>
      </c>
      <c r="F709" t="s">
        <v>897</v>
      </c>
      <c r="G709" t="s">
        <v>897</v>
      </c>
      <c r="H709" s="57" t="s">
        <v>1992</v>
      </c>
      <c r="I709" t="s">
        <v>1766</v>
      </c>
      <c r="J709" s="64">
        <v>0</v>
      </c>
    </row>
    <row r="710" spans="2:10" x14ac:dyDescent="0.25">
      <c r="B710" t="str">
        <f t="shared" si="11"/>
        <v>PaternoSEC-PHV-M269-02</v>
      </c>
      <c r="C710" t="s">
        <v>826</v>
      </c>
      <c r="D710" s="62" t="s">
        <v>887</v>
      </c>
      <c r="E710" s="50" t="s">
        <v>910</v>
      </c>
      <c r="F710" t="s">
        <v>897</v>
      </c>
      <c r="G710" t="s">
        <v>897</v>
      </c>
      <c r="H710" s="57" t="s">
        <v>1993</v>
      </c>
      <c r="I710" t="s">
        <v>1284</v>
      </c>
      <c r="J710" s="64">
        <v>0</v>
      </c>
    </row>
    <row r="711" spans="2:10" x14ac:dyDescent="0.25">
      <c r="B711" t="str">
        <f t="shared" si="11"/>
        <v>FilianoSEC-PHV-D593-02</v>
      </c>
      <c r="C711" t="s">
        <v>826</v>
      </c>
      <c r="D711" s="62" t="s">
        <v>887</v>
      </c>
      <c r="E711" s="50" t="s">
        <v>910</v>
      </c>
      <c r="F711" t="s">
        <v>897</v>
      </c>
      <c r="G711" t="s">
        <v>897</v>
      </c>
      <c r="H711" s="57" t="s">
        <v>1994</v>
      </c>
      <c r="I711" t="s">
        <v>1761</v>
      </c>
      <c r="J711" s="64">
        <v>0</v>
      </c>
    </row>
    <row r="712" spans="2:10" x14ac:dyDescent="0.25">
      <c r="B712" t="str">
        <f t="shared" si="11"/>
        <v>BraPPP-IPU-B111-01</v>
      </c>
      <c r="C712" t="s">
        <v>958</v>
      </c>
      <c r="D712" s="62" t="s">
        <v>887</v>
      </c>
      <c r="E712" s="50" t="s">
        <v>959</v>
      </c>
      <c r="F712" t="s">
        <v>889</v>
      </c>
      <c r="G712" t="s">
        <v>890</v>
      </c>
      <c r="H712" s="57" t="s">
        <v>1995</v>
      </c>
      <c r="I712" t="s">
        <v>1996</v>
      </c>
      <c r="J712" s="64">
        <v>0</v>
      </c>
    </row>
    <row r="713" spans="2:10" x14ac:dyDescent="0.25">
      <c r="B713" t="str">
        <f t="shared" si="11"/>
        <v>BuonanitacoloPPP-IPU-B266-01</v>
      </c>
      <c r="C713" t="s">
        <v>826</v>
      </c>
      <c r="D713" s="62" t="s">
        <v>887</v>
      </c>
      <c r="E713" s="50" t="s">
        <v>888</v>
      </c>
      <c r="F713" t="s">
        <v>889</v>
      </c>
      <c r="G713" t="s">
        <v>890</v>
      </c>
      <c r="H713" s="57" t="s">
        <v>1997</v>
      </c>
      <c r="I713" t="s">
        <v>2327</v>
      </c>
      <c r="J713" s="64">
        <v>0</v>
      </c>
    </row>
    <row r="714" spans="2:10" x14ac:dyDescent="0.25">
      <c r="B714" t="str">
        <f t="shared" si="11"/>
        <v>Corte BrugnatellaPPP-IPU-D054-01</v>
      </c>
      <c r="C714" t="s">
        <v>826</v>
      </c>
      <c r="D714" s="62" t="s">
        <v>887</v>
      </c>
      <c r="E714" s="50" t="s">
        <v>888</v>
      </c>
      <c r="F714" t="s">
        <v>889</v>
      </c>
      <c r="G714" t="s">
        <v>890</v>
      </c>
      <c r="H714" s="57" t="s">
        <v>1999</v>
      </c>
      <c r="I714" t="s">
        <v>2000</v>
      </c>
      <c r="J714" s="64">
        <v>0</v>
      </c>
    </row>
    <row r="715" spans="2:10" x14ac:dyDescent="0.25">
      <c r="B715" t="str">
        <f t="shared" si="11"/>
        <v>CremonaPPP-IPU-D150-01</v>
      </c>
      <c r="C715" t="s">
        <v>826</v>
      </c>
      <c r="D715" s="62" t="s">
        <v>887</v>
      </c>
      <c r="E715" s="50" t="s">
        <v>888</v>
      </c>
      <c r="F715" t="s">
        <v>889</v>
      </c>
      <c r="G715" t="s">
        <v>890</v>
      </c>
      <c r="H715" s="57" t="s">
        <v>2001</v>
      </c>
      <c r="I715" t="s">
        <v>2002</v>
      </c>
      <c r="J715" s="64">
        <v>0</v>
      </c>
    </row>
    <row r="716" spans="2:10" x14ac:dyDescent="0.25">
      <c r="B716" t="str">
        <f t="shared" si="11"/>
        <v>CurtiPPP-IPU-D228-01</v>
      </c>
      <c r="C716" t="s">
        <v>826</v>
      </c>
      <c r="D716" s="62" t="s">
        <v>887</v>
      </c>
      <c r="E716" s="50" t="s">
        <v>888</v>
      </c>
      <c r="F716" t="s">
        <v>889</v>
      </c>
      <c r="G716" t="s">
        <v>890</v>
      </c>
      <c r="H716" s="57" t="s">
        <v>2003</v>
      </c>
      <c r="I716" t="s">
        <v>2004</v>
      </c>
      <c r="J716" s="64">
        <v>0</v>
      </c>
    </row>
    <row r="717" spans="2:10" x14ac:dyDescent="0.25">
      <c r="B717" t="str">
        <f t="shared" si="11"/>
        <v>Isola Di Capo RizzutoPPP-IPU-E339-01</v>
      </c>
      <c r="C717" t="s">
        <v>826</v>
      </c>
      <c r="D717" s="62" t="s">
        <v>887</v>
      </c>
      <c r="E717" s="50" t="s">
        <v>888</v>
      </c>
      <c r="F717" t="s">
        <v>889</v>
      </c>
      <c r="G717" t="s">
        <v>890</v>
      </c>
      <c r="H717" s="57" t="s">
        <v>2005</v>
      </c>
      <c r="I717" t="s">
        <v>2006</v>
      </c>
      <c r="J717" s="64">
        <v>0</v>
      </c>
    </row>
    <row r="718" spans="2:10" x14ac:dyDescent="0.25">
      <c r="B718" t="str">
        <f t="shared" si="11"/>
        <v>PompeiPPP-IPU-G813-01</v>
      </c>
      <c r="C718" t="s">
        <v>826</v>
      </c>
      <c r="D718" s="62" t="s">
        <v>887</v>
      </c>
      <c r="E718" s="50" t="s">
        <v>888</v>
      </c>
      <c r="F718" t="s">
        <v>889</v>
      </c>
      <c r="G718" t="s">
        <v>890</v>
      </c>
      <c r="H718" s="57" t="s">
        <v>2007</v>
      </c>
      <c r="I718" t="s">
        <v>2008</v>
      </c>
      <c r="J718" s="64">
        <v>0</v>
      </c>
    </row>
    <row r="719" spans="2:10" x14ac:dyDescent="0.25">
      <c r="B719" t="str">
        <f t="shared" si="11"/>
        <v>RivoliPPP-IPU-H355-01</v>
      </c>
      <c r="C719" t="s">
        <v>826</v>
      </c>
      <c r="D719" s="62" t="s">
        <v>887</v>
      </c>
      <c r="E719" s="50" t="s">
        <v>896</v>
      </c>
      <c r="F719" t="s">
        <v>889</v>
      </c>
      <c r="G719" t="s">
        <v>890</v>
      </c>
      <c r="H719" s="57" t="s">
        <v>2009</v>
      </c>
      <c r="I719" t="s">
        <v>2010</v>
      </c>
      <c r="J719" s="64">
        <v>0</v>
      </c>
    </row>
    <row r="720" spans="2:10" x14ac:dyDescent="0.25">
      <c r="B720" t="str">
        <f t="shared" si="11"/>
        <v>Rodi GarganicoPPP-IPU-H480-01</v>
      </c>
      <c r="C720" t="s">
        <v>826</v>
      </c>
      <c r="D720" s="62" t="s">
        <v>887</v>
      </c>
      <c r="E720" s="50" t="s">
        <v>910</v>
      </c>
      <c r="F720" t="s">
        <v>889</v>
      </c>
      <c r="G720" t="s">
        <v>890</v>
      </c>
      <c r="H720" s="57" t="s">
        <v>2011</v>
      </c>
      <c r="I720" t="s">
        <v>2012</v>
      </c>
      <c r="J720" s="64">
        <v>0</v>
      </c>
    </row>
    <row r="721" spans="2:10" x14ac:dyDescent="0.25">
      <c r="B721" t="str">
        <f t="shared" si="11"/>
        <v>SacilePPP-IPU-H657-01</v>
      </c>
      <c r="C721" t="s">
        <v>826</v>
      </c>
      <c r="D721" s="62" t="s">
        <v>887</v>
      </c>
      <c r="E721" s="50" t="s">
        <v>888</v>
      </c>
      <c r="F721" t="s">
        <v>889</v>
      </c>
      <c r="G721" t="s">
        <v>890</v>
      </c>
      <c r="H721" s="57" t="s">
        <v>2013</v>
      </c>
      <c r="I721" t="s">
        <v>2014</v>
      </c>
      <c r="J721" s="64">
        <v>0</v>
      </c>
    </row>
    <row r="722" spans="2:10" x14ac:dyDescent="0.25">
      <c r="B722" t="str">
        <f t="shared" si="11"/>
        <v>SaronnoPPP-IPU-I441-01</v>
      </c>
      <c r="C722" t="s">
        <v>958</v>
      </c>
      <c r="D722" s="62" t="s">
        <v>887</v>
      </c>
      <c r="E722" s="50" t="s">
        <v>888</v>
      </c>
      <c r="F722" t="s">
        <v>889</v>
      </c>
      <c r="G722" t="s">
        <v>890</v>
      </c>
      <c r="H722" s="57" t="s">
        <v>2015</v>
      </c>
      <c r="I722" t="s">
        <v>1736</v>
      </c>
      <c r="J722" s="64">
        <v>0</v>
      </c>
    </row>
    <row r="723" spans="2:10" x14ac:dyDescent="0.25">
      <c r="B723" t="str">
        <f t="shared" si="11"/>
        <v>ScorranoPPP-IPU-I549-01</v>
      </c>
      <c r="C723" t="s">
        <v>826</v>
      </c>
      <c r="D723" s="62" t="s">
        <v>887</v>
      </c>
      <c r="E723" s="50" t="s">
        <v>896</v>
      </c>
      <c r="F723" t="s">
        <v>889</v>
      </c>
      <c r="G723" t="s">
        <v>890</v>
      </c>
      <c r="H723" s="57" t="s">
        <v>2016</v>
      </c>
      <c r="I723" t="s">
        <v>2017</v>
      </c>
      <c r="J723" s="64">
        <v>0</v>
      </c>
    </row>
    <row r="724" spans="2:10" x14ac:dyDescent="0.25">
      <c r="B724" t="str">
        <f t="shared" si="11"/>
        <v>Vairano PatenoraPPP-IPU-L540-01</v>
      </c>
      <c r="C724" t="s">
        <v>958</v>
      </c>
      <c r="D724" s="62" t="s">
        <v>887</v>
      </c>
      <c r="E724" s="50" t="s">
        <v>959</v>
      </c>
      <c r="F724" t="s">
        <v>889</v>
      </c>
      <c r="G724" t="s">
        <v>890</v>
      </c>
      <c r="H724" s="57" t="s">
        <v>2018</v>
      </c>
      <c r="I724" t="s">
        <v>2019</v>
      </c>
      <c r="J724" s="64">
        <v>0</v>
      </c>
    </row>
    <row r="725" spans="2:10" x14ac:dyDescent="0.25">
      <c r="B725" t="str">
        <f t="shared" si="11"/>
        <v>Vigarano MainardaPPP-EEE-L868-01</v>
      </c>
      <c r="C725" t="s">
        <v>826</v>
      </c>
      <c r="D725" s="62" t="s">
        <v>887</v>
      </c>
      <c r="E725" s="50" t="s">
        <v>959</v>
      </c>
      <c r="F725" t="s">
        <v>965</v>
      </c>
      <c r="G725" t="s">
        <v>965</v>
      </c>
      <c r="H725" s="57" t="s">
        <v>2020</v>
      </c>
      <c r="I725" t="s">
        <v>2021</v>
      </c>
      <c r="J725" s="64">
        <v>0</v>
      </c>
    </row>
    <row r="726" spans="2:10" x14ac:dyDescent="0.25">
      <c r="B726" t="str">
        <f t="shared" si="11"/>
        <v>RaianoSEC-PHV-H166-01</v>
      </c>
      <c r="C726" t="s">
        <v>826</v>
      </c>
      <c r="D726" s="62" t="s">
        <v>887</v>
      </c>
      <c r="E726" s="50" t="s">
        <v>896</v>
      </c>
      <c r="F726" t="s">
        <v>897</v>
      </c>
      <c r="G726" t="s">
        <v>897</v>
      </c>
      <c r="H726" s="57" t="s">
        <v>2022</v>
      </c>
      <c r="I726" t="s">
        <v>2023</v>
      </c>
      <c r="J726" s="64">
        <v>0</v>
      </c>
    </row>
    <row r="727" spans="2:10" x14ac:dyDescent="0.25">
      <c r="B727" t="str">
        <f t="shared" si="11"/>
        <v>RaianoSEC-PHV-H166-02</v>
      </c>
      <c r="C727" t="s">
        <v>826</v>
      </c>
      <c r="D727" s="62" t="s">
        <v>887</v>
      </c>
      <c r="E727" s="50" t="s">
        <v>896</v>
      </c>
      <c r="F727" t="s">
        <v>897</v>
      </c>
      <c r="G727" t="s">
        <v>897</v>
      </c>
      <c r="H727" s="57" t="s">
        <v>2024</v>
      </c>
      <c r="I727" t="s">
        <v>2023</v>
      </c>
      <c r="J727" s="64">
        <v>0</v>
      </c>
    </row>
    <row r="728" spans="2:10" x14ac:dyDescent="0.25">
      <c r="B728" t="str">
        <f t="shared" si="11"/>
        <v>TricaseSEC-PHV-L419-01</v>
      </c>
      <c r="C728" t="s">
        <v>826</v>
      </c>
      <c r="D728" s="62" t="s">
        <v>887</v>
      </c>
      <c r="E728" s="50" t="s">
        <v>910</v>
      </c>
      <c r="F728" t="s">
        <v>897</v>
      </c>
      <c r="G728" t="s">
        <v>897</v>
      </c>
      <c r="H728" s="57" t="s">
        <v>2025</v>
      </c>
      <c r="I728" t="s">
        <v>2328</v>
      </c>
      <c r="J728" s="64">
        <v>0</v>
      </c>
    </row>
    <row r="729" spans="2:10" x14ac:dyDescent="0.25">
      <c r="B729" t="str">
        <f t="shared" si="11"/>
        <v>Civate rinnovo</v>
      </c>
      <c r="C729" t="s">
        <v>826</v>
      </c>
      <c r="D729" s="62" t="s">
        <v>887</v>
      </c>
      <c r="E729" s="63" t="s">
        <v>888</v>
      </c>
      <c r="F729" t="s">
        <v>889</v>
      </c>
      <c r="G729" t="s">
        <v>890</v>
      </c>
      <c r="H729" s="53"/>
      <c r="I729" t="s">
        <v>2027</v>
      </c>
      <c r="J729" s="64">
        <v>0</v>
      </c>
    </row>
    <row r="730" spans="2:10" x14ac:dyDescent="0.25">
      <c r="B730" t="str">
        <f t="shared" si="11"/>
        <v>Albinea Proroga Tecnica</v>
      </c>
      <c r="C730" t="s">
        <v>958</v>
      </c>
      <c r="D730" s="62" t="s">
        <v>887</v>
      </c>
      <c r="E730" s="63" t="s">
        <v>896</v>
      </c>
      <c r="F730" t="s">
        <v>889</v>
      </c>
      <c r="G730" t="s">
        <v>1016</v>
      </c>
      <c r="H730" s="53"/>
      <c r="I730" t="s">
        <v>2028</v>
      </c>
      <c r="J730" s="64">
        <v>0</v>
      </c>
    </row>
    <row r="731" spans="2:10" x14ac:dyDescent="0.25">
      <c r="B731" t="str">
        <f t="shared" si="11"/>
        <v>Falconara Marittima Proroga Tecnica</v>
      </c>
      <c r="C731" t="s">
        <v>958</v>
      </c>
      <c r="D731" s="62" t="s">
        <v>887</v>
      </c>
      <c r="E731" s="63" t="s">
        <v>896</v>
      </c>
      <c r="F731" t="s">
        <v>889</v>
      </c>
      <c r="G731" t="s">
        <v>1016</v>
      </c>
      <c r="H731" s="53"/>
      <c r="I731" t="s">
        <v>2029</v>
      </c>
      <c r="J731" s="64">
        <v>0</v>
      </c>
    </row>
    <row r="732" spans="2:10" x14ac:dyDescent="0.25">
      <c r="B732" t="str">
        <f t="shared" si="11"/>
        <v>Fermo Proroga tecnica</v>
      </c>
      <c r="C732" t="s">
        <v>958</v>
      </c>
      <c r="D732" s="62" t="s">
        <v>887</v>
      </c>
      <c r="E732" s="63" t="s">
        <v>896</v>
      </c>
      <c r="F732" t="s">
        <v>889</v>
      </c>
      <c r="G732" t="s">
        <v>1016</v>
      </c>
      <c r="H732" s="53"/>
      <c r="I732" t="s">
        <v>2030</v>
      </c>
      <c r="J732" s="64">
        <v>0</v>
      </c>
    </row>
    <row r="733" spans="2:10" x14ac:dyDescent="0.25">
      <c r="B733" t="str">
        <f t="shared" si="11"/>
        <v>Scheggia e Pascelupo Proroga tecnica</v>
      </c>
      <c r="C733" t="s">
        <v>958</v>
      </c>
      <c r="D733" s="62" t="s">
        <v>887</v>
      </c>
      <c r="E733" s="63" t="s">
        <v>896</v>
      </c>
      <c r="F733" t="s">
        <v>889</v>
      </c>
      <c r="G733" t="s">
        <v>1016</v>
      </c>
      <c r="H733" s="53"/>
      <c r="I733" t="s">
        <v>2031</v>
      </c>
      <c r="J733" s="64">
        <v>0</v>
      </c>
    </row>
    <row r="734" spans="2:10" x14ac:dyDescent="0.25">
      <c r="B734" t="str">
        <f t="shared" si="11"/>
        <v>Cagli PPP</v>
      </c>
      <c r="C734" t="s">
        <v>826</v>
      </c>
      <c r="D734" s="62" t="s">
        <v>887</v>
      </c>
      <c r="E734" s="63" t="s">
        <v>896</v>
      </c>
      <c r="F734" t="s">
        <v>889</v>
      </c>
      <c r="G734" t="s">
        <v>890</v>
      </c>
      <c r="H734" s="53"/>
      <c r="I734" t="s">
        <v>2032</v>
      </c>
      <c r="J734" s="64">
        <v>0</v>
      </c>
    </row>
    <row r="735" spans="2:10" x14ac:dyDescent="0.25">
      <c r="B735" t="str">
        <f t="shared" si="11"/>
        <v>Faenza Proroga tecnica</v>
      </c>
      <c r="C735" t="s">
        <v>958</v>
      </c>
      <c r="D735" s="62" t="s">
        <v>887</v>
      </c>
      <c r="E735" s="63" t="s">
        <v>896</v>
      </c>
      <c r="F735" t="s">
        <v>889</v>
      </c>
      <c r="G735" t="s">
        <v>1016</v>
      </c>
      <c r="H735" s="53"/>
      <c r="I735" t="s">
        <v>2033</v>
      </c>
      <c r="J735" s="64">
        <v>0</v>
      </c>
    </row>
    <row r="736" spans="2:10" x14ac:dyDescent="0.25">
      <c r="B736" t="str">
        <f t="shared" si="11"/>
        <v>Urbania</v>
      </c>
      <c r="C736" t="s">
        <v>958</v>
      </c>
      <c r="D736" s="62" t="s">
        <v>887</v>
      </c>
      <c r="E736" s="63" t="s">
        <v>896</v>
      </c>
      <c r="F736" t="s">
        <v>889</v>
      </c>
      <c r="G736" t="s">
        <v>961</v>
      </c>
      <c r="H736" s="53"/>
      <c r="I736" t="s">
        <v>2034</v>
      </c>
      <c r="J736" s="64">
        <v>0</v>
      </c>
    </row>
    <row r="737" spans="2:10" x14ac:dyDescent="0.25">
      <c r="B737" t="str">
        <f t="shared" si="11"/>
        <v>Esperia</v>
      </c>
      <c r="C737" t="s">
        <v>826</v>
      </c>
      <c r="D737" s="62" t="s">
        <v>887</v>
      </c>
      <c r="E737" s="63" t="s">
        <v>896</v>
      </c>
      <c r="F737" t="s">
        <v>889</v>
      </c>
      <c r="G737" t="s">
        <v>890</v>
      </c>
      <c r="H737" s="53"/>
      <c r="I737" t="s">
        <v>2035</v>
      </c>
      <c r="J737" s="64">
        <v>0</v>
      </c>
    </row>
    <row r="738" spans="2:10" x14ac:dyDescent="0.25">
      <c r="B738" t="str">
        <f t="shared" si="11"/>
        <v>Monteleone Sabino</v>
      </c>
      <c r="C738" t="s">
        <v>826</v>
      </c>
      <c r="D738" s="62" t="s">
        <v>887</v>
      </c>
      <c r="E738" s="63" t="s">
        <v>896</v>
      </c>
      <c r="F738" t="s">
        <v>889</v>
      </c>
      <c r="G738" t="s">
        <v>890</v>
      </c>
      <c r="H738" s="53"/>
      <c r="I738" t="s">
        <v>2036</v>
      </c>
      <c r="J738" s="64">
        <v>0</v>
      </c>
    </row>
    <row r="739" spans="2:10" x14ac:dyDescent="0.25">
      <c r="B739" t="str">
        <f t="shared" si="11"/>
        <v>Villa Santa Lucia</v>
      </c>
      <c r="C739" t="s">
        <v>826</v>
      </c>
      <c r="D739" s="62" t="s">
        <v>887</v>
      </c>
      <c r="E739" s="63" t="s">
        <v>896</v>
      </c>
      <c r="F739" t="s">
        <v>889</v>
      </c>
      <c r="G739" t="s">
        <v>890</v>
      </c>
      <c r="H739" s="53"/>
      <c r="I739" t="s">
        <v>2037</v>
      </c>
      <c r="J739" s="64">
        <v>0</v>
      </c>
    </row>
    <row r="740" spans="2:10" x14ac:dyDescent="0.25">
      <c r="B740" t="str">
        <f t="shared" si="11"/>
        <v>Loreto Aprutino</v>
      </c>
      <c r="C740" t="s">
        <v>826</v>
      </c>
      <c r="D740" s="62" t="s">
        <v>887</v>
      </c>
      <c r="E740" s="63" t="s">
        <v>896</v>
      </c>
      <c r="F740" t="s">
        <v>889</v>
      </c>
      <c r="G740" t="s">
        <v>890</v>
      </c>
      <c r="H740" s="53"/>
      <c r="I740" t="s">
        <v>2038</v>
      </c>
      <c r="J740" s="64">
        <v>0</v>
      </c>
    </row>
    <row r="741" spans="2:10" x14ac:dyDescent="0.25">
      <c r="B741" t="str">
        <f t="shared" si="11"/>
        <v>Penne</v>
      </c>
      <c r="C741" t="s">
        <v>826</v>
      </c>
      <c r="D741" s="62" t="s">
        <v>887</v>
      </c>
      <c r="E741" s="63" t="s">
        <v>896</v>
      </c>
      <c r="F741" t="s">
        <v>889</v>
      </c>
      <c r="G741" t="s">
        <v>890</v>
      </c>
      <c r="H741" s="53"/>
      <c r="I741" t="s">
        <v>2039</v>
      </c>
      <c r="J741" s="64">
        <v>0</v>
      </c>
    </row>
    <row r="742" spans="2:10" x14ac:dyDescent="0.25">
      <c r="B742" t="str">
        <f t="shared" si="11"/>
        <v>Bellante HM</v>
      </c>
      <c r="C742" t="s">
        <v>826</v>
      </c>
      <c r="D742" s="62" t="s">
        <v>887</v>
      </c>
      <c r="E742" s="63" t="s">
        <v>896</v>
      </c>
      <c r="F742" t="s">
        <v>965</v>
      </c>
      <c r="G742" t="s">
        <v>890</v>
      </c>
      <c r="H742" s="53"/>
      <c r="I742" t="s">
        <v>2040</v>
      </c>
      <c r="J742" s="64">
        <v>0</v>
      </c>
    </row>
    <row r="743" spans="2:10" x14ac:dyDescent="0.25">
      <c r="B743" t="str">
        <f t="shared" si="11"/>
        <v>SerronePPP-IPU-I669-01</v>
      </c>
      <c r="C743" t="s">
        <v>826</v>
      </c>
      <c r="D743" s="62" t="s">
        <v>887</v>
      </c>
      <c r="E743" s="63" t="s">
        <v>896</v>
      </c>
      <c r="F743" t="s">
        <v>889</v>
      </c>
      <c r="G743" t="s">
        <v>890</v>
      </c>
      <c r="H743" t="s">
        <v>2041</v>
      </c>
      <c r="I743" t="s">
        <v>2042</v>
      </c>
      <c r="J743" s="64">
        <v>0</v>
      </c>
    </row>
    <row r="744" spans="2:10" x14ac:dyDescent="0.25">
      <c r="B744" t="str">
        <f t="shared" si="11"/>
        <v>ArtenaPPP-IPU-A449-01</v>
      </c>
      <c r="C744" t="s">
        <v>826</v>
      </c>
      <c r="D744" s="62" t="s">
        <v>887</v>
      </c>
      <c r="E744" s="63" t="s">
        <v>896</v>
      </c>
      <c r="F744" t="s">
        <v>889</v>
      </c>
      <c r="G744" t="s">
        <v>890</v>
      </c>
      <c r="H744" s="50" t="s">
        <v>2043</v>
      </c>
      <c r="I744" t="s">
        <v>2044</v>
      </c>
      <c r="J744" s="64">
        <v>0</v>
      </c>
    </row>
    <row r="745" spans="2:10" x14ac:dyDescent="0.25">
      <c r="B745" t="str">
        <f t="shared" si="11"/>
        <v>Gavignano</v>
      </c>
      <c r="C745" t="s">
        <v>826</v>
      </c>
      <c r="D745" s="62" t="s">
        <v>887</v>
      </c>
      <c r="E745" s="63" t="s">
        <v>896</v>
      </c>
      <c r="F745" t="s">
        <v>889</v>
      </c>
      <c r="G745" t="s">
        <v>890</v>
      </c>
      <c r="H745" s="53"/>
      <c r="I745" t="s">
        <v>2045</v>
      </c>
      <c r="J745" s="64">
        <v>0</v>
      </c>
    </row>
    <row r="746" spans="2:10" x14ac:dyDescent="0.25">
      <c r="B746" t="str">
        <f t="shared" si="11"/>
        <v>Cantalice</v>
      </c>
      <c r="C746" t="s">
        <v>826</v>
      </c>
      <c r="D746" s="62" t="s">
        <v>887</v>
      </c>
      <c r="E746" s="63" t="s">
        <v>896</v>
      </c>
      <c r="F746" t="s">
        <v>889</v>
      </c>
      <c r="G746" t="s">
        <v>890</v>
      </c>
      <c r="H746" s="53"/>
      <c r="I746" t="s">
        <v>2046</v>
      </c>
      <c r="J746" s="64">
        <v>0</v>
      </c>
    </row>
    <row r="747" spans="2:10" x14ac:dyDescent="0.25">
      <c r="B747" t="str">
        <f t="shared" si="11"/>
        <v xml:space="preserve">Poggio San Lorenzo </v>
      </c>
      <c r="C747" t="s">
        <v>826</v>
      </c>
      <c r="D747" s="62" t="s">
        <v>887</v>
      </c>
      <c r="E747" s="63" t="s">
        <v>896</v>
      </c>
      <c r="F747" t="s">
        <v>889</v>
      </c>
      <c r="G747" t="s">
        <v>890</v>
      </c>
      <c r="H747" s="53"/>
      <c r="I747" t="s">
        <v>2047</v>
      </c>
      <c r="J747" s="64">
        <v>0</v>
      </c>
    </row>
    <row r="748" spans="2:10" x14ac:dyDescent="0.25">
      <c r="B748" t="str">
        <f t="shared" si="11"/>
        <v>Cervara di RomaPPP-IPU-C543-01</v>
      </c>
      <c r="C748" t="s">
        <v>826</v>
      </c>
      <c r="D748" s="62" t="s">
        <v>887</v>
      </c>
      <c r="E748" s="63" t="s">
        <v>896</v>
      </c>
      <c r="F748" t="s">
        <v>889</v>
      </c>
      <c r="G748" t="s">
        <v>890</v>
      </c>
      <c r="H748" s="50" t="s">
        <v>2048</v>
      </c>
      <c r="I748" t="s">
        <v>2049</v>
      </c>
      <c r="J748" s="64">
        <v>0</v>
      </c>
    </row>
    <row r="749" spans="2:10" x14ac:dyDescent="0.25">
      <c r="B749" t="str">
        <f t="shared" si="11"/>
        <v>MoroloPPP-IPU-F740-01</v>
      </c>
      <c r="C749" t="s">
        <v>826</v>
      </c>
      <c r="D749" s="62" t="s">
        <v>887</v>
      </c>
      <c r="E749" s="63" t="s">
        <v>896</v>
      </c>
      <c r="F749" t="s">
        <v>889</v>
      </c>
      <c r="G749" t="s">
        <v>890</v>
      </c>
      <c r="H749" s="50" t="s">
        <v>2050</v>
      </c>
      <c r="I749" t="s">
        <v>2051</v>
      </c>
      <c r="J749" s="64">
        <v>0</v>
      </c>
    </row>
    <row r="750" spans="2:10" x14ac:dyDescent="0.25">
      <c r="B750" t="str">
        <f t="shared" si="11"/>
        <v>Nettuno</v>
      </c>
      <c r="C750" t="s">
        <v>958</v>
      </c>
      <c r="D750" s="62" t="s">
        <v>887</v>
      </c>
      <c r="E750" s="63" t="s">
        <v>896</v>
      </c>
      <c r="F750" t="s">
        <v>889</v>
      </c>
      <c r="G750" t="s">
        <v>961</v>
      </c>
      <c r="H750" s="53"/>
      <c r="I750" t="s">
        <v>2052</v>
      </c>
      <c r="J750" s="64">
        <v>0</v>
      </c>
    </row>
    <row r="751" spans="2:10" x14ac:dyDescent="0.25">
      <c r="B751" t="str">
        <f t="shared" si="11"/>
        <v>Massa Martana</v>
      </c>
      <c r="C751" t="s">
        <v>826</v>
      </c>
      <c r="D751" s="62" t="s">
        <v>887</v>
      </c>
      <c r="E751" s="63" t="s">
        <v>896</v>
      </c>
      <c r="F751" t="s">
        <v>889</v>
      </c>
      <c r="G751" t="s">
        <v>890</v>
      </c>
      <c r="H751" s="53"/>
      <c r="I751" t="s">
        <v>2053</v>
      </c>
      <c r="J751" s="64">
        <v>0</v>
      </c>
    </row>
    <row r="752" spans="2:10" x14ac:dyDescent="0.25">
      <c r="B752" t="str">
        <f t="shared" si="11"/>
        <v>Pietragalla Proroga Tecnica</v>
      </c>
      <c r="C752" t="s">
        <v>826</v>
      </c>
      <c r="D752" s="62" t="s">
        <v>887</v>
      </c>
      <c r="E752" s="63" t="s">
        <v>910</v>
      </c>
      <c r="F752" t="s">
        <v>889</v>
      </c>
      <c r="G752" t="s">
        <v>890</v>
      </c>
      <c r="H752" s="53"/>
      <c r="I752" t="s">
        <v>2054</v>
      </c>
      <c r="J752" s="64">
        <v>0</v>
      </c>
    </row>
    <row r="753" spans="2:10" x14ac:dyDescent="0.25">
      <c r="B753" t="str">
        <f t="shared" si="11"/>
        <v>Pellezzano Buildings</v>
      </c>
      <c r="C753" t="s">
        <v>826</v>
      </c>
      <c r="D753" s="62" t="s">
        <v>887</v>
      </c>
      <c r="E753" s="63" t="s">
        <v>910</v>
      </c>
      <c r="F753" t="s">
        <v>965</v>
      </c>
      <c r="G753" t="s">
        <v>890</v>
      </c>
      <c r="H753" s="53"/>
      <c r="I753" t="s">
        <v>2055</v>
      </c>
      <c r="J753" s="64">
        <v>0</v>
      </c>
    </row>
    <row r="754" spans="2:10" x14ac:dyDescent="0.25">
      <c r="B754" t="str">
        <f t="shared" si="11"/>
        <v>AcriPPP-IPU-A053-01</v>
      </c>
      <c r="C754" t="s">
        <v>826</v>
      </c>
      <c r="D754" s="62" t="s">
        <v>887</v>
      </c>
      <c r="E754" s="63" t="s">
        <v>910</v>
      </c>
      <c r="F754" t="s">
        <v>889</v>
      </c>
      <c r="G754" t="s">
        <v>890</v>
      </c>
      <c r="H754" s="50" t="s">
        <v>2056</v>
      </c>
      <c r="I754" t="s">
        <v>2057</v>
      </c>
      <c r="J754" s="64">
        <v>0</v>
      </c>
    </row>
    <row r="755" spans="2:10" x14ac:dyDescent="0.25">
      <c r="B755" t="str">
        <f t="shared" si="11"/>
        <v>Teramo</v>
      </c>
      <c r="C755" t="s">
        <v>826</v>
      </c>
      <c r="D755" s="62" t="s">
        <v>2058</v>
      </c>
      <c r="E755" s="63" t="s">
        <v>896</v>
      </c>
      <c r="F755" t="s">
        <v>889</v>
      </c>
      <c r="G755" t="s">
        <v>890</v>
      </c>
      <c r="H755" s="53"/>
      <c r="I755" t="s">
        <v>2059</v>
      </c>
      <c r="J755" s="64">
        <v>0</v>
      </c>
    </row>
    <row r="756" spans="2:10" x14ac:dyDescent="0.25">
      <c r="B756" t="str">
        <f t="shared" si="11"/>
        <v>Torricella</v>
      </c>
      <c r="C756" t="s">
        <v>826</v>
      </c>
      <c r="D756" s="62" t="s">
        <v>2058</v>
      </c>
      <c r="E756" s="63" t="s">
        <v>896</v>
      </c>
      <c r="F756" t="s">
        <v>889</v>
      </c>
      <c r="G756" t="s">
        <v>890</v>
      </c>
      <c r="H756" s="53"/>
      <c r="I756" t="s">
        <v>2060</v>
      </c>
      <c r="J756" s="64">
        <v>0</v>
      </c>
    </row>
    <row r="757" spans="2:10" x14ac:dyDescent="0.25">
      <c r="B757" t="str">
        <f t="shared" si="11"/>
        <v>GranSasso</v>
      </c>
      <c r="C757" t="s">
        <v>826</v>
      </c>
      <c r="D757" s="62" t="s">
        <v>2058</v>
      </c>
      <c r="E757" s="63" t="s">
        <v>896</v>
      </c>
      <c r="F757" t="s">
        <v>889</v>
      </c>
      <c r="G757" t="s">
        <v>890</v>
      </c>
      <c r="H757" s="53"/>
      <c r="I757" t="s">
        <v>2061</v>
      </c>
      <c r="J757" s="64">
        <v>0</v>
      </c>
    </row>
    <row r="758" spans="2:10" x14ac:dyDescent="0.25">
      <c r="B758" t="str">
        <f t="shared" si="11"/>
        <v>Tossicia</v>
      </c>
      <c r="C758" t="s">
        <v>826</v>
      </c>
      <c r="D758" s="62" t="s">
        <v>2058</v>
      </c>
      <c r="E758" s="63" t="s">
        <v>896</v>
      </c>
      <c r="F758" t="s">
        <v>889</v>
      </c>
      <c r="G758" t="s">
        <v>890</v>
      </c>
      <c r="H758" s="53"/>
      <c r="I758" t="s">
        <v>2062</v>
      </c>
      <c r="J758" s="64">
        <v>0</v>
      </c>
    </row>
    <row r="759" spans="2:10" x14ac:dyDescent="0.25">
      <c r="B759" t="str">
        <f t="shared" si="11"/>
        <v>Colledara</v>
      </c>
      <c r="C759" t="s">
        <v>826</v>
      </c>
      <c r="D759" s="62" t="s">
        <v>2058</v>
      </c>
      <c r="E759" s="63" t="s">
        <v>896</v>
      </c>
      <c r="F759" t="s">
        <v>889</v>
      </c>
      <c r="G759" t="s">
        <v>890</v>
      </c>
      <c r="H759" s="53"/>
      <c r="I759" t="s">
        <v>2063</v>
      </c>
      <c r="J759" s="64">
        <v>0</v>
      </c>
    </row>
    <row r="760" spans="2:10" x14ac:dyDescent="0.25">
      <c r="B760" t="str">
        <f t="shared" si="11"/>
        <v>RoccaSMaria</v>
      </c>
      <c r="C760" t="s">
        <v>826</v>
      </c>
      <c r="D760" s="62" t="s">
        <v>2058</v>
      </c>
      <c r="E760" s="63" t="s">
        <v>896</v>
      </c>
      <c r="F760" t="s">
        <v>889</v>
      </c>
      <c r="G760" t="s">
        <v>890</v>
      </c>
      <c r="H760" s="53"/>
      <c r="I760" t="s">
        <v>2064</v>
      </c>
      <c r="J760" s="64">
        <v>0</v>
      </c>
    </row>
    <row r="761" spans="2:10" x14ac:dyDescent="0.25">
      <c r="B761" t="str">
        <f t="shared" si="11"/>
        <v>CastelCastagna</v>
      </c>
      <c r="C761" t="s">
        <v>826</v>
      </c>
      <c r="D761" s="62" t="s">
        <v>2058</v>
      </c>
      <c r="E761" s="63" t="s">
        <v>896</v>
      </c>
      <c r="F761" t="s">
        <v>889</v>
      </c>
      <c r="G761" t="s">
        <v>890</v>
      </c>
      <c r="H761" s="53"/>
      <c r="I761" t="s">
        <v>2065</v>
      </c>
      <c r="J761" s="64">
        <v>0</v>
      </c>
    </row>
    <row r="762" spans="2:10" x14ac:dyDescent="0.25">
      <c r="B762" t="str">
        <f t="shared" si="11"/>
        <v>Crognaleto</v>
      </c>
      <c r="C762" t="s">
        <v>826</v>
      </c>
      <c r="D762" s="62" t="s">
        <v>2058</v>
      </c>
      <c r="E762" s="63" t="s">
        <v>896</v>
      </c>
      <c r="F762" t="s">
        <v>889</v>
      </c>
      <c r="G762" t="s">
        <v>890</v>
      </c>
      <c r="H762" s="53"/>
      <c r="I762" t="s">
        <v>2066</v>
      </c>
      <c r="J762" s="64">
        <v>0</v>
      </c>
    </row>
    <row r="763" spans="2:10" x14ac:dyDescent="0.25">
      <c r="B763" t="str">
        <f t="shared" si="11"/>
        <v>Castelli</v>
      </c>
      <c r="C763" t="s">
        <v>826</v>
      </c>
      <c r="D763" s="62" t="s">
        <v>2058</v>
      </c>
      <c r="E763" s="63" t="s">
        <v>896</v>
      </c>
      <c r="F763" t="s">
        <v>889</v>
      </c>
      <c r="G763" t="s">
        <v>890</v>
      </c>
      <c r="H763" s="53"/>
      <c r="I763" t="s">
        <v>2067</v>
      </c>
      <c r="J763" s="64">
        <v>0</v>
      </c>
    </row>
    <row r="764" spans="2:10" x14ac:dyDescent="0.25">
      <c r="B764" t="str">
        <f t="shared" si="11"/>
        <v>PennaSAndrea</v>
      </c>
      <c r="C764" t="s">
        <v>826</v>
      </c>
      <c r="D764" s="62" t="s">
        <v>2058</v>
      </c>
      <c r="E764" s="63" t="s">
        <v>896</v>
      </c>
      <c r="F764" t="s">
        <v>889</v>
      </c>
      <c r="G764" t="s">
        <v>890</v>
      </c>
      <c r="H764" s="53"/>
      <c r="I764" t="s">
        <v>2068</v>
      </c>
      <c r="J764" s="64">
        <v>0</v>
      </c>
    </row>
    <row r="765" spans="2:10" x14ac:dyDescent="0.25">
      <c r="B765" t="str">
        <f t="shared" si="11"/>
        <v>FanoAdriano</v>
      </c>
      <c r="C765" t="s">
        <v>826</v>
      </c>
      <c r="D765" s="62" t="s">
        <v>2058</v>
      </c>
      <c r="E765" s="63" t="s">
        <v>896</v>
      </c>
      <c r="F765" t="s">
        <v>889</v>
      </c>
      <c r="G765" t="s">
        <v>890</v>
      </c>
      <c r="H765" s="53"/>
      <c r="I765" t="s">
        <v>2069</v>
      </c>
      <c r="J765" s="64">
        <v>0</v>
      </c>
    </row>
    <row r="766" spans="2:10" x14ac:dyDescent="0.25">
      <c r="B766" t="str">
        <f t="shared" si="11"/>
        <v>Benevento</v>
      </c>
      <c r="C766" t="s">
        <v>826</v>
      </c>
      <c r="D766" s="62" t="s">
        <v>2070</v>
      </c>
      <c r="E766" s="63" t="s">
        <v>910</v>
      </c>
      <c r="F766" t="s">
        <v>889</v>
      </c>
      <c r="G766" t="s">
        <v>890</v>
      </c>
      <c r="H766" s="53"/>
      <c r="I766" t="s">
        <v>2071</v>
      </c>
      <c r="J766" s="64">
        <v>0</v>
      </c>
    </row>
    <row r="767" spans="2:10" x14ac:dyDescent="0.25">
      <c r="B767" t="str">
        <f t="shared" si="11"/>
        <v>Santarcangelo</v>
      </c>
      <c r="C767" t="s">
        <v>826</v>
      </c>
      <c r="D767" s="62" t="s">
        <v>2070</v>
      </c>
      <c r="E767" s="63" t="s">
        <v>910</v>
      </c>
      <c r="F767" t="s">
        <v>889</v>
      </c>
      <c r="G767" t="s">
        <v>890</v>
      </c>
      <c r="H767" s="53"/>
      <c r="I767" t="s">
        <v>2072</v>
      </c>
      <c r="J767" s="64">
        <v>0</v>
      </c>
    </row>
    <row r="768" spans="2:10" x14ac:dyDescent="0.25">
      <c r="B768" t="str">
        <f t="shared" si="11"/>
        <v>Pontelandolfo</v>
      </c>
      <c r="C768" t="s">
        <v>826</v>
      </c>
      <c r="D768" s="62" t="s">
        <v>2070</v>
      </c>
      <c r="E768" s="63" t="s">
        <v>910</v>
      </c>
      <c r="F768" t="s">
        <v>889</v>
      </c>
      <c r="G768" t="s">
        <v>890</v>
      </c>
      <c r="H768" s="53"/>
      <c r="I768" t="s">
        <v>2073</v>
      </c>
      <c r="J768" s="64">
        <v>0</v>
      </c>
    </row>
    <row r="769" spans="2:10" x14ac:dyDescent="0.25">
      <c r="B769" t="str">
        <f t="shared" si="11"/>
        <v>Paupisi</v>
      </c>
      <c r="C769" t="s">
        <v>826</v>
      </c>
      <c r="D769" s="62" t="s">
        <v>2070</v>
      </c>
      <c r="E769" s="63" t="s">
        <v>910</v>
      </c>
      <c r="F769" t="s">
        <v>889</v>
      </c>
      <c r="G769" t="s">
        <v>890</v>
      </c>
      <c r="H769" s="53"/>
      <c r="I769" t="s">
        <v>2074</v>
      </c>
      <c r="J769" s="64">
        <v>0</v>
      </c>
    </row>
    <row r="770" spans="2:10" x14ac:dyDescent="0.25">
      <c r="B770" t="str">
        <f t="shared" si="11"/>
        <v>Torrecuso</v>
      </c>
      <c r="C770" t="s">
        <v>826</v>
      </c>
      <c r="D770" s="62" t="s">
        <v>2070</v>
      </c>
      <c r="E770" s="63" t="s">
        <v>910</v>
      </c>
      <c r="F770" t="s">
        <v>889</v>
      </c>
      <c r="G770" t="s">
        <v>890</v>
      </c>
      <c r="H770" s="53"/>
      <c r="I770" t="s">
        <v>2075</v>
      </c>
      <c r="J770" s="64">
        <v>0</v>
      </c>
    </row>
    <row r="771" spans="2:10" x14ac:dyDescent="0.25">
      <c r="B771" t="str">
        <f t="shared" si="11"/>
        <v>SanBartolomeo</v>
      </c>
      <c r="C771" t="s">
        <v>826</v>
      </c>
      <c r="D771" s="62" t="s">
        <v>2070</v>
      </c>
      <c r="E771" s="63" t="s">
        <v>910</v>
      </c>
      <c r="F771" t="s">
        <v>889</v>
      </c>
      <c r="G771" t="s">
        <v>890</v>
      </c>
      <c r="H771" s="53"/>
      <c r="I771" t="s">
        <v>2076</v>
      </c>
      <c r="J771" s="64">
        <v>0</v>
      </c>
    </row>
    <row r="772" spans="2:10" x14ac:dyDescent="0.25">
      <c r="B772" t="str">
        <f t="shared" ref="B772:B835" si="12">+I772&amp;H772</f>
        <v>Sanleucio</v>
      </c>
      <c r="C772" t="s">
        <v>826</v>
      </c>
      <c r="D772" s="62" t="s">
        <v>2070</v>
      </c>
      <c r="E772" s="63" t="s">
        <v>910</v>
      </c>
      <c r="F772" t="s">
        <v>889</v>
      </c>
      <c r="G772" t="s">
        <v>890</v>
      </c>
      <c r="H772" s="53"/>
      <c r="I772" t="s">
        <v>2077</v>
      </c>
      <c r="J772" s="64">
        <v>0</v>
      </c>
    </row>
    <row r="773" spans="2:10" x14ac:dyDescent="0.25">
      <c r="B773" t="str">
        <f t="shared" si="12"/>
        <v>Molinara</v>
      </c>
      <c r="C773" t="s">
        <v>826</v>
      </c>
      <c r="D773" s="62" t="s">
        <v>2070</v>
      </c>
      <c r="E773" s="63" t="s">
        <v>910</v>
      </c>
      <c r="F773" t="s">
        <v>889</v>
      </c>
      <c r="G773" t="s">
        <v>890</v>
      </c>
      <c r="H773" s="53"/>
      <c r="I773" t="s">
        <v>2078</v>
      </c>
      <c r="J773" s="64">
        <v>0</v>
      </c>
    </row>
    <row r="774" spans="2:10" x14ac:dyDescent="0.25">
      <c r="B774" t="str">
        <f t="shared" si="12"/>
        <v>Calvi</v>
      </c>
      <c r="C774" t="s">
        <v>826</v>
      </c>
      <c r="D774" s="62" t="s">
        <v>2070</v>
      </c>
      <c r="E774" s="63" t="s">
        <v>910</v>
      </c>
      <c r="F774" t="s">
        <v>889</v>
      </c>
      <c r="G774" t="s">
        <v>890</v>
      </c>
      <c r="H774" s="53"/>
      <c r="I774" t="s">
        <v>2079</v>
      </c>
      <c r="J774" s="64">
        <v>0</v>
      </c>
    </row>
    <row r="775" spans="2:10" x14ac:dyDescent="0.25">
      <c r="B775" t="str">
        <f t="shared" si="12"/>
        <v>Ponte</v>
      </c>
      <c r="C775" t="s">
        <v>826</v>
      </c>
      <c r="D775" s="62" t="s">
        <v>2070</v>
      </c>
      <c r="E775" s="63" t="s">
        <v>910</v>
      </c>
      <c r="F775" t="s">
        <v>889</v>
      </c>
      <c r="G775" t="s">
        <v>890</v>
      </c>
      <c r="H775" s="53"/>
      <c r="I775" t="s">
        <v>2080</v>
      </c>
      <c r="J775" s="64">
        <v>0</v>
      </c>
    </row>
    <row r="776" spans="2:10" x14ac:dyDescent="0.25">
      <c r="B776" t="str">
        <f t="shared" si="12"/>
        <v>Boscotrecase</v>
      </c>
      <c r="C776" t="s">
        <v>826</v>
      </c>
      <c r="D776" s="62" t="s">
        <v>2081</v>
      </c>
      <c r="E776" s="63" t="s">
        <v>910</v>
      </c>
      <c r="F776" t="s">
        <v>889</v>
      </c>
      <c r="G776" t="s">
        <v>890</v>
      </c>
      <c r="H776" s="53"/>
      <c r="I776" t="s">
        <v>2082</v>
      </c>
      <c r="J776" s="64">
        <v>0</v>
      </c>
    </row>
    <row r="777" spans="2:10" x14ac:dyDescent="0.25">
      <c r="B777" t="str">
        <f t="shared" si="12"/>
        <v>Sant'Antimo</v>
      </c>
      <c r="C777" t="s">
        <v>826</v>
      </c>
      <c r="D777" s="62" t="s">
        <v>2081</v>
      </c>
      <c r="E777" s="63" t="s">
        <v>910</v>
      </c>
      <c r="F777" t="s">
        <v>889</v>
      </c>
      <c r="G777" t="s">
        <v>890</v>
      </c>
      <c r="H777" s="53"/>
      <c r="I777" t="s">
        <v>2083</v>
      </c>
      <c r="J777" s="64">
        <v>0</v>
      </c>
    </row>
    <row r="778" spans="2:10" x14ac:dyDescent="0.25">
      <c r="B778" t="str">
        <f t="shared" si="12"/>
        <v>Zelo Buon Persico</v>
      </c>
      <c r="C778" t="s">
        <v>826</v>
      </c>
      <c r="D778" s="62" t="s">
        <v>2084</v>
      </c>
      <c r="E778" s="63" t="s">
        <v>888</v>
      </c>
      <c r="F778" t="s">
        <v>889</v>
      </c>
      <c r="G778" t="s">
        <v>890</v>
      </c>
      <c r="H778" s="53"/>
      <c r="I778" t="s">
        <v>2085</v>
      </c>
      <c r="J778" s="64">
        <v>0</v>
      </c>
    </row>
    <row r="779" spans="2:10" x14ac:dyDescent="0.25">
      <c r="B779" t="str">
        <f t="shared" si="12"/>
        <v>Maletto</v>
      </c>
      <c r="C779" t="s">
        <v>826</v>
      </c>
      <c r="D779" s="62" t="s">
        <v>2086</v>
      </c>
      <c r="E779" s="63" t="s">
        <v>910</v>
      </c>
      <c r="F779" t="s">
        <v>889</v>
      </c>
      <c r="G779" t="s">
        <v>890</v>
      </c>
      <c r="H779" s="53"/>
      <c r="I779" t="s">
        <v>2087</v>
      </c>
      <c r="J779" s="64">
        <v>0</v>
      </c>
    </row>
    <row r="780" spans="2:10" x14ac:dyDescent="0.25">
      <c r="B780" t="str">
        <f t="shared" si="12"/>
        <v>Villa</v>
      </c>
      <c r="C780" t="s">
        <v>826</v>
      </c>
      <c r="D780" s="62" t="s">
        <v>2086</v>
      </c>
      <c r="E780" s="63" t="s">
        <v>888</v>
      </c>
      <c r="F780" t="s">
        <v>889</v>
      </c>
      <c r="G780" t="s">
        <v>890</v>
      </c>
      <c r="H780" s="53"/>
      <c r="I780" t="s">
        <v>2088</v>
      </c>
      <c r="J780" s="64">
        <v>0</v>
      </c>
    </row>
    <row r="781" spans="2:10" x14ac:dyDescent="0.25">
      <c r="B781" t="str">
        <f t="shared" si="12"/>
        <v>Colorina</v>
      </c>
      <c r="C781" t="s">
        <v>826</v>
      </c>
      <c r="D781" s="62" t="s">
        <v>2086</v>
      </c>
      <c r="E781" s="63" t="s">
        <v>888</v>
      </c>
      <c r="F781" t="s">
        <v>889</v>
      </c>
      <c r="G781" t="s">
        <v>890</v>
      </c>
      <c r="H781" s="53"/>
      <c r="I781" t="s">
        <v>2089</v>
      </c>
      <c r="J781" s="64">
        <v>0</v>
      </c>
    </row>
    <row r="782" spans="2:10" x14ac:dyDescent="0.25">
      <c r="B782" t="str">
        <f t="shared" si="12"/>
        <v>Tito</v>
      </c>
      <c r="C782" t="s">
        <v>826</v>
      </c>
      <c r="D782" s="62" t="s">
        <v>2086</v>
      </c>
      <c r="E782" s="63" t="s">
        <v>910</v>
      </c>
      <c r="F782" t="s">
        <v>889</v>
      </c>
      <c r="G782" t="s">
        <v>890</v>
      </c>
      <c r="H782" s="53"/>
      <c r="I782" t="s">
        <v>2090</v>
      </c>
      <c r="J782" s="64">
        <v>0</v>
      </c>
    </row>
    <row r="783" spans="2:10" x14ac:dyDescent="0.25">
      <c r="B783" t="str">
        <f t="shared" si="12"/>
        <v>Sapri</v>
      </c>
      <c r="C783" t="s">
        <v>826</v>
      </c>
      <c r="D783" s="62" t="s">
        <v>2086</v>
      </c>
      <c r="E783" s="63" t="s">
        <v>910</v>
      </c>
      <c r="F783" t="s">
        <v>889</v>
      </c>
      <c r="G783" t="s">
        <v>890</v>
      </c>
      <c r="H783" s="53"/>
      <c r="I783" t="s">
        <v>2091</v>
      </c>
      <c r="J783" s="64">
        <v>0</v>
      </c>
    </row>
    <row r="784" spans="2:10" x14ac:dyDescent="0.25">
      <c r="B784" t="str">
        <f t="shared" si="12"/>
        <v>Tagliacozzo</v>
      </c>
      <c r="C784" t="s">
        <v>826</v>
      </c>
      <c r="D784" s="62" t="s">
        <v>2092</v>
      </c>
      <c r="E784" s="63" t="s">
        <v>896</v>
      </c>
      <c r="F784" t="s">
        <v>889</v>
      </c>
      <c r="G784" t="s">
        <v>890</v>
      </c>
      <c r="H784" s="53"/>
      <c r="I784" t="s">
        <v>2093</v>
      </c>
      <c r="J784" s="64">
        <v>0</v>
      </c>
    </row>
    <row r="785" spans="2:10" x14ac:dyDescent="0.25">
      <c r="B785" t="str">
        <f t="shared" si="12"/>
        <v>Ischia 2</v>
      </c>
      <c r="C785" t="s">
        <v>826</v>
      </c>
      <c r="D785" s="62" t="s">
        <v>978</v>
      </c>
      <c r="E785" s="63" t="s">
        <v>910</v>
      </c>
      <c r="F785" t="s">
        <v>889</v>
      </c>
      <c r="G785" t="s">
        <v>890</v>
      </c>
      <c r="H785" s="53"/>
      <c r="I785" t="s">
        <v>2094</v>
      </c>
      <c r="J785" s="64">
        <v>0</v>
      </c>
    </row>
    <row r="786" spans="2:10" x14ac:dyDescent="0.25">
      <c r="B786" t="str">
        <f t="shared" si="12"/>
        <v>Somma Vesuviana 2</v>
      </c>
      <c r="C786" t="s">
        <v>826</v>
      </c>
      <c r="D786" s="62" t="s">
        <v>2095</v>
      </c>
      <c r="E786" s="63" t="s">
        <v>910</v>
      </c>
      <c r="F786" t="s">
        <v>889</v>
      </c>
      <c r="G786" t="s">
        <v>890</v>
      </c>
      <c r="H786" s="53"/>
      <c r="I786" t="s">
        <v>2096</v>
      </c>
      <c r="J786" s="64">
        <v>0</v>
      </c>
    </row>
    <row r="787" spans="2:10" x14ac:dyDescent="0.25">
      <c r="B787" t="str">
        <f t="shared" si="12"/>
        <v>Vietri sul Mare 2</v>
      </c>
      <c r="C787" t="s">
        <v>826</v>
      </c>
      <c r="D787" s="62" t="s">
        <v>2097</v>
      </c>
      <c r="E787" s="63" t="s">
        <v>910</v>
      </c>
      <c r="F787" t="s">
        <v>889</v>
      </c>
      <c r="G787" t="s">
        <v>890</v>
      </c>
      <c r="H787" s="53"/>
      <c r="I787" t="s">
        <v>2098</v>
      </c>
      <c r="J787" s="64">
        <v>0</v>
      </c>
    </row>
    <row r="788" spans="2:10" x14ac:dyDescent="0.25">
      <c r="B788" t="str">
        <f t="shared" si="12"/>
        <v>Comune1 PL</v>
      </c>
      <c r="C788" t="s">
        <v>826</v>
      </c>
      <c r="D788" s="62" t="s">
        <v>2099</v>
      </c>
      <c r="E788" s="63" t="s">
        <v>888</v>
      </c>
      <c r="F788" t="s">
        <v>889</v>
      </c>
      <c r="G788" t="s">
        <v>890</v>
      </c>
      <c r="H788" s="53"/>
      <c r="I788" t="s">
        <v>2100</v>
      </c>
      <c r="J788" s="64">
        <v>0</v>
      </c>
    </row>
    <row r="789" spans="2:10" x14ac:dyDescent="0.25">
      <c r="B789" t="str">
        <f t="shared" si="12"/>
        <v>Comune2 PL</v>
      </c>
      <c r="C789" t="s">
        <v>826</v>
      </c>
      <c r="D789" s="62" t="s">
        <v>2099</v>
      </c>
      <c r="E789" s="63" t="s">
        <v>888</v>
      </c>
      <c r="F789" t="s">
        <v>889</v>
      </c>
      <c r="G789" t="s">
        <v>890</v>
      </c>
      <c r="H789" s="53"/>
      <c r="I789" t="s">
        <v>2101</v>
      </c>
      <c r="J789" s="64">
        <v>0</v>
      </c>
    </row>
    <row r="790" spans="2:10" x14ac:dyDescent="0.25">
      <c r="B790" t="str">
        <f t="shared" si="12"/>
        <v>Comune3 PL</v>
      </c>
      <c r="C790" t="s">
        <v>826</v>
      </c>
      <c r="D790" s="62" t="s">
        <v>2099</v>
      </c>
      <c r="E790" s="63" t="s">
        <v>888</v>
      </c>
      <c r="F790" t="s">
        <v>889</v>
      </c>
      <c r="G790" t="s">
        <v>890</v>
      </c>
      <c r="H790" s="53"/>
      <c r="I790" t="s">
        <v>2102</v>
      </c>
      <c r="J790" s="64">
        <v>0</v>
      </c>
    </row>
    <row r="791" spans="2:10" x14ac:dyDescent="0.25">
      <c r="B791" t="str">
        <f t="shared" si="12"/>
        <v>Piedimonte Etneo</v>
      </c>
      <c r="C791" t="s">
        <v>826</v>
      </c>
      <c r="D791" s="62" t="s">
        <v>2103</v>
      </c>
      <c r="E791" s="63" t="s">
        <v>910</v>
      </c>
      <c r="F791" t="s">
        <v>889</v>
      </c>
      <c r="G791" t="s">
        <v>890</v>
      </c>
      <c r="H791" s="53"/>
      <c r="I791" t="s">
        <v>2104</v>
      </c>
      <c r="J791" s="64">
        <v>0</v>
      </c>
    </row>
    <row r="792" spans="2:10" x14ac:dyDescent="0.25">
      <c r="B792" t="str">
        <f t="shared" si="12"/>
        <v>Sant'Agata Li Battiati</v>
      </c>
      <c r="C792" t="s">
        <v>826</v>
      </c>
      <c r="D792" s="62" t="s">
        <v>2103</v>
      </c>
      <c r="E792" s="63" t="s">
        <v>910</v>
      </c>
      <c r="F792" t="s">
        <v>889</v>
      </c>
      <c r="G792" t="s">
        <v>890</v>
      </c>
      <c r="H792" s="53"/>
      <c r="I792" t="s">
        <v>2105</v>
      </c>
      <c r="J792" s="64">
        <v>0</v>
      </c>
    </row>
    <row r="793" spans="2:10" x14ac:dyDescent="0.25">
      <c r="B793" t="str">
        <f t="shared" si="12"/>
        <v>Milo</v>
      </c>
      <c r="C793" t="s">
        <v>826</v>
      </c>
      <c r="D793" s="62" t="s">
        <v>2103</v>
      </c>
      <c r="E793" s="63" t="s">
        <v>910</v>
      </c>
      <c r="F793" t="s">
        <v>889</v>
      </c>
      <c r="G793" t="s">
        <v>890</v>
      </c>
      <c r="H793" s="53"/>
      <c r="I793" t="s">
        <v>2106</v>
      </c>
      <c r="J793" s="64">
        <v>0</v>
      </c>
    </row>
    <row r="794" spans="2:10" x14ac:dyDescent="0.25">
      <c r="B794" t="str">
        <f t="shared" si="12"/>
        <v>X-Bus</v>
      </c>
      <c r="C794" t="s">
        <v>826</v>
      </c>
      <c r="D794" s="62" t="s">
        <v>2107</v>
      </c>
      <c r="E794" s="63" t="s">
        <v>896</v>
      </c>
      <c r="F794" t="s">
        <v>2108</v>
      </c>
      <c r="G794" t="s">
        <v>890</v>
      </c>
      <c r="H794" s="53"/>
      <c r="I794" t="s">
        <v>2107</v>
      </c>
      <c r="J794" s="64">
        <v>0</v>
      </c>
    </row>
    <row r="795" spans="2:10" x14ac:dyDescent="0.25">
      <c r="B795" t="str">
        <f t="shared" si="12"/>
        <v>San Giorgio Jonico PV</v>
      </c>
      <c r="C795" t="s">
        <v>826</v>
      </c>
      <c r="D795" s="62" t="s">
        <v>887</v>
      </c>
      <c r="E795" s="63" t="s">
        <v>910</v>
      </c>
      <c r="F795" t="s">
        <v>897</v>
      </c>
      <c r="G795" t="s">
        <v>890</v>
      </c>
      <c r="H795" s="53"/>
      <c r="I795" t="s">
        <v>2109</v>
      </c>
      <c r="J795" s="64">
        <v>0</v>
      </c>
    </row>
    <row r="796" spans="2:10" x14ac:dyDescent="0.25">
      <c r="B796" t="str">
        <f t="shared" si="12"/>
        <v>Taviano PV</v>
      </c>
      <c r="C796" t="s">
        <v>826</v>
      </c>
      <c r="D796" s="62" t="s">
        <v>887</v>
      </c>
      <c r="E796" s="63" t="s">
        <v>910</v>
      </c>
      <c r="F796" t="s">
        <v>897</v>
      </c>
      <c r="G796" t="s">
        <v>890</v>
      </c>
      <c r="H796" s="53"/>
      <c r="I796" t="s">
        <v>2110</v>
      </c>
      <c r="J796" s="64">
        <v>0</v>
      </c>
    </row>
    <row r="797" spans="2:10" x14ac:dyDescent="0.25">
      <c r="B797" t="str">
        <f t="shared" si="12"/>
        <v>Tricase PV</v>
      </c>
      <c r="C797" t="s">
        <v>826</v>
      </c>
      <c r="D797" s="62" t="s">
        <v>887</v>
      </c>
      <c r="E797" s="63" t="s">
        <v>910</v>
      </c>
      <c r="F797" t="s">
        <v>897</v>
      </c>
      <c r="G797" t="s">
        <v>890</v>
      </c>
      <c r="H797" s="53"/>
      <c r="I797" t="s">
        <v>2026</v>
      </c>
      <c r="J797" s="64">
        <v>0</v>
      </c>
    </row>
    <row r="798" spans="2:10" x14ac:dyDescent="0.25">
      <c r="B798" t="str">
        <f t="shared" si="12"/>
        <v>Ugento PV</v>
      </c>
      <c r="C798" t="s">
        <v>826</v>
      </c>
      <c r="D798" s="62" t="s">
        <v>887</v>
      </c>
      <c r="E798" s="63" t="s">
        <v>910</v>
      </c>
      <c r="F798" t="s">
        <v>897</v>
      </c>
      <c r="G798" t="s">
        <v>890</v>
      </c>
      <c r="H798" s="53"/>
      <c r="I798" t="s">
        <v>2111</v>
      </c>
      <c r="J798" s="64">
        <v>0</v>
      </c>
    </row>
    <row r="799" spans="2:10" x14ac:dyDescent="0.25">
      <c r="B799" t="str">
        <f t="shared" si="12"/>
        <v>Casarano</v>
      </c>
      <c r="C799" t="s">
        <v>826</v>
      </c>
      <c r="D799" s="62" t="s">
        <v>2112</v>
      </c>
      <c r="E799" s="63" t="s">
        <v>910</v>
      </c>
      <c r="F799" t="s">
        <v>889</v>
      </c>
      <c r="G799" t="s">
        <v>890</v>
      </c>
      <c r="H799" s="53"/>
      <c r="I799" t="s">
        <v>2113</v>
      </c>
      <c r="J799" s="64">
        <v>0</v>
      </c>
    </row>
    <row r="800" spans="2:10" x14ac:dyDescent="0.25">
      <c r="B800" t="str">
        <f t="shared" si="12"/>
        <v>Castrignano</v>
      </c>
      <c r="C800" t="s">
        <v>826</v>
      </c>
      <c r="D800" s="62" t="s">
        <v>2112</v>
      </c>
      <c r="E800" s="63" t="s">
        <v>910</v>
      </c>
      <c r="F800" t="s">
        <v>889</v>
      </c>
      <c r="G800" t="s">
        <v>890</v>
      </c>
      <c r="H800" s="53"/>
      <c r="I800" t="s">
        <v>2114</v>
      </c>
      <c r="J800" s="64">
        <v>0</v>
      </c>
    </row>
    <row r="801" spans="2:10" x14ac:dyDescent="0.25">
      <c r="B801" t="str">
        <f t="shared" si="12"/>
        <v>Comune1 PB</v>
      </c>
      <c r="C801" t="s">
        <v>826</v>
      </c>
      <c r="D801" s="62" t="s">
        <v>2099</v>
      </c>
      <c r="E801" s="63" t="s">
        <v>888</v>
      </c>
      <c r="F801" t="s">
        <v>965</v>
      </c>
      <c r="G801" t="s">
        <v>890</v>
      </c>
      <c r="H801" s="53"/>
      <c r="I801" t="s">
        <v>2115</v>
      </c>
      <c r="J801" s="64">
        <v>0</v>
      </c>
    </row>
    <row r="802" spans="2:10" x14ac:dyDescent="0.25">
      <c r="B802" t="str">
        <f t="shared" si="12"/>
        <v>Comune2 PB</v>
      </c>
      <c r="C802" t="s">
        <v>826</v>
      </c>
      <c r="D802" s="62" t="s">
        <v>2099</v>
      </c>
      <c r="E802" s="63" t="s">
        <v>888</v>
      </c>
      <c r="F802" t="s">
        <v>965</v>
      </c>
      <c r="G802" t="s">
        <v>890</v>
      </c>
      <c r="H802" s="53"/>
      <c r="I802" t="s">
        <v>2116</v>
      </c>
      <c r="J802" s="64">
        <v>0</v>
      </c>
    </row>
    <row r="803" spans="2:10" x14ac:dyDescent="0.25">
      <c r="B803" t="str">
        <f t="shared" si="12"/>
        <v>Comune3 PB</v>
      </c>
      <c r="C803" t="s">
        <v>826</v>
      </c>
      <c r="D803" s="62" t="s">
        <v>2099</v>
      </c>
      <c r="E803" s="63" t="s">
        <v>888</v>
      </c>
      <c r="F803" t="s">
        <v>965</v>
      </c>
      <c r="G803" t="s">
        <v>890</v>
      </c>
      <c r="H803" s="53"/>
      <c r="I803" t="s">
        <v>2117</v>
      </c>
      <c r="J803" s="64">
        <v>0</v>
      </c>
    </row>
    <row r="804" spans="2:10" x14ac:dyDescent="0.25">
      <c r="B804" t="str">
        <f t="shared" si="12"/>
        <v>Comune4 PB</v>
      </c>
      <c r="C804" t="s">
        <v>826</v>
      </c>
      <c r="D804" s="62" t="s">
        <v>2099</v>
      </c>
      <c r="E804" s="63" t="s">
        <v>888</v>
      </c>
      <c r="F804" t="s">
        <v>965</v>
      </c>
      <c r="G804" t="s">
        <v>890</v>
      </c>
      <c r="H804" s="53"/>
      <c r="I804" t="s">
        <v>2118</v>
      </c>
      <c r="J804" s="64">
        <v>0</v>
      </c>
    </row>
    <row r="805" spans="2:10" x14ac:dyDescent="0.25">
      <c r="B805" t="str">
        <f t="shared" si="12"/>
        <v>Comune5 PB</v>
      </c>
      <c r="C805" t="s">
        <v>826</v>
      </c>
      <c r="D805" s="62" t="s">
        <v>2099</v>
      </c>
      <c r="E805" s="63" t="s">
        <v>888</v>
      </c>
      <c r="F805" t="s">
        <v>965</v>
      </c>
      <c r="G805" t="s">
        <v>890</v>
      </c>
      <c r="H805" s="53"/>
      <c r="I805" t="s">
        <v>2119</v>
      </c>
      <c r="J805" s="64">
        <v>0</v>
      </c>
    </row>
    <row r="806" spans="2:10" x14ac:dyDescent="0.25">
      <c r="B806" t="str">
        <f t="shared" si="12"/>
        <v>Comune6 PB</v>
      </c>
      <c r="C806" t="s">
        <v>826</v>
      </c>
      <c r="D806" s="62" t="s">
        <v>2099</v>
      </c>
      <c r="E806" s="63" t="s">
        <v>888</v>
      </c>
      <c r="F806" t="s">
        <v>965</v>
      </c>
      <c r="G806" t="s">
        <v>890</v>
      </c>
      <c r="H806" s="53"/>
      <c r="I806" t="s">
        <v>2120</v>
      </c>
      <c r="J806" s="64">
        <v>0</v>
      </c>
    </row>
    <row r="807" spans="2:10" x14ac:dyDescent="0.25">
      <c r="B807" t="str">
        <f t="shared" si="12"/>
        <v>Comune7 PB</v>
      </c>
      <c r="C807" t="s">
        <v>826</v>
      </c>
      <c r="D807" s="62" t="s">
        <v>2099</v>
      </c>
      <c r="E807" s="63" t="s">
        <v>888</v>
      </c>
      <c r="F807" t="s">
        <v>965</v>
      </c>
      <c r="G807" t="s">
        <v>890</v>
      </c>
      <c r="H807" s="53"/>
      <c r="I807" t="s">
        <v>2121</v>
      </c>
      <c r="J807" s="64">
        <v>0</v>
      </c>
    </row>
    <row r="808" spans="2:10" x14ac:dyDescent="0.25">
      <c r="B808" t="str">
        <f t="shared" si="12"/>
        <v>Comune8 PB</v>
      </c>
      <c r="C808" t="s">
        <v>826</v>
      </c>
      <c r="D808" s="62" t="s">
        <v>2099</v>
      </c>
      <c r="E808" s="63" t="s">
        <v>888</v>
      </c>
      <c r="F808" t="s">
        <v>965</v>
      </c>
      <c r="G808" t="s">
        <v>890</v>
      </c>
      <c r="H808" s="53"/>
      <c r="I808" t="s">
        <v>2122</v>
      </c>
      <c r="J808" s="64">
        <v>0</v>
      </c>
    </row>
    <row r="809" spans="2:10" x14ac:dyDescent="0.25">
      <c r="B809" t="str">
        <f t="shared" si="12"/>
        <v>Comune9 PB</v>
      </c>
      <c r="C809" t="s">
        <v>826</v>
      </c>
      <c r="D809" s="62" t="s">
        <v>2099</v>
      </c>
      <c r="E809" s="63" t="s">
        <v>888</v>
      </c>
      <c r="F809" t="s">
        <v>965</v>
      </c>
      <c r="G809" t="s">
        <v>890</v>
      </c>
      <c r="H809" s="53"/>
      <c r="I809" t="s">
        <v>2123</v>
      </c>
      <c r="J809" s="64">
        <v>0</v>
      </c>
    </row>
    <row r="810" spans="2:10" x14ac:dyDescent="0.25">
      <c r="B810" t="str">
        <f t="shared" si="12"/>
        <v>Comune10 PB</v>
      </c>
      <c r="C810" t="s">
        <v>826</v>
      </c>
      <c r="D810" s="62" t="s">
        <v>2099</v>
      </c>
      <c r="E810" s="63" t="s">
        <v>888</v>
      </c>
      <c r="F810" t="s">
        <v>965</v>
      </c>
      <c r="G810" t="s">
        <v>890</v>
      </c>
      <c r="H810" s="53"/>
      <c r="I810" t="s">
        <v>2124</v>
      </c>
      <c r="J810" s="64">
        <v>0</v>
      </c>
    </row>
    <row r="811" spans="2:10" x14ac:dyDescent="0.25">
      <c r="B811" t="str">
        <f t="shared" si="12"/>
        <v>Comune11 PB</v>
      </c>
      <c r="C811" t="s">
        <v>826</v>
      </c>
      <c r="D811" s="62" t="s">
        <v>2099</v>
      </c>
      <c r="E811" s="63" t="s">
        <v>888</v>
      </c>
      <c r="F811" t="s">
        <v>965</v>
      </c>
      <c r="G811" t="s">
        <v>890</v>
      </c>
      <c r="H811" s="53"/>
      <c r="I811" t="s">
        <v>2125</v>
      </c>
      <c r="J811" s="64">
        <v>0</v>
      </c>
    </row>
    <row r="812" spans="2:10" x14ac:dyDescent="0.25">
      <c r="B812" t="str">
        <f t="shared" si="12"/>
        <v>Comune12 PB</v>
      </c>
      <c r="C812" t="s">
        <v>826</v>
      </c>
      <c r="D812" s="62" t="s">
        <v>2099</v>
      </c>
      <c r="E812" s="63" t="s">
        <v>888</v>
      </c>
      <c r="F812" t="s">
        <v>965</v>
      </c>
      <c r="G812" t="s">
        <v>890</v>
      </c>
      <c r="H812" s="53"/>
      <c r="I812" t="s">
        <v>2126</v>
      </c>
      <c r="J812" s="64">
        <v>0</v>
      </c>
    </row>
    <row r="813" spans="2:10" x14ac:dyDescent="0.25">
      <c r="B813" t="str">
        <f t="shared" si="12"/>
        <v>Comune13 PB</v>
      </c>
      <c r="C813" t="s">
        <v>826</v>
      </c>
      <c r="D813" s="62" t="s">
        <v>2099</v>
      </c>
      <c r="E813" s="63" t="s">
        <v>888</v>
      </c>
      <c r="F813" t="s">
        <v>965</v>
      </c>
      <c r="G813" t="s">
        <v>890</v>
      </c>
      <c r="H813" s="53"/>
      <c r="I813" t="s">
        <v>2127</v>
      </c>
      <c r="J813" s="64">
        <v>0</v>
      </c>
    </row>
    <row r="814" spans="2:10" x14ac:dyDescent="0.25">
      <c r="B814" t="str">
        <f t="shared" si="12"/>
        <v>Comune14 PB</v>
      </c>
      <c r="C814" t="s">
        <v>826</v>
      </c>
      <c r="D814" s="62" t="s">
        <v>2099</v>
      </c>
      <c r="E814" s="63" t="s">
        <v>888</v>
      </c>
      <c r="F814" t="s">
        <v>965</v>
      </c>
      <c r="G814" t="s">
        <v>890</v>
      </c>
      <c r="H814" s="53"/>
      <c r="I814" t="s">
        <v>2128</v>
      </c>
      <c r="J814" s="64">
        <v>0</v>
      </c>
    </row>
    <row r="815" spans="2:10" x14ac:dyDescent="0.25">
      <c r="B815" t="str">
        <f t="shared" si="12"/>
        <v>Civate rinnovo</v>
      </c>
      <c r="C815" t="s">
        <v>826</v>
      </c>
      <c r="D815" s="62" t="s">
        <v>887</v>
      </c>
      <c r="E815" s="63" t="s">
        <v>888</v>
      </c>
      <c r="F815" t="s">
        <v>1533</v>
      </c>
      <c r="G815" t="s">
        <v>1533</v>
      </c>
      <c r="H815" s="53"/>
      <c r="I815" t="s">
        <v>2027</v>
      </c>
      <c r="J815" s="64">
        <v>0</v>
      </c>
    </row>
    <row r="816" spans="2:10" x14ac:dyDescent="0.25">
      <c r="B816" t="str">
        <f t="shared" si="12"/>
        <v>Albinea Proroga Tecnica</v>
      </c>
      <c r="C816" t="s">
        <v>958</v>
      </c>
      <c r="D816" s="62" t="s">
        <v>887</v>
      </c>
      <c r="E816" s="63" t="s">
        <v>896</v>
      </c>
      <c r="F816" t="s">
        <v>1533</v>
      </c>
      <c r="G816" t="s">
        <v>1533</v>
      </c>
      <c r="H816" s="53"/>
      <c r="I816" t="s">
        <v>2028</v>
      </c>
      <c r="J816" s="64">
        <v>0</v>
      </c>
    </row>
    <row r="817" spans="2:10" x14ac:dyDescent="0.25">
      <c r="B817" t="str">
        <f t="shared" si="12"/>
        <v>Falconara Marittima Proroga Tecnica</v>
      </c>
      <c r="C817" t="s">
        <v>958</v>
      </c>
      <c r="D817" s="62" t="s">
        <v>887</v>
      </c>
      <c r="E817" s="63" t="s">
        <v>896</v>
      </c>
      <c r="F817" t="s">
        <v>1533</v>
      </c>
      <c r="G817" t="s">
        <v>1533</v>
      </c>
      <c r="H817" s="53"/>
      <c r="I817" t="s">
        <v>2029</v>
      </c>
      <c r="J817" s="64">
        <v>0</v>
      </c>
    </row>
    <row r="818" spans="2:10" x14ac:dyDescent="0.25">
      <c r="B818" t="str">
        <f t="shared" si="12"/>
        <v>Fermo Proroga tecnica</v>
      </c>
      <c r="C818" t="s">
        <v>958</v>
      </c>
      <c r="D818" s="62" t="s">
        <v>887</v>
      </c>
      <c r="E818" s="63" t="s">
        <v>896</v>
      </c>
      <c r="F818" t="s">
        <v>1533</v>
      </c>
      <c r="G818" t="s">
        <v>1533</v>
      </c>
      <c r="H818" s="53"/>
      <c r="I818" t="s">
        <v>2030</v>
      </c>
      <c r="J818" s="64">
        <v>0</v>
      </c>
    </row>
    <row r="819" spans="2:10" x14ac:dyDescent="0.25">
      <c r="B819" t="str">
        <f t="shared" si="12"/>
        <v>Scheggia e Pascelupo Proroga tecnica</v>
      </c>
      <c r="C819" t="s">
        <v>958</v>
      </c>
      <c r="D819" s="62" t="s">
        <v>887</v>
      </c>
      <c r="E819" s="63" t="s">
        <v>896</v>
      </c>
      <c r="F819" t="s">
        <v>1533</v>
      </c>
      <c r="G819" t="s">
        <v>1533</v>
      </c>
      <c r="H819" s="53"/>
      <c r="I819" t="s">
        <v>2031</v>
      </c>
      <c r="J819" s="64">
        <v>0</v>
      </c>
    </row>
    <row r="820" spans="2:10" x14ac:dyDescent="0.25">
      <c r="B820" t="str">
        <f t="shared" si="12"/>
        <v>Cagli PPP</v>
      </c>
      <c r="C820" t="s">
        <v>826</v>
      </c>
      <c r="D820" s="62" t="s">
        <v>887</v>
      </c>
      <c r="E820" s="63" t="s">
        <v>896</v>
      </c>
      <c r="F820" t="s">
        <v>1533</v>
      </c>
      <c r="G820" t="s">
        <v>1533</v>
      </c>
      <c r="H820" s="53"/>
      <c r="I820" t="s">
        <v>2032</v>
      </c>
      <c r="J820" s="64">
        <v>0</v>
      </c>
    </row>
    <row r="821" spans="2:10" x14ac:dyDescent="0.25">
      <c r="B821" t="str">
        <f t="shared" si="12"/>
        <v>Faenza Proroga tecnica</v>
      </c>
      <c r="C821" t="s">
        <v>958</v>
      </c>
      <c r="D821" s="62" t="s">
        <v>887</v>
      </c>
      <c r="E821" s="63" t="s">
        <v>896</v>
      </c>
      <c r="F821" t="s">
        <v>1533</v>
      </c>
      <c r="G821" t="s">
        <v>1533</v>
      </c>
      <c r="H821" s="53"/>
      <c r="I821" t="s">
        <v>2033</v>
      </c>
      <c r="J821" s="64">
        <v>0</v>
      </c>
    </row>
    <row r="822" spans="2:10" x14ac:dyDescent="0.25">
      <c r="B822" t="str">
        <f t="shared" si="12"/>
        <v>Urbania</v>
      </c>
      <c r="C822" t="s">
        <v>958</v>
      </c>
      <c r="D822" s="62" t="s">
        <v>887</v>
      </c>
      <c r="E822" s="63" t="s">
        <v>896</v>
      </c>
      <c r="F822" t="s">
        <v>1533</v>
      </c>
      <c r="G822" t="s">
        <v>1533</v>
      </c>
      <c r="H822" s="53"/>
      <c r="I822" t="s">
        <v>2034</v>
      </c>
      <c r="J822" s="64">
        <v>0</v>
      </c>
    </row>
    <row r="823" spans="2:10" x14ac:dyDescent="0.25">
      <c r="B823" t="str">
        <f t="shared" si="12"/>
        <v>Esperia</v>
      </c>
      <c r="C823" t="s">
        <v>826</v>
      </c>
      <c r="D823" s="62" t="s">
        <v>887</v>
      </c>
      <c r="E823" s="63" t="s">
        <v>896</v>
      </c>
      <c r="F823" t="s">
        <v>1533</v>
      </c>
      <c r="G823" t="s">
        <v>1533</v>
      </c>
      <c r="H823" s="53"/>
      <c r="I823" t="s">
        <v>2035</v>
      </c>
      <c r="J823" s="64">
        <v>0</v>
      </c>
    </row>
    <row r="824" spans="2:10" x14ac:dyDescent="0.25">
      <c r="B824" t="str">
        <f t="shared" si="12"/>
        <v>Monteleone Sabino</v>
      </c>
      <c r="C824" t="s">
        <v>826</v>
      </c>
      <c r="D824" s="62" t="s">
        <v>887</v>
      </c>
      <c r="E824" s="63" t="s">
        <v>896</v>
      </c>
      <c r="F824" t="s">
        <v>1533</v>
      </c>
      <c r="G824" t="s">
        <v>1533</v>
      </c>
      <c r="H824" s="53"/>
      <c r="I824" t="s">
        <v>2036</v>
      </c>
      <c r="J824" s="64">
        <v>0</v>
      </c>
    </row>
    <row r="825" spans="2:10" x14ac:dyDescent="0.25">
      <c r="B825" t="str">
        <f t="shared" si="12"/>
        <v>Villa Santa Lucia</v>
      </c>
      <c r="C825" t="s">
        <v>826</v>
      </c>
      <c r="D825" s="62" t="s">
        <v>887</v>
      </c>
      <c r="E825" s="63" t="s">
        <v>896</v>
      </c>
      <c r="F825" t="s">
        <v>1533</v>
      </c>
      <c r="G825" t="s">
        <v>1533</v>
      </c>
      <c r="H825" s="53"/>
      <c r="I825" t="s">
        <v>2037</v>
      </c>
      <c r="J825" s="64">
        <v>0</v>
      </c>
    </row>
    <row r="826" spans="2:10" x14ac:dyDescent="0.25">
      <c r="B826" t="str">
        <f t="shared" si="12"/>
        <v>Loreto Aprutino</v>
      </c>
      <c r="C826" t="s">
        <v>826</v>
      </c>
      <c r="D826" s="62" t="s">
        <v>887</v>
      </c>
      <c r="E826" s="63" t="s">
        <v>896</v>
      </c>
      <c r="F826" t="s">
        <v>1533</v>
      </c>
      <c r="G826" t="s">
        <v>1533</v>
      </c>
      <c r="H826" s="53"/>
      <c r="I826" t="s">
        <v>2038</v>
      </c>
      <c r="J826" s="64">
        <v>0</v>
      </c>
    </row>
    <row r="827" spans="2:10" x14ac:dyDescent="0.25">
      <c r="B827" t="str">
        <f t="shared" si="12"/>
        <v>Penne</v>
      </c>
      <c r="C827" t="s">
        <v>826</v>
      </c>
      <c r="D827" s="62" t="s">
        <v>887</v>
      </c>
      <c r="E827" s="63" t="s">
        <v>896</v>
      </c>
      <c r="F827" t="s">
        <v>1533</v>
      </c>
      <c r="G827" t="s">
        <v>1533</v>
      </c>
      <c r="H827" s="53"/>
      <c r="I827" t="s">
        <v>2039</v>
      </c>
      <c r="J827" s="64">
        <v>0</v>
      </c>
    </row>
    <row r="828" spans="2:10" x14ac:dyDescent="0.25">
      <c r="B828" t="str">
        <f t="shared" si="12"/>
        <v>Bellante HM</v>
      </c>
      <c r="C828" t="s">
        <v>826</v>
      </c>
      <c r="D828" s="62" t="s">
        <v>887</v>
      </c>
      <c r="E828" s="63" t="s">
        <v>896</v>
      </c>
      <c r="F828" t="s">
        <v>1533</v>
      </c>
      <c r="G828" t="s">
        <v>1533</v>
      </c>
      <c r="H828" s="53"/>
      <c r="I828" t="s">
        <v>2040</v>
      </c>
      <c r="J828" s="64">
        <v>0</v>
      </c>
    </row>
    <row r="829" spans="2:10" x14ac:dyDescent="0.25">
      <c r="B829" t="str">
        <f t="shared" si="12"/>
        <v>Serrone</v>
      </c>
      <c r="C829" t="s">
        <v>826</v>
      </c>
      <c r="D829" s="62" t="s">
        <v>887</v>
      </c>
      <c r="E829" s="63" t="s">
        <v>896</v>
      </c>
      <c r="F829" t="s">
        <v>1533</v>
      </c>
      <c r="G829" t="s">
        <v>1533</v>
      </c>
      <c r="H829" s="53"/>
      <c r="I829" t="s">
        <v>2042</v>
      </c>
      <c r="J829" s="64">
        <v>0</v>
      </c>
    </row>
    <row r="830" spans="2:10" x14ac:dyDescent="0.25">
      <c r="B830" t="str">
        <f t="shared" si="12"/>
        <v>Artena</v>
      </c>
      <c r="C830" t="s">
        <v>826</v>
      </c>
      <c r="D830" s="62" t="s">
        <v>887</v>
      </c>
      <c r="E830" s="63" t="s">
        <v>896</v>
      </c>
      <c r="F830" t="s">
        <v>1533</v>
      </c>
      <c r="G830" t="s">
        <v>1533</v>
      </c>
      <c r="H830" s="53"/>
      <c r="I830" t="s">
        <v>2044</v>
      </c>
      <c r="J830" s="64">
        <v>0</v>
      </c>
    </row>
    <row r="831" spans="2:10" x14ac:dyDescent="0.25">
      <c r="B831" t="str">
        <f t="shared" si="12"/>
        <v>Gavignano</v>
      </c>
      <c r="C831" t="s">
        <v>826</v>
      </c>
      <c r="D831" s="62" t="s">
        <v>887</v>
      </c>
      <c r="E831" s="63" t="s">
        <v>896</v>
      </c>
      <c r="F831" t="s">
        <v>1533</v>
      </c>
      <c r="G831" t="s">
        <v>1533</v>
      </c>
      <c r="H831" s="53"/>
      <c r="I831" t="s">
        <v>2045</v>
      </c>
      <c r="J831" s="64">
        <v>0</v>
      </c>
    </row>
    <row r="832" spans="2:10" x14ac:dyDescent="0.25">
      <c r="B832" t="str">
        <f t="shared" si="12"/>
        <v>Cantalice</v>
      </c>
      <c r="C832" t="s">
        <v>826</v>
      </c>
      <c r="D832" s="62" t="s">
        <v>887</v>
      </c>
      <c r="E832" s="63" t="s">
        <v>896</v>
      </c>
      <c r="F832" t="s">
        <v>1533</v>
      </c>
      <c r="G832" t="s">
        <v>1533</v>
      </c>
      <c r="H832" s="53"/>
      <c r="I832" t="s">
        <v>2046</v>
      </c>
      <c r="J832" s="64">
        <v>0</v>
      </c>
    </row>
    <row r="833" spans="2:10" x14ac:dyDescent="0.25">
      <c r="B833" t="str">
        <f t="shared" si="12"/>
        <v xml:space="preserve">Poggio San Lorenzo </v>
      </c>
      <c r="C833" t="s">
        <v>826</v>
      </c>
      <c r="D833" s="62" t="s">
        <v>887</v>
      </c>
      <c r="E833" s="63" t="s">
        <v>896</v>
      </c>
      <c r="F833" t="s">
        <v>1533</v>
      </c>
      <c r="G833" t="s">
        <v>1533</v>
      </c>
      <c r="H833" s="53"/>
      <c r="I833" t="s">
        <v>2047</v>
      </c>
      <c r="J833" s="64">
        <v>0</v>
      </c>
    </row>
    <row r="834" spans="2:10" x14ac:dyDescent="0.25">
      <c r="B834" t="str">
        <f t="shared" si="12"/>
        <v>Cervara di Roma</v>
      </c>
      <c r="C834" t="s">
        <v>826</v>
      </c>
      <c r="D834" s="62" t="s">
        <v>887</v>
      </c>
      <c r="E834" s="63" t="s">
        <v>896</v>
      </c>
      <c r="F834" t="s">
        <v>1533</v>
      </c>
      <c r="G834" t="s">
        <v>1533</v>
      </c>
      <c r="H834" s="53"/>
      <c r="I834" t="s">
        <v>2049</v>
      </c>
      <c r="J834" s="64">
        <v>0</v>
      </c>
    </row>
    <row r="835" spans="2:10" x14ac:dyDescent="0.25">
      <c r="B835" t="str">
        <f t="shared" si="12"/>
        <v>Morolo</v>
      </c>
      <c r="C835" t="s">
        <v>826</v>
      </c>
      <c r="D835" s="62" t="s">
        <v>887</v>
      </c>
      <c r="E835" s="63" t="s">
        <v>896</v>
      </c>
      <c r="F835" t="s">
        <v>1533</v>
      </c>
      <c r="G835" t="s">
        <v>1533</v>
      </c>
      <c r="H835" s="53"/>
      <c r="I835" t="s">
        <v>2051</v>
      </c>
      <c r="J835" s="64">
        <v>0</v>
      </c>
    </row>
    <row r="836" spans="2:10" x14ac:dyDescent="0.25">
      <c r="B836" t="str">
        <f t="shared" ref="B836:B899" si="13">+I836&amp;H836</f>
        <v>Nettuno</v>
      </c>
      <c r="C836" t="s">
        <v>958</v>
      </c>
      <c r="D836" s="62" t="s">
        <v>887</v>
      </c>
      <c r="E836" s="63" t="s">
        <v>896</v>
      </c>
      <c r="F836" t="s">
        <v>1533</v>
      </c>
      <c r="G836" t="s">
        <v>1533</v>
      </c>
      <c r="H836" s="53"/>
      <c r="I836" t="s">
        <v>2052</v>
      </c>
      <c r="J836" s="64">
        <v>0</v>
      </c>
    </row>
    <row r="837" spans="2:10" x14ac:dyDescent="0.25">
      <c r="B837" t="str">
        <f t="shared" si="13"/>
        <v>Massa Martana</v>
      </c>
      <c r="C837" t="s">
        <v>826</v>
      </c>
      <c r="D837" s="62" t="s">
        <v>887</v>
      </c>
      <c r="E837" s="63" t="s">
        <v>896</v>
      </c>
      <c r="F837" t="s">
        <v>1533</v>
      </c>
      <c r="G837" t="s">
        <v>1533</v>
      </c>
      <c r="H837" s="53"/>
      <c r="I837" t="s">
        <v>2053</v>
      </c>
      <c r="J837" s="64">
        <v>0</v>
      </c>
    </row>
    <row r="838" spans="2:10" x14ac:dyDescent="0.25">
      <c r="B838" t="str">
        <f t="shared" si="13"/>
        <v>Pietragalla Proroga Tecnica</v>
      </c>
      <c r="C838" t="s">
        <v>826</v>
      </c>
      <c r="D838" s="62" t="s">
        <v>887</v>
      </c>
      <c r="E838" s="63" t="s">
        <v>910</v>
      </c>
      <c r="F838" t="s">
        <v>1533</v>
      </c>
      <c r="G838" t="s">
        <v>1533</v>
      </c>
      <c r="H838" s="53"/>
      <c r="I838" t="s">
        <v>2054</v>
      </c>
      <c r="J838" s="64">
        <v>0</v>
      </c>
    </row>
    <row r="839" spans="2:10" x14ac:dyDescent="0.25">
      <c r="B839" t="str">
        <f t="shared" si="13"/>
        <v>Pellezzano Buildings</v>
      </c>
      <c r="C839" t="s">
        <v>826</v>
      </c>
      <c r="D839" s="62" t="s">
        <v>887</v>
      </c>
      <c r="E839" s="63" t="s">
        <v>910</v>
      </c>
      <c r="F839" t="s">
        <v>1533</v>
      </c>
      <c r="G839" t="s">
        <v>1533</v>
      </c>
      <c r="H839" s="53"/>
      <c r="I839" t="s">
        <v>2055</v>
      </c>
      <c r="J839" s="64">
        <v>0</v>
      </c>
    </row>
    <row r="840" spans="2:10" x14ac:dyDescent="0.25">
      <c r="B840" t="str">
        <f t="shared" si="13"/>
        <v>Acri</v>
      </c>
      <c r="C840" t="s">
        <v>826</v>
      </c>
      <c r="D840" s="62" t="s">
        <v>887</v>
      </c>
      <c r="E840" s="63" t="s">
        <v>910</v>
      </c>
      <c r="F840" t="s">
        <v>1533</v>
      </c>
      <c r="G840" t="s">
        <v>1533</v>
      </c>
      <c r="H840" s="53"/>
      <c r="I840" t="s">
        <v>2057</v>
      </c>
      <c r="J840" s="64">
        <v>0</v>
      </c>
    </row>
    <row r="841" spans="2:10" x14ac:dyDescent="0.25">
      <c r="B841" t="str">
        <f t="shared" si="13"/>
        <v>Teramo</v>
      </c>
      <c r="C841" t="s">
        <v>826</v>
      </c>
      <c r="D841" s="62" t="s">
        <v>2058</v>
      </c>
      <c r="E841" s="63" t="s">
        <v>896</v>
      </c>
      <c r="F841" t="s">
        <v>1533</v>
      </c>
      <c r="G841" t="s">
        <v>1533</v>
      </c>
      <c r="H841" s="53"/>
      <c r="I841" t="s">
        <v>2059</v>
      </c>
      <c r="J841" s="64">
        <v>0</v>
      </c>
    </row>
    <row r="842" spans="2:10" x14ac:dyDescent="0.25">
      <c r="B842" t="str">
        <f t="shared" si="13"/>
        <v>Torricella</v>
      </c>
      <c r="C842" t="s">
        <v>826</v>
      </c>
      <c r="D842" s="62" t="s">
        <v>2058</v>
      </c>
      <c r="E842" s="63" t="s">
        <v>896</v>
      </c>
      <c r="F842" t="s">
        <v>1533</v>
      </c>
      <c r="G842" t="s">
        <v>1533</v>
      </c>
      <c r="H842" s="53"/>
      <c r="I842" t="s">
        <v>2060</v>
      </c>
      <c r="J842" s="64">
        <v>0</v>
      </c>
    </row>
    <row r="843" spans="2:10" x14ac:dyDescent="0.25">
      <c r="B843" t="str">
        <f t="shared" si="13"/>
        <v>GranSasso</v>
      </c>
      <c r="C843" t="s">
        <v>826</v>
      </c>
      <c r="D843" s="62" t="s">
        <v>2058</v>
      </c>
      <c r="E843" s="63" t="s">
        <v>896</v>
      </c>
      <c r="F843" t="s">
        <v>1533</v>
      </c>
      <c r="G843" t="s">
        <v>1533</v>
      </c>
      <c r="H843" s="53"/>
      <c r="I843" t="s">
        <v>2061</v>
      </c>
      <c r="J843" s="64">
        <v>0</v>
      </c>
    </row>
    <row r="844" spans="2:10" x14ac:dyDescent="0.25">
      <c r="B844" t="str">
        <f t="shared" si="13"/>
        <v>Tossicia</v>
      </c>
      <c r="C844" t="s">
        <v>826</v>
      </c>
      <c r="D844" s="62" t="s">
        <v>2058</v>
      </c>
      <c r="E844" s="63" t="s">
        <v>896</v>
      </c>
      <c r="F844" t="s">
        <v>1533</v>
      </c>
      <c r="G844" t="s">
        <v>1533</v>
      </c>
      <c r="H844" s="53"/>
      <c r="I844" t="s">
        <v>2062</v>
      </c>
      <c r="J844" s="64">
        <v>0</v>
      </c>
    </row>
    <row r="845" spans="2:10" x14ac:dyDescent="0.25">
      <c r="B845" t="str">
        <f t="shared" si="13"/>
        <v>Colledara</v>
      </c>
      <c r="C845" t="s">
        <v>826</v>
      </c>
      <c r="D845" s="62" t="s">
        <v>2058</v>
      </c>
      <c r="E845" s="63" t="s">
        <v>896</v>
      </c>
      <c r="F845" t="s">
        <v>1533</v>
      </c>
      <c r="G845" t="s">
        <v>1533</v>
      </c>
      <c r="H845" s="53"/>
      <c r="I845" t="s">
        <v>2063</v>
      </c>
      <c r="J845" s="64">
        <v>0</v>
      </c>
    </row>
    <row r="846" spans="2:10" x14ac:dyDescent="0.25">
      <c r="B846" t="str">
        <f t="shared" si="13"/>
        <v>RoccaSMaria</v>
      </c>
      <c r="C846" t="s">
        <v>826</v>
      </c>
      <c r="D846" s="62" t="s">
        <v>2058</v>
      </c>
      <c r="E846" s="63" t="s">
        <v>896</v>
      </c>
      <c r="F846" t="s">
        <v>1533</v>
      </c>
      <c r="G846" t="s">
        <v>1533</v>
      </c>
      <c r="H846" s="53"/>
      <c r="I846" t="s">
        <v>2064</v>
      </c>
      <c r="J846" s="64">
        <v>0</v>
      </c>
    </row>
    <row r="847" spans="2:10" x14ac:dyDescent="0.25">
      <c r="B847" t="str">
        <f t="shared" si="13"/>
        <v>CastelCastagna</v>
      </c>
      <c r="C847" t="s">
        <v>826</v>
      </c>
      <c r="D847" s="62" t="s">
        <v>2058</v>
      </c>
      <c r="E847" s="63" t="s">
        <v>896</v>
      </c>
      <c r="F847" t="s">
        <v>1533</v>
      </c>
      <c r="G847" t="s">
        <v>1533</v>
      </c>
      <c r="H847" s="53"/>
      <c r="I847" t="s">
        <v>2065</v>
      </c>
      <c r="J847" s="64">
        <v>0</v>
      </c>
    </row>
    <row r="848" spans="2:10" x14ac:dyDescent="0.25">
      <c r="B848" t="str">
        <f t="shared" si="13"/>
        <v>Crognaleto</v>
      </c>
      <c r="C848" t="s">
        <v>826</v>
      </c>
      <c r="D848" s="62" t="s">
        <v>2058</v>
      </c>
      <c r="E848" s="63" t="s">
        <v>896</v>
      </c>
      <c r="F848" t="s">
        <v>1533</v>
      </c>
      <c r="G848" t="s">
        <v>1533</v>
      </c>
      <c r="H848" s="53"/>
      <c r="I848" t="s">
        <v>2066</v>
      </c>
      <c r="J848" s="64">
        <v>0</v>
      </c>
    </row>
    <row r="849" spans="2:10" x14ac:dyDescent="0.25">
      <c r="B849" t="str">
        <f t="shared" si="13"/>
        <v>Castelli</v>
      </c>
      <c r="C849" t="s">
        <v>826</v>
      </c>
      <c r="D849" s="62" t="s">
        <v>2058</v>
      </c>
      <c r="E849" s="63" t="s">
        <v>896</v>
      </c>
      <c r="F849" t="s">
        <v>1533</v>
      </c>
      <c r="G849" t="s">
        <v>1533</v>
      </c>
      <c r="H849" s="53"/>
      <c r="I849" t="s">
        <v>2067</v>
      </c>
      <c r="J849" s="64">
        <v>0</v>
      </c>
    </row>
    <row r="850" spans="2:10" x14ac:dyDescent="0.25">
      <c r="B850" t="str">
        <f t="shared" si="13"/>
        <v>PennaSAndrea</v>
      </c>
      <c r="C850" t="s">
        <v>826</v>
      </c>
      <c r="D850" s="62" t="s">
        <v>2058</v>
      </c>
      <c r="E850" s="63" t="s">
        <v>896</v>
      </c>
      <c r="F850" t="s">
        <v>1533</v>
      </c>
      <c r="G850" t="s">
        <v>1533</v>
      </c>
      <c r="H850" s="53"/>
      <c r="I850" t="s">
        <v>2068</v>
      </c>
      <c r="J850" s="64">
        <v>0</v>
      </c>
    </row>
    <row r="851" spans="2:10" x14ac:dyDescent="0.25">
      <c r="B851" t="str">
        <f t="shared" si="13"/>
        <v>FanoAdriano</v>
      </c>
      <c r="C851" t="s">
        <v>826</v>
      </c>
      <c r="D851" s="62" t="s">
        <v>2058</v>
      </c>
      <c r="E851" s="63" t="s">
        <v>896</v>
      </c>
      <c r="F851" t="s">
        <v>1533</v>
      </c>
      <c r="G851" t="s">
        <v>1533</v>
      </c>
      <c r="H851" s="53"/>
      <c r="I851" t="s">
        <v>2069</v>
      </c>
      <c r="J851" s="64">
        <v>0</v>
      </c>
    </row>
    <row r="852" spans="2:10" x14ac:dyDescent="0.25">
      <c r="B852" t="str">
        <f t="shared" si="13"/>
        <v>Benevento</v>
      </c>
      <c r="C852" t="s">
        <v>826</v>
      </c>
      <c r="D852" s="62" t="s">
        <v>2070</v>
      </c>
      <c r="E852" s="63" t="s">
        <v>910</v>
      </c>
      <c r="F852" t="s">
        <v>1533</v>
      </c>
      <c r="G852" t="s">
        <v>1533</v>
      </c>
      <c r="H852" s="53"/>
      <c r="I852" t="s">
        <v>2071</v>
      </c>
      <c r="J852" s="64">
        <v>0</v>
      </c>
    </row>
    <row r="853" spans="2:10" x14ac:dyDescent="0.25">
      <c r="B853" t="str">
        <f t="shared" si="13"/>
        <v>Santarcangelo</v>
      </c>
      <c r="C853" t="s">
        <v>826</v>
      </c>
      <c r="D853" s="62" t="s">
        <v>2070</v>
      </c>
      <c r="E853" s="63" t="s">
        <v>910</v>
      </c>
      <c r="F853" t="s">
        <v>1533</v>
      </c>
      <c r="G853" t="s">
        <v>1533</v>
      </c>
      <c r="H853" s="53"/>
      <c r="I853" t="s">
        <v>2072</v>
      </c>
      <c r="J853" s="64">
        <v>0</v>
      </c>
    </row>
    <row r="854" spans="2:10" x14ac:dyDescent="0.25">
      <c r="B854" t="str">
        <f t="shared" si="13"/>
        <v>Pontelandolfo</v>
      </c>
      <c r="C854" t="s">
        <v>826</v>
      </c>
      <c r="D854" s="62" t="s">
        <v>2070</v>
      </c>
      <c r="E854" s="63" t="s">
        <v>910</v>
      </c>
      <c r="F854" t="s">
        <v>1533</v>
      </c>
      <c r="G854" t="s">
        <v>1533</v>
      </c>
      <c r="H854" s="53"/>
      <c r="I854" t="s">
        <v>2073</v>
      </c>
      <c r="J854" s="64">
        <v>0</v>
      </c>
    </row>
    <row r="855" spans="2:10" x14ac:dyDescent="0.25">
      <c r="B855" t="str">
        <f t="shared" si="13"/>
        <v>Paupisi</v>
      </c>
      <c r="C855" t="s">
        <v>826</v>
      </c>
      <c r="D855" s="62" t="s">
        <v>2070</v>
      </c>
      <c r="E855" s="63" t="s">
        <v>910</v>
      </c>
      <c r="F855" t="s">
        <v>1533</v>
      </c>
      <c r="G855" t="s">
        <v>1533</v>
      </c>
      <c r="H855" s="53"/>
      <c r="I855" t="s">
        <v>2074</v>
      </c>
      <c r="J855" s="64">
        <v>0</v>
      </c>
    </row>
    <row r="856" spans="2:10" x14ac:dyDescent="0.25">
      <c r="B856" t="str">
        <f t="shared" si="13"/>
        <v>Torrecuso</v>
      </c>
      <c r="C856" t="s">
        <v>826</v>
      </c>
      <c r="D856" s="62" t="s">
        <v>2070</v>
      </c>
      <c r="E856" s="63" t="s">
        <v>910</v>
      </c>
      <c r="F856" t="s">
        <v>1533</v>
      </c>
      <c r="G856" t="s">
        <v>1533</v>
      </c>
      <c r="H856" s="53"/>
      <c r="I856" t="s">
        <v>2075</v>
      </c>
      <c r="J856" s="64">
        <v>0</v>
      </c>
    </row>
    <row r="857" spans="2:10" x14ac:dyDescent="0.25">
      <c r="B857" t="str">
        <f t="shared" si="13"/>
        <v>SanBartolomeo</v>
      </c>
      <c r="C857" t="s">
        <v>826</v>
      </c>
      <c r="D857" s="62" t="s">
        <v>2070</v>
      </c>
      <c r="E857" s="63" t="s">
        <v>910</v>
      </c>
      <c r="F857" t="s">
        <v>1533</v>
      </c>
      <c r="G857" t="s">
        <v>1533</v>
      </c>
      <c r="H857" s="53"/>
      <c r="I857" t="s">
        <v>2076</v>
      </c>
      <c r="J857" s="64">
        <v>0</v>
      </c>
    </row>
    <row r="858" spans="2:10" x14ac:dyDescent="0.25">
      <c r="B858" t="str">
        <f t="shared" si="13"/>
        <v>Sanleucio</v>
      </c>
      <c r="C858" t="s">
        <v>826</v>
      </c>
      <c r="D858" s="62" t="s">
        <v>2070</v>
      </c>
      <c r="E858" s="63" t="s">
        <v>910</v>
      </c>
      <c r="F858" t="s">
        <v>1533</v>
      </c>
      <c r="G858" t="s">
        <v>1533</v>
      </c>
      <c r="H858" s="53"/>
      <c r="I858" t="s">
        <v>2077</v>
      </c>
      <c r="J858" s="64">
        <v>0</v>
      </c>
    </row>
    <row r="859" spans="2:10" x14ac:dyDescent="0.25">
      <c r="B859" t="str">
        <f t="shared" si="13"/>
        <v>Molinara</v>
      </c>
      <c r="C859" t="s">
        <v>826</v>
      </c>
      <c r="D859" s="62" t="s">
        <v>2070</v>
      </c>
      <c r="E859" s="63" t="s">
        <v>910</v>
      </c>
      <c r="F859" t="s">
        <v>1533</v>
      </c>
      <c r="G859" t="s">
        <v>1533</v>
      </c>
      <c r="H859" s="53"/>
      <c r="I859" t="s">
        <v>2078</v>
      </c>
      <c r="J859" s="64">
        <v>0</v>
      </c>
    </row>
    <row r="860" spans="2:10" x14ac:dyDescent="0.25">
      <c r="B860" t="str">
        <f t="shared" si="13"/>
        <v>Calvi</v>
      </c>
      <c r="C860" t="s">
        <v>826</v>
      </c>
      <c r="D860" s="62" t="s">
        <v>2070</v>
      </c>
      <c r="E860" s="63" t="s">
        <v>910</v>
      </c>
      <c r="F860" t="s">
        <v>1533</v>
      </c>
      <c r="G860" t="s">
        <v>1533</v>
      </c>
      <c r="H860" s="53"/>
      <c r="I860" t="s">
        <v>2079</v>
      </c>
      <c r="J860" s="64">
        <v>0</v>
      </c>
    </row>
    <row r="861" spans="2:10" x14ac:dyDescent="0.25">
      <c r="B861" t="str">
        <f t="shared" si="13"/>
        <v>Ponte</v>
      </c>
      <c r="C861" t="s">
        <v>826</v>
      </c>
      <c r="D861" s="62" t="s">
        <v>2070</v>
      </c>
      <c r="E861" s="63" t="s">
        <v>910</v>
      </c>
      <c r="F861" t="s">
        <v>1533</v>
      </c>
      <c r="G861" t="s">
        <v>1533</v>
      </c>
      <c r="H861" s="53"/>
      <c r="I861" t="s">
        <v>2080</v>
      </c>
      <c r="J861" s="64">
        <v>0</v>
      </c>
    </row>
    <row r="862" spans="2:10" x14ac:dyDescent="0.25">
      <c r="B862" t="str">
        <f t="shared" si="13"/>
        <v>Boscotrecase</v>
      </c>
      <c r="C862" t="s">
        <v>826</v>
      </c>
      <c r="D862" s="62" t="s">
        <v>2081</v>
      </c>
      <c r="E862" s="63" t="s">
        <v>910</v>
      </c>
      <c r="F862" t="s">
        <v>1533</v>
      </c>
      <c r="G862" t="s">
        <v>1533</v>
      </c>
      <c r="H862" s="53"/>
      <c r="I862" t="s">
        <v>2082</v>
      </c>
      <c r="J862" s="64">
        <v>0</v>
      </c>
    </row>
    <row r="863" spans="2:10" x14ac:dyDescent="0.25">
      <c r="B863" t="str">
        <f t="shared" si="13"/>
        <v>Sant'Antimo</v>
      </c>
      <c r="C863" t="s">
        <v>826</v>
      </c>
      <c r="D863" s="62" t="s">
        <v>2081</v>
      </c>
      <c r="E863" s="63" t="s">
        <v>910</v>
      </c>
      <c r="F863" t="s">
        <v>1533</v>
      </c>
      <c r="G863" t="s">
        <v>1533</v>
      </c>
      <c r="H863" s="53"/>
      <c r="I863" t="s">
        <v>2083</v>
      </c>
      <c r="J863" s="64">
        <v>0</v>
      </c>
    </row>
    <row r="864" spans="2:10" x14ac:dyDescent="0.25">
      <c r="B864" t="str">
        <f t="shared" si="13"/>
        <v>Zelo Buon Persico</v>
      </c>
      <c r="C864" t="s">
        <v>826</v>
      </c>
      <c r="D864" s="62" t="s">
        <v>2084</v>
      </c>
      <c r="E864" s="63" t="s">
        <v>888</v>
      </c>
      <c r="F864" t="s">
        <v>1533</v>
      </c>
      <c r="G864" t="s">
        <v>1533</v>
      </c>
      <c r="H864" s="53"/>
      <c r="I864" t="s">
        <v>2085</v>
      </c>
      <c r="J864" s="64">
        <v>0</v>
      </c>
    </row>
    <row r="865" spans="2:10" x14ac:dyDescent="0.25">
      <c r="B865" t="str">
        <f t="shared" si="13"/>
        <v>Maletto</v>
      </c>
      <c r="C865" t="s">
        <v>826</v>
      </c>
      <c r="D865" s="62" t="s">
        <v>2086</v>
      </c>
      <c r="E865" s="63" t="s">
        <v>910</v>
      </c>
      <c r="F865" t="s">
        <v>1533</v>
      </c>
      <c r="G865" t="s">
        <v>1533</v>
      </c>
      <c r="H865" s="53"/>
      <c r="I865" t="s">
        <v>2087</v>
      </c>
      <c r="J865" s="64">
        <v>0</v>
      </c>
    </row>
    <row r="866" spans="2:10" x14ac:dyDescent="0.25">
      <c r="B866" t="str">
        <f t="shared" si="13"/>
        <v>Villa</v>
      </c>
      <c r="C866" t="s">
        <v>826</v>
      </c>
      <c r="D866" s="62" t="s">
        <v>2086</v>
      </c>
      <c r="E866" s="63" t="s">
        <v>888</v>
      </c>
      <c r="F866" t="s">
        <v>1533</v>
      </c>
      <c r="G866" t="s">
        <v>1533</v>
      </c>
      <c r="H866" s="53"/>
      <c r="I866" t="s">
        <v>2088</v>
      </c>
      <c r="J866" s="64">
        <v>0</v>
      </c>
    </row>
    <row r="867" spans="2:10" x14ac:dyDescent="0.25">
      <c r="B867" t="str">
        <f t="shared" si="13"/>
        <v>Colorina</v>
      </c>
      <c r="C867" t="s">
        <v>826</v>
      </c>
      <c r="D867" s="62" t="s">
        <v>2086</v>
      </c>
      <c r="E867" s="63" t="s">
        <v>888</v>
      </c>
      <c r="F867" t="s">
        <v>1533</v>
      </c>
      <c r="G867" t="s">
        <v>1533</v>
      </c>
      <c r="H867" s="53"/>
      <c r="I867" t="s">
        <v>2089</v>
      </c>
      <c r="J867" s="64">
        <v>0</v>
      </c>
    </row>
    <row r="868" spans="2:10" x14ac:dyDescent="0.25">
      <c r="B868" t="str">
        <f t="shared" si="13"/>
        <v>Tito</v>
      </c>
      <c r="C868" t="s">
        <v>826</v>
      </c>
      <c r="D868" s="62" t="s">
        <v>2086</v>
      </c>
      <c r="E868" s="63" t="s">
        <v>910</v>
      </c>
      <c r="F868" t="s">
        <v>1533</v>
      </c>
      <c r="G868" t="s">
        <v>1533</v>
      </c>
      <c r="H868" s="53"/>
      <c r="I868" t="s">
        <v>2090</v>
      </c>
      <c r="J868" s="64">
        <v>0</v>
      </c>
    </row>
    <row r="869" spans="2:10" x14ac:dyDescent="0.25">
      <c r="B869" t="str">
        <f t="shared" si="13"/>
        <v>Sapri</v>
      </c>
      <c r="C869" t="s">
        <v>826</v>
      </c>
      <c r="D869" s="62" t="s">
        <v>2086</v>
      </c>
      <c r="E869" s="63" t="s">
        <v>910</v>
      </c>
      <c r="F869" t="s">
        <v>1533</v>
      </c>
      <c r="G869" t="s">
        <v>1533</v>
      </c>
      <c r="H869" s="53"/>
      <c r="I869" t="s">
        <v>2091</v>
      </c>
      <c r="J869" s="64">
        <v>0</v>
      </c>
    </row>
    <row r="870" spans="2:10" x14ac:dyDescent="0.25">
      <c r="B870" t="str">
        <f t="shared" si="13"/>
        <v>Tagliacozzo</v>
      </c>
      <c r="C870" t="s">
        <v>826</v>
      </c>
      <c r="D870" s="62" t="s">
        <v>2092</v>
      </c>
      <c r="E870" s="63" t="s">
        <v>896</v>
      </c>
      <c r="F870" t="s">
        <v>1533</v>
      </c>
      <c r="G870" t="s">
        <v>1533</v>
      </c>
      <c r="H870" s="53"/>
      <c r="I870" t="s">
        <v>2093</v>
      </c>
      <c r="J870" s="64">
        <v>0</v>
      </c>
    </row>
    <row r="871" spans="2:10" x14ac:dyDescent="0.25">
      <c r="B871" t="str">
        <f t="shared" si="13"/>
        <v>Ischia 2</v>
      </c>
      <c r="C871" t="s">
        <v>826</v>
      </c>
      <c r="D871" s="62" t="s">
        <v>978</v>
      </c>
      <c r="E871" s="63" t="s">
        <v>910</v>
      </c>
      <c r="F871" t="s">
        <v>1533</v>
      </c>
      <c r="G871" t="s">
        <v>1533</v>
      </c>
      <c r="H871" s="53"/>
      <c r="I871" t="s">
        <v>2094</v>
      </c>
      <c r="J871" s="64">
        <v>0</v>
      </c>
    </row>
    <row r="872" spans="2:10" x14ac:dyDescent="0.25">
      <c r="B872" t="str">
        <f t="shared" si="13"/>
        <v>Somma Vesuviana 2</v>
      </c>
      <c r="C872" t="s">
        <v>826</v>
      </c>
      <c r="D872" s="62" t="s">
        <v>2095</v>
      </c>
      <c r="E872" s="63" t="s">
        <v>910</v>
      </c>
      <c r="F872" t="s">
        <v>1533</v>
      </c>
      <c r="G872" t="s">
        <v>1533</v>
      </c>
      <c r="H872" s="53"/>
      <c r="I872" t="s">
        <v>2096</v>
      </c>
      <c r="J872" s="64">
        <v>0</v>
      </c>
    </row>
    <row r="873" spans="2:10" x14ac:dyDescent="0.25">
      <c r="B873" t="str">
        <f t="shared" si="13"/>
        <v>Vietri sul Mare 2</v>
      </c>
      <c r="C873" t="s">
        <v>826</v>
      </c>
      <c r="D873" s="62" t="s">
        <v>2097</v>
      </c>
      <c r="E873" s="63" t="s">
        <v>910</v>
      </c>
      <c r="F873" t="s">
        <v>1533</v>
      </c>
      <c r="G873" t="s">
        <v>1533</v>
      </c>
      <c r="H873" s="53"/>
      <c r="I873" t="s">
        <v>2098</v>
      </c>
      <c r="J873" s="64">
        <v>0</v>
      </c>
    </row>
    <row r="874" spans="2:10" x14ac:dyDescent="0.25">
      <c r="B874" t="str">
        <f t="shared" si="13"/>
        <v>Comune1 PL</v>
      </c>
      <c r="C874" t="s">
        <v>826</v>
      </c>
      <c r="D874" s="62" t="s">
        <v>2099</v>
      </c>
      <c r="E874" s="63" t="s">
        <v>888</v>
      </c>
      <c r="F874" t="s">
        <v>1533</v>
      </c>
      <c r="G874" t="s">
        <v>1533</v>
      </c>
      <c r="H874" s="53"/>
      <c r="I874" t="s">
        <v>2100</v>
      </c>
      <c r="J874" s="64">
        <v>0</v>
      </c>
    </row>
    <row r="875" spans="2:10" x14ac:dyDescent="0.25">
      <c r="B875" t="str">
        <f t="shared" si="13"/>
        <v>Comune2 PL</v>
      </c>
      <c r="C875" t="s">
        <v>826</v>
      </c>
      <c r="D875" s="62" t="s">
        <v>2099</v>
      </c>
      <c r="E875" s="63" t="s">
        <v>888</v>
      </c>
      <c r="F875" t="s">
        <v>1533</v>
      </c>
      <c r="G875" t="s">
        <v>1533</v>
      </c>
      <c r="H875" s="53"/>
      <c r="I875" t="s">
        <v>2101</v>
      </c>
      <c r="J875" s="64">
        <v>0</v>
      </c>
    </row>
    <row r="876" spans="2:10" x14ac:dyDescent="0.25">
      <c r="B876" t="str">
        <f t="shared" si="13"/>
        <v>Comune3 PL</v>
      </c>
      <c r="C876" t="s">
        <v>826</v>
      </c>
      <c r="D876" s="62" t="s">
        <v>2099</v>
      </c>
      <c r="E876" s="63" t="s">
        <v>888</v>
      </c>
      <c r="F876" t="s">
        <v>1533</v>
      </c>
      <c r="G876" t="s">
        <v>1533</v>
      </c>
      <c r="H876" s="53"/>
      <c r="I876" t="s">
        <v>2102</v>
      </c>
      <c r="J876" s="64">
        <v>0</v>
      </c>
    </row>
    <row r="877" spans="2:10" x14ac:dyDescent="0.25">
      <c r="B877" t="str">
        <f t="shared" si="13"/>
        <v>Piedimonte Etneo</v>
      </c>
      <c r="C877" t="s">
        <v>826</v>
      </c>
      <c r="D877" s="62" t="s">
        <v>2103</v>
      </c>
      <c r="E877" s="63" t="s">
        <v>910</v>
      </c>
      <c r="F877" t="s">
        <v>1533</v>
      </c>
      <c r="G877" t="s">
        <v>1533</v>
      </c>
      <c r="H877" s="53"/>
      <c r="I877" t="s">
        <v>2104</v>
      </c>
      <c r="J877" s="64">
        <v>0</v>
      </c>
    </row>
    <row r="878" spans="2:10" x14ac:dyDescent="0.25">
      <c r="B878" t="str">
        <f t="shared" si="13"/>
        <v>Sant'Agata Li Battiati</v>
      </c>
      <c r="C878" t="s">
        <v>826</v>
      </c>
      <c r="D878" s="62" t="s">
        <v>2103</v>
      </c>
      <c r="E878" s="63" t="s">
        <v>910</v>
      </c>
      <c r="F878" t="s">
        <v>1533</v>
      </c>
      <c r="G878" t="s">
        <v>1533</v>
      </c>
      <c r="H878" s="53"/>
      <c r="I878" t="s">
        <v>2105</v>
      </c>
      <c r="J878" s="64">
        <v>0</v>
      </c>
    </row>
    <row r="879" spans="2:10" x14ac:dyDescent="0.25">
      <c r="B879" t="str">
        <f t="shared" si="13"/>
        <v>Milo</v>
      </c>
      <c r="C879" t="s">
        <v>826</v>
      </c>
      <c r="D879" s="62" t="s">
        <v>2103</v>
      </c>
      <c r="E879" s="63" t="s">
        <v>910</v>
      </c>
      <c r="F879" t="s">
        <v>1533</v>
      </c>
      <c r="G879" t="s">
        <v>1533</v>
      </c>
      <c r="H879" s="53"/>
      <c r="I879" t="s">
        <v>2106</v>
      </c>
      <c r="J879" s="64">
        <v>0</v>
      </c>
    </row>
    <row r="880" spans="2:10" x14ac:dyDescent="0.25">
      <c r="B880" t="str">
        <f t="shared" si="13"/>
        <v>X-Bus</v>
      </c>
      <c r="C880" t="s">
        <v>826</v>
      </c>
      <c r="D880" s="62" t="s">
        <v>2107</v>
      </c>
      <c r="E880" s="63" t="s">
        <v>896</v>
      </c>
      <c r="F880" t="s">
        <v>1533</v>
      </c>
      <c r="G880" t="s">
        <v>1533</v>
      </c>
      <c r="H880" s="53"/>
      <c r="I880" t="s">
        <v>2107</v>
      </c>
      <c r="J880" s="64">
        <v>0</v>
      </c>
    </row>
    <row r="881" spans="2:10" x14ac:dyDescent="0.25">
      <c r="B881" t="str">
        <f t="shared" si="13"/>
        <v>San Giorgio Jonico PV</v>
      </c>
      <c r="C881" t="s">
        <v>826</v>
      </c>
      <c r="D881" s="62" t="s">
        <v>887</v>
      </c>
      <c r="E881" s="63" t="s">
        <v>910</v>
      </c>
      <c r="F881" t="s">
        <v>1533</v>
      </c>
      <c r="G881" t="s">
        <v>1533</v>
      </c>
      <c r="H881" s="53"/>
      <c r="I881" t="s">
        <v>2109</v>
      </c>
      <c r="J881" s="64">
        <v>0</v>
      </c>
    </row>
    <row r="882" spans="2:10" x14ac:dyDescent="0.25">
      <c r="B882" t="str">
        <f t="shared" si="13"/>
        <v>Taviano PV</v>
      </c>
      <c r="C882" t="s">
        <v>826</v>
      </c>
      <c r="D882" s="62" t="s">
        <v>887</v>
      </c>
      <c r="E882" s="63" t="s">
        <v>910</v>
      </c>
      <c r="F882" t="s">
        <v>1533</v>
      </c>
      <c r="G882" t="s">
        <v>1533</v>
      </c>
      <c r="H882" s="53"/>
      <c r="I882" t="s">
        <v>2110</v>
      </c>
      <c r="J882" s="64">
        <v>0</v>
      </c>
    </row>
    <row r="883" spans="2:10" x14ac:dyDescent="0.25">
      <c r="B883" t="str">
        <f t="shared" si="13"/>
        <v>Tricase PV</v>
      </c>
      <c r="C883" t="s">
        <v>826</v>
      </c>
      <c r="D883" s="62" t="s">
        <v>887</v>
      </c>
      <c r="E883" s="63" t="s">
        <v>910</v>
      </c>
      <c r="F883" t="s">
        <v>1533</v>
      </c>
      <c r="G883" t="s">
        <v>1533</v>
      </c>
      <c r="H883" s="53"/>
      <c r="I883" t="s">
        <v>2026</v>
      </c>
      <c r="J883" s="64">
        <v>0</v>
      </c>
    </row>
    <row r="884" spans="2:10" x14ac:dyDescent="0.25">
      <c r="B884" t="str">
        <f t="shared" si="13"/>
        <v>Ugento PV</v>
      </c>
      <c r="C884" t="s">
        <v>826</v>
      </c>
      <c r="D884" s="62" t="s">
        <v>887</v>
      </c>
      <c r="E884" s="63" t="s">
        <v>910</v>
      </c>
      <c r="F884" t="s">
        <v>1533</v>
      </c>
      <c r="G884" t="s">
        <v>1533</v>
      </c>
      <c r="H884" s="53"/>
      <c r="I884" t="s">
        <v>2111</v>
      </c>
      <c r="J884" s="64">
        <v>0</v>
      </c>
    </row>
    <row r="885" spans="2:10" x14ac:dyDescent="0.25">
      <c r="B885" t="str">
        <f t="shared" si="13"/>
        <v>Casarano</v>
      </c>
      <c r="C885" t="s">
        <v>826</v>
      </c>
      <c r="D885" s="62" t="s">
        <v>2112</v>
      </c>
      <c r="E885" s="63" t="s">
        <v>910</v>
      </c>
      <c r="F885" t="s">
        <v>1533</v>
      </c>
      <c r="G885" t="s">
        <v>1533</v>
      </c>
      <c r="H885" s="53"/>
      <c r="I885" t="s">
        <v>2113</v>
      </c>
      <c r="J885" s="64">
        <v>0</v>
      </c>
    </row>
    <row r="886" spans="2:10" x14ac:dyDescent="0.25">
      <c r="B886" t="str">
        <f t="shared" si="13"/>
        <v>Castrignano</v>
      </c>
      <c r="C886" t="s">
        <v>826</v>
      </c>
      <c r="D886" s="62" t="s">
        <v>2112</v>
      </c>
      <c r="E886" s="63" t="s">
        <v>910</v>
      </c>
      <c r="F886" t="s">
        <v>1533</v>
      </c>
      <c r="G886" t="s">
        <v>1533</v>
      </c>
      <c r="H886" s="53"/>
      <c r="I886" t="s">
        <v>2114</v>
      </c>
      <c r="J886" s="64">
        <v>0</v>
      </c>
    </row>
    <row r="887" spans="2:10" x14ac:dyDescent="0.25">
      <c r="B887" t="str">
        <f t="shared" si="13"/>
        <v>Comune1 PB</v>
      </c>
      <c r="C887" t="s">
        <v>826</v>
      </c>
      <c r="D887" s="62" t="s">
        <v>2099</v>
      </c>
      <c r="E887" s="63" t="s">
        <v>888</v>
      </c>
      <c r="F887" t="s">
        <v>1533</v>
      </c>
      <c r="G887" t="s">
        <v>1533</v>
      </c>
      <c r="H887" s="53"/>
      <c r="I887" t="s">
        <v>2115</v>
      </c>
      <c r="J887" s="64">
        <v>0</v>
      </c>
    </row>
    <row r="888" spans="2:10" x14ac:dyDescent="0.25">
      <c r="B888" t="str">
        <f t="shared" si="13"/>
        <v>Comune2 PB</v>
      </c>
      <c r="C888" t="s">
        <v>826</v>
      </c>
      <c r="D888" s="62" t="s">
        <v>2099</v>
      </c>
      <c r="E888" s="63" t="s">
        <v>888</v>
      </c>
      <c r="F888" t="s">
        <v>1533</v>
      </c>
      <c r="G888" t="s">
        <v>1533</v>
      </c>
      <c r="H888" s="53"/>
      <c r="I888" t="s">
        <v>2116</v>
      </c>
      <c r="J888" s="64">
        <v>0</v>
      </c>
    </row>
    <row r="889" spans="2:10" x14ac:dyDescent="0.25">
      <c r="B889" t="str">
        <f t="shared" si="13"/>
        <v>Comune3 PB</v>
      </c>
      <c r="C889" t="s">
        <v>826</v>
      </c>
      <c r="D889" s="62" t="s">
        <v>2099</v>
      </c>
      <c r="E889" s="63" t="s">
        <v>888</v>
      </c>
      <c r="F889" t="s">
        <v>1533</v>
      </c>
      <c r="G889" t="s">
        <v>1533</v>
      </c>
      <c r="H889" s="53"/>
      <c r="I889" t="s">
        <v>2117</v>
      </c>
      <c r="J889" s="64">
        <v>0</v>
      </c>
    </row>
    <row r="890" spans="2:10" x14ac:dyDescent="0.25">
      <c r="B890" t="str">
        <f t="shared" si="13"/>
        <v>Comune4 PB</v>
      </c>
      <c r="C890" t="s">
        <v>826</v>
      </c>
      <c r="D890" s="62" t="s">
        <v>2099</v>
      </c>
      <c r="E890" s="63" t="s">
        <v>888</v>
      </c>
      <c r="F890" t="s">
        <v>1533</v>
      </c>
      <c r="G890" t="s">
        <v>1533</v>
      </c>
      <c r="H890" s="53"/>
      <c r="I890" t="s">
        <v>2118</v>
      </c>
      <c r="J890" s="64">
        <v>0</v>
      </c>
    </row>
    <row r="891" spans="2:10" x14ac:dyDescent="0.25">
      <c r="B891" t="str">
        <f t="shared" si="13"/>
        <v>Comune5 PB</v>
      </c>
      <c r="C891" t="s">
        <v>826</v>
      </c>
      <c r="D891" s="62" t="s">
        <v>2099</v>
      </c>
      <c r="E891" s="63" t="s">
        <v>888</v>
      </c>
      <c r="F891" t="s">
        <v>1533</v>
      </c>
      <c r="G891" t="s">
        <v>1533</v>
      </c>
      <c r="H891" s="53"/>
      <c r="I891" t="s">
        <v>2119</v>
      </c>
      <c r="J891" s="64">
        <v>0</v>
      </c>
    </row>
    <row r="892" spans="2:10" x14ac:dyDescent="0.25">
      <c r="B892" t="str">
        <f t="shared" si="13"/>
        <v>Comune6 PB</v>
      </c>
      <c r="C892" t="s">
        <v>826</v>
      </c>
      <c r="D892" s="62" t="s">
        <v>2099</v>
      </c>
      <c r="E892" s="63" t="s">
        <v>888</v>
      </c>
      <c r="F892" t="s">
        <v>1533</v>
      </c>
      <c r="G892" t="s">
        <v>1533</v>
      </c>
      <c r="H892" s="53"/>
      <c r="I892" t="s">
        <v>2120</v>
      </c>
      <c r="J892" s="64">
        <v>0</v>
      </c>
    </row>
    <row r="893" spans="2:10" x14ac:dyDescent="0.25">
      <c r="B893" t="str">
        <f t="shared" si="13"/>
        <v>Comune7 PB</v>
      </c>
      <c r="C893" t="s">
        <v>826</v>
      </c>
      <c r="D893" s="62" t="s">
        <v>2099</v>
      </c>
      <c r="E893" s="63" t="s">
        <v>888</v>
      </c>
      <c r="F893" t="s">
        <v>1533</v>
      </c>
      <c r="G893" t="s">
        <v>1533</v>
      </c>
      <c r="H893" s="53"/>
      <c r="I893" t="s">
        <v>2121</v>
      </c>
      <c r="J893" s="64">
        <v>0</v>
      </c>
    </row>
    <row r="894" spans="2:10" x14ac:dyDescent="0.25">
      <c r="B894" t="str">
        <f t="shared" si="13"/>
        <v>Comune8 PB</v>
      </c>
      <c r="C894" t="s">
        <v>826</v>
      </c>
      <c r="D894" s="62" t="s">
        <v>2099</v>
      </c>
      <c r="E894" s="63" t="s">
        <v>888</v>
      </c>
      <c r="F894" t="s">
        <v>1533</v>
      </c>
      <c r="G894" t="s">
        <v>1533</v>
      </c>
      <c r="H894" s="53"/>
      <c r="I894" t="s">
        <v>2122</v>
      </c>
      <c r="J894" s="64">
        <v>0</v>
      </c>
    </row>
    <row r="895" spans="2:10" x14ac:dyDescent="0.25">
      <c r="B895" t="str">
        <f t="shared" si="13"/>
        <v>Comune9 PB</v>
      </c>
      <c r="C895" t="s">
        <v>826</v>
      </c>
      <c r="D895" s="62" t="s">
        <v>2099</v>
      </c>
      <c r="E895" s="63" t="s">
        <v>888</v>
      </c>
      <c r="F895" t="s">
        <v>1533</v>
      </c>
      <c r="G895" t="s">
        <v>1533</v>
      </c>
      <c r="H895" s="53"/>
      <c r="I895" t="s">
        <v>2123</v>
      </c>
      <c r="J895" s="64">
        <v>0</v>
      </c>
    </row>
    <row r="896" spans="2:10" x14ac:dyDescent="0.25">
      <c r="B896" t="str">
        <f t="shared" si="13"/>
        <v>Comune10 PB</v>
      </c>
      <c r="C896" t="s">
        <v>826</v>
      </c>
      <c r="D896" s="62" t="s">
        <v>2099</v>
      </c>
      <c r="E896" s="63" t="s">
        <v>888</v>
      </c>
      <c r="F896" t="s">
        <v>1533</v>
      </c>
      <c r="G896" t="s">
        <v>1533</v>
      </c>
      <c r="H896" s="53"/>
      <c r="I896" t="s">
        <v>2124</v>
      </c>
      <c r="J896" s="64">
        <v>0</v>
      </c>
    </row>
    <row r="897" spans="2:10" x14ac:dyDescent="0.25">
      <c r="B897" t="str">
        <f t="shared" si="13"/>
        <v>Comune11 PB</v>
      </c>
      <c r="C897" t="s">
        <v>826</v>
      </c>
      <c r="D897" s="62" t="s">
        <v>2099</v>
      </c>
      <c r="E897" s="63" t="s">
        <v>888</v>
      </c>
      <c r="F897" t="s">
        <v>1533</v>
      </c>
      <c r="G897" t="s">
        <v>1533</v>
      </c>
      <c r="H897" s="53"/>
      <c r="I897" t="s">
        <v>2125</v>
      </c>
      <c r="J897" s="64">
        <v>0</v>
      </c>
    </row>
    <row r="898" spans="2:10" x14ac:dyDescent="0.25">
      <c r="B898" t="str">
        <f t="shared" si="13"/>
        <v>Comune12 PB</v>
      </c>
      <c r="C898" t="s">
        <v>826</v>
      </c>
      <c r="D898" s="62" t="s">
        <v>2099</v>
      </c>
      <c r="E898" s="63" t="s">
        <v>888</v>
      </c>
      <c r="F898" t="s">
        <v>1533</v>
      </c>
      <c r="G898" t="s">
        <v>1533</v>
      </c>
      <c r="H898" s="53"/>
      <c r="I898" t="s">
        <v>2126</v>
      </c>
      <c r="J898" s="64">
        <v>0</v>
      </c>
    </row>
    <row r="899" spans="2:10" x14ac:dyDescent="0.25">
      <c r="B899" t="str">
        <f t="shared" si="13"/>
        <v>Comune13 PB</v>
      </c>
      <c r="C899" t="s">
        <v>826</v>
      </c>
      <c r="D899" s="62" t="s">
        <v>2099</v>
      </c>
      <c r="E899" s="63" t="s">
        <v>888</v>
      </c>
      <c r="F899" t="s">
        <v>1533</v>
      </c>
      <c r="G899" t="s">
        <v>1533</v>
      </c>
      <c r="H899" s="53"/>
      <c r="I899" t="s">
        <v>2127</v>
      </c>
      <c r="J899" s="64">
        <v>0</v>
      </c>
    </row>
    <row r="900" spans="2:10" x14ac:dyDescent="0.25">
      <c r="B900" t="str">
        <f t="shared" ref="B900:B963" si="14">+I900&amp;H900</f>
        <v>Comune14 PB</v>
      </c>
      <c r="C900" t="s">
        <v>826</v>
      </c>
      <c r="D900" s="62" t="s">
        <v>2099</v>
      </c>
      <c r="E900" s="63" t="s">
        <v>888</v>
      </c>
      <c r="F900" t="s">
        <v>1533</v>
      </c>
      <c r="G900" t="s">
        <v>1533</v>
      </c>
      <c r="H900" s="53"/>
      <c r="I900" t="s">
        <v>2128</v>
      </c>
      <c r="J900" s="64">
        <v>0</v>
      </c>
    </row>
    <row r="901" spans="2:10" x14ac:dyDescent="0.25">
      <c r="B901" t="str">
        <f t="shared" si="14"/>
        <v>Other Works</v>
      </c>
      <c r="C901" t="s">
        <v>958</v>
      </c>
      <c r="D901" s="62" t="s">
        <v>887</v>
      </c>
      <c r="E901" s="63" t="s">
        <v>959</v>
      </c>
      <c r="F901" t="s">
        <v>1630</v>
      </c>
      <c r="G901" t="s">
        <v>1630</v>
      </c>
      <c r="H901" s="53"/>
      <c r="I901" t="s">
        <v>2129</v>
      </c>
      <c r="J901" s="64">
        <v>0</v>
      </c>
    </row>
    <row r="902" spans="2:10" x14ac:dyDescent="0.25">
      <c r="B902" t="str">
        <f t="shared" si="14"/>
        <v>Altri lavori a Privati</v>
      </c>
      <c r="C902" t="s">
        <v>826</v>
      </c>
      <c r="D902" s="62" t="s">
        <v>887</v>
      </c>
      <c r="E902" s="63" t="s">
        <v>888</v>
      </c>
      <c r="F902" t="s">
        <v>1630</v>
      </c>
      <c r="G902" t="s">
        <v>1630</v>
      </c>
      <c r="H902" s="53"/>
      <c r="I902" t="s">
        <v>2130</v>
      </c>
      <c r="J902" s="64">
        <v>0</v>
      </c>
    </row>
    <row r="903" spans="2:10" x14ac:dyDescent="0.25">
      <c r="B903" t="str">
        <f t="shared" si="14"/>
        <v>Fabriano</v>
      </c>
      <c r="C903" t="s">
        <v>826</v>
      </c>
      <c r="D903" s="62" t="s">
        <v>887</v>
      </c>
      <c r="E903" s="63" t="s">
        <v>896</v>
      </c>
      <c r="F903" t="s">
        <v>1533</v>
      </c>
      <c r="G903" t="s">
        <v>1533</v>
      </c>
      <c r="H903" s="53"/>
      <c r="I903" t="s">
        <v>1105</v>
      </c>
      <c r="J903" s="64">
        <v>0</v>
      </c>
    </row>
    <row r="904" spans="2:10" x14ac:dyDescent="0.25">
      <c r="B904" t="str">
        <f t="shared" si="14"/>
        <v>Potenza PicenaEPC-IPU-F632-06</v>
      </c>
      <c r="C904" s="50" t="s">
        <v>958</v>
      </c>
      <c r="D904" s="62" t="s">
        <v>887</v>
      </c>
      <c r="E904" s="50" t="s">
        <v>896</v>
      </c>
      <c r="F904" s="50" t="s">
        <v>1533</v>
      </c>
      <c r="G904" s="50" t="s">
        <v>1533</v>
      </c>
      <c r="H904" s="50" t="s">
        <v>2131</v>
      </c>
      <c r="I904" s="50" t="s">
        <v>1725</v>
      </c>
      <c r="J904" s="64">
        <v>6.19</v>
      </c>
    </row>
    <row r="905" spans="2:10" x14ac:dyDescent="0.25">
      <c r="B905" t="str">
        <f t="shared" si="14"/>
        <v>AmarcordEPC-IPU-G942-10</v>
      </c>
      <c r="C905" s="50" t="s">
        <v>826</v>
      </c>
      <c r="D905" s="62" t="s">
        <v>887</v>
      </c>
      <c r="E905" s="50" t="s">
        <v>910</v>
      </c>
      <c r="F905" s="50" t="s">
        <v>1630</v>
      </c>
      <c r="G905" s="50" t="s">
        <v>1630</v>
      </c>
      <c r="H905" s="50" t="s">
        <v>2132</v>
      </c>
      <c r="I905" s="50" t="s">
        <v>2133</v>
      </c>
      <c r="J905" s="64">
        <v>1.8429</v>
      </c>
    </row>
    <row r="906" spans="2:10" x14ac:dyDescent="0.25">
      <c r="B906" t="str">
        <f t="shared" si="14"/>
        <v>BasianoEPC-IPU-A697-03</v>
      </c>
      <c r="C906" s="50" t="s">
        <v>826</v>
      </c>
      <c r="D906" s="62" t="s">
        <v>887</v>
      </c>
      <c r="E906" s="50" t="s">
        <v>888</v>
      </c>
      <c r="F906" s="50" t="s">
        <v>1630</v>
      </c>
      <c r="G906" s="50" t="s">
        <v>1630</v>
      </c>
      <c r="H906" s="50" t="s">
        <v>2134</v>
      </c>
      <c r="I906" s="50" t="s">
        <v>1062</v>
      </c>
      <c r="J906" s="64">
        <v>10.23836</v>
      </c>
    </row>
    <row r="907" spans="2:10" x14ac:dyDescent="0.25">
      <c r="B907" t="str">
        <f t="shared" si="14"/>
        <v>Damniele PoscaEPC-IPU-E569-04</v>
      </c>
      <c r="C907" s="50" t="s">
        <v>826</v>
      </c>
      <c r="D907" s="62" t="s">
        <v>887</v>
      </c>
      <c r="E907" s="50" t="s">
        <v>888</v>
      </c>
      <c r="F907" s="50" t="s">
        <v>1630</v>
      </c>
      <c r="G907" s="50" t="s">
        <v>1630</v>
      </c>
      <c r="H907" s="50" t="s">
        <v>2135</v>
      </c>
      <c r="I907" s="50" t="s">
        <v>2261</v>
      </c>
      <c r="J907" s="64">
        <v>0.78986999999999996</v>
      </c>
    </row>
    <row r="908" spans="2:10" x14ac:dyDescent="0.25">
      <c r="B908" t="str">
        <f t="shared" si="14"/>
        <v>MetaplastEPC-IPU-I457-01</v>
      </c>
      <c r="C908" s="50" t="s">
        <v>826</v>
      </c>
      <c r="D908" s="62" t="s">
        <v>887</v>
      </c>
      <c r="E908" s="50" t="s">
        <v>896</v>
      </c>
      <c r="F908" s="50" t="s">
        <v>1630</v>
      </c>
      <c r="G908" s="50" t="s">
        <v>1630</v>
      </c>
      <c r="H908" s="50" t="s">
        <v>2136</v>
      </c>
      <c r="I908" s="50" t="s">
        <v>2262</v>
      </c>
      <c r="J908" s="64">
        <v>3.1364999999999998</v>
      </c>
    </row>
    <row r="909" spans="2:10" x14ac:dyDescent="0.25">
      <c r="B909" t="str">
        <f t="shared" si="14"/>
        <v>Iren Green GenerationEPC-IPU-L219-01</v>
      </c>
      <c r="C909" s="50" t="s">
        <v>826</v>
      </c>
      <c r="D909" s="62" t="s">
        <v>887</v>
      </c>
      <c r="E909" s="50" t="s">
        <v>910</v>
      </c>
      <c r="F909" s="50" t="s">
        <v>1630</v>
      </c>
      <c r="G909" s="50" t="s">
        <v>1630</v>
      </c>
      <c r="H909" s="50" t="s">
        <v>2137</v>
      </c>
      <c r="I909" s="50" t="s">
        <v>2263</v>
      </c>
      <c r="J909" s="64">
        <v>0.77249999999999996</v>
      </c>
    </row>
    <row r="910" spans="2:10" x14ac:dyDescent="0.25">
      <c r="B910" t="str">
        <f t="shared" si="14"/>
        <v>Maria AulicinoEPC-IPU-C717-03</v>
      </c>
      <c r="C910" s="50" t="s">
        <v>826</v>
      </c>
      <c r="D910" s="62" t="s">
        <v>887</v>
      </c>
      <c r="E910" s="50" t="s">
        <v>888</v>
      </c>
      <c r="F910" s="50" t="s">
        <v>1630</v>
      </c>
      <c r="G910" s="50" t="s">
        <v>1630</v>
      </c>
      <c r="H910" s="50" t="s">
        <v>2138</v>
      </c>
      <c r="I910" s="50" t="s">
        <v>2264</v>
      </c>
      <c r="J910" s="64">
        <v>0.83020000000000005</v>
      </c>
    </row>
    <row r="911" spans="2:10" x14ac:dyDescent="0.25">
      <c r="B911" t="str">
        <f t="shared" si="14"/>
        <v>EdilgornatiEPC-IPU-A413-08</v>
      </c>
      <c r="C911" s="50" t="s">
        <v>826</v>
      </c>
      <c r="D911" s="62" t="s">
        <v>887</v>
      </c>
      <c r="E911" s="50" t="s">
        <v>888</v>
      </c>
      <c r="F911" s="50" t="s">
        <v>1630</v>
      </c>
      <c r="G911" s="50" t="s">
        <v>1630</v>
      </c>
      <c r="H911" s="50" t="s">
        <v>2139</v>
      </c>
      <c r="I911" s="50" t="s">
        <v>2265</v>
      </c>
      <c r="J911" s="64">
        <v>12.5</v>
      </c>
    </row>
    <row r="912" spans="2:10" x14ac:dyDescent="0.25">
      <c r="B912" t="str">
        <f t="shared" si="14"/>
        <v>EdilgifaEPC-IPU-E976-08</v>
      </c>
      <c r="C912" s="50" t="s">
        <v>826</v>
      </c>
      <c r="D912" s="62" t="s">
        <v>887</v>
      </c>
      <c r="E912" s="50" t="s">
        <v>888</v>
      </c>
      <c r="F912" s="50" t="s">
        <v>1630</v>
      </c>
      <c r="G912" s="50" t="s">
        <v>1630</v>
      </c>
      <c r="H912" s="50" t="s">
        <v>2140</v>
      </c>
      <c r="I912" s="50" t="s">
        <v>2266</v>
      </c>
      <c r="J912" s="64">
        <v>0.46409</v>
      </c>
    </row>
    <row r="913" spans="2:10" x14ac:dyDescent="0.25">
      <c r="B913" t="str">
        <f t="shared" si="14"/>
        <v>Santa reparataEPC-IPU-A488-02</v>
      </c>
      <c r="C913" s="50" t="s">
        <v>826</v>
      </c>
      <c r="D913" s="62" t="s">
        <v>887</v>
      </c>
      <c r="E913" s="50" t="s">
        <v>888</v>
      </c>
      <c r="F913" s="50" t="s">
        <v>1630</v>
      </c>
      <c r="G913" s="50" t="s">
        <v>1630</v>
      </c>
      <c r="H913" s="50" t="s">
        <v>2141</v>
      </c>
      <c r="I913" s="50" t="s">
        <v>2267</v>
      </c>
      <c r="J913" s="64">
        <v>0.35</v>
      </c>
    </row>
    <row r="914" spans="2:10" x14ac:dyDescent="0.25">
      <c r="B914" t="str">
        <f t="shared" si="14"/>
        <v>DRVEPC-IPU-H602-02</v>
      </c>
      <c r="C914" s="50" t="s">
        <v>826</v>
      </c>
      <c r="D914" s="62" t="s">
        <v>887</v>
      </c>
      <c r="E914" s="50" t="s">
        <v>896</v>
      </c>
      <c r="F914" s="50" t="s">
        <v>1533</v>
      </c>
      <c r="G914" s="50" t="s">
        <v>1533</v>
      </c>
      <c r="H914" s="50" t="s">
        <v>2142</v>
      </c>
      <c r="I914" s="50" t="s">
        <v>2268</v>
      </c>
      <c r="J914" s="64">
        <v>0</v>
      </c>
    </row>
    <row r="915" spans="2:10" x14ac:dyDescent="0.25">
      <c r="B915" t="str">
        <f t="shared" si="14"/>
        <v>Provincia di Monza e BrianzaEPC-IPU-F704-01</v>
      </c>
      <c r="C915" s="50" t="s">
        <v>958</v>
      </c>
      <c r="D915" s="62" t="s">
        <v>887</v>
      </c>
      <c r="E915" s="50" t="s">
        <v>888</v>
      </c>
      <c r="F915" s="50" t="s">
        <v>1533</v>
      </c>
      <c r="G915" s="50" t="s">
        <v>1533</v>
      </c>
      <c r="H915" s="50" t="s">
        <v>2143</v>
      </c>
      <c r="I915" s="50" t="s">
        <v>2304</v>
      </c>
      <c r="J915" s="64">
        <v>0</v>
      </c>
    </row>
    <row r="916" spans="2:10" x14ac:dyDescent="0.25">
      <c r="B916" t="str">
        <f t="shared" si="14"/>
        <v>Potenza PicenaEPC-IPU-F632-04</v>
      </c>
      <c r="C916" s="50" t="s">
        <v>958</v>
      </c>
      <c r="D916" s="62" t="s">
        <v>887</v>
      </c>
      <c r="E916" s="50" t="s">
        <v>896</v>
      </c>
      <c r="F916" s="50" t="s">
        <v>1533</v>
      </c>
      <c r="G916" s="50" t="s">
        <v>1533</v>
      </c>
      <c r="H916" s="50" t="s">
        <v>2144</v>
      </c>
      <c r="I916" s="50" t="s">
        <v>1725</v>
      </c>
      <c r="J916" s="64">
        <v>0</v>
      </c>
    </row>
    <row r="917" spans="2:10" x14ac:dyDescent="0.25">
      <c r="B917" t="str">
        <f t="shared" si="14"/>
        <v>GallarateEPC-IPU-D869-03</v>
      </c>
      <c r="C917" s="50" t="s">
        <v>958</v>
      </c>
      <c r="D917" s="62" t="s">
        <v>887</v>
      </c>
      <c r="E917" s="50" t="s">
        <v>888</v>
      </c>
      <c r="F917" s="50" t="s">
        <v>1533</v>
      </c>
      <c r="G917" s="50" t="s">
        <v>1533</v>
      </c>
      <c r="H917" s="50" t="s">
        <v>2145</v>
      </c>
      <c r="I917" s="50" t="s">
        <v>1727</v>
      </c>
      <c r="J917" s="64">
        <v>6.39032</v>
      </c>
    </row>
    <row r="918" spans="2:10" x14ac:dyDescent="0.25">
      <c r="B918" t="str">
        <f t="shared" si="14"/>
        <v>NovaraEPC-IPU-F952-04</v>
      </c>
      <c r="C918" s="50" t="s">
        <v>958</v>
      </c>
      <c r="D918" s="62" t="s">
        <v>887</v>
      </c>
      <c r="E918" s="50" t="s">
        <v>888</v>
      </c>
      <c r="F918" s="50" t="s">
        <v>1533</v>
      </c>
      <c r="G918" s="50" t="s">
        <v>1533</v>
      </c>
      <c r="H918" s="50" t="s">
        <v>2146</v>
      </c>
      <c r="I918" s="50" t="s">
        <v>1687</v>
      </c>
      <c r="J918" s="64">
        <v>2.7965100000000001</v>
      </c>
    </row>
    <row r="919" spans="2:10" x14ac:dyDescent="0.25">
      <c r="B919" t="str">
        <f t="shared" si="14"/>
        <v>LuceraEPC-IPU-E716-06</v>
      </c>
      <c r="C919" s="50" t="s">
        <v>826</v>
      </c>
      <c r="D919" s="62" t="s">
        <v>887</v>
      </c>
      <c r="E919" s="50" t="s">
        <v>910</v>
      </c>
      <c r="F919" s="50" t="s">
        <v>1533</v>
      </c>
      <c r="G919" s="50" t="s">
        <v>1533</v>
      </c>
      <c r="H919" s="50" t="s">
        <v>2147</v>
      </c>
      <c r="I919" s="50" t="s">
        <v>1399</v>
      </c>
      <c r="J919" s="64">
        <v>83.319029999999998</v>
      </c>
    </row>
    <row r="920" spans="2:10" x14ac:dyDescent="0.25">
      <c r="B920" t="str">
        <f t="shared" si="14"/>
        <v>MondolfoEPC-IPU-F348-07</v>
      </c>
      <c r="C920" s="50" t="s">
        <v>958</v>
      </c>
      <c r="D920" s="62" t="s">
        <v>887</v>
      </c>
      <c r="E920" s="50" t="s">
        <v>896</v>
      </c>
      <c r="F920" s="50" t="s">
        <v>1533</v>
      </c>
      <c r="G920" s="50" t="s">
        <v>1533</v>
      </c>
      <c r="H920" s="50" t="s">
        <v>2148</v>
      </c>
      <c r="I920" s="50" t="s">
        <v>1733</v>
      </c>
      <c r="J920" s="64">
        <v>12.29508</v>
      </c>
    </row>
    <row r="921" spans="2:10" x14ac:dyDescent="0.25">
      <c r="B921" t="str">
        <f t="shared" si="14"/>
        <v>San Giuliano MilaneseEPC-IPU-H930-04</v>
      </c>
      <c r="C921" s="50" t="s">
        <v>958</v>
      </c>
      <c r="D921" s="62" t="s">
        <v>887</v>
      </c>
      <c r="E921" s="50" t="s">
        <v>888</v>
      </c>
      <c r="F921" s="50" t="s">
        <v>1533</v>
      </c>
      <c r="G921" s="50" t="s">
        <v>1533</v>
      </c>
      <c r="H921" s="50" t="s">
        <v>2149</v>
      </c>
      <c r="I921" s="50" t="s">
        <v>1899</v>
      </c>
      <c r="J921" s="64">
        <v>16.038979999999999</v>
      </c>
    </row>
    <row r="922" spans="2:10" x14ac:dyDescent="0.25">
      <c r="B922" t="str">
        <f t="shared" si="14"/>
        <v>Potenza PicenaEPC-IPU-F632-05</v>
      </c>
      <c r="C922" s="50" t="s">
        <v>958</v>
      </c>
      <c r="D922" s="62" t="s">
        <v>887</v>
      </c>
      <c r="E922" s="50" t="s">
        <v>896</v>
      </c>
      <c r="F922" s="50" t="s">
        <v>1533</v>
      </c>
      <c r="G922" s="50" t="s">
        <v>1533</v>
      </c>
      <c r="H922" s="50" t="s">
        <v>2150</v>
      </c>
      <c r="I922" s="50" t="s">
        <v>1725</v>
      </c>
      <c r="J922" s="64">
        <v>0</v>
      </c>
    </row>
    <row r="923" spans="2:10" x14ac:dyDescent="0.25">
      <c r="B923" t="str">
        <f t="shared" si="14"/>
        <v>ColobraroEPC-IPU-C888-02</v>
      </c>
      <c r="C923" s="50" t="s">
        <v>826</v>
      </c>
      <c r="D923" s="62" t="s">
        <v>887</v>
      </c>
      <c r="E923" s="50" t="s">
        <v>910</v>
      </c>
      <c r="F923" s="50" t="s">
        <v>1533</v>
      </c>
      <c r="G923" s="50" t="s">
        <v>1533</v>
      </c>
      <c r="H923" s="50" t="s">
        <v>2151</v>
      </c>
      <c r="I923" s="50" t="s">
        <v>1698</v>
      </c>
      <c r="J923" s="64">
        <v>8.6128799999999988</v>
      </c>
    </row>
    <row r="924" spans="2:10" x14ac:dyDescent="0.25">
      <c r="B924" t="str">
        <f t="shared" si="14"/>
        <v>AvezzanoSEC-PHV-A515-03</v>
      </c>
      <c r="C924" s="50" t="s">
        <v>826</v>
      </c>
      <c r="D924" s="50" t="s">
        <v>887</v>
      </c>
      <c r="E924" s="50" t="s">
        <v>896</v>
      </c>
      <c r="F924" s="50" t="s">
        <v>897</v>
      </c>
      <c r="G924" s="50" t="s">
        <v>897</v>
      </c>
      <c r="H924" s="50" t="s">
        <v>2152</v>
      </c>
      <c r="I924" s="50" t="s">
        <v>2269</v>
      </c>
      <c r="J924" s="64">
        <v>0</v>
      </c>
    </row>
    <row r="925" spans="2:10" x14ac:dyDescent="0.25">
      <c r="B925" t="str">
        <f t="shared" si="14"/>
        <v>Scurcola MarsicanaSEC-PHV-I553-02</v>
      </c>
      <c r="C925" s="50" t="s">
        <v>826</v>
      </c>
      <c r="D925" s="50" t="s">
        <v>887</v>
      </c>
      <c r="E925" s="50" t="s">
        <v>910</v>
      </c>
      <c r="F925" s="50" t="s">
        <v>897</v>
      </c>
      <c r="G925" s="50" t="s">
        <v>897</v>
      </c>
      <c r="H925" s="50" t="s">
        <v>2153</v>
      </c>
      <c r="I925" s="50" t="s">
        <v>1204</v>
      </c>
      <c r="J925" s="64">
        <v>0</v>
      </c>
    </row>
    <row r="926" spans="2:10" x14ac:dyDescent="0.25">
      <c r="B926" t="str">
        <f t="shared" si="14"/>
        <v>TavianoSEC-PHV-L074-02</v>
      </c>
      <c r="C926" t="s">
        <v>826</v>
      </c>
      <c r="D926" s="62" t="s">
        <v>887</v>
      </c>
      <c r="E926" s="63" t="s">
        <v>910</v>
      </c>
      <c r="F926" t="s">
        <v>897</v>
      </c>
      <c r="G926" t="s">
        <v>897</v>
      </c>
      <c r="H926" s="65" t="s">
        <v>2154</v>
      </c>
      <c r="I926" t="s">
        <v>1463</v>
      </c>
      <c r="J926" s="64">
        <v>0</v>
      </c>
    </row>
    <row r="927" spans="2:10" x14ac:dyDescent="0.25">
      <c r="B927" t="str">
        <f t="shared" si="14"/>
        <v>BellantePPP-EEE-A746-02</v>
      </c>
      <c r="C927" s="50" t="s">
        <v>826</v>
      </c>
      <c r="D927" s="50" t="s">
        <v>887</v>
      </c>
      <c r="E927" s="50" t="s">
        <v>896</v>
      </c>
      <c r="F927" s="50" t="s">
        <v>889</v>
      </c>
      <c r="G927" s="50" t="s">
        <v>890</v>
      </c>
      <c r="H927" s="50" t="s">
        <v>2155</v>
      </c>
      <c r="I927" s="50" t="s">
        <v>2270</v>
      </c>
      <c r="J927" s="64">
        <v>0</v>
      </c>
    </row>
    <row r="928" spans="2:10" x14ac:dyDescent="0.25">
      <c r="B928" t="str">
        <f t="shared" si="14"/>
        <v>BurgioPPP-IPU-B275-01</v>
      </c>
      <c r="C928" s="50" t="s">
        <v>826</v>
      </c>
      <c r="D928" s="50" t="s">
        <v>887</v>
      </c>
      <c r="E928" s="50" t="s">
        <v>910</v>
      </c>
      <c r="F928" s="50" t="s">
        <v>889</v>
      </c>
      <c r="G928" s="50" t="s">
        <v>890</v>
      </c>
      <c r="H928" s="50" t="s">
        <v>2156</v>
      </c>
      <c r="I928" s="50" t="s">
        <v>2271</v>
      </c>
      <c r="J928" s="64">
        <v>0</v>
      </c>
    </row>
    <row r="929" spans="2:10" x14ac:dyDescent="0.25">
      <c r="B929" t="str">
        <f t="shared" si="14"/>
        <v>Montecatini TermePPP-IPU-A561-01</v>
      </c>
      <c r="C929" s="50" t="s">
        <v>826</v>
      </c>
      <c r="D929" s="50" t="s">
        <v>887</v>
      </c>
      <c r="E929" s="50" t="s">
        <v>896</v>
      </c>
      <c r="F929" s="50" t="s">
        <v>889</v>
      </c>
      <c r="G929" s="50" t="s">
        <v>890</v>
      </c>
      <c r="H929" s="50" t="s">
        <v>2157</v>
      </c>
      <c r="I929" s="50" t="s">
        <v>2272</v>
      </c>
      <c r="J929" s="64">
        <v>0</v>
      </c>
    </row>
    <row r="930" spans="2:10" x14ac:dyDescent="0.25">
      <c r="B930" t="str">
        <f t="shared" si="14"/>
        <v>Petrona'PPP-IPU-G518-01</v>
      </c>
      <c r="C930" s="50" t="s">
        <v>826</v>
      </c>
      <c r="D930" s="50" t="s">
        <v>887</v>
      </c>
      <c r="E930" s="50" t="s">
        <v>910</v>
      </c>
      <c r="F930" s="50" t="s">
        <v>889</v>
      </c>
      <c r="G930" s="50" t="s">
        <v>890</v>
      </c>
      <c r="H930" s="50" t="s">
        <v>2158</v>
      </c>
      <c r="I930" s="50" t="s">
        <v>2273</v>
      </c>
      <c r="J930" s="64">
        <v>0</v>
      </c>
    </row>
    <row r="931" spans="2:10" x14ac:dyDescent="0.25">
      <c r="B931" t="str">
        <f t="shared" si="14"/>
        <v>SalaparutaPPP-IPU-H688-01</v>
      </c>
      <c r="C931" s="50" t="s">
        <v>826</v>
      </c>
      <c r="D931" s="50" t="s">
        <v>887</v>
      </c>
      <c r="E931" s="50" t="s">
        <v>910</v>
      </c>
      <c r="F931" s="50" t="s">
        <v>889</v>
      </c>
      <c r="G931" s="50" t="s">
        <v>890</v>
      </c>
      <c r="H931" s="50" t="s">
        <v>2159</v>
      </c>
      <c r="I931" s="50" t="s">
        <v>2274</v>
      </c>
      <c r="J931" s="64">
        <v>0</v>
      </c>
    </row>
    <row r="932" spans="2:10" x14ac:dyDescent="0.25">
      <c r="B932" t="str">
        <f t="shared" si="14"/>
        <v>San Giorgio IonicoPPP-EEE-H882-02</v>
      </c>
      <c r="C932" s="50" t="s">
        <v>826</v>
      </c>
      <c r="D932" s="50" t="s">
        <v>887</v>
      </c>
      <c r="E932" s="50" t="s">
        <v>910</v>
      </c>
      <c r="F932" s="50" t="s">
        <v>889</v>
      </c>
      <c r="G932" s="50" t="s">
        <v>890</v>
      </c>
      <c r="H932" s="50" t="s">
        <v>2160</v>
      </c>
      <c r="I932" s="50" t="s">
        <v>2275</v>
      </c>
      <c r="J932" s="64">
        <v>0</v>
      </c>
    </row>
    <row r="933" spans="2:10" x14ac:dyDescent="0.25">
      <c r="B933" t="str">
        <f t="shared" si="14"/>
        <v>StrongoliPPP-IPU-I982-01</v>
      </c>
      <c r="C933" s="50" t="s">
        <v>826</v>
      </c>
      <c r="D933" s="50" t="s">
        <v>887</v>
      </c>
      <c r="E933" s="50" t="s">
        <v>910</v>
      </c>
      <c r="F933" s="50" t="s">
        <v>889</v>
      </c>
      <c r="G933" s="50" t="s">
        <v>890</v>
      </c>
      <c r="H933" s="50" t="s">
        <v>2161</v>
      </c>
      <c r="I933" s="50" t="s">
        <v>2276</v>
      </c>
      <c r="J933" s="64">
        <v>0</v>
      </c>
    </row>
    <row r="934" spans="2:10" x14ac:dyDescent="0.25">
      <c r="B934" t="str">
        <f t="shared" si="14"/>
        <v>UmbriaticoPPP-IPU-L492-01</v>
      </c>
      <c r="C934" s="50" t="s">
        <v>826</v>
      </c>
      <c r="D934" s="50" t="s">
        <v>887</v>
      </c>
      <c r="E934" s="50" t="s">
        <v>910</v>
      </c>
      <c r="F934" s="50" t="s">
        <v>889</v>
      </c>
      <c r="G934" s="50" t="s">
        <v>890</v>
      </c>
      <c r="H934" s="50" t="s">
        <v>2162</v>
      </c>
      <c r="I934" s="50" t="s">
        <v>2277</v>
      </c>
      <c r="J934" s="64">
        <v>0</v>
      </c>
    </row>
    <row r="935" spans="2:10" x14ac:dyDescent="0.25">
      <c r="B935" t="str">
        <f t="shared" si="14"/>
        <v>ValverdePPP-IPU-L658-01</v>
      </c>
      <c r="C935" s="50" t="s">
        <v>826</v>
      </c>
      <c r="D935" s="50" t="s">
        <v>887</v>
      </c>
      <c r="E935" s="50" t="s">
        <v>910</v>
      </c>
      <c r="F935" s="50" t="s">
        <v>889</v>
      </c>
      <c r="G935" s="50" t="s">
        <v>890</v>
      </c>
      <c r="H935" s="50" t="s">
        <v>2163</v>
      </c>
      <c r="I935" s="50" t="s">
        <v>2278</v>
      </c>
      <c r="J935" s="64">
        <v>0</v>
      </c>
    </row>
    <row r="936" spans="2:10" x14ac:dyDescent="0.25">
      <c r="B936" t="str">
        <f t="shared" si="14"/>
        <v>Venezia PLPPP-IPU-L736-03</v>
      </c>
      <c r="C936" s="50" t="s">
        <v>958</v>
      </c>
      <c r="D936" s="50" t="s">
        <v>887</v>
      </c>
      <c r="E936" s="50" t="s">
        <v>959</v>
      </c>
      <c r="F936" s="50" t="s">
        <v>889</v>
      </c>
      <c r="G936" s="50" t="s">
        <v>890</v>
      </c>
      <c r="H936" s="50" t="s">
        <v>2164</v>
      </c>
      <c r="I936" s="50" t="s">
        <v>1254</v>
      </c>
      <c r="J936" s="64">
        <v>146</v>
      </c>
    </row>
    <row r="937" spans="2:10" x14ac:dyDescent="0.25">
      <c r="B937" t="str">
        <f t="shared" si="14"/>
        <v>BolzanoEPC-IPU-A952-01</v>
      </c>
      <c r="C937" s="50" t="s">
        <v>826</v>
      </c>
      <c r="D937" s="50" t="s">
        <v>887</v>
      </c>
      <c r="E937" s="50" t="s">
        <v>959</v>
      </c>
      <c r="F937" s="50" t="s">
        <v>1533</v>
      </c>
      <c r="G937" s="50" t="s">
        <v>1533</v>
      </c>
      <c r="H937" s="50" t="s">
        <v>2165</v>
      </c>
      <c r="I937" s="50" t="s">
        <v>2329</v>
      </c>
      <c r="J937" s="64">
        <v>1.8061800000000001</v>
      </c>
    </row>
    <row r="938" spans="2:10" x14ac:dyDescent="0.25">
      <c r="B938" t="str">
        <f t="shared" si="14"/>
        <v>AtriEPC-IPU-A488-03</v>
      </c>
      <c r="C938" s="50" t="s">
        <v>826</v>
      </c>
      <c r="D938" s="50" t="s">
        <v>887</v>
      </c>
      <c r="E938" s="50" t="s">
        <v>910</v>
      </c>
      <c r="F938" s="50" t="s">
        <v>1533</v>
      </c>
      <c r="G938" s="50" t="s">
        <v>1533</v>
      </c>
      <c r="H938" s="50" t="s">
        <v>2166</v>
      </c>
      <c r="I938" s="50" t="s">
        <v>1170</v>
      </c>
      <c r="J938" s="54">
        <v>0.25</v>
      </c>
    </row>
    <row r="939" spans="2:10" x14ac:dyDescent="0.25">
      <c r="B939" t="str">
        <f t="shared" si="14"/>
        <v>Guardia PerticaraEPC-IPU-E246-04</v>
      </c>
      <c r="C939" s="50" t="s">
        <v>826</v>
      </c>
      <c r="D939" s="50" t="s">
        <v>887</v>
      </c>
      <c r="E939" s="50" t="s">
        <v>910</v>
      </c>
      <c r="F939" s="50" t="s">
        <v>1533</v>
      </c>
      <c r="G939" s="50" t="s">
        <v>1533</v>
      </c>
      <c r="H939" s="50" t="s">
        <v>2167</v>
      </c>
      <c r="I939" s="50" t="s">
        <v>1856</v>
      </c>
      <c r="J939" s="54">
        <v>4.5</v>
      </c>
    </row>
    <row r="940" spans="2:10" x14ac:dyDescent="0.25">
      <c r="B940" t="str">
        <f t="shared" si="14"/>
        <v>Olevano sul TuscianoEPC-IPU-G023-04</v>
      </c>
      <c r="C940" s="50" t="s">
        <v>826</v>
      </c>
      <c r="D940" s="50" t="s">
        <v>887</v>
      </c>
      <c r="E940" s="50" t="s">
        <v>910</v>
      </c>
      <c r="F940" s="50" t="s">
        <v>1533</v>
      </c>
      <c r="G940" s="50" t="s">
        <v>1533</v>
      </c>
      <c r="H940" s="50" t="s">
        <v>2168</v>
      </c>
      <c r="I940" s="50" t="s">
        <v>1417</v>
      </c>
      <c r="J940" s="54">
        <v>0.76639999999999997</v>
      </c>
    </row>
    <row r="941" spans="2:10" x14ac:dyDescent="0.25">
      <c r="B941" t="str">
        <f t="shared" si="14"/>
        <v>LuceraEPC-IPU-E716-03</v>
      </c>
      <c r="C941" s="50" t="s">
        <v>826</v>
      </c>
      <c r="D941" s="50" t="s">
        <v>887</v>
      </c>
      <c r="E941" s="50" t="s">
        <v>910</v>
      </c>
      <c r="F941" s="50" t="s">
        <v>1533</v>
      </c>
      <c r="G941" s="50" t="s">
        <v>1533</v>
      </c>
      <c r="H941" s="50" t="s">
        <v>2169</v>
      </c>
      <c r="I941" s="50" t="s">
        <v>1399</v>
      </c>
      <c r="J941" s="54">
        <v>45.6</v>
      </c>
    </row>
    <row r="942" spans="2:10" x14ac:dyDescent="0.25">
      <c r="B942" t="str">
        <f t="shared" si="14"/>
        <v>VibonatiEPC-IPU-L835-02</v>
      </c>
      <c r="C942" s="50" t="s">
        <v>826</v>
      </c>
      <c r="D942" s="50" t="s">
        <v>887</v>
      </c>
      <c r="E942" s="50" t="s">
        <v>910</v>
      </c>
      <c r="F942" s="50" t="s">
        <v>1533</v>
      </c>
      <c r="G942" s="50" t="s">
        <v>1533</v>
      </c>
      <c r="H942" s="50" t="s">
        <v>2170</v>
      </c>
      <c r="I942" s="50" t="s">
        <v>1471</v>
      </c>
      <c r="J942" s="54">
        <v>1.6204799999999999</v>
      </c>
    </row>
    <row r="943" spans="2:10" x14ac:dyDescent="0.25">
      <c r="B943" t="str">
        <f t="shared" si="14"/>
        <v>San Marzano sul SarnoEPC-IPU-I019-02</v>
      </c>
      <c r="C943" s="50" t="s">
        <v>826</v>
      </c>
      <c r="D943" s="50" t="s">
        <v>887</v>
      </c>
      <c r="E943" s="50" t="s">
        <v>910</v>
      </c>
      <c r="F943" s="50" t="s">
        <v>1533</v>
      </c>
      <c r="G943" s="50" t="s">
        <v>1533</v>
      </c>
      <c r="H943" s="50" t="s">
        <v>2171</v>
      </c>
      <c r="I943" s="50" t="s">
        <v>1449</v>
      </c>
      <c r="J943" s="54">
        <v>2.1374400000000002</v>
      </c>
    </row>
    <row r="944" spans="2:10" x14ac:dyDescent="0.25">
      <c r="B944" t="str">
        <f t="shared" si="14"/>
        <v>Cogollo del CengioEPC-IPU-C824-02</v>
      </c>
      <c r="C944" s="50" t="s">
        <v>826</v>
      </c>
      <c r="D944" s="50" t="s">
        <v>887</v>
      </c>
      <c r="E944" s="50" t="s">
        <v>959</v>
      </c>
      <c r="F944" s="50" t="s">
        <v>1533</v>
      </c>
      <c r="G944" s="50" t="s">
        <v>1533</v>
      </c>
      <c r="H944" s="50" t="s">
        <v>2172</v>
      </c>
      <c r="I944" s="50" t="s">
        <v>1495</v>
      </c>
      <c r="J944" s="54">
        <v>0</v>
      </c>
    </row>
    <row r="945" spans="2:10" x14ac:dyDescent="0.25">
      <c r="B945" t="str">
        <f t="shared" si="14"/>
        <v>Nova SiriEPC-IPU-A942-03</v>
      </c>
      <c r="C945" s="50" t="s">
        <v>826</v>
      </c>
      <c r="D945" s="50" t="s">
        <v>887</v>
      </c>
      <c r="E945" s="50" t="s">
        <v>910</v>
      </c>
      <c r="F945" s="50" t="s">
        <v>1533</v>
      </c>
      <c r="G945" s="50" t="s">
        <v>1533</v>
      </c>
      <c r="H945" s="50" t="s">
        <v>2173</v>
      </c>
      <c r="I945" s="50" t="s">
        <v>1351</v>
      </c>
      <c r="J945" s="54">
        <v>0</v>
      </c>
    </row>
    <row r="946" spans="2:10" x14ac:dyDescent="0.25">
      <c r="B946" t="str">
        <f t="shared" si="14"/>
        <v>GallarateEPC-IPU-D869-05</v>
      </c>
      <c r="C946" s="50" t="s">
        <v>826</v>
      </c>
      <c r="D946" s="50" t="s">
        <v>887</v>
      </c>
      <c r="E946" s="50" t="s">
        <v>888</v>
      </c>
      <c r="F946" s="50" t="s">
        <v>1533</v>
      </c>
      <c r="G946" s="50" t="s">
        <v>1533</v>
      </c>
      <c r="H946" s="50" t="s">
        <v>2174</v>
      </c>
      <c r="I946" s="50" t="s">
        <v>1727</v>
      </c>
      <c r="J946" s="54">
        <v>1.42984</v>
      </c>
    </row>
    <row r="947" spans="2:10" x14ac:dyDescent="0.25">
      <c r="B947" t="str">
        <f t="shared" si="14"/>
        <v>TribianoEPC-IPU-L415-08</v>
      </c>
      <c r="C947" s="50" t="s">
        <v>826</v>
      </c>
      <c r="D947" s="50" t="s">
        <v>887</v>
      </c>
      <c r="E947" s="50" t="s">
        <v>888</v>
      </c>
      <c r="F947" s="50" t="s">
        <v>1533</v>
      </c>
      <c r="G947" s="50" t="s">
        <v>1533</v>
      </c>
      <c r="H947" s="50" t="s">
        <v>2175</v>
      </c>
      <c r="I947" s="50" t="s">
        <v>1886</v>
      </c>
      <c r="J947" s="54">
        <v>32.44708</v>
      </c>
    </row>
    <row r="948" spans="2:10" x14ac:dyDescent="0.25">
      <c r="B948" t="str">
        <f t="shared" si="14"/>
        <v>ColobraroEPC-IPU-C888-03</v>
      </c>
      <c r="C948" s="50" t="s">
        <v>826</v>
      </c>
      <c r="D948" s="50" t="s">
        <v>887</v>
      </c>
      <c r="E948" s="50" t="s">
        <v>910</v>
      </c>
      <c r="F948" s="50" t="s">
        <v>1533</v>
      </c>
      <c r="G948" s="50" t="s">
        <v>1533</v>
      </c>
      <c r="H948" s="50" t="s">
        <v>2176</v>
      </c>
      <c r="I948" s="50" t="s">
        <v>1698</v>
      </c>
      <c r="J948" s="54">
        <v>41.634</v>
      </c>
    </row>
    <row r="949" spans="2:10" x14ac:dyDescent="0.25">
      <c r="B949" t="str">
        <f t="shared" si="14"/>
        <v>Sasso di CastaldaEPC-IPU-I457-05</v>
      </c>
      <c r="C949" s="50" t="s">
        <v>826</v>
      </c>
      <c r="D949" s="50" t="s">
        <v>887</v>
      </c>
      <c r="E949" s="50" t="s">
        <v>910</v>
      </c>
      <c r="F949" s="50" t="s">
        <v>1533</v>
      </c>
      <c r="G949" s="50" t="s">
        <v>1533</v>
      </c>
      <c r="H949" s="50" t="s">
        <v>2177</v>
      </c>
      <c r="I949" s="50" t="s">
        <v>1453</v>
      </c>
      <c r="J949" s="54">
        <v>19.62106</v>
      </c>
    </row>
    <row r="950" spans="2:10" x14ac:dyDescent="0.25">
      <c r="B950" t="str">
        <f t="shared" si="14"/>
        <v>AviglianoEPC-IPU-A519-05</v>
      </c>
      <c r="C950" s="50" t="s">
        <v>826</v>
      </c>
      <c r="D950" s="50" t="s">
        <v>887</v>
      </c>
      <c r="E950" s="50" t="s">
        <v>910</v>
      </c>
      <c r="F950" s="50" t="s">
        <v>1533</v>
      </c>
      <c r="G950" s="50" t="s">
        <v>1533</v>
      </c>
      <c r="H950" s="50" t="s">
        <v>2178</v>
      </c>
      <c r="I950" s="50" t="s">
        <v>1766</v>
      </c>
      <c r="J950" s="54">
        <v>0.94</v>
      </c>
    </row>
    <row r="951" spans="2:10" x14ac:dyDescent="0.25">
      <c r="B951" t="str">
        <f t="shared" si="14"/>
        <v>TribianoEPC-IPU-L415-07</v>
      </c>
      <c r="C951" s="50" t="s">
        <v>826</v>
      </c>
      <c r="D951" s="50" t="s">
        <v>887</v>
      </c>
      <c r="E951" s="50" t="s">
        <v>888</v>
      </c>
      <c r="F951" s="50" t="s">
        <v>1533</v>
      </c>
      <c r="G951" s="50" t="s">
        <v>1533</v>
      </c>
      <c r="H951" s="50" t="s">
        <v>2179</v>
      </c>
      <c r="I951" s="50" t="s">
        <v>1886</v>
      </c>
      <c r="J951" s="54">
        <v>8.01</v>
      </c>
    </row>
    <row r="952" spans="2:10" x14ac:dyDescent="0.25">
      <c r="B952" t="str">
        <f t="shared" si="14"/>
        <v>Sant'ArcangeloEPC-IPU-I305-03</v>
      </c>
      <c r="C952" s="50" t="s">
        <v>826</v>
      </c>
      <c r="D952" s="50" t="s">
        <v>887</v>
      </c>
      <c r="E952" s="50" t="s">
        <v>910</v>
      </c>
      <c r="F952" s="50" t="s">
        <v>1533</v>
      </c>
      <c r="G952" s="50" t="s">
        <v>1533</v>
      </c>
      <c r="H952" s="50" t="s">
        <v>2180</v>
      </c>
      <c r="I952" s="50" t="s">
        <v>2281</v>
      </c>
      <c r="J952" s="54">
        <v>0</v>
      </c>
    </row>
    <row r="953" spans="2:10" x14ac:dyDescent="0.25">
      <c r="B953" t="str">
        <f t="shared" si="14"/>
        <v>GallarateEPC-IPU-D869-04</v>
      </c>
      <c r="C953" s="50" t="s">
        <v>826</v>
      </c>
      <c r="D953" s="50" t="s">
        <v>887</v>
      </c>
      <c r="E953" s="50" t="s">
        <v>888</v>
      </c>
      <c r="F953" s="50" t="s">
        <v>1533</v>
      </c>
      <c r="G953" s="50" t="s">
        <v>1533</v>
      </c>
      <c r="H953" s="50" t="s">
        <v>2181</v>
      </c>
      <c r="I953" s="50" t="s">
        <v>1727</v>
      </c>
      <c r="J953" s="54">
        <v>2.7766700000000002</v>
      </c>
    </row>
    <row r="954" spans="2:10" x14ac:dyDescent="0.25">
      <c r="B954" t="str">
        <f t="shared" si="14"/>
        <v>BressoEPC-IPU-B162-06</v>
      </c>
      <c r="C954" s="50" t="s">
        <v>826</v>
      </c>
      <c r="D954" s="50" t="s">
        <v>887</v>
      </c>
      <c r="E954" s="50" t="s">
        <v>888</v>
      </c>
      <c r="F954" s="50" t="s">
        <v>1533</v>
      </c>
      <c r="G954" s="50" t="s">
        <v>1533</v>
      </c>
      <c r="H954" s="50" t="s">
        <v>2182</v>
      </c>
      <c r="I954" s="50" t="s">
        <v>1716</v>
      </c>
      <c r="J954" s="54">
        <v>12.233600000000001</v>
      </c>
    </row>
    <row r="955" spans="2:10" x14ac:dyDescent="0.25">
      <c r="B955" t="str">
        <f t="shared" si="14"/>
        <v>FermoEPC-IPU-D542-02</v>
      </c>
      <c r="C955" s="50" t="s">
        <v>826</v>
      </c>
      <c r="D955" s="50" t="s">
        <v>887</v>
      </c>
      <c r="E955" s="50" t="s">
        <v>896</v>
      </c>
      <c r="F955" s="50" t="s">
        <v>1533</v>
      </c>
      <c r="G955" s="50" t="s">
        <v>1533</v>
      </c>
      <c r="H955" s="50" t="s">
        <v>2183</v>
      </c>
      <c r="I955" s="50" t="s">
        <v>1714</v>
      </c>
      <c r="J955" s="54">
        <v>0</v>
      </c>
    </row>
    <row r="956" spans="2:10" x14ac:dyDescent="0.25">
      <c r="B956" t="str">
        <f t="shared" si="14"/>
        <v>SenigalliaEPC-IPU-I608-01</v>
      </c>
      <c r="C956" s="50" t="s">
        <v>826</v>
      </c>
      <c r="D956" s="50" t="s">
        <v>887</v>
      </c>
      <c r="E956" s="50" t="s">
        <v>888</v>
      </c>
      <c r="F956" s="50" t="s">
        <v>1533</v>
      </c>
      <c r="G956" s="50" t="s">
        <v>1533</v>
      </c>
      <c r="H956" s="50" t="s">
        <v>2184</v>
      </c>
      <c r="I956" s="50" t="s">
        <v>1751</v>
      </c>
      <c r="J956" s="54">
        <v>0</v>
      </c>
    </row>
    <row r="957" spans="2:10" x14ac:dyDescent="0.25">
      <c r="B957" t="str">
        <f t="shared" si="14"/>
        <v>TribianoEPC-IPU-L415-06</v>
      </c>
      <c r="C957" s="50" t="s">
        <v>826</v>
      </c>
      <c r="D957" s="50" t="s">
        <v>887</v>
      </c>
      <c r="E957" s="50" t="s">
        <v>888</v>
      </c>
      <c r="F957" s="50" t="s">
        <v>1533</v>
      </c>
      <c r="G957" s="50" t="s">
        <v>1533</v>
      </c>
      <c r="H957" s="50" t="s">
        <v>2185</v>
      </c>
      <c r="I957" s="50" t="s">
        <v>1886</v>
      </c>
      <c r="J957" s="54">
        <v>2.6107399999999998</v>
      </c>
    </row>
    <row r="958" spans="2:10" x14ac:dyDescent="0.25">
      <c r="B958" t="str">
        <f t="shared" si="14"/>
        <v>FilianoSEC-PHV-D593-06</v>
      </c>
      <c r="C958" s="50" t="s">
        <v>826</v>
      </c>
      <c r="D958" s="50" t="s">
        <v>887</v>
      </c>
      <c r="E958" s="50" t="s">
        <v>910</v>
      </c>
      <c r="F958" s="50" t="s">
        <v>897</v>
      </c>
      <c r="G958" s="50" t="s">
        <v>897</v>
      </c>
      <c r="H958" s="50" t="s">
        <v>2186</v>
      </c>
      <c r="I958" s="50" t="s">
        <v>1761</v>
      </c>
      <c r="J958" s="54">
        <v>1.4115499999999999</v>
      </c>
    </row>
    <row r="959" spans="2:10" x14ac:dyDescent="0.25">
      <c r="B959" t="str">
        <f t="shared" si="14"/>
        <v>FilianoSEC-PHV-D593-07</v>
      </c>
      <c r="C959" s="50" t="s">
        <v>826</v>
      </c>
      <c r="D959" s="50" t="s">
        <v>887</v>
      </c>
      <c r="E959" s="50" t="s">
        <v>910</v>
      </c>
      <c r="F959" s="50" t="s">
        <v>897</v>
      </c>
      <c r="G959" s="50" t="s">
        <v>897</v>
      </c>
      <c r="H959" s="50" t="s">
        <v>2187</v>
      </c>
      <c r="I959" s="50" t="s">
        <v>1761</v>
      </c>
      <c r="J959" s="54">
        <v>0.29392000000000001</v>
      </c>
    </row>
    <row r="960" spans="2:10" x14ac:dyDescent="0.25">
      <c r="B960" t="str">
        <f t="shared" si="14"/>
        <v>FilianoSEC-PHV-D593-08</v>
      </c>
      <c r="C960" s="50" t="s">
        <v>826</v>
      </c>
      <c r="D960" s="50" t="s">
        <v>887</v>
      </c>
      <c r="E960" s="50" t="s">
        <v>910</v>
      </c>
      <c r="F960" s="50" t="s">
        <v>897</v>
      </c>
      <c r="G960" s="50" t="s">
        <v>897</v>
      </c>
      <c r="H960" s="50" t="s">
        <v>2188</v>
      </c>
      <c r="I960" s="50" t="s">
        <v>1761</v>
      </c>
      <c r="J960" s="54">
        <v>0.29542000000000002</v>
      </c>
    </row>
    <row r="961" spans="2:10" x14ac:dyDescent="0.25">
      <c r="B961" t="str">
        <f t="shared" si="14"/>
        <v>ColobraroEPC-IPU-C888-01</v>
      </c>
      <c r="C961" s="50" t="s">
        <v>826</v>
      </c>
      <c r="D961" s="50" t="s">
        <v>887</v>
      </c>
      <c r="E961" s="50" t="s">
        <v>910</v>
      </c>
      <c r="F961" s="50" t="s">
        <v>1533</v>
      </c>
      <c r="G961" s="50" t="s">
        <v>1533</v>
      </c>
      <c r="H961" s="50" t="s">
        <v>2189</v>
      </c>
      <c r="I961" s="50" t="s">
        <v>1698</v>
      </c>
      <c r="J961" s="54">
        <v>0</v>
      </c>
    </row>
    <row r="962" spans="2:10" x14ac:dyDescent="0.25">
      <c r="B962" t="str">
        <f t="shared" si="14"/>
        <v>Sasso di CastaldaEPC-IPU-I457-02</v>
      </c>
      <c r="C962" s="50" t="s">
        <v>826</v>
      </c>
      <c r="D962" s="50" t="s">
        <v>887</v>
      </c>
      <c r="E962" s="50" t="s">
        <v>910</v>
      </c>
      <c r="F962" s="50" t="s">
        <v>1533</v>
      </c>
      <c r="G962" s="50" t="s">
        <v>1533</v>
      </c>
      <c r="H962" s="50" t="s">
        <v>2190</v>
      </c>
      <c r="I962" s="50" t="s">
        <v>1453</v>
      </c>
      <c r="J962" s="54">
        <v>0</v>
      </c>
    </row>
    <row r="963" spans="2:10" x14ac:dyDescent="0.25">
      <c r="B963" t="str">
        <f t="shared" si="14"/>
        <v>ColobraroEPC-IPU-C888-03</v>
      </c>
      <c r="C963" s="50" t="s">
        <v>826</v>
      </c>
      <c r="D963" s="50" t="s">
        <v>887</v>
      </c>
      <c r="E963" s="50" t="s">
        <v>910</v>
      </c>
      <c r="F963" s="50" t="s">
        <v>1533</v>
      </c>
      <c r="G963" s="50" t="s">
        <v>1533</v>
      </c>
      <c r="H963" s="50" t="s">
        <v>2176</v>
      </c>
      <c r="I963" s="50" t="s">
        <v>1698</v>
      </c>
      <c r="J963" s="54">
        <v>41.634</v>
      </c>
    </row>
    <row r="964" spans="2:10" x14ac:dyDescent="0.25">
      <c r="B964" t="str">
        <f t="shared" ref="B964:B975" si="15">+I964&amp;H964</f>
        <v>Sasso di CastaldaEPC-IPU-I457-02</v>
      </c>
      <c r="C964" s="50" t="s">
        <v>826</v>
      </c>
      <c r="D964" s="50" t="s">
        <v>887</v>
      </c>
      <c r="E964" s="50" t="s">
        <v>910</v>
      </c>
      <c r="F964" s="50" t="s">
        <v>1533</v>
      </c>
      <c r="G964" s="50" t="s">
        <v>1533</v>
      </c>
      <c r="H964" s="50" t="s">
        <v>2190</v>
      </c>
      <c r="I964" s="50" t="s">
        <v>1453</v>
      </c>
      <c r="J964" s="54">
        <v>0</v>
      </c>
    </row>
    <row r="965" spans="2:10" x14ac:dyDescent="0.25">
      <c r="B965" t="str">
        <f t="shared" si="15"/>
        <v>PietragallaPPP-EEE-G616-02</v>
      </c>
      <c r="C965" s="50" t="s">
        <v>826</v>
      </c>
      <c r="D965" s="50" t="s">
        <v>887</v>
      </c>
      <c r="E965" s="50" t="s">
        <v>910</v>
      </c>
      <c r="F965" s="50" t="s">
        <v>965</v>
      </c>
      <c r="G965" s="50" t="s">
        <v>965</v>
      </c>
      <c r="H965" s="50" t="s">
        <v>2191</v>
      </c>
      <c r="I965" s="50" t="s">
        <v>1296</v>
      </c>
      <c r="J965" s="54">
        <v>0</v>
      </c>
    </row>
    <row r="966" spans="2:10" x14ac:dyDescent="0.25">
      <c r="B966" t="str">
        <f t="shared" si="15"/>
        <v>VillaputzuPPP-IPU-L998-01</v>
      </c>
      <c r="C966" s="50" t="s">
        <v>826</v>
      </c>
      <c r="D966" s="50" t="s">
        <v>887</v>
      </c>
      <c r="E966" s="50" t="s">
        <v>910</v>
      </c>
      <c r="F966" s="50" t="s">
        <v>889</v>
      </c>
      <c r="G966" s="50" t="s">
        <v>890</v>
      </c>
      <c r="H966" s="50" t="s">
        <v>2192</v>
      </c>
      <c r="I966" s="50" t="s">
        <v>2283</v>
      </c>
      <c r="J966" s="54">
        <v>0</v>
      </c>
    </row>
    <row r="967" spans="2:10" x14ac:dyDescent="0.25">
      <c r="B967" t="str">
        <f t="shared" si="15"/>
        <v>San LucidoPPP-IPU-H971-01</v>
      </c>
      <c r="C967" s="50" t="s">
        <v>826</v>
      </c>
      <c r="D967" s="50" t="s">
        <v>887</v>
      </c>
      <c r="E967" s="50" t="s">
        <v>910</v>
      </c>
      <c r="F967" s="50" t="s">
        <v>889</v>
      </c>
      <c r="G967" s="50" t="s">
        <v>890</v>
      </c>
      <c r="H967" s="50" t="s">
        <v>2193</v>
      </c>
      <c r="I967" s="50" t="s">
        <v>2284</v>
      </c>
      <c r="J967" s="54">
        <v>0</v>
      </c>
    </row>
    <row r="968" spans="2:10" x14ac:dyDescent="0.25">
      <c r="B968" t="str">
        <f t="shared" si="15"/>
        <v>AtellaPPP-IPU-A482-01</v>
      </c>
      <c r="C968" s="50" t="s">
        <v>826</v>
      </c>
      <c r="D968" s="50" t="s">
        <v>887</v>
      </c>
      <c r="E968" s="50" t="s">
        <v>910</v>
      </c>
      <c r="F968" s="50" t="s">
        <v>889</v>
      </c>
      <c r="G968" s="50" t="s">
        <v>890</v>
      </c>
      <c r="H968" s="50" t="s">
        <v>2194</v>
      </c>
      <c r="I968" s="50" t="s">
        <v>2285</v>
      </c>
      <c r="J968" s="54">
        <v>0</v>
      </c>
    </row>
    <row r="969" spans="2:10" x14ac:dyDescent="0.25">
      <c r="B969" t="str">
        <f t="shared" si="15"/>
        <v>PetrosinoPPP-IPU-M281-01</v>
      </c>
      <c r="C969" s="50" t="s">
        <v>826</v>
      </c>
      <c r="D969" s="50" t="s">
        <v>887</v>
      </c>
      <c r="E969" s="50" t="s">
        <v>910</v>
      </c>
      <c r="F969" s="50" t="s">
        <v>889</v>
      </c>
      <c r="G969" s="50" t="s">
        <v>890</v>
      </c>
      <c r="H969" s="50" t="s">
        <v>2195</v>
      </c>
      <c r="I969" s="50" t="s">
        <v>2286</v>
      </c>
      <c r="J969" s="54">
        <v>0</v>
      </c>
    </row>
    <row r="970" spans="2:10" x14ac:dyDescent="0.25">
      <c r="B970" t="str">
        <f t="shared" si="15"/>
        <v>GrammichelePPP-IPU-E133-01</v>
      </c>
      <c r="C970" s="50" t="s">
        <v>826</v>
      </c>
      <c r="D970" s="50" t="s">
        <v>887</v>
      </c>
      <c r="E970" s="50" t="s">
        <v>910</v>
      </c>
      <c r="F970" s="50" t="s">
        <v>889</v>
      </c>
      <c r="G970" s="50" t="s">
        <v>890</v>
      </c>
      <c r="H970" s="50" t="s">
        <v>2196</v>
      </c>
      <c r="I970" s="50" t="s">
        <v>2287</v>
      </c>
      <c r="J970" s="54">
        <v>0</v>
      </c>
    </row>
    <row r="971" spans="2:10" x14ac:dyDescent="0.25">
      <c r="B971" t="str">
        <f t="shared" si="15"/>
        <v>NichelinoPPP-IPU-F889-01</v>
      </c>
      <c r="C971" s="50" t="s">
        <v>826</v>
      </c>
      <c r="D971" s="50" t="s">
        <v>887</v>
      </c>
      <c r="E971" s="50" t="s">
        <v>888</v>
      </c>
      <c r="F971" s="50" t="s">
        <v>889</v>
      </c>
      <c r="G971" s="50" t="s">
        <v>890</v>
      </c>
      <c r="H971" s="50" t="s">
        <v>2197</v>
      </c>
      <c r="I971" s="50" t="s">
        <v>2288</v>
      </c>
      <c r="J971" s="54">
        <v>0</v>
      </c>
    </row>
    <row r="972" spans="2:10" x14ac:dyDescent="0.25">
      <c r="B972" t="str">
        <f t="shared" si="15"/>
        <v>GussagoPPP-IPU-E271-01</v>
      </c>
      <c r="C972" s="50" t="s">
        <v>826</v>
      </c>
      <c r="D972" s="50" t="s">
        <v>887</v>
      </c>
      <c r="E972" s="50" t="s">
        <v>888</v>
      </c>
      <c r="F972" s="50" t="s">
        <v>889</v>
      </c>
      <c r="G972" s="50" t="s">
        <v>890</v>
      </c>
      <c r="H972" s="50" t="s">
        <v>2198</v>
      </c>
      <c r="I972" s="50" t="s">
        <v>2289</v>
      </c>
      <c r="J972" s="54">
        <v>0</v>
      </c>
    </row>
    <row r="973" spans="2:10" x14ac:dyDescent="0.25">
      <c r="B973" t="str">
        <f t="shared" si="15"/>
        <v>PolicoroPPP-EEE-G786-01</v>
      </c>
      <c r="C973" s="50" t="s">
        <v>826</v>
      </c>
      <c r="D973" s="50" t="s">
        <v>887</v>
      </c>
      <c r="E973" s="50" t="s">
        <v>910</v>
      </c>
      <c r="F973" s="50" t="s">
        <v>965</v>
      </c>
      <c r="G973" s="50" t="s">
        <v>965</v>
      </c>
      <c r="H973" s="50" t="s">
        <v>2199</v>
      </c>
      <c r="I973" s="50" t="s">
        <v>2290</v>
      </c>
      <c r="J973" s="54">
        <v>0</v>
      </c>
    </row>
    <row r="974" spans="2:10" x14ac:dyDescent="0.25">
      <c r="B974" t="str">
        <f t="shared" si="15"/>
        <v>MascaliPPP-IPU-F004-01</v>
      </c>
      <c r="C974" s="50" t="s">
        <v>826</v>
      </c>
      <c r="D974" s="50" t="s">
        <v>887</v>
      </c>
      <c r="E974" s="50" t="s">
        <v>910</v>
      </c>
      <c r="F974" s="50" t="s">
        <v>889</v>
      </c>
      <c r="G974" s="50" t="s">
        <v>890</v>
      </c>
      <c r="H974" s="50" t="s">
        <v>2200</v>
      </c>
      <c r="I974" s="50" t="s">
        <v>2291</v>
      </c>
      <c r="J974" s="54">
        <v>0</v>
      </c>
    </row>
    <row r="975" spans="2:10" x14ac:dyDescent="0.25">
      <c r="B975" t="str">
        <f t="shared" si="15"/>
        <v>Nocera SuperiorePPP-IPU-F913-01</v>
      </c>
      <c r="C975" s="50" t="s">
        <v>826</v>
      </c>
      <c r="D975" s="50" t="s">
        <v>887</v>
      </c>
      <c r="E975" s="50" t="s">
        <v>910</v>
      </c>
      <c r="F975" s="50" t="s">
        <v>889</v>
      </c>
      <c r="G975" s="50" t="s">
        <v>890</v>
      </c>
      <c r="H975" s="50" t="s">
        <v>2201</v>
      </c>
      <c r="I975" s="50" t="s">
        <v>2292</v>
      </c>
      <c r="J975" s="54">
        <v>0</v>
      </c>
    </row>
  </sheetData>
  <conditionalFormatting sqref="H6">
    <cfRule type="cellIs" dxfId="29" priority="1" operator="between">
      <formula>0</formula>
      <formula>0</formula>
    </cfRule>
    <cfRule type="duplicateValues" dxfId="28" priority="2"/>
  </conditionalFormatting>
  <conditionalFormatting sqref="H64">
    <cfRule type="duplicateValues" dxfId="27" priority="52"/>
    <cfRule type="duplicateValues" dxfId="26" priority="53"/>
  </conditionalFormatting>
  <conditionalFormatting sqref="H149">
    <cfRule type="duplicateValues" dxfId="25" priority="50"/>
    <cfRule type="duplicateValues" dxfId="24" priority="51"/>
  </conditionalFormatting>
  <conditionalFormatting sqref="H729:H742 H744:H900">
    <cfRule type="duplicateValues" dxfId="23" priority="28"/>
    <cfRule type="duplicateValues" dxfId="22" priority="29"/>
    <cfRule type="duplicateValues" dxfId="21" priority="30"/>
    <cfRule type="duplicateValues" dxfId="20" priority="31"/>
    <cfRule type="duplicateValues" dxfId="19" priority="32"/>
    <cfRule type="duplicateValues" dxfId="18" priority="33"/>
    <cfRule type="duplicateValues" dxfId="17" priority="34"/>
    <cfRule type="duplicateValues" dxfId="16" priority="35"/>
  </conditionalFormatting>
  <conditionalFormatting sqref="H901:H903">
    <cfRule type="duplicateValues" dxfId="15" priority="8"/>
    <cfRule type="duplicateValues" dxfId="14" priority="9"/>
    <cfRule type="duplicateValues" dxfId="13" priority="10"/>
    <cfRule type="duplicateValues" dxfId="12" priority="11"/>
  </conditionalFormatting>
  <conditionalFormatting sqref="H927:H964 H3:H5 H10:H27 H33:H51 H54:H383 H7:H8 H385:H742 H744:H925">
    <cfRule type="duplicateValues" dxfId="11" priority="54"/>
    <cfRule type="duplicateValues" dxfId="10" priority="55"/>
  </conditionalFormatting>
  <conditionalFormatting sqref="I4:I7 I797:I814">
    <cfRule type="cellIs" dxfId="9" priority="26" operator="between">
      <formula>0</formula>
      <formula>0</formula>
    </cfRule>
  </conditionalFormatting>
  <conditionalFormatting sqref="I797:I814 I4:I7">
    <cfRule type="duplicateValues" dxfId="8" priority="27"/>
  </conditionalFormatting>
  <conditionalFormatting sqref="I883:I900">
    <cfRule type="cellIs" dxfId="7" priority="24" operator="between">
      <formula>0</formula>
      <formula>0</formula>
    </cfRule>
    <cfRule type="duplicateValues" dxfId="6" priority="25"/>
  </conditionalFormatting>
  <conditionalFormatting sqref="J3:J98 J102:J237 J239:J276 J278:J280">
    <cfRule type="cellIs" dxfId="5" priority="7" operator="between">
      <formula>0</formula>
      <formula>0</formula>
    </cfRule>
  </conditionalFormatting>
  <conditionalFormatting sqref="J3:J98 J102:J237 J316:J318 J324:J327 J239:J276 J278:J280 J282:J313 J329:J975">
    <cfRule type="duplicateValues" dxfId="4" priority="60"/>
  </conditionalFormatting>
  <conditionalFormatting sqref="J282:J975">
    <cfRule type="cellIs" dxfId="3" priority="6" operator="between">
      <formula>0</formula>
      <formula>0</formula>
    </cfRule>
  </conditionalFormatting>
  <conditionalFormatting sqref="J314:J315">
    <cfRule type="duplicateValues" dxfId="2" priority="5"/>
  </conditionalFormatting>
  <conditionalFormatting sqref="J319:J323">
    <cfRule type="duplicateValues" dxfId="1" priority="4"/>
  </conditionalFormatting>
  <conditionalFormatting sqref="J328">
    <cfRule type="duplicateValues" dxfId="0" priority="3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8D4A29D3D45842B44FAED1AAC439B1" ma:contentTypeVersion="3" ma:contentTypeDescription="Creare un nuovo documento." ma:contentTypeScope="" ma:versionID="0cc1a2f0fdecc834e7558ba0e7a1d85c">
  <xsd:schema xmlns:xsd="http://www.w3.org/2001/XMLSchema" xmlns:xs="http://www.w3.org/2001/XMLSchema" xmlns:p="http://schemas.microsoft.com/office/2006/metadata/properties" xmlns:ns2="1b5ffcd3-4ccc-457b-be3a-1b839281403e" targetNamespace="http://schemas.microsoft.com/office/2006/metadata/properties" ma:root="true" ma:fieldsID="6be16466061a7c4b03b887c3be9e4e07" ns2:_="">
    <xsd:import namespace="1b5ffcd3-4ccc-457b-be3a-1b8392814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ffcd3-4ccc-457b-be3a-1b8392814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CD9DC-FEE6-4D59-9037-BA2394C184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9E9BC9-ED2B-44F1-B02A-FEB77A61EF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E9E16AB-EDD1-4692-87CF-6F2697B60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ffcd3-4ccc-457b-be3a-1b8392814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Output BDV</vt:lpstr>
      <vt:lpstr>De Giorgi BDV</vt:lpstr>
      <vt:lpstr>CVS</vt:lpstr>
      <vt:lpstr>delta only CVS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Enrico Molena</cp:lastModifiedBy>
  <cp:revision/>
  <dcterms:created xsi:type="dcterms:W3CDTF">2026-09-04T08:35:12Z</dcterms:created>
  <dcterms:modified xsi:type="dcterms:W3CDTF">2026-09-14T13:15:09Z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0x010100D78D4A29D3D45842B44FAED1AAC439B1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