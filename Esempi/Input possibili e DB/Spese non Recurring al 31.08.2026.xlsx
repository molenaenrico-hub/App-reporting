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ttps://civismartcloud.sharepoint.com/sites/Finance/FPA/Reporting/2026/08_Agosto/01_Input/"/>
    </mc:Choice>
  </mc:AlternateContent>
  <xr:revisionPtr revIDLastSave="1422" documentId="13_ncr:1_{EB732FE5-F849-4B51-852A-DD947BBC8D05}" xr6:coauthVersionLast="47" xr6:coauthVersionMax="47" xr10:uidLastSave="{0D865504-BBA9-4FFB-B815-B581C976B2B1}"/>
  <bookViews>
    <workbookView xWindow="-108" yWindow="-108" windowWidth="23256" windowHeight="12456" activeTab="5" xr2:uid="{D1A18DA0-9B6E-4E69-A613-23EFE4CDC65A}"/>
  </bookViews>
  <sheets>
    <sheet name="Riepilogo Non Recurring" sheetId="6" r:id="rId1"/>
    <sheet name="Costi di Prog.one" sheetId="7" r:id="rId2"/>
    <sheet name="700405" sheetId="1" r:id="rId3"/>
    <sheet name="700407" sheetId="2" r:id="rId4"/>
    <sheet name="700409" sheetId="3" r:id="rId5"/>
    <sheet name="702001" sheetId="8" r:id="rId6"/>
    <sheet name="700815" sheetId="9" r:id="rId7"/>
  </sheets>
  <definedNames>
    <definedName name="_xlnm._FilterDatabase" localSheetId="2" hidden="1">'700405'!$A$1:$L$35</definedName>
    <definedName name="_xlnm._FilterDatabase" localSheetId="3" hidden="1">'700407'!$A$7:$L$82</definedName>
    <definedName name="_xlnm._FilterDatabase" localSheetId="4" hidden="1">'700409'!$A$7:$N$100</definedName>
    <definedName name="_xlnm._FilterDatabase" localSheetId="6" hidden="1">'700815'!$A$7:$M$367</definedName>
    <definedName name="_xlnm._FilterDatabase" localSheetId="5" hidden="1">'702001'!$A$7:$L$125</definedName>
    <definedName name="_xlnm._FilterDatabase" localSheetId="1" hidden="1">'Costi di Prog.one'!$A$1:$D$46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6" l="1"/>
  <c r="H7" i="6"/>
  <c r="I6" i="6"/>
  <c r="H6" i="6"/>
  <c r="I5" i="6"/>
  <c r="I4" i="6"/>
  <c r="H4" i="6"/>
  <c r="D27" i="7"/>
  <c r="D23" i="7"/>
  <c r="D32" i="7"/>
  <c r="D31" i="7"/>
  <c r="D30" i="7"/>
  <c r="D29" i="7"/>
  <c r="D28" i="7"/>
  <c r="D26" i="7"/>
  <c r="D25" i="7"/>
  <c r="D24" i="7"/>
  <c r="H3" i="6"/>
  <c r="G7" i="6"/>
  <c r="E7" i="6"/>
  <c r="D7" i="6"/>
  <c r="C7" i="6"/>
  <c r="B7" i="6"/>
  <c r="K1421" i="9"/>
  <c r="K1422" i="9" s="1"/>
  <c r="K1423" i="9" s="1"/>
  <c r="I1421" i="9"/>
  <c r="I1422" i="9" s="1"/>
  <c r="I1423" i="9" s="1"/>
  <c r="L11" i="9"/>
  <c r="L12" i="9" s="1"/>
  <c r="L13" i="9" s="1"/>
  <c r="L14" i="9" s="1"/>
  <c r="L15" i="9" s="1"/>
  <c r="L16" i="9" s="1"/>
  <c r="L17" i="9" s="1"/>
  <c r="L18" i="9" s="1"/>
  <c r="L19" i="9" s="1"/>
  <c r="L20" i="9" s="1"/>
  <c r="L21" i="9" s="1"/>
  <c r="L22" i="9" s="1"/>
  <c r="L23" i="9" s="1"/>
  <c r="L24" i="9" s="1"/>
  <c r="L25" i="9" s="1"/>
  <c r="L26" i="9" s="1"/>
  <c r="L27" i="9" s="1"/>
  <c r="L28" i="9" s="1"/>
  <c r="L29" i="9" s="1"/>
  <c r="L30" i="9" s="1"/>
  <c r="L31" i="9" s="1"/>
  <c r="L32" i="9" s="1"/>
  <c r="L33" i="9" s="1"/>
  <c r="L34" i="9" s="1"/>
  <c r="L35" i="9" s="1"/>
  <c r="L36" i="9" s="1"/>
  <c r="L37" i="9" s="1"/>
  <c r="L38" i="9" s="1"/>
  <c r="L39" i="9" s="1"/>
  <c r="L40" i="9" s="1"/>
  <c r="L41" i="9" s="1"/>
  <c r="L42" i="9" s="1"/>
  <c r="L43" i="9" s="1"/>
  <c r="L44" i="9" s="1"/>
  <c r="L45" i="9" s="1"/>
  <c r="L46" i="9" s="1"/>
  <c r="L47" i="9" s="1"/>
  <c r="L48" i="9" s="1"/>
  <c r="L49" i="9" s="1"/>
  <c r="L50" i="9" s="1"/>
  <c r="L51" i="9" s="1"/>
  <c r="L52" i="9" s="1"/>
  <c r="L53" i="9" s="1"/>
  <c r="L54" i="9" s="1"/>
  <c r="L55" i="9" s="1"/>
  <c r="L56" i="9" s="1"/>
  <c r="L57" i="9" s="1"/>
  <c r="L58" i="9" s="1"/>
  <c r="L59" i="9" s="1"/>
  <c r="L60" i="9" s="1"/>
  <c r="L61" i="9" s="1"/>
  <c r="L62" i="9" s="1"/>
  <c r="L63" i="9" s="1"/>
  <c r="L64" i="9" s="1"/>
  <c r="L65" i="9" s="1"/>
  <c r="L66" i="9" s="1"/>
  <c r="L67" i="9" s="1"/>
  <c r="L68" i="9" s="1"/>
  <c r="L69" i="9" s="1"/>
  <c r="L70" i="9" s="1"/>
  <c r="L71" i="9" s="1"/>
  <c r="L72" i="9" s="1"/>
  <c r="L73" i="9" s="1"/>
  <c r="L74" i="9" s="1"/>
  <c r="L75" i="9" s="1"/>
  <c r="L76" i="9" s="1"/>
  <c r="L77" i="9" s="1"/>
  <c r="L78" i="9" s="1"/>
  <c r="L79" i="9" s="1"/>
  <c r="L80" i="9" s="1"/>
  <c r="L81" i="9" s="1"/>
  <c r="L82" i="9" s="1"/>
  <c r="L83" i="9" s="1"/>
  <c r="L84" i="9" s="1"/>
  <c r="L85" i="9" s="1"/>
  <c r="L86" i="9" s="1"/>
  <c r="L87" i="9" s="1"/>
  <c r="L88" i="9" s="1"/>
  <c r="L89" i="9" s="1"/>
  <c r="L90" i="9" s="1"/>
  <c r="L91" i="9" s="1"/>
  <c r="L92" i="9" s="1"/>
  <c r="L93" i="9" s="1"/>
  <c r="L94" i="9" s="1"/>
  <c r="L95" i="9" s="1"/>
  <c r="L96" i="9" s="1"/>
  <c r="L97" i="9" s="1"/>
  <c r="L98" i="9" s="1"/>
  <c r="L99" i="9" s="1"/>
  <c r="L100" i="9" s="1"/>
  <c r="L101" i="9" s="1"/>
  <c r="L102" i="9" s="1"/>
  <c r="L103" i="9" s="1"/>
  <c r="L104" i="9" s="1"/>
  <c r="L105" i="9" s="1"/>
  <c r="L106" i="9" s="1"/>
  <c r="L107" i="9" s="1"/>
  <c r="L108" i="9" s="1"/>
  <c r="L109" i="9" s="1"/>
  <c r="L110" i="9" s="1"/>
  <c r="L111" i="9" s="1"/>
  <c r="L112" i="9" s="1"/>
  <c r="L113" i="9" s="1"/>
  <c r="L114" i="9" s="1"/>
  <c r="L115" i="9" s="1"/>
  <c r="L116" i="9" s="1"/>
  <c r="L117" i="9" s="1"/>
  <c r="L118" i="9" s="1"/>
  <c r="L119" i="9" s="1"/>
  <c r="L120" i="9" s="1"/>
  <c r="L121" i="9" s="1"/>
  <c r="L122" i="9" s="1"/>
  <c r="L123" i="9" s="1"/>
  <c r="L124" i="9" s="1"/>
  <c r="L125" i="9" s="1"/>
  <c r="L126" i="9" s="1"/>
  <c r="L127" i="9" s="1"/>
  <c r="L128" i="9" s="1"/>
  <c r="L129" i="9" s="1"/>
  <c r="L130" i="9" s="1"/>
  <c r="L131" i="9" s="1"/>
  <c r="L132" i="9" s="1"/>
  <c r="L133" i="9" s="1"/>
  <c r="L134" i="9" s="1"/>
  <c r="L135" i="9" s="1"/>
  <c r="L136" i="9" s="1"/>
  <c r="L137" i="9" s="1"/>
  <c r="L138" i="9" s="1"/>
  <c r="L139" i="9" s="1"/>
  <c r="L140" i="9" s="1"/>
  <c r="L141" i="9" s="1"/>
  <c r="L142" i="9" s="1"/>
  <c r="L143" i="9" s="1"/>
  <c r="L144" i="9" s="1"/>
  <c r="L145" i="9" s="1"/>
  <c r="L146" i="9" s="1"/>
  <c r="L147" i="9" s="1"/>
  <c r="L148" i="9" s="1"/>
  <c r="L149" i="9" s="1"/>
  <c r="L150" i="9" s="1"/>
  <c r="L151" i="9" s="1"/>
  <c r="L152" i="9" s="1"/>
  <c r="L153" i="9" s="1"/>
  <c r="L154" i="9" s="1"/>
  <c r="L155" i="9" s="1"/>
  <c r="L156" i="9" s="1"/>
  <c r="L157" i="9" s="1"/>
  <c r="L158" i="9" s="1"/>
  <c r="L159" i="9" s="1"/>
  <c r="L160" i="9" s="1"/>
  <c r="L161" i="9" s="1"/>
  <c r="L162" i="9" s="1"/>
  <c r="L163" i="9" s="1"/>
  <c r="L164" i="9" s="1"/>
  <c r="L165" i="9" s="1"/>
  <c r="L166" i="9" s="1"/>
  <c r="L167" i="9" s="1"/>
  <c r="L168" i="9" s="1"/>
  <c r="L169" i="9" s="1"/>
  <c r="L170" i="9" s="1"/>
  <c r="L171" i="9" s="1"/>
  <c r="L172" i="9" s="1"/>
  <c r="L173" i="9" s="1"/>
  <c r="L174" i="9" s="1"/>
  <c r="L175" i="9" s="1"/>
  <c r="L176" i="9" s="1"/>
  <c r="L177" i="9" s="1"/>
  <c r="L178" i="9" s="1"/>
  <c r="L179" i="9" s="1"/>
  <c r="L180" i="9" s="1"/>
  <c r="L181" i="9" s="1"/>
  <c r="L182" i="9" s="1"/>
  <c r="L183" i="9" s="1"/>
  <c r="L184" i="9" s="1"/>
  <c r="L185" i="9" s="1"/>
  <c r="L186" i="9" s="1"/>
  <c r="L187" i="9" s="1"/>
  <c r="L188" i="9" s="1"/>
  <c r="L189" i="9" s="1"/>
  <c r="L190" i="9" s="1"/>
  <c r="L191" i="9" s="1"/>
  <c r="L192" i="9" s="1"/>
  <c r="L193" i="9" s="1"/>
  <c r="L194" i="9" s="1"/>
  <c r="L195" i="9" s="1"/>
  <c r="L196" i="9" s="1"/>
  <c r="L197" i="9" s="1"/>
  <c r="L198" i="9" s="1"/>
  <c r="L199" i="9" s="1"/>
  <c r="L200" i="9" s="1"/>
  <c r="L201" i="9" s="1"/>
  <c r="L202" i="9" s="1"/>
  <c r="L203" i="9" s="1"/>
  <c r="L204" i="9" s="1"/>
  <c r="L205" i="9" s="1"/>
  <c r="L206" i="9" s="1"/>
  <c r="L207" i="9" s="1"/>
  <c r="L208" i="9" s="1"/>
  <c r="L209" i="9" s="1"/>
  <c r="L210" i="9" s="1"/>
  <c r="L211" i="9" s="1"/>
  <c r="L212" i="9" s="1"/>
  <c r="L213" i="9" s="1"/>
  <c r="L214" i="9" s="1"/>
  <c r="L215" i="9" s="1"/>
  <c r="L216" i="9" s="1"/>
  <c r="L217" i="9" s="1"/>
  <c r="L218" i="9" s="1"/>
  <c r="L219" i="9" s="1"/>
  <c r="L220" i="9" s="1"/>
  <c r="L221" i="9" s="1"/>
  <c r="L222" i="9" s="1"/>
  <c r="L223" i="9" s="1"/>
  <c r="L224" i="9" s="1"/>
  <c r="L225" i="9" s="1"/>
  <c r="L226" i="9" s="1"/>
  <c r="L227" i="9" s="1"/>
  <c r="L228" i="9" s="1"/>
  <c r="L229" i="9" s="1"/>
  <c r="L230" i="9" s="1"/>
  <c r="L231" i="9" s="1"/>
  <c r="L232" i="9" s="1"/>
  <c r="L233" i="9" s="1"/>
  <c r="L234" i="9" s="1"/>
  <c r="L235" i="9" s="1"/>
  <c r="L236" i="9" s="1"/>
  <c r="L237" i="9" s="1"/>
  <c r="L238" i="9" s="1"/>
  <c r="L239" i="9" s="1"/>
  <c r="L240" i="9" s="1"/>
  <c r="L241" i="9" s="1"/>
  <c r="L242" i="9" s="1"/>
  <c r="L243" i="9" s="1"/>
  <c r="L244" i="9" s="1"/>
  <c r="L245" i="9" s="1"/>
  <c r="L246" i="9" s="1"/>
  <c r="L247" i="9" s="1"/>
  <c r="L248" i="9" s="1"/>
  <c r="L249" i="9" s="1"/>
  <c r="L250" i="9" s="1"/>
  <c r="L251" i="9" s="1"/>
  <c r="L252" i="9" s="1"/>
  <c r="L253" i="9" s="1"/>
  <c r="L254" i="9" s="1"/>
  <c r="L255" i="9" s="1"/>
  <c r="L256" i="9" s="1"/>
  <c r="L257" i="9" s="1"/>
  <c r="L258" i="9" s="1"/>
  <c r="L259" i="9" s="1"/>
  <c r="L260" i="9" s="1"/>
  <c r="L261" i="9" s="1"/>
  <c r="L262" i="9" s="1"/>
  <c r="L263" i="9" s="1"/>
  <c r="L264" i="9" s="1"/>
  <c r="L265" i="9" s="1"/>
  <c r="L266" i="9" s="1"/>
  <c r="L267" i="9" s="1"/>
  <c r="L268" i="9" s="1"/>
  <c r="L269" i="9" s="1"/>
  <c r="L270" i="9" s="1"/>
  <c r="L271" i="9" s="1"/>
  <c r="L272" i="9" s="1"/>
  <c r="L273" i="9" s="1"/>
  <c r="L274" i="9" s="1"/>
  <c r="L275" i="9" s="1"/>
  <c r="L276" i="9" s="1"/>
  <c r="L277" i="9" s="1"/>
  <c r="L278" i="9" s="1"/>
  <c r="L279" i="9" s="1"/>
  <c r="L280" i="9" s="1"/>
  <c r="L281" i="9" s="1"/>
  <c r="L282" i="9" s="1"/>
  <c r="L283" i="9" s="1"/>
  <c r="L284" i="9" s="1"/>
  <c r="L285" i="9" s="1"/>
  <c r="L286" i="9" s="1"/>
  <c r="L287" i="9" s="1"/>
  <c r="L288" i="9" s="1"/>
  <c r="L289" i="9" s="1"/>
  <c r="L290" i="9" s="1"/>
  <c r="L291" i="9" s="1"/>
  <c r="L292" i="9" s="1"/>
  <c r="L293" i="9" s="1"/>
  <c r="L294" i="9" s="1"/>
  <c r="L295" i="9" s="1"/>
  <c r="L296" i="9" s="1"/>
  <c r="L297" i="9" s="1"/>
  <c r="L298" i="9" s="1"/>
  <c r="L299" i="9" s="1"/>
  <c r="L300" i="9" s="1"/>
  <c r="L301" i="9" s="1"/>
  <c r="L302" i="9" s="1"/>
  <c r="L303" i="9" s="1"/>
  <c r="L304" i="9" s="1"/>
  <c r="L305" i="9" s="1"/>
  <c r="L306" i="9" s="1"/>
  <c r="L307" i="9" s="1"/>
  <c r="L308" i="9" s="1"/>
  <c r="L309" i="9" s="1"/>
  <c r="L310" i="9" s="1"/>
  <c r="L311" i="9" s="1"/>
  <c r="L312" i="9" s="1"/>
  <c r="L313" i="9" s="1"/>
  <c r="L314" i="9" s="1"/>
  <c r="L315" i="9" s="1"/>
  <c r="L316" i="9" s="1"/>
  <c r="L317" i="9" s="1"/>
  <c r="L318" i="9" s="1"/>
  <c r="L319" i="9" s="1"/>
  <c r="L320" i="9" s="1"/>
  <c r="L321" i="9" s="1"/>
  <c r="L322" i="9" s="1"/>
  <c r="L323" i="9" s="1"/>
  <c r="L324" i="9" s="1"/>
  <c r="L325" i="9" s="1"/>
  <c r="L326" i="9" s="1"/>
  <c r="L327" i="9" s="1"/>
  <c r="L328" i="9" s="1"/>
  <c r="L329" i="9" s="1"/>
  <c r="L330" i="9" s="1"/>
  <c r="L331" i="9" s="1"/>
  <c r="L332" i="9" s="1"/>
  <c r="L333" i="9" s="1"/>
  <c r="L334" i="9" s="1"/>
  <c r="L335" i="9" s="1"/>
  <c r="L336" i="9" s="1"/>
  <c r="L337" i="9" s="1"/>
  <c r="L338" i="9" s="1"/>
  <c r="L339" i="9" s="1"/>
  <c r="L340" i="9" s="1"/>
  <c r="L341" i="9" s="1"/>
  <c r="L342" i="9" s="1"/>
  <c r="L343" i="9" s="1"/>
  <c r="L344" i="9" s="1"/>
  <c r="L345" i="9" s="1"/>
  <c r="L346" i="9" s="1"/>
  <c r="L347" i="9" s="1"/>
  <c r="L348" i="9" s="1"/>
  <c r="L349" i="9" s="1"/>
  <c r="L350" i="9" s="1"/>
  <c r="L351" i="9" s="1"/>
  <c r="L352" i="9" s="1"/>
  <c r="L353" i="9" s="1"/>
  <c r="L354" i="9" s="1"/>
  <c r="L355" i="9" s="1"/>
  <c r="L356" i="9" s="1"/>
  <c r="L357" i="9" s="1"/>
  <c r="L358" i="9" s="1"/>
  <c r="L359" i="9" s="1"/>
  <c r="L360" i="9" s="1"/>
  <c r="L361" i="9" s="1"/>
  <c r="L362" i="9" s="1"/>
  <c r="L363" i="9" s="1"/>
  <c r="L364" i="9" s="1"/>
  <c r="L365" i="9" s="1"/>
  <c r="L366" i="9" s="1"/>
  <c r="L367" i="9" s="1"/>
  <c r="L368" i="9" s="1"/>
  <c r="L369" i="9" s="1"/>
  <c r="L370" i="9" s="1"/>
  <c r="L371" i="9" s="1"/>
  <c r="L372" i="9" s="1"/>
  <c r="L373" i="9" s="1"/>
  <c r="L374" i="9" s="1"/>
  <c r="L375" i="9" s="1"/>
  <c r="L376" i="9" s="1"/>
  <c r="L377" i="9" s="1"/>
  <c r="L378" i="9" s="1"/>
  <c r="L379" i="9" s="1"/>
  <c r="L380" i="9" s="1"/>
  <c r="L381" i="9" s="1"/>
  <c r="L382" i="9" s="1"/>
  <c r="L383" i="9" s="1"/>
  <c r="L384" i="9" s="1"/>
  <c r="L385" i="9" s="1"/>
  <c r="L386" i="9" s="1"/>
  <c r="L387" i="9" s="1"/>
  <c r="L388" i="9" s="1"/>
  <c r="L389" i="9" s="1"/>
  <c r="L390" i="9" s="1"/>
  <c r="L391" i="9" s="1"/>
  <c r="L392" i="9" s="1"/>
  <c r="L393" i="9" s="1"/>
  <c r="L394" i="9" s="1"/>
  <c r="L395" i="9" s="1"/>
  <c r="L396" i="9" s="1"/>
  <c r="L397" i="9" s="1"/>
  <c r="L398" i="9" s="1"/>
  <c r="L399" i="9" s="1"/>
  <c r="L400" i="9" s="1"/>
  <c r="L401" i="9" s="1"/>
  <c r="L402" i="9" s="1"/>
  <c r="L403" i="9" s="1"/>
  <c r="L404" i="9" s="1"/>
  <c r="L405" i="9" s="1"/>
  <c r="L406" i="9" s="1"/>
  <c r="L407" i="9" s="1"/>
  <c r="L408" i="9" s="1"/>
  <c r="L409" i="9" s="1"/>
  <c r="L410" i="9" s="1"/>
  <c r="L411" i="9" s="1"/>
  <c r="L412" i="9" s="1"/>
  <c r="L413" i="9" s="1"/>
  <c r="L414" i="9" s="1"/>
  <c r="L415" i="9" s="1"/>
  <c r="L416" i="9" s="1"/>
  <c r="L417" i="9" s="1"/>
  <c r="L418" i="9" s="1"/>
  <c r="L419" i="9" s="1"/>
  <c r="L420" i="9" s="1"/>
  <c r="L421" i="9" s="1"/>
  <c r="L422" i="9" s="1"/>
  <c r="L423" i="9" s="1"/>
  <c r="L424" i="9" s="1"/>
  <c r="L425" i="9" s="1"/>
  <c r="L426" i="9" s="1"/>
  <c r="L427" i="9" s="1"/>
  <c r="L428" i="9" s="1"/>
  <c r="L429" i="9" s="1"/>
  <c r="L430" i="9" s="1"/>
  <c r="L431" i="9" s="1"/>
  <c r="L432" i="9" s="1"/>
  <c r="L433" i="9" s="1"/>
  <c r="L434" i="9" s="1"/>
  <c r="L435" i="9" s="1"/>
  <c r="L436" i="9" s="1"/>
  <c r="L437" i="9" s="1"/>
  <c r="L438" i="9" s="1"/>
  <c r="L439" i="9" s="1"/>
  <c r="L440" i="9" s="1"/>
  <c r="L441" i="9" s="1"/>
  <c r="L442" i="9" s="1"/>
  <c r="L443" i="9" s="1"/>
  <c r="L444" i="9" s="1"/>
  <c r="L445" i="9" s="1"/>
  <c r="L446" i="9" s="1"/>
  <c r="L447" i="9" s="1"/>
  <c r="L448" i="9" s="1"/>
  <c r="L449" i="9" s="1"/>
  <c r="L450" i="9" s="1"/>
  <c r="L451" i="9" s="1"/>
  <c r="L452" i="9" s="1"/>
  <c r="L453" i="9" s="1"/>
  <c r="L454" i="9" s="1"/>
  <c r="L455" i="9" s="1"/>
  <c r="L456" i="9" s="1"/>
  <c r="L457" i="9" s="1"/>
  <c r="L458" i="9" s="1"/>
  <c r="L459" i="9" s="1"/>
  <c r="L460" i="9" s="1"/>
  <c r="L461" i="9" s="1"/>
  <c r="L462" i="9" s="1"/>
  <c r="L463" i="9" s="1"/>
  <c r="L464" i="9" s="1"/>
  <c r="L465" i="9" s="1"/>
  <c r="L466" i="9" s="1"/>
  <c r="L467" i="9" s="1"/>
  <c r="L468" i="9" s="1"/>
  <c r="L469" i="9" s="1"/>
  <c r="L470" i="9" s="1"/>
  <c r="L471" i="9" s="1"/>
  <c r="L472" i="9" s="1"/>
  <c r="L473" i="9" s="1"/>
  <c r="L474" i="9" s="1"/>
  <c r="L475" i="9" s="1"/>
  <c r="L476" i="9" s="1"/>
  <c r="L477" i="9" s="1"/>
  <c r="L478" i="9" s="1"/>
  <c r="L479" i="9" s="1"/>
  <c r="L480" i="9" s="1"/>
  <c r="L481" i="9" s="1"/>
  <c r="L482" i="9" s="1"/>
  <c r="L483" i="9" s="1"/>
  <c r="L484" i="9" s="1"/>
  <c r="L485" i="9" s="1"/>
  <c r="L486" i="9" s="1"/>
  <c r="L487" i="9" s="1"/>
  <c r="L488" i="9" s="1"/>
  <c r="L489" i="9" s="1"/>
  <c r="L490" i="9" s="1"/>
  <c r="L491" i="9" s="1"/>
  <c r="L492" i="9" s="1"/>
  <c r="L493" i="9" s="1"/>
  <c r="L494" i="9" s="1"/>
  <c r="L495" i="9" s="1"/>
  <c r="L496" i="9" s="1"/>
  <c r="L497" i="9" s="1"/>
  <c r="L498" i="9" s="1"/>
  <c r="L499" i="9" s="1"/>
  <c r="L500" i="9" s="1"/>
  <c r="L501" i="9" s="1"/>
  <c r="L502" i="9" s="1"/>
  <c r="L503" i="9" s="1"/>
  <c r="L504" i="9" s="1"/>
  <c r="L505" i="9" s="1"/>
  <c r="L506" i="9" s="1"/>
  <c r="L507" i="9" s="1"/>
  <c r="L508" i="9" s="1"/>
  <c r="L509" i="9" s="1"/>
  <c r="L510" i="9" s="1"/>
  <c r="L511" i="9" s="1"/>
  <c r="L512" i="9" s="1"/>
  <c r="L513" i="9" s="1"/>
  <c r="L514" i="9" s="1"/>
  <c r="L515" i="9" s="1"/>
  <c r="L516" i="9" s="1"/>
  <c r="L517" i="9" s="1"/>
  <c r="L518" i="9" s="1"/>
  <c r="L519" i="9" s="1"/>
  <c r="L520" i="9" s="1"/>
  <c r="L521" i="9" s="1"/>
  <c r="L522" i="9" s="1"/>
  <c r="L523" i="9" s="1"/>
  <c r="L524" i="9" s="1"/>
  <c r="L525" i="9" s="1"/>
  <c r="L526" i="9" s="1"/>
  <c r="L527" i="9" s="1"/>
  <c r="L528" i="9" s="1"/>
  <c r="L529" i="9" s="1"/>
  <c r="L530" i="9" s="1"/>
  <c r="L531" i="9" s="1"/>
  <c r="L532" i="9" s="1"/>
  <c r="L533" i="9" s="1"/>
  <c r="L534" i="9" s="1"/>
  <c r="L535" i="9" s="1"/>
  <c r="L536" i="9" s="1"/>
  <c r="L537" i="9" s="1"/>
  <c r="L538" i="9" s="1"/>
  <c r="L539" i="9" s="1"/>
  <c r="L540" i="9" s="1"/>
  <c r="L541" i="9" s="1"/>
  <c r="L542" i="9" s="1"/>
  <c r="L543" i="9" s="1"/>
  <c r="L544" i="9" s="1"/>
  <c r="L545" i="9" s="1"/>
  <c r="L546" i="9" s="1"/>
  <c r="L547" i="9" s="1"/>
  <c r="L548" i="9" s="1"/>
  <c r="L549" i="9" s="1"/>
  <c r="L550" i="9" s="1"/>
  <c r="L551" i="9" s="1"/>
  <c r="L552" i="9" s="1"/>
  <c r="L553" i="9" s="1"/>
  <c r="L554" i="9" s="1"/>
  <c r="L555" i="9" s="1"/>
  <c r="L556" i="9" s="1"/>
  <c r="L557" i="9" s="1"/>
  <c r="L558" i="9" s="1"/>
  <c r="L559" i="9" s="1"/>
  <c r="L560" i="9" s="1"/>
  <c r="L561" i="9" s="1"/>
  <c r="L562" i="9" s="1"/>
  <c r="L563" i="9" s="1"/>
  <c r="L564" i="9" s="1"/>
  <c r="L565" i="9" s="1"/>
  <c r="L566" i="9" s="1"/>
  <c r="L567" i="9" s="1"/>
  <c r="L568" i="9" s="1"/>
  <c r="L569" i="9" s="1"/>
  <c r="L570" i="9" s="1"/>
  <c r="L571" i="9" s="1"/>
  <c r="L572" i="9" s="1"/>
  <c r="L573" i="9" s="1"/>
  <c r="L574" i="9" s="1"/>
  <c r="L575" i="9" s="1"/>
  <c r="L576" i="9" s="1"/>
  <c r="L577" i="9" s="1"/>
  <c r="L578" i="9" s="1"/>
  <c r="L579" i="9" s="1"/>
  <c r="L580" i="9" s="1"/>
  <c r="L581" i="9" s="1"/>
  <c r="L582" i="9" s="1"/>
  <c r="L583" i="9" s="1"/>
  <c r="L584" i="9" s="1"/>
  <c r="L585" i="9" s="1"/>
  <c r="L586" i="9" s="1"/>
  <c r="L587" i="9" s="1"/>
  <c r="L588" i="9" s="1"/>
  <c r="L589" i="9" s="1"/>
  <c r="L590" i="9" s="1"/>
  <c r="L591" i="9" s="1"/>
  <c r="L592" i="9" s="1"/>
  <c r="L593" i="9" s="1"/>
  <c r="L594" i="9" s="1"/>
  <c r="L595" i="9" s="1"/>
  <c r="L596" i="9" s="1"/>
  <c r="L597" i="9" s="1"/>
  <c r="L598" i="9" s="1"/>
  <c r="L599" i="9" s="1"/>
  <c r="L600" i="9" s="1"/>
  <c r="L601" i="9" s="1"/>
  <c r="L602" i="9" s="1"/>
  <c r="L603" i="9" s="1"/>
  <c r="L604" i="9" s="1"/>
  <c r="L605" i="9" s="1"/>
  <c r="L606" i="9" s="1"/>
  <c r="L607" i="9" s="1"/>
  <c r="L608" i="9" s="1"/>
  <c r="L609" i="9" s="1"/>
  <c r="L610" i="9" s="1"/>
  <c r="L611" i="9" s="1"/>
  <c r="L612" i="9" s="1"/>
  <c r="L613" i="9" s="1"/>
  <c r="L614" i="9" s="1"/>
  <c r="L615" i="9" s="1"/>
  <c r="L616" i="9" s="1"/>
  <c r="L617" i="9" s="1"/>
  <c r="L618" i="9" s="1"/>
  <c r="L619" i="9" s="1"/>
  <c r="L620" i="9" s="1"/>
  <c r="L621" i="9" s="1"/>
  <c r="L622" i="9" s="1"/>
  <c r="L623" i="9" s="1"/>
  <c r="L624" i="9" s="1"/>
  <c r="L625" i="9" s="1"/>
  <c r="L626" i="9" s="1"/>
  <c r="L627" i="9" s="1"/>
  <c r="L628" i="9" s="1"/>
  <c r="L629" i="9" s="1"/>
  <c r="L630" i="9" s="1"/>
  <c r="L631" i="9" s="1"/>
  <c r="L632" i="9" s="1"/>
  <c r="L633" i="9" s="1"/>
  <c r="L634" i="9" s="1"/>
  <c r="L635" i="9" s="1"/>
  <c r="L636" i="9" s="1"/>
  <c r="L637" i="9" s="1"/>
  <c r="L638" i="9" s="1"/>
  <c r="L639" i="9" s="1"/>
  <c r="L640" i="9" s="1"/>
  <c r="L641" i="9" s="1"/>
  <c r="L642" i="9" s="1"/>
  <c r="L643" i="9" s="1"/>
  <c r="L644" i="9" s="1"/>
  <c r="L645" i="9" s="1"/>
  <c r="L646" i="9" s="1"/>
  <c r="L647" i="9" s="1"/>
  <c r="L648" i="9" s="1"/>
  <c r="L649" i="9" s="1"/>
  <c r="L650" i="9" s="1"/>
  <c r="L651" i="9" s="1"/>
  <c r="L652" i="9" s="1"/>
  <c r="L653" i="9" s="1"/>
  <c r="L654" i="9" s="1"/>
  <c r="L655" i="9" s="1"/>
  <c r="L656" i="9" s="1"/>
  <c r="L657" i="9" s="1"/>
  <c r="L658" i="9" s="1"/>
  <c r="L659" i="9" s="1"/>
  <c r="L660" i="9" s="1"/>
  <c r="L661" i="9" s="1"/>
  <c r="L662" i="9" s="1"/>
  <c r="L663" i="9" s="1"/>
  <c r="L664" i="9" s="1"/>
  <c r="L665" i="9" s="1"/>
  <c r="L666" i="9" s="1"/>
  <c r="L667" i="9" s="1"/>
  <c r="L668" i="9" s="1"/>
  <c r="L669" i="9" s="1"/>
  <c r="L670" i="9" s="1"/>
  <c r="L671" i="9" s="1"/>
  <c r="L672" i="9" s="1"/>
  <c r="L673" i="9" s="1"/>
  <c r="L674" i="9" s="1"/>
  <c r="L675" i="9" s="1"/>
  <c r="L676" i="9" s="1"/>
  <c r="L677" i="9" s="1"/>
  <c r="L678" i="9" s="1"/>
  <c r="L679" i="9" s="1"/>
  <c r="L680" i="9" s="1"/>
  <c r="L681" i="9" s="1"/>
  <c r="L682" i="9" s="1"/>
  <c r="L683" i="9" s="1"/>
  <c r="L684" i="9" s="1"/>
  <c r="L685" i="9" s="1"/>
  <c r="L686" i="9" s="1"/>
  <c r="L687" i="9" s="1"/>
  <c r="L688" i="9" s="1"/>
  <c r="L689" i="9" s="1"/>
  <c r="L690" i="9" s="1"/>
  <c r="L691" i="9" s="1"/>
  <c r="L692" i="9" s="1"/>
  <c r="L693" i="9" s="1"/>
  <c r="L694" i="9" s="1"/>
  <c r="L695" i="9" s="1"/>
  <c r="L696" i="9" s="1"/>
  <c r="L697" i="9" s="1"/>
  <c r="L698" i="9" s="1"/>
  <c r="L699" i="9" s="1"/>
  <c r="L700" i="9" s="1"/>
  <c r="L701" i="9" s="1"/>
  <c r="L702" i="9" s="1"/>
  <c r="L703" i="9" s="1"/>
  <c r="L704" i="9" s="1"/>
  <c r="L705" i="9" s="1"/>
  <c r="L706" i="9" s="1"/>
  <c r="L707" i="9" s="1"/>
  <c r="L708" i="9" s="1"/>
  <c r="L709" i="9" s="1"/>
  <c r="L710" i="9" s="1"/>
  <c r="L711" i="9" s="1"/>
  <c r="L712" i="9" s="1"/>
  <c r="L713" i="9" s="1"/>
  <c r="L714" i="9" s="1"/>
  <c r="L715" i="9" s="1"/>
  <c r="L716" i="9" s="1"/>
  <c r="L717" i="9" s="1"/>
  <c r="L718" i="9" s="1"/>
  <c r="L719" i="9" s="1"/>
  <c r="L720" i="9" s="1"/>
  <c r="L721" i="9" s="1"/>
  <c r="L722" i="9" s="1"/>
  <c r="L723" i="9" s="1"/>
  <c r="L724" i="9" s="1"/>
  <c r="L725" i="9" s="1"/>
  <c r="L726" i="9" s="1"/>
  <c r="L727" i="9" s="1"/>
  <c r="L728" i="9" s="1"/>
  <c r="L729" i="9" s="1"/>
  <c r="L730" i="9" s="1"/>
  <c r="L731" i="9" s="1"/>
  <c r="L732" i="9" s="1"/>
  <c r="L733" i="9" s="1"/>
  <c r="L734" i="9" s="1"/>
  <c r="L735" i="9" s="1"/>
  <c r="L736" i="9" s="1"/>
  <c r="L737" i="9" s="1"/>
  <c r="L738" i="9" s="1"/>
  <c r="L739" i="9" s="1"/>
  <c r="L740" i="9" s="1"/>
  <c r="L741" i="9" s="1"/>
  <c r="L742" i="9" s="1"/>
  <c r="L743" i="9" s="1"/>
  <c r="L744" i="9" s="1"/>
  <c r="L745" i="9" s="1"/>
  <c r="L746" i="9" s="1"/>
  <c r="L747" i="9" s="1"/>
  <c r="L748" i="9" s="1"/>
  <c r="L749" i="9" s="1"/>
  <c r="L750" i="9" s="1"/>
  <c r="L751" i="9" s="1"/>
  <c r="L752" i="9" s="1"/>
  <c r="L753" i="9" s="1"/>
  <c r="L754" i="9" s="1"/>
  <c r="L755" i="9" s="1"/>
  <c r="L756" i="9" s="1"/>
  <c r="L757" i="9" s="1"/>
  <c r="L758" i="9" s="1"/>
  <c r="L759" i="9" s="1"/>
  <c r="L760" i="9" s="1"/>
  <c r="L761" i="9" s="1"/>
  <c r="L762" i="9" s="1"/>
  <c r="L763" i="9" s="1"/>
  <c r="L764" i="9" s="1"/>
  <c r="L765" i="9" s="1"/>
  <c r="L766" i="9" s="1"/>
  <c r="L767" i="9" s="1"/>
  <c r="L768" i="9" s="1"/>
  <c r="L769" i="9" s="1"/>
  <c r="L770" i="9" s="1"/>
  <c r="L771" i="9" s="1"/>
  <c r="L772" i="9" s="1"/>
  <c r="L773" i="9" s="1"/>
  <c r="L774" i="9" s="1"/>
  <c r="L775" i="9" s="1"/>
  <c r="L776" i="9" s="1"/>
  <c r="L777" i="9" s="1"/>
  <c r="L778" i="9" s="1"/>
  <c r="L779" i="9" s="1"/>
  <c r="L780" i="9" s="1"/>
  <c r="L781" i="9" s="1"/>
  <c r="L782" i="9" s="1"/>
  <c r="L783" i="9" s="1"/>
  <c r="L784" i="9" s="1"/>
  <c r="L785" i="9" s="1"/>
  <c r="L786" i="9" s="1"/>
  <c r="L787" i="9" s="1"/>
  <c r="L788" i="9" s="1"/>
  <c r="L789" i="9" s="1"/>
  <c r="L790" i="9" s="1"/>
  <c r="L791" i="9" s="1"/>
  <c r="L792" i="9" s="1"/>
  <c r="L793" i="9" s="1"/>
  <c r="L794" i="9" s="1"/>
  <c r="L795" i="9" s="1"/>
  <c r="L796" i="9" s="1"/>
  <c r="L797" i="9" s="1"/>
  <c r="L798" i="9" s="1"/>
  <c r="L799" i="9" s="1"/>
  <c r="L800" i="9" s="1"/>
  <c r="L801" i="9" s="1"/>
  <c r="L802" i="9" s="1"/>
  <c r="L803" i="9" s="1"/>
  <c r="L804" i="9" s="1"/>
  <c r="L805" i="9" s="1"/>
  <c r="L806" i="9" s="1"/>
  <c r="L807" i="9" s="1"/>
  <c r="L808" i="9" s="1"/>
  <c r="L809" i="9" s="1"/>
  <c r="L810" i="9" s="1"/>
  <c r="L811" i="9" s="1"/>
  <c r="L812" i="9" s="1"/>
  <c r="L813" i="9" s="1"/>
  <c r="L814" i="9" s="1"/>
  <c r="L815" i="9" s="1"/>
  <c r="L816" i="9" s="1"/>
  <c r="L817" i="9" s="1"/>
  <c r="L818" i="9" s="1"/>
  <c r="L819" i="9" s="1"/>
  <c r="L820" i="9" s="1"/>
  <c r="L821" i="9" s="1"/>
  <c r="L822" i="9" s="1"/>
  <c r="L823" i="9" s="1"/>
  <c r="L824" i="9" s="1"/>
  <c r="L825" i="9" s="1"/>
  <c r="L826" i="9" s="1"/>
  <c r="L827" i="9" s="1"/>
  <c r="L828" i="9" s="1"/>
  <c r="L829" i="9" s="1"/>
  <c r="L830" i="9" s="1"/>
  <c r="L831" i="9" s="1"/>
  <c r="L832" i="9" s="1"/>
  <c r="L833" i="9" s="1"/>
  <c r="L834" i="9" s="1"/>
  <c r="L835" i="9" s="1"/>
  <c r="L836" i="9" s="1"/>
  <c r="L837" i="9" s="1"/>
  <c r="L838" i="9" s="1"/>
  <c r="L839" i="9" s="1"/>
  <c r="L840" i="9" s="1"/>
  <c r="L841" i="9" s="1"/>
  <c r="L842" i="9" s="1"/>
  <c r="L843" i="9" s="1"/>
  <c r="L844" i="9" s="1"/>
  <c r="L845" i="9" s="1"/>
  <c r="L846" i="9" s="1"/>
  <c r="L847" i="9" s="1"/>
  <c r="L848" i="9" s="1"/>
  <c r="L849" i="9" s="1"/>
  <c r="L850" i="9" s="1"/>
  <c r="L851" i="9" s="1"/>
  <c r="L852" i="9" s="1"/>
  <c r="L853" i="9" s="1"/>
  <c r="L854" i="9" s="1"/>
  <c r="L855" i="9" s="1"/>
  <c r="L856" i="9" s="1"/>
  <c r="L857" i="9" s="1"/>
  <c r="L858" i="9" s="1"/>
  <c r="L859" i="9" s="1"/>
  <c r="L860" i="9" s="1"/>
  <c r="L861" i="9" s="1"/>
  <c r="L862" i="9" s="1"/>
  <c r="L863" i="9" s="1"/>
  <c r="L864" i="9" s="1"/>
  <c r="L865" i="9" s="1"/>
  <c r="L866" i="9" s="1"/>
  <c r="L867" i="9" s="1"/>
  <c r="L868" i="9" s="1"/>
  <c r="L869" i="9" s="1"/>
  <c r="L870" i="9" s="1"/>
  <c r="L871" i="9" s="1"/>
  <c r="L872" i="9" s="1"/>
  <c r="L873" i="9" s="1"/>
  <c r="L874" i="9" s="1"/>
  <c r="L875" i="9" s="1"/>
  <c r="L876" i="9" s="1"/>
  <c r="L877" i="9" s="1"/>
  <c r="L878" i="9" s="1"/>
  <c r="L879" i="9" s="1"/>
  <c r="L880" i="9" s="1"/>
  <c r="L881" i="9" s="1"/>
  <c r="L882" i="9" s="1"/>
  <c r="L883" i="9" s="1"/>
  <c r="L884" i="9" s="1"/>
  <c r="L885" i="9" s="1"/>
  <c r="L886" i="9" s="1"/>
  <c r="L887" i="9" s="1"/>
  <c r="L888" i="9" s="1"/>
  <c r="L889" i="9" s="1"/>
  <c r="L890" i="9" s="1"/>
  <c r="L891" i="9" s="1"/>
  <c r="L892" i="9" s="1"/>
  <c r="L893" i="9" s="1"/>
  <c r="L894" i="9" s="1"/>
  <c r="L895" i="9" s="1"/>
  <c r="L896" i="9" s="1"/>
  <c r="L897" i="9" s="1"/>
  <c r="L898" i="9" s="1"/>
  <c r="L899" i="9" s="1"/>
  <c r="L900" i="9" s="1"/>
  <c r="L901" i="9" s="1"/>
  <c r="L902" i="9" s="1"/>
  <c r="L903" i="9" s="1"/>
  <c r="L904" i="9" s="1"/>
  <c r="L905" i="9" s="1"/>
  <c r="L906" i="9" s="1"/>
  <c r="L907" i="9" s="1"/>
  <c r="L908" i="9" s="1"/>
  <c r="L909" i="9" s="1"/>
  <c r="L910" i="9" s="1"/>
  <c r="L911" i="9" s="1"/>
  <c r="L912" i="9" s="1"/>
  <c r="L913" i="9" s="1"/>
  <c r="L914" i="9" s="1"/>
  <c r="L915" i="9" s="1"/>
  <c r="L916" i="9" s="1"/>
  <c r="L917" i="9" s="1"/>
  <c r="L918" i="9" s="1"/>
  <c r="L919" i="9" s="1"/>
  <c r="L920" i="9" s="1"/>
  <c r="L921" i="9" s="1"/>
  <c r="L922" i="9" s="1"/>
  <c r="L923" i="9" s="1"/>
  <c r="L924" i="9" s="1"/>
  <c r="L925" i="9" s="1"/>
  <c r="L926" i="9" s="1"/>
  <c r="L927" i="9" s="1"/>
  <c r="L928" i="9" s="1"/>
  <c r="L929" i="9" s="1"/>
  <c r="L930" i="9" s="1"/>
  <c r="L931" i="9" s="1"/>
  <c r="L932" i="9" s="1"/>
  <c r="L933" i="9" s="1"/>
  <c r="L934" i="9" s="1"/>
  <c r="L935" i="9" s="1"/>
  <c r="L936" i="9" s="1"/>
  <c r="L937" i="9" s="1"/>
  <c r="L938" i="9" s="1"/>
  <c r="L939" i="9" s="1"/>
  <c r="L940" i="9" s="1"/>
  <c r="L941" i="9" s="1"/>
  <c r="L942" i="9" s="1"/>
  <c r="L943" i="9" s="1"/>
  <c r="L944" i="9" s="1"/>
  <c r="L945" i="9" s="1"/>
  <c r="L946" i="9" s="1"/>
  <c r="L947" i="9" s="1"/>
  <c r="L948" i="9" s="1"/>
  <c r="L949" i="9" s="1"/>
  <c r="L950" i="9" s="1"/>
  <c r="L951" i="9" s="1"/>
  <c r="L952" i="9" s="1"/>
  <c r="L953" i="9" s="1"/>
  <c r="L954" i="9" s="1"/>
  <c r="L955" i="9" s="1"/>
  <c r="L956" i="9" s="1"/>
  <c r="L957" i="9" s="1"/>
  <c r="L958" i="9" s="1"/>
  <c r="L959" i="9" s="1"/>
  <c r="L960" i="9" s="1"/>
  <c r="L961" i="9" s="1"/>
  <c r="L962" i="9" s="1"/>
  <c r="L963" i="9" s="1"/>
  <c r="L964" i="9" s="1"/>
  <c r="L965" i="9" s="1"/>
  <c r="L966" i="9" s="1"/>
  <c r="L967" i="9" s="1"/>
  <c r="L968" i="9" s="1"/>
  <c r="L969" i="9" s="1"/>
  <c r="L970" i="9" s="1"/>
  <c r="L971" i="9" s="1"/>
  <c r="L972" i="9" s="1"/>
  <c r="L973" i="9" s="1"/>
  <c r="L974" i="9" s="1"/>
  <c r="L975" i="9" s="1"/>
  <c r="L976" i="9" s="1"/>
  <c r="L977" i="9" s="1"/>
  <c r="L978" i="9" s="1"/>
  <c r="L979" i="9" s="1"/>
  <c r="L980" i="9" s="1"/>
  <c r="L981" i="9" s="1"/>
  <c r="L982" i="9" s="1"/>
  <c r="L983" i="9" s="1"/>
  <c r="L984" i="9" s="1"/>
  <c r="L985" i="9" s="1"/>
  <c r="L986" i="9" s="1"/>
  <c r="L987" i="9" s="1"/>
  <c r="L988" i="9" s="1"/>
  <c r="L989" i="9" s="1"/>
  <c r="L990" i="9" s="1"/>
  <c r="L991" i="9" s="1"/>
  <c r="L992" i="9" s="1"/>
  <c r="L993" i="9" s="1"/>
  <c r="L994" i="9" s="1"/>
  <c r="L995" i="9" s="1"/>
  <c r="L996" i="9" s="1"/>
  <c r="L997" i="9" s="1"/>
  <c r="L998" i="9" s="1"/>
  <c r="L999" i="9" s="1"/>
  <c r="L1000" i="9" s="1"/>
  <c r="L1001" i="9" s="1"/>
  <c r="L1002" i="9" s="1"/>
  <c r="L1003" i="9" s="1"/>
  <c r="L1004" i="9" s="1"/>
  <c r="L1005" i="9" s="1"/>
  <c r="L1006" i="9" s="1"/>
  <c r="L1007" i="9" s="1"/>
  <c r="L1008" i="9" s="1"/>
  <c r="L1009" i="9" s="1"/>
  <c r="L1010" i="9" s="1"/>
  <c r="L1011" i="9" s="1"/>
  <c r="L1012" i="9" s="1"/>
  <c r="L1013" i="9" s="1"/>
  <c r="L1014" i="9" s="1"/>
  <c r="L1015" i="9" s="1"/>
  <c r="L1016" i="9" s="1"/>
  <c r="L1017" i="9" s="1"/>
  <c r="L1018" i="9" s="1"/>
  <c r="L1019" i="9" s="1"/>
  <c r="L1020" i="9" s="1"/>
  <c r="L1021" i="9" s="1"/>
  <c r="L1022" i="9" s="1"/>
  <c r="L1023" i="9" s="1"/>
  <c r="L1024" i="9" s="1"/>
  <c r="L1025" i="9" s="1"/>
  <c r="L1026" i="9" s="1"/>
  <c r="L1027" i="9" s="1"/>
  <c r="L1028" i="9" s="1"/>
  <c r="L1029" i="9" s="1"/>
  <c r="L1030" i="9" s="1"/>
  <c r="L1031" i="9" s="1"/>
  <c r="L1032" i="9" s="1"/>
  <c r="L1033" i="9" s="1"/>
  <c r="L1034" i="9" s="1"/>
  <c r="L1035" i="9" s="1"/>
  <c r="L1036" i="9" s="1"/>
  <c r="L1037" i="9" s="1"/>
  <c r="L1038" i="9" s="1"/>
  <c r="L1039" i="9" s="1"/>
  <c r="L1040" i="9" s="1"/>
  <c r="L1041" i="9" s="1"/>
  <c r="L1042" i="9" s="1"/>
  <c r="L1043" i="9" s="1"/>
  <c r="L1044" i="9" s="1"/>
  <c r="L1045" i="9" s="1"/>
  <c r="L1046" i="9" s="1"/>
  <c r="L1047" i="9" s="1"/>
  <c r="L1048" i="9" s="1"/>
  <c r="L1049" i="9" s="1"/>
  <c r="L1050" i="9" s="1"/>
  <c r="L1051" i="9" s="1"/>
  <c r="L1052" i="9" s="1"/>
  <c r="L1053" i="9" s="1"/>
  <c r="L1054" i="9" s="1"/>
  <c r="L1055" i="9" s="1"/>
  <c r="L1056" i="9" s="1"/>
  <c r="L1057" i="9" s="1"/>
  <c r="L1058" i="9" s="1"/>
  <c r="L1059" i="9" s="1"/>
  <c r="L1060" i="9" s="1"/>
  <c r="L1061" i="9" s="1"/>
  <c r="L1062" i="9" s="1"/>
  <c r="L1063" i="9" s="1"/>
  <c r="L1064" i="9" s="1"/>
  <c r="L1065" i="9" s="1"/>
  <c r="L1066" i="9" s="1"/>
  <c r="L1067" i="9" s="1"/>
  <c r="L1068" i="9" s="1"/>
  <c r="L1069" i="9" s="1"/>
  <c r="L1070" i="9" s="1"/>
  <c r="L1071" i="9" s="1"/>
  <c r="L1072" i="9" s="1"/>
  <c r="L1073" i="9" s="1"/>
  <c r="L1074" i="9" s="1"/>
  <c r="L1075" i="9" s="1"/>
  <c r="L1076" i="9" s="1"/>
  <c r="L1077" i="9" s="1"/>
  <c r="L1078" i="9" s="1"/>
  <c r="L1079" i="9" s="1"/>
  <c r="L1080" i="9" s="1"/>
  <c r="L1081" i="9" s="1"/>
  <c r="L1082" i="9" s="1"/>
  <c r="L1083" i="9" s="1"/>
  <c r="L1084" i="9" s="1"/>
  <c r="L1085" i="9" s="1"/>
  <c r="L1086" i="9" s="1"/>
  <c r="L1087" i="9" s="1"/>
  <c r="L1088" i="9" s="1"/>
  <c r="L1089" i="9" s="1"/>
  <c r="L1090" i="9" s="1"/>
  <c r="L1091" i="9" s="1"/>
  <c r="L1092" i="9" s="1"/>
  <c r="L1093" i="9" s="1"/>
  <c r="L1094" i="9" s="1"/>
  <c r="L1095" i="9" s="1"/>
  <c r="L1096" i="9" s="1"/>
  <c r="L1097" i="9" s="1"/>
  <c r="L1098" i="9" s="1"/>
  <c r="L1099" i="9" s="1"/>
  <c r="L1100" i="9" s="1"/>
  <c r="L1101" i="9" s="1"/>
  <c r="L1102" i="9" s="1"/>
  <c r="L1103" i="9" s="1"/>
  <c r="L1104" i="9" s="1"/>
  <c r="L1105" i="9" s="1"/>
  <c r="L1106" i="9" s="1"/>
  <c r="L1107" i="9" s="1"/>
  <c r="L1108" i="9" s="1"/>
  <c r="L1109" i="9" s="1"/>
  <c r="L1110" i="9" s="1"/>
  <c r="L1111" i="9" s="1"/>
  <c r="L1112" i="9" s="1"/>
  <c r="L1113" i="9" s="1"/>
  <c r="L1114" i="9" s="1"/>
  <c r="L1115" i="9" s="1"/>
  <c r="L1116" i="9" s="1"/>
  <c r="L1117" i="9" s="1"/>
  <c r="L1118" i="9" s="1"/>
  <c r="L1119" i="9" s="1"/>
  <c r="L1120" i="9" s="1"/>
  <c r="L1121" i="9" s="1"/>
  <c r="L1122" i="9" s="1"/>
  <c r="L1123" i="9" s="1"/>
  <c r="L1124" i="9" s="1"/>
  <c r="L1125" i="9" s="1"/>
  <c r="L1126" i="9" s="1"/>
  <c r="L1127" i="9" s="1"/>
  <c r="L1128" i="9" s="1"/>
  <c r="L1129" i="9" s="1"/>
  <c r="L1130" i="9" s="1"/>
  <c r="L1131" i="9" s="1"/>
  <c r="L1132" i="9" s="1"/>
  <c r="L1133" i="9" s="1"/>
  <c r="L1134" i="9" s="1"/>
  <c r="L1135" i="9" s="1"/>
  <c r="L1136" i="9" s="1"/>
  <c r="L1137" i="9" s="1"/>
  <c r="L1138" i="9" s="1"/>
  <c r="L1139" i="9" s="1"/>
  <c r="L1140" i="9" s="1"/>
  <c r="L1141" i="9" s="1"/>
  <c r="L1142" i="9" s="1"/>
  <c r="L1143" i="9" s="1"/>
  <c r="L1144" i="9" s="1"/>
  <c r="L1145" i="9" s="1"/>
  <c r="L1146" i="9" s="1"/>
  <c r="L1147" i="9" s="1"/>
  <c r="L1148" i="9" s="1"/>
  <c r="L1149" i="9" s="1"/>
  <c r="L1150" i="9" s="1"/>
  <c r="L1151" i="9" s="1"/>
  <c r="L1152" i="9" s="1"/>
  <c r="L1153" i="9" s="1"/>
  <c r="L1154" i="9" s="1"/>
  <c r="L1155" i="9" s="1"/>
  <c r="L1156" i="9" s="1"/>
  <c r="L1157" i="9" s="1"/>
  <c r="L1158" i="9" s="1"/>
  <c r="L1159" i="9" s="1"/>
  <c r="L1160" i="9" s="1"/>
  <c r="L1161" i="9" s="1"/>
  <c r="L1162" i="9" s="1"/>
  <c r="L1163" i="9" s="1"/>
  <c r="L1164" i="9" s="1"/>
  <c r="L1165" i="9" s="1"/>
  <c r="L1166" i="9" s="1"/>
  <c r="L1167" i="9" s="1"/>
  <c r="L1168" i="9" s="1"/>
  <c r="L1169" i="9" s="1"/>
  <c r="L1170" i="9" s="1"/>
  <c r="L1171" i="9" s="1"/>
  <c r="L1172" i="9" s="1"/>
  <c r="L1173" i="9" s="1"/>
  <c r="L1174" i="9" s="1"/>
  <c r="L1175" i="9" s="1"/>
  <c r="L1176" i="9" s="1"/>
  <c r="L1177" i="9" s="1"/>
  <c r="L1178" i="9" s="1"/>
  <c r="L1179" i="9" s="1"/>
  <c r="L1180" i="9" s="1"/>
  <c r="L1181" i="9" s="1"/>
  <c r="L1182" i="9" s="1"/>
  <c r="L1183" i="9" s="1"/>
  <c r="L1184" i="9" s="1"/>
  <c r="L1185" i="9" s="1"/>
  <c r="L1186" i="9" s="1"/>
  <c r="L1187" i="9" s="1"/>
  <c r="L1188" i="9" s="1"/>
  <c r="L1189" i="9" s="1"/>
  <c r="L1190" i="9" s="1"/>
  <c r="L1191" i="9" s="1"/>
  <c r="L1192" i="9" s="1"/>
  <c r="L1193" i="9" s="1"/>
  <c r="L1194" i="9" s="1"/>
  <c r="L1195" i="9" s="1"/>
  <c r="L1196" i="9" s="1"/>
  <c r="L1197" i="9" s="1"/>
  <c r="L1198" i="9" s="1"/>
  <c r="L1199" i="9" s="1"/>
  <c r="L1200" i="9" s="1"/>
  <c r="L1201" i="9" s="1"/>
  <c r="L1202" i="9" s="1"/>
  <c r="L1203" i="9" s="1"/>
  <c r="L1204" i="9" s="1"/>
  <c r="L1205" i="9" s="1"/>
  <c r="L1206" i="9" s="1"/>
  <c r="L1207" i="9" s="1"/>
  <c r="L1208" i="9" s="1"/>
  <c r="L1209" i="9" s="1"/>
  <c r="L1210" i="9" s="1"/>
  <c r="L1211" i="9" s="1"/>
  <c r="L1212" i="9" s="1"/>
  <c r="L1213" i="9" s="1"/>
  <c r="L1214" i="9" s="1"/>
  <c r="L1215" i="9" s="1"/>
  <c r="L1216" i="9" s="1"/>
  <c r="L1217" i="9" s="1"/>
  <c r="L1218" i="9" s="1"/>
  <c r="L1219" i="9" s="1"/>
  <c r="L1220" i="9" s="1"/>
  <c r="L1221" i="9" s="1"/>
  <c r="L1222" i="9" s="1"/>
  <c r="L1223" i="9" s="1"/>
  <c r="L1224" i="9" s="1"/>
  <c r="L1225" i="9" s="1"/>
  <c r="L1226" i="9" s="1"/>
  <c r="L1227" i="9" s="1"/>
  <c r="L1228" i="9" s="1"/>
  <c r="L1229" i="9" s="1"/>
  <c r="L1230" i="9" s="1"/>
  <c r="L1231" i="9" s="1"/>
  <c r="L1232" i="9" s="1"/>
  <c r="L1233" i="9" s="1"/>
  <c r="L1234" i="9" s="1"/>
  <c r="L1235" i="9" s="1"/>
  <c r="L1236" i="9" s="1"/>
  <c r="L1237" i="9" s="1"/>
  <c r="L1238" i="9" s="1"/>
  <c r="L1239" i="9" s="1"/>
  <c r="L1240" i="9" s="1"/>
  <c r="L1241" i="9" s="1"/>
  <c r="L1242" i="9" s="1"/>
  <c r="L1243" i="9" s="1"/>
  <c r="L1244" i="9" s="1"/>
  <c r="L1245" i="9" s="1"/>
  <c r="L1246" i="9" s="1"/>
  <c r="L1247" i="9" s="1"/>
  <c r="L1248" i="9" s="1"/>
  <c r="L1249" i="9" s="1"/>
  <c r="L1250" i="9" s="1"/>
  <c r="L1251" i="9" s="1"/>
  <c r="L1252" i="9" s="1"/>
  <c r="L1253" i="9" s="1"/>
  <c r="L1254" i="9" s="1"/>
  <c r="L1255" i="9" s="1"/>
  <c r="L1256" i="9" s="1"/>
  <c r="L1257" i="9" s="1"/>
  <c r="L1258" i="9" s="1"/>
  <c r="L1259" i="9" s="1"/>
  <c r="L1260" i="9" s="1"/>
  <c r="L1261" i="9" s="1"/>
  <c r="L1262" i="9" s="1"/>
  <c r="L1263" i="9" s="1"/>
  <c r="L1264" i="9" s="1"/>
  <c r="L1265" i="9" s="1"/>
  <c r="L1266" i="9" s="1"/>
  <c r="L1267" i="9" s="1"/>
  <c r="L1268" i="9" s="1"/>
  <c r="L1269" i="9" s="1"/>
  <c r="L1270" i="9" s="1"/>
  <c r="L1271" i="9" s="1"/>
  <c r="L1272" i="9" s="1"/>
  <c r="L1273" i="9" s="1"/>
  <c r="L1274" i="9" s="1"/>
  <c r="L1275" i="9" s="1"/>
  <c r="L1276" i="9" s="1"/>
  <c r="L1277" i="9" s="1"/>
  <c r="L1278" i="9" s="1"/>
  <c r="L1279" i="9" s="1"/>
  <c r="L1280" i="9" s="1"/>
  <c r="L1281" i="9" s="1"/>
  <c r="L1282" i="9" s="1"/>
  <c r="L1283" i="9" s="1"/>
  <c r="L1284" i="9" s="1"/>
  <c r="L1285" i="9" s="1"/>
  <c r="L1286" i="9" s="1"/>
  <c r="L1287" i="9" s="1"/>
  <c r="L1288" i="9" s="1"/>
  <c r="L1289" i="9" s="1"/>
  <c r="L1290" i="9" s="1"/>
  <c r="L1291" i="9" s="1"/>
  <c r="L1292" i="9" s="1"/>
  <c r="L1293" i="9" s="1"/>
  <c r="L1294" i="9" s="1"/>
  <c r="L1295" i="9" s="1"/>
  <c r="L1296" i="9" s="1"/>
  <c r="L1297" i="9" s="1"/>
  <c r="L1298" i="9" s="1"/>
  <c r="L1299" i="9" s="1"/>
  <c r="L1300" i="9" s="1"/>
  <c r="L1301" i="9" s="1"/>
  <c r="L1302" i="9" s="1"/>
  <c r="L1303" i="9" s="1"/>
  <c r="L1304" i="9" s="1"/>
  <c r="L1305" i="9" s="1"/>
  <c r="L1306" i="9" s="1"/>
  <c r="L1307" i="9" s="1"/>
  <c r="L1308" i="9" s="1"/>
  <c r="L1309" i="9" s="1"/>
  <c r="L1310" i="9" s="1"/>
  <c r="L1311" i="9" s="1"/>
  <c r="L1312" i="9" s="1"/>
  <c r="L1313" i="9" s="1"/>
  <c r="L1314" i="9" s="1"/>
  <c r="L1315" i="9" s="1"/>
  <c r="L1316" i="9" s="1"/>
  <c r="L1317" i="9" s="1"/>
  <c r="L1318" i="9" s="1"/>
  <c r="L1319" i="9" s="1"/>
  <c r="L1320" i="9" s="1"/>
  <c r="L1321" i="9" s="1"/>
  <c r="L1322" i="9" s="1"/>
  <c r="L1323" i="9" s="1"/>
  <c r="L1324" i="9" s="1"/>
  <c r="L1325" i="9" s="1"/>
  <c r="L1326" i="9" s="1"/>
  <c r="L1327" i="9" s="1"/>
  <c r="L1328" i="9" s="1"/>
  <c r="L1329" i="9" s="1"/>
  <c r="L1330" i="9" s="1"/>
  <c r="L1331" i="9" s="1"/>
  <c r="L1332" i="9" s="1"/>
  <c r="L1333" i="9" s="1"/>
  <c r="L1334" i="9" s="1"/>
  <c r="L1335" i="9" s="1"/>
  <c r="L1336" i="9" s="1"/>
  <c r="L1337" i="9" s="1"/>
  <c r="L1338" i="9" s="1"/>
  <c r="L1339" i="9" s="1"/>
  <c r="L1340" i="9" s="1"/>
  <c r="L1341" i="9" s="1"/>
  <c r="L1342" i="9" s="1"/>
  <c r="L1343" i="9" s="1"/>
  <c r="L1344" i="9" s="1"/>
  <c r="L1345" i="9" s="1"/>
  <c r="L1346" i="9" s="1"/>
  <c r="L1347" i="9" s="1"/>
  <c r="L1348" i="9" s="1"/>
  <c r="L1349" i="9" s="1"/>
  <c r="L1350" i="9" s="1"/>
  <c r="L1351" i="9" s="1"/>
  <c r="L1352" i="9" s="1"/>
  <c r="L1353" i="9" s="1"/>
  <c r="L1354" i="9" s="1"/>
  <c r="L1355" i="9" s="1"/>
  <c r="L1356" i="9" s="1"/>
  <c r="L1357" i="9" s="1"/>
  <c r="L1358" i="9" s="1"/>
  <c r="L1359" i="9" s="1"/>
  <c r="L1360" i="9" s="1"/>
  <c r="L1361" i="9" s="1"/>
  <c r="L1362" i="9" s="1"/>
  <c r="L1363" i="9" s="1"/>
  <c r="L1364" i="9" s="1"/>
  <c r="L1365" i="9" s="1"/>
  <c r="L1366" i="9" s="1"/>
  <c r="L1367" i="9" s="1"/>
  <c r="L1368" i="9" s="1"/>
  <c r="L1369" i="9" s="1"/>
  <c r="L1370" i="9" s="1"/>
  <c r="L1371" i="9" s="1"/>
  <c r="L1372" i="9" s="1"/>
  <c r="L1373" i="9" s="1"/>
  <c r="L1374" i="9" s="1"/>
  <c r="L1375" i="9" s="1"/>
  <c r="L1376" i="9" s="1"/>
  <c r="L1377" i="9" s="1"/>
  <c r="L1378" i="9" s="1"/>
  <c r="L1379" i="9" s="1"/>
  <c r="L1380" i="9" s="1"/>
  <c r="L1381" i="9" s="1"/>
  <c r="L1382" i="9" s="1"/>
  <c r="L1383" i="9" s="1"/>
  <c r="L1384" i="9" s="1"/>
  <c r="L1385" i="9" s="1"/>
  <c r="L1386" i="9" s="1"/>
  <c r="L1387" i="9" s="1"/>
  <c r="L1388" i="9" s="1"/>
  <c r="L1389" i="9" s="1"/>
  <c r="L1390" i="9" s="1"/>
  <c r="L1391" i="9" s="1"/>
  <c r="L1392" i="9" s="1"/>
  <c r="L1393" i="9" s="1"/>
  <c r="L1394" i="9" s="1"/>
  <c r="L1395" i="9" s="1"/>
  <c r="L1396" i="9" s="1"/>
  <c r="L1397" i="9" s="1"/>
  <c r="L1398" i="9" s="1"/>
  <c r="L1399" i="9" s="1"/>
  <c r="L1400" i="9" s="1"/>
  <c r="L1401" i="9" s="1"/>
  <c r="L1402" i="9" s="1"/>
  <c r="L1403" i="9" s="1"/>
  <c r="L1404" i="9" s="1"/>
  <c r="L1405" i="9" s="1"/>
  <c r="L1406" i="9" s="1"/>
  <c r="L1407" i="9" s="1"/>
  <c r="L1408" i="9" s="1"/>
  <c r="L1409" i="9" s="1"/>
  <c r="L1410" i="9" s="1"/>
  <c r="L1411" i="9" s="1"/>
  <c r="L1412" i="9" s="1"/>
  <c r="L1413" i="9" s="1"/>
  <c r="L1414" i="9" s="1"/>
  <c r="L1415" i="9" s="1"/>
  <c r="L1416" i="9" s="1"/>
  <c r="L1417" i="9" s="1"/>
  <c r="L1418" i="9" s="1"/>
  <c r="L1419" i="9" s="1"/>
  <c r="L1420" i="9" s="1"/>
  <c r="L1421" i="9" s="1"/>
  <c r="L1422" i="9" s="1"/>
  <c r="L1423" i="9" s="1"/>
  <c r="G6" i="6"/>
  <c r="F6" i="6"/>
  <c r="E6" i="6"/>
  <c r="D6" i="6"/>
  <c r="C6" i="6"/>
  <c r="B6" i="6"/>
  <c r="K123" i="8"/>
  <c r="K124" i="8" s="1"/>
  <c r="K125" i="8" s="1"/>
  <c r="I123" i="8"/>
  <c r="I124" i="8" s="1"/>
  <c r="I125" i="8" s="1"/>
  <c r="L11" i="8"/>
  <c r="L12" i="8" s="1"/>
  <c r="L13" i="8" s="1"/>
  <c r="L14" i="8" s="1"/>
  <c r="L15" i="8" s="1"/>
  <c r="L16" i="8" s="1"/>
  <c r="L17" i="8" s="1"/>
  <c r="L18" i="8" s="1"/>
  <c r="L19" i="8" s="1"/>
  <c r="L20" i="8" s="1"/>
  <c r="L21" i="8" s="1"/>
  <c r="L22" i="8" s="1"/>
  <c r="L23" i="8" s="1"/>
  <c r="L24" i="8" s="1"/>
  <c r="L25" i="8" s="1"/>
  <c r="L26" i="8" s="1"/>
  <c r="L27" i="8" s="1"/>
  <c r="L28" i="8" s="1"/>
  <c r="L29" i="8" s="1"/>
  <c r="L30" i="8" s="1"/>
  <c r="L31" i="8" s="1"/>
  <c r="L32" i="8" s="1"/>
  <c r="L33" i="8" s="1"/>
  <c r="L34" i="8" s="1"/>
  <c r="L35" i="8" s="1"/>
  <c r="L36" i="8" s="1"/>
  <c r="L37" i="8" s="1"/>
  <c r="L38" i="8" s="1"/>
  <c r="L39" i="8" s="1"/>
  <c r="L40" i="8" s="1"/>
  <c r="L41" i="8" s="1"/>
  <c r="L42" i="8" s="1"/>
  <c r="L43" i="8" s="1"/>
  <c r="L44" i="8" s="1"/>
  <c r="L45" i="8" s="1"/>
  <c r="L46" i="8" s="1"/>
  <c r="L47" i="8" s="1"/>
  <c r="L48" i="8" s="1"/>
  <c r="L49" i="8" s="1"/>
  <c r="L50" i="8" s="1"/>
  <c r="L51" i="8" s="1"/>
  <c r="L52" i="8" s="1"/>
  <c r="L53" i="8" s="1"/>
  <c r="L54" i="8" s="1"/>
  <c r="L55" i="8" s="1"/>
  <c r="L56" i="8" s="1"/>
  <c r="L57" i="8" s="1"/>
  <c r="L58" i="8" s="1"/>
  <c r="L59" i="8" s="1"/>
  <c r="L60" i="8" s="1"/>
  <c r="L61" i="8" s="1"/>
  <c r="L62" i="8" s="1"/>
  <c r="L63" i="8" s="1"/>
  <c r="L64" i="8" s="1"/>
  <c r="L65" i="8" s="1"/>
  <c r="L66" i="8" s="1"/>
  <c r="L67" i="8" s="1"/>
  <c r="L68" i="8" s="1"/>
  <c r="L69" i="8" s="1"/>
  <c r="L70" i="8" s="1"/>
  <c r="L71" i="8" s="1"/>
  <c r="L72" i="8" s="1"/>
  <c r="L73" i="8" s="1"/>
  <c r="L74" i="8" s="1"/>
  <c r="L75" i="8" s="1"/>
  <c r="L76" i="8" s="1"/>
  <c r="L77" i="8" s="1"/>
  <c r="L78" i="8" s="1"/>
  <c r="L79" i="8" s="1"/>
  <c r="L80" i="8" s="1"/>
  <c r="L81" i="8" s="1"/>
  <c r="L82" i="8" s="1"/>
  <c r="L83" i="8" s="1"/>
  <c r="L84" i="8" s="1"/>
  <c r="L85" i="8" s="1"/>
  <c r="L86" i="8" s="1"/>
  <c r="L87" i="8" s="1"/>
  <c r="L88" i="8" s="1"/>
  <c r="L89" i="8" s="1"/>
  <c r="L90" i="8" s="1"/>
  <c r="L91" i="8" s="1"/>
  <c r="L92" i="8" s="1"/>
  <c r="L93" i="8" s="1"/>
  <c r="L94" i="8" s="1"/>
  <c r="L95" i="8" s="1"/>
  <c r="L96" i="8" s="1"/>
  <c r="L97" i="8" s="1"/>
  <c r="L98" i="8" s="1"/>
  <c r="L99" i="8" s="1"/>
  <c r="L100" i="8" s="1"/>
  <c r="L101" i="8" s="1"/>
  <c r="L102" i="8" s="1"/>
  <c r="L103" i="8" s="1"/>
  <c r="L104" i="8" s="1"/>
  <c r="L105" i="8" s="1"/>
  <c r="L106" i="8" s="1"/>
  <c r="L107" i="8" s="1"/>
  <c r="L108" i="8" s="1"/>
  <c r="L109" i="8" s="1"/>
  <c r="L110" i="8" s="1"/>
  <c r="L111" i="8" s="1"/>
  <c r="L112" i="8" s="1"/>
  <c r="L113" i="8" s="1"/>
  <c r="L114" i="8" s="1"/>
  <c r="L115" i="8" s="1"/>
  <c r="L116" i="8" s="1"/>
  <c r="L117" i="8" s="1"/>
  <c r="L118" i="8" s="1"/>
  <c r="L119" i="8" s="1"/>
  <c r="L120" i="8" s="1"/>
  <c r="L121" i="8" s="1"/>
  <c r="L122" i="8" s="1"/>
  <c r="L123" i="8" s="1"/>
  <c r="L124" i="8" s="1"/>
  <c r="L125" i="8" s="1"/>
  <c r="L80" i="3"/>
  <c r="L81" i="3" s="1"/>
  <c r="L82" i="3" s="1"/>
  <c r="I81" i="3"/>
  <c r="I82" i="3" s="1"/>
  <c r="I80" i="3"/>
  <c r="G4" i="6"/>
  <c r="F4" i="6"/>
  <c r="E4" i="6"/>
  <c r="C4" i="6"/>
  <c r="B4" i="6"/>
  <c r="I81" i="2"/>
  <c r="I82" i="2" s="1"/>
  <c r="K80" i="2"/>
  <c r="K81" i="2" s="1"/>
  <c r="K82" i="2" s="1"/>
  <c r="I80" i="2"/>
  <c r="L11" i="2"/>
  <c r="L12" i="2" s="1"/>
  <c r="L13" i="2" s="1"/>
  <c r="L14" i="2" s="1"/>
  <c r="L15" i="2" s="1"/>
  <c r="L16" i="2" s="1"/>
  <c r="L17" i="2" s="1"/>
  <c r="L18" i="2" s="1"/>
  <c r="L19" i="2" s="1"/>
  <c r="L20" i="2" s="1"/>
  <c r="L21" i="2" s="1"/>
  <c r="L22" i="2" s="1"/>
  <c r="L23" i="2" s="1"/>
  <c r="L24" i="2" s="1"/>
  <c r="L25" i="2" s="1"/>
  <c r="L26" i="2" s="1"/>
  <c r="L27" i="2" s="1"/>
  <c r="L28" i="2" s="1"/>
  <c r="L29" i="2" s="1"/>
  <c r="L30" i="2" s="1"/>
  <c r="L31" i="2" s="1"/>
  <c r="L32" i="2" s="1"/>
  <c r="L33" i="2" s="1"/>
  <c r="L34" i="2" s="1"/>
  <c r="L35" i="2" s="1"/>
  <c r="L36" i="2" s="1"/>
  <c r="L37" i="2" s="1"/>
  <c r="L38" i="2" s="1"/>
  <c r="L39" i="2" s="1"/>
  <c r="L40" i="2" s="1"/>
  <c r="L41" i="2" s="1"/>
  <c r="L42" i="2" s="1"/>
  <c r="L43" i="2" s="1"/>
  <c r="L44" i="2" s="1"/>
  <c r="L45" i="2" s="1"/>
  <c r="L46" i="2" s="1"/>
  <c r="L47" i="2" s="1"/>
  <c r="L48" i="2" s="1"/>
  <c r="L49" i="2" s="1"/>
  <c r="L50" i="2" s="1"/>
  <c r="L51" i="2" s="1"/>
  <c r="L52" i="2" s="1"/>
  <c r="L53" i="2" s="1"/>
  <c r="L54" i="2" s="1"/>
  <c r="L55" i="2" s="1"/>
  <c r="L56" i="2" s="1"/>
  <c r="L57" i="2" s="1"/>
  <c r="L58" i="2" s="1"/>
  <c r="L59" i="2" s="1"/>
  <c r="L60" i="2" s="1"/>
  <c r="L61" i="2" s="1"/>
  <c r="L62" i="2" s="1"/>
  <c r="L63" i="2" s="1"/>
  <c r="L64" i="2" s="1"/>
  <c r="L65" i="2" s="1"/>
  <c r="L66" i="2" s="1"/>
  <c r="L67" i="2" s="1"/>
  <c r="L68" i="2" s="1"/>
  <c r="L69" i="2" s="1"/>
  <c r="L70" i="2" s="1"/>
  <c r="L71" i="2" s="1"/>
  <c r="L72" i="2" s="1"/>
  <c r="L73" i="2" s="1"/>
  <c r="L74" i="2" s="1"/>
  <c r="L75" i="2" s="1"/>
  <c r="L76" i="2" s="1"/>
  <c r="L77" i="2" s="1"/>
  <c r="L78" i="2" s="1"/>
  <c r="L79" i="2" s="1"/>
  <c r="L80" i="2" s="1"/>
  <c r="L81" i="2" s="1"/>
  <c r="L82" i="2" s="1"/>
  <c r="L100" i="1"/>
  <c r="L101" i="1" s="1"/>
  <c r="L102" i="1" s="1"/>
  <c r="K101" i="1"/>
  <c r="K102" i="1" s="1"/>
  <c r="K100" i="1"/>
  <c r="I101" i="1"/>
  <c r="I102" i="1" s="1"/>
  <c r="I100" i="1"/>
  <c r="D22" i="7"/>
  <c r="G5" i="6"/>
  <c r="D21" i="7"/>
  <c r="D20" i="7"/>
  <c r="D19" i="7"/>
  <c r="D14" i="7"/>
  <c r="D13" i="7"/>
  <c r="D12" i="7"/>
  <c r="D11" i="7" l="1"/>
  <c r="D10" i="7"/>
  <c r="E2" i="6"/>
  <c r="E5" i="6"/>
  <c r="D9" i="7"/>
  <c r="D8" i="7"/>
  <c r="D7" i="7"/>
  <c r="B5" i="6" l="1"/>
  <c r="D6" i="7"/>
  <c r="D5" i="7"/>
  <c r="D4" i="7"/>
  <c r="D3" i="7"/>
  <c r="D2" i="7"/>
  <c r="D3" i="6"/>
  <c r="D5" i="6"/>
  <c r="H2" i="6" l="1"/>
  <c r="B2" i="6"/>
  <c r="L2" i="6" l="1"/>
  <c r="G2" i="6"/>
  <c r="C2" i="6"/>
  <c r="K2" i="6"/>
  <c r="F2" i="6"/>
  <c r="J2" i="6"/>
  <c r="M2" i="6"/>
  <c r="I2" i="6"/>
  <c r="D2" i="6"/>
  <c r="N2" i="6" l="1"/>
  <c r="D54" i="7"/>
</calcChain>
</file>

<file path=xl/sharedStrings.xml><?xml version="1.0" encoding="utf-8"?>
<sst xmlns="http://schemas.openxmlformats.org/spreadsheetml/2006/main" count="5172" uniqueCount="2600">
  <si>
    <t>Non recurring</t>
  </si>
  <si>
    <t>700405 - Comp. Prof. Attinenti  Attivita' Senza Rit.</t>
  </si>
  <si>
    <t>700407 - Comp. Prof. Attinenti  Attivita' C/Rit.</t>
  </si>
  <si>
    <t>700409 - Comp. Prof. Attinenti  Attivita'</t>
  </si>
  <si>
    <t>702001 - Spese Di Consulenza</t>
  </si>
  <si>
    <t>COSTI DI PROGETTAZIONE</t>
  </si>
  <si>
    <t>FORNITORE</t>
  </si>
  <si>
    <t>TOTALE</t>
  </si>
  <si>
    <t>DATA</t>
  </si>
  <si>
    <t>700815 - Spese Per Trasferte</t>
  </si>
  <si>
    <t>CiviSmart</t>
  </si>
  <si>
    <t>Parent Company : CiviSmart S.p.A.</t>
  </si>
  <si>
    <t/>
  </si>
  <si>
    <t>Account</t>
  </si>
  <si>
    <t>Type</t>
  </si>
  <si>
    <t>Date</t>
  </si>
  <si>
    <t>Document Number</t>
  </si>
  <si>
    <t>Name</t>
  </si>
  <si>
    <t>Memo</t>
  </si>
  <si>
    <t>[IL] Reference Date</t>
  </si>
  <si>
    <t>[IL] Reference #</t>
  </si>
  <si>
    <t>Debit</t>
  </si>
  <si>
    <t>Credit</t>
  </si>
  <si>
    <t>Balance</t>
  </si>
  <si>
    <t>70 - COSTI PER SERVIZI</t>
  </si>
  <si>
    <t>7004 - Servizi Di Lavoro Parasub</t>
  </si>
  <si>
    <t>Journal</t>
  </si>
  <si>
    <t>JE-CIV-19087</t>
  </si>
  <si>
    <t>Bill</t>
  </si>
  <si>
    <t>S/2026/0913/A</t>
  </si>
  <si>
    <t>F-04337 MI10STUDIO SRL</t>
  </si>
  <si>
    <t>Predisposizione studio di fattibilita tecnico-economica per il Comune di Canegrate (MI) nell ambito della riqualifica illuminotecnica e normativa degli impianti di pubblica illuminazione.</t>
  </si>
  <si>
    <t>00013/26</t>
  </si>
  <si>
    <t>S/2026/0910/A</t>
  </si>
  <si>
    <t>F-01125 Miguel Alberto Montesano</t>
  </si>
  <si>
    <t>Acconto Onorario D.L. e Coord. Sic. in fase di Esec., opere rifunzionalizzazione, efficientamento, manut. e gestione dell Imp.di Pubb. illuminazione (ampliamenti), del Comune di Maratea (PZ).</t>
  </si>
  <si>
    <t>FPR 1/26</t>
  </si>
  <si>
    <t>S/2026/1361/A</t>
  </si>
  <si>
    <t>F-01803 NOE' COMI</t>
  </si>
  <si>
    <t>6</t>
  </si>
  <si>
    <t>S/2026/1408/A</t>
  </si>
  <si>
    <t>F-01789 Daniele Monteduro</t>
  </si>
  <si>
    <t>FPR-I17/26</t>
  </si>
  <si>
    <t>JE-CIV-19123</t>
  </si>
  <si>
    <t>Total - 7004 - Servizi Di Lavoro Parasub</t>
  </si>
  <si>
    <t>Total - 70 - COSTI PER SERVIZI</t>
  </si>
  <si>
    <t>DESCRIZIONE</t>
  </si>
  <si>
    <t>Costi di progettazione</t>
  </si>
  <si>
    <t>S/2026/0498/A</t>
  </si>
  <si>
    <t>F-01411 ATLANTE - CERASI Studio Notarile Associato</t>
  </si>
  <si>
    <t>Attività svolta dal Notaio Nicola Atlante di Roma: (*) visura camerale pre stipula; (*) verifica poteri; (*) revisione minuta; (*) stipula atto; (*) autentiche di firma; PROCURA SPECIALE (a Pietro SA NFILIPPO per conferimento poteri) rep. 73.161 racc. 37.910 in data 9 gennaio 2026; successivi adempimenti: (*) registrazione c/o l Agenzia delle Entrate di Roma 5; (*) rilascio di una copia autentica  digitale per il Notaio Schiavone.</t>
  </si>
  <si>
    <t>75</t>
  </si>
  <si>
    <t>S/2026/0682/A</t>
  </si>
  <si>
    <t>F-00348 TELESCA ROCCO DONATO</t>
  </si>
  <si>
    <t>JE-CIV-18132</t>
  </si>
  <si>
    <t>JE-CIV-19118</t>
  </si>
  <si>
    <t>S/2026/0800/A</t>
  </si>
  <si>
    <t>ATTIVITA  SVOLTA DAL NOTAIO NICOLA ATLANTE DI ROMA: (*) visura camerale pre stipula; (*) verifica poteri; (*) predisposizione, redazione, revisione e correzione minute; (*) stipula atti; (*) autentich e di firma; 1) PROCURA (a Vito Telesca per conferimento poteri) rep. 73.259 racc. 37.946 in data 29 gennaio 2026; successivi adempimenti: (*) registrazione c/o l Agenzia delle Entrate di Roma 5; (* ) rilascio di una copia autentica cartacea per la società: 2) PROCURA SPECIALE in bollo (a Vito Telesca per acquistare area urbana in Comune di Campi Salentina) rep. 72.069 in data 29 gennaio 2026; ( *) rilascio originale alla società.</t>
  </si>
  <si>
    <t>195</t>
  </si>
  <si>
    <t>S/2026/1235/A</t>
  </si>
  <si>
    <t>F-03093 QUI ASSICURAZIONI S.R.L.</t>
  </si>
  <si>
    <t>AF01 159/26</t>
  </si>
  <si>
    <t>S/2026/1285/A</t>
  </si>
  <si>
    <t>F-04366 ING.RUSSO DOMENICO</t>
  </si>
  <si>
    <t>01</t>
  </si>
  <si>
    <t>S/2026/1407/A</t>
  </si>
  <si>
    <t>F-04363 LUIGI DI PAOLO</t>
  </si>
  <si>
    <t>2/FE</t>
  </si>
  <si>
    <t>S/2026/1480/A</t>
  </si>
  <si>
    <t>F-03890 GIULIO FAZIO</t>
  </si>
  <si>
    <t>FPR 2/26</t>
  </si>
  <si>
    <t>S/2026/1478/A</t>
  </si>
  <si>
    <t>FPR 3/26</t>
  </si>
  <si>
    <t>S/2026/1550/A</t>
  </si>
  <si>
    <t>FPR 5/26</t>
  </si>
  <si>
    <t>Bill Credit</t>
  </si>
  <si>
    <t>S/2026/1560/A</t>
  </si>
  <si>
    <t>FPR 4/26</t>
  </si>
  <si>
    <t>Total - 700407 - Comp. Prof. Attinenti  Attivita' C/Rit.</t>
  </si>
  <si>
    <t>NATURA DEL COSTO</t>
  </si>
  <si>
    <t>700409 - Comp. Prof. Attinenti Attivita'</t>
  </si>
  <si>
    <t>S/2026/0443/A</t>
  </si>
  <si>
    <t>F-00335 OMNIA FIDUCIARIA S.R.L.</t>
  </si>
  <si>
    <t>Si emette fattura per asseverazioni Piano Economico e Finanziario svolte per vs conto relative alle proposte di project finance presentate in partenariato con A2A ILLUMINAZIONE PUBBLICA SRL</t>
  </si>
  <si>
    <t>25</t>
  </si>
  <si>
    <t>S/2026/0661/A</t>
  </si>
  <si>
    <t>F-00183 IMQ S.P.A.</t>
  </si>
  <si>
    <t>Oggetto: MANTENIMENTO 1° TRIMESTRE 2026 - CERTIFICATO 9191.STTR - NORMA ISO 14001</t>
  </si>
  <si>
    <t>226003611</t>
  </si>
  <si>
    <t>S/2026/0662/A</t>
  </si>
  <si>
    <t>Oggetto: MANTENIMENTO 1° TRIMESTRE 2026 - CERTIFICATO 9196.SLT1 - NORMA ISO 50001</t>
  </si>
  <si>
    <t>226003612</t>
  </si>
  <si>
    <t>JE-CIV-18185</t>
  </si>
  <si>
    <t>JE-CIV-19070</t>
  </si>
  <si>
    <t>JE-CIV-18184</t>
  </si>
  <si>
    <t>S/2026/0876/A</t>
  </si>
  <si>
    <t>F-00527 ARGENTA S.O.A. SPA</t>
  </si>
  <si>
    <t>0000102</t>
  </si>
  <si>
    <t>S/2026/1533/A</t>
  </si>
  <si>
    <t>F-01831 TOTUM SRL</t>
  </si>
  <si>
    <t>Total - 700409 - Comp. Prof. Attinenti Attivita'</t>
  </si>
  <si>
    <t>7020 - Spese Di Consulenza</t>
  </si>
  <si>
    <t>S/2026/0505/A</t>
  </si>
  <si>
    <t>F-03883 GIOVANNI RONDINA</t>
  </si>
  <si>
    <t>1</t>
  </si>
  <si>
    <t>S/2026/0565/A</t>
  </si>
  <si>
    <t>F-04138 DI BUO' GIANLUCA</t>
  </si>
  <si>
    <t>S/2026/0568/A</t>
  </si>
  <si>
    <t>F-03802 DELOITTE AND TOUCHE S.p.A.</t>
  </si>
  <si>
    <t>2630001291</t>
  </si>
  <si>
    <t>S/2026/0571/A</t>
  </si>
  <si>
    <t>JE-CIV-18128</t>
  </si>
  <si>
    <t>S/2026/0786/A</t>
  </si>
  <si>
    <t>2</t>
  </si>
  <si>
    <t>S/2026/0867/A</t>
  </si>
  <si>
    <t>F-04028 Marco La Diega s.r.l.</t>
  </si>
  <si>
    <t>5</t>
  </si>
  <si>
    <t>S/2026/0862/A</t>
  </si>
  <si>
    <t>F-03645 DOMENICO MASTROLIA</t>
  </si>
  <si>
    <t>7</t>
  </si>
  <si>
    <t>S/2026/1456/A</t>
  </si>
  <si>
    <t>JE-CIV-19125</t>
  </si>
  <si>
    <t>Total - 702001 - Spese Di Consulenza</t>
  </si>
  <si>
    <t>Total - 7020 - Spese Di Consulenza</t>
  </si>
  <si>
    <t>7008 - Spese Generali</t>
  </si>
  <si>
    <t>JE-CIV-18652</t>
  </si>
  <si>
    <t>JE-CIV-18654</t>
  </si>
  <si>
    <t>JE-CIV-18653</t>
  </si>
  <si>
    <t>JE-CIV-18661</t>
  </si>
  <si>
    <t>JE-CIV-18460</t>
  </si>
  <si>
    <t>JE-CIV-18337</t>
  </si>
  <si>
    <t>JE-CIV-18672</t>
  </si>
  <si>
    <t>JE-CIV-18497</t>
  </si>
  <si>
    <t>JE-CIV-18461</t>
  </si>
  <si>
    <t>JE-CIV-18499</t>
  </si>
  <si>
    <t>JE-CIV-18586</t>
  </si>
  <si>
    <t>JE-CIV-18587</t>
  </si>
  <si>
    <t>JE-CIV-18380</t>
  </si>
  <si>
    <t>JE-CIV-18680</t>
  </si>
  <si>
    <t>JE-CIV-18683</t>
  </si>
  <si>
    <t>JE-CIV-18382</t>
  </si>
  <si>
    <t>JE-CIV-18734</t>
  </si>
  <si>
    <t>JE-CIV-18381</t>
  </si>
  <si>
    <t>JE-CIV-18383</t>
  </si>
  <si>
    <t>JE-CIV-18519</t>
  </si>
  <si>
    <t>JE-CIV-18500</t>
  </si>
  <si>
    <t>JE-CIV-18355</t>
  </si>
  <si>
    <t>JE-CIV-18384</t>
  </si>
  <si>
    <t>JE-CIV-18353</t>
  </si>
  <si>
    <t>JE-CIV-18356</t>
  </si>
  <si>
    <t>JE-CIV-18341</t>
  </si>
  <si>
    <t>JE-CIV-18521</t>
  </si>
  <si>
    <t>JE-CIV-18688</t>
  </si>
  <si>
    <t>JE-CIV-18385</t>
  </si>
  <si>
    <t>JE-CIV-18522</t>
  </si>
  <si>
    <t>JE-CIV-18513</t>
  </si>
  <si>
    <t>JE-CIV-18524</t>
  </si>
  <si>
    <t>JE-CIV-18689</t>
  </si>
  <si>
    <t>JE-CIV-18523</t>
  </si>
  <si>
    <t>JE-CIV-18462</t>
  </si>
  <si>
    <t>JE-CIV-18525</t>
  </si>
  <si>
    <t>JE-CIV-18396</t>
  </si>
  <si>
    <t>JE-CIV-18526</t>
  </si>
  <si>
    <t>JE-CIV-18832</t>
  </si>
  <si>
    <t>JE-CIV-18834</t>
  </si>
  <si>
    <t>JE-CIV-18691</t>
  </si>
  <si>
    <t>JE-CIV-18697</t>
  </si>
  <si>
    <t>JE-CIV-18702</t>
  </si>
  <si>
    <t>JE-CIV-18597</t>
  </si>
  <si>
    <t>JE-CIV-18529</t>
  </si>
  <si>
    <t>JE-CIV-18395</t>
  </si>
  <si>
    <t>JE-CIV-18527</t>
  </si>
  <si>
    <t>JE-CIV-18501</t>
  </si>
  <si>
    <t>JE-CIV-18591</t>
  </si>
  <si>
    <t>JE-CIV-18393</t>
  </si>
  <si>
    <t>JE-CIV-18704</t>
  </si>
  <si>
    <t>JE-CIV-18530</t>
  </si>
  <si>
    <t>JE-CIV-18502</t>
  </si>
  <si>
    <t>JE-CIV-18599</t>
  </si>
  <si>
    <t>JE-CIV-18503</t>
  </si>
  <si>
    <t>JE-CIV-18358</t>
  </si>
  <si>
    <t>JE-CIV-18534</t>
  </si>
  <si>
    <t>JE-CIV-18533</t>
  </si>
  <si>
    <t>JE-CIV-18600</t>
  </si>
  <si>
    <t>JE-CIV-18394</t>
  </si>
  <si>
    <t>S/2026/0424/A</t>
  </si>
  <si>
    <t>F-00093 Trenitalia S.p.A</t>
  </si>
  <si>
    <t>2026/9000092794</t>
  </si>
  <si>
    <t>S/2026/0447/A</t>
  </si>
  <si>
    <t>F-01087 UNIPOLTECH SPA</t>
  </si>
  <si>
    <t>IMPORTO ORIGINALE FATTURA: 0.00 IMPORTO CREDITO: 0.00</t>
  </si>
  <si>
    <t>1U717/ZE/901746639</t>
  </si>
  <si>
    <t>JE-CIV-18390</t>
  </si>
  <si>
    <t>S/2026/0438/A</t>
  </si>
  <si>
    <t>F-03834 OLIMPIA HOTEL SRL</t>
  </si>
  <si>
    <t>48</t>
  </si>
  <si>
    <t>S/2026/0437/A</t>
  </si>
  <si>
    <t>F-04313 J24HOTEL SRL</t>
  </si>
  <si>
    <t>Hotel J24 Lo Re</t>
  </si>
  <si>
    <t>12600600J</t>
  </si>
  <si>
    <t>JE-CIV-18531</t>
  </si>
  <si>
    <t>JE-CIV-18532</t>
  </si>
  <si>
    <t>S/2026/0433/A</t>
  </si>
  <si>
    <t>2026/9000149832</t>
  </si>
  <si>
    <t>S/2026/0422/A</t>
  </si>
  <si>
    <t>2026/9000084602</t>
  </si>
  <si>
    <t>S/2026/0435/A</t>
  </si>
  <si>
    <t>F-04253 HOTEL B SRL</t>
  </si>
  <si>
    <t>13/H</t>
  </si>
  <si>
    <t>JE-CIV-18601</t>
  </si>
  <si>
    <t>S/2026/0434/A</t>
  </si>
  <si>
    <t>F-03533 HOTEL INTERNATIONAL SOC. COP</t>
  </si>
  <si>
    <t>50</t>
  </si>
  <si>
    <t>S/2026/0423/A</t>
  </si>
  <si>
    <t>2026/9000092793</t>
  </si>
  <si>
    <t>S/2026/0420/A</t>
  </si>
  <si>
    <t>2026/9000078037</t>
  </si>
  <si>
    <t>S/2026/0436/A</t>
  </si>
  <si>
    <t>Hotel J24 Penazzo</t>
  </si>
  <si>
    <t>12600537J</t>
  </si>
  <si>
    <t>JE-CIV-18504</t>
  </si>
  <si>
    <t>S/2026/0421/A</t>
  </si>
  <si>
    <t>2026/9000084603</t>
  </si>
  <si>
    <t>S/2026/0441/A</t>
  </si>
  <si>
    <t>F-04264 COMUNE DI VENEZIA</t>
  </si>
  <si>
    <t>Fattura già quietanzata - Sosta su strada a pagamento</t>
  </si>
  <si>
    <t>LP/RBPO/000035</t>
  </si>
  <si>
    <t>JE-CIV-18831</t>
  </si>
  <si>
    <t>JE-CIV-18392</t>
  </si>
  <si>
    <t>S/2026/0463/A</t>
  </si>
  <si>
    <t>F-04327 LUCA AUROLIA</t>
  </si>
  <si>
    <t>Fattura di vendita</t>
  </si>
  <si>
    <t>JE-CIV-18391</t>
  </si>
  <si>
    <t>JE-CIV-18830</t>
  </si>
  <si>
    <t>JE-CIV-18505</t>
  </si>
  <si>
    <t>S/2026/0533/A</t>
  </si>
  <si>
    <t>F-01582 APCOA PARKING ITALIA SPA</t>
  </si>
  <si>
    <t>Codice cliente: 310991905</t>
  </si>
  <si>
    <t>000000172001209P</t>
  </si>
  <si>
    <t>S/2026/0526/A</t>
  </si>
  <si>
    <t>F-03020 PARCHEGGI ITALIA SPA</t>
  </si>
  <si>
    <t>000000156000496P</t>
  </si>
  <si>
    <t>S/2026/0521/A</t>
  </si>
  <si>
    <t>2026/9000157200</t>
  </si>
  <si>
    <t>S/2026/0531/A</t>
  </si>
  <si>
    <t>000000020000843P</t>
  </si>
  <si>
    <t>S/2026/0527/A</t>
  </si>
  <si>
    <t>000000634000311P</t>
  </si>
  <si>
    <t>JE-CIV-18347</t>
  </si>
  <si>
    <t>S/2026/0541/A</t>
  </si>
  <si>
    <t>F-00060 LA PRIMULA S.R.L.</t>
  </si>
  <si>
    <t>E154</t>
  </si>
  <si>
    <t>S/2026/0540/A</t>
  </si>
  <si>
    <t>E155</t>
  </si>
  <si>
    <t>S/2026/0535/A</t>
  </si>
  <si>
    <t>F-00069 TELEPASS S.P.A.</t>
  </si>
  <si>
    <t>0000000000149415</t>
  </si>
  <si>
    <t>S/2026/0525/A</t>
  </si>
  <si>
    <t>000000236000194P</t>
  </si>
  <si>
    <t>JE-CIV-18507</t>
  </si>
  <si>
    <t>S/2026/0518/A</t>
  </si>
  <si>
    <t>F-00757 RYANAIR LIMITED</t>
  </si>
  <si>
    <t>18435-2026/F</t>
  </si>
  <si>
    <t>JE-CIV-18360</t>
  </si>
  <si>
    <t>S/2026/0539/A</t>
  </si>
  <si>
    <t>F-03952 Societa Servizi Territoriali spa</t>
  </si>
  <si>
    <t>Y25</t>
  </si>
  <si>
    <t>S/2026/0522/A</t>
  </si>
  <si>
    <t>2026/9000157127</t>
  </si>
  <si>
    <t>JE-CIV-18386</t>
  </si>
  <si>
    <t>JE-CIV-18348</t>
  </si>
  <si>
    <t>JE-CIV-18707</t>
  </si>
  <si>
    <t>JE-CIV-18706</t>
  </si>
  <si>
    <t>JE-CIV-18711</t>
  </si>
  <si>
    <t>JE-CIV-18488</t>
  </si>
  <si>
    <t>S/2026/0582/A</t>
  </si>
  <si>
    <t>F-04314 IPPAZIO CAPUTO</t>
  </si>
  <si>
    <t>N°01 Pernottamento effeffuato per Vs. conto Arrivo 14/01/2026 Partenza 15/01/2026 Ospite Sig:Amoroso Riccardo</t>
  </si>
  <si>
    <t>FPR 12/26</t>
  </si>
  <si>
    <t>JE-CIV-18489</t>
  </si>
  <si>
    <t>JE-CIV-18538</t>
  </si>
  <si>
    <t>S/2026/0570/A</t>
  </si>
  <si>
    <t>2026/9000201187</t>
  </si>
  <si>
    <t>JE-CIV-18362</t>
  </si>
  <si>
    <t>JE-CIV-18539</t>
  </si>
  <si>
    <t>JE-CIV-18387</t>
  </si>
  <si>
    <t>JE-CIV-18487</t>
  </si>
  <si>
    <t>JE-CIV-18537</t>
  </si>
  <si>
    <t>S/2026/0592/A</t>
  </si>
  <si>
    <t>F-03908 AEROITALIA S.R.L.</t>
  </si>
  <si>
    <t>NA00007480</t>
  </si>
  <si>
    <t>S/2026/0631/A</t>
  </si>
  <si>
    <t>Codice cliente: 310720217</t>
  </si>
  <si>
    <t>000000048000232P</t>
  </si>
  <si>
    <t>S/2026/0626/A</t>
  </si>
  <si>
    <t>0000000000102945</t>
  </si>
  <si>
    <t>JE-CIV-18713</t>
  </si>
  <si>
    <t>JE-CIV-18363</t>
  </si>
  <si>
    <t>JE-CIV-18712</t>
  </si>
  <si>
    <t>JE-CIV-18508</t>
  </si>
  <si>
    <t>JE-CIV-18506</t>
  </si>
  <si>
    <t>JE-CIV-18541</t>
  </si>
  <si>
    <t>JE-CIV-18490</t>
  </si>
  <si>
    <t>S/2026/0664/A</t>
  </si>
  <si>
    <t>F-04054 ANTICHE FIGURE S.G.A SRL</t>
  </si>
  <si>
    <t>F 53/2026/M</t>
  </si>
  <si>
    <t>JE-CIV-18493</t>
  </si>
  <si>
    <t>JE-CIV-18388</t>
  </si>
  <si>
    <t>S/2026/0669/A</t>
  </si>
  <si>
    <t>207</t>
  </si>
  <si>
    <t>JE-CIV-18498</t>
  </si>
  <si>
    <t>JE-CIV-18364</t>
  </si>
  <si>
    <t>JE-CIV-18492</t>
  </si>
  <si>
    <t>JE-CIV-18389</t>
  </si>
  <si>
    <t>JE-CIV-18495</t>
  </si>
  <si>
    <t>JE-CIV-18496</t>
  </si>
  <si>
    <t>JE-CIV-18494</t>
  </si>
  <si>
    <t>JE-CIV-18509</t>
  </si>
  <si>
    <t>JE-CIV-18183</t>
  </si>
  <si>
    <t>JE-CIV-18131</t>
  </si>
  <si>
    <t>S/2026/0716/A</t>
  </si>
  <si>
    <t>Hotel J24 gaudino</t>
  </si>
  <si>
    <t>12601207J</t>
  </si>
  <si>
    <t>S/2026/0715/A</t>
  </si>
  <si>
    <t>12601205J</t>
  </si>
  <si>
    <t>S/2026/0722/A</t>
  </si>
  <si>
    <t>66</t>
  </si>
  <si>
    <t>S/2026/0788/A</t>
  </si>
  <si>
    <t>2026/9000306315</t>
  </si>
  <si>
    <t>S/2026/0785/A</t>
  </si>
  <si>
    <t>F-01762 PARCO DEI PRINCIPI S.A.S.</t>
  </si>
  <si>
    <t>VENDITA</t>
  </si>
  <si>
    <t>18</t>
  </si>
  <si>
    <t>S/2026/0810/A</t>
  </si>
  <si>
    <t>260</t>
  </si>
  <si>
    <t>JE-CIV-18829</t>
  </si>
  <si>
    <t>S/2026/0839/A</t>
  </si>
  <si>
    <t>285</t>
  </si>
  <si>
    <t>S/2026/0841/A</t>
  </si>
  <si>
    <t>2026/9000328349</t>
  </si>
  <si>
    <t>S/2026/0838/A</t>
  </si>
  <si>
    <t>E272</t>
  </si>
  <si>
    <t>JE-CIV-18828</t>
  </si>
  <si>
    <t>S/2026/0955/A</t>
  </si>
  <si>
    <t>E317</t>
  </si>
  <si>
    <t>S/2026/1121/A</t>
  </si>
  <si>
    <t>80/H</t>
  </si>
  <si>
    <t>S/2026/1123/A</t>
  </si>
  <si>
    <t>321</t>
  </si>
  <si>
    <t>S/2026/1154/A</t>
  </si>
  <si>
    <t>F-04030 MARCO POLO PARK - AEROPORTO TREVISO</t>
  </si>
  <si>
    <t>IN CASO DI RITARDATO PAGAMENTO SARANNO APPLICATI GLI INTERESSI DI MORA AL TASSO PREVISTO DAL D.LGS. 231/2002</t>
  </si>
  <si>
    <t>9326604089</t>
  </si>
  <si>
    <t>S/2026/1247/A</t>
  </si>
  <si>
    <t>F-01887 Smart Hotel Mediterraneo - Hotel Mediterraneo</t>
  </si>
  <si>
    <t>JE-CIV-18823</t>
  </si>
  <si>
    <t>S/2026/1202/A</t>
  </si>
  <si>
    <t>2026/9000434064</t>
  </si>
  <si>
    <t>JE-CIV-18824</t>
  </si>
  <si>
    <t>S/2026/1284/A</t>
  </si>
  <si>
    <t>90/H</t>
  </si>
  <si>
    <t>S/2026/1251/A</t>
  </si>
  <si>
    <t>2026/9000448595</t>
  </si>
  <si>
    <t>S/2026/1250/A</t>
  </si>
  <si>
    <t>2026/9000448596</t>
  </si>
  <si>
    <t>S/2026/1319/A</t>
  </si>
  <si>
    <t>2026/9000385165</t>
  </si>
  <si>
    <t>S/2026/1350/A</t>
  </si>
  <si>
    <t>F-04370 KHAIROS s.r.l. Hotel Ariminum</t>
  </si>
  <si>
    <t>269/2026</t>
  </si>
  <si>
    <t>S/2026/1382/A</t>
  </si>
  <si>
    <t>F-03678 NAZIONALE GESTIONI ALBERGHIERE SRL</t>
  </si>
  <si>
    <t>E77</t>
  </si>
  <si>
    <t>S/2026/1395/A</t>
  </si>
  <si>
    <t>F-04376 NEWCO DUC BOLOGNA SPA</t>
  </si>
  <si>
    <t>000000066000898P</t>
  </si>
  <si>
    <t>S/2026/1427/A</t>
  </si>
  <si>
    <t>2026/9000503696</t>
  </si>
  <si>
    <t>JE-CIV-18898</t>
  </si>
  <si>
    <t>S/2026/1387/A</t>
  </si>
  <si>
    <t>2026/9000483624</t>
  </si>
  <si>
    <t>S/2026/1429/A</t>
  </si>
  <si>
    <t>2026/9000503695</t>
  </si>
  <si>
    <t>S/2026/1389/A</t>
  </si>
  <si>
    <t>F-04088 NORD OVEST PARCHEGGI S.R.L.</t>
  </si>
  <si>
    <t>000000460000303P</t>
  </si>
  <si>
    <t>S/2026/1391/A</t>
  </si>
  <si>
    <t>F-02303 CARONTE E TOURIST S.P.A.</t>
  </si>
  <si>
    <t>000000014006459P</t>
  </si>
  <si>
    <t>S/2026/1394/A</t>
  </si>
  <si>
    <t>0000000002477085</t>
  </si>
  <si>
    <t>JE-CIV-18897</t>
  </si>
  <si>
    <t>S/2026/1482/A</t>
  </si>
  <si>
    <t>2026/9000527133</t>
  </si>
  <si>
    <t>S/2026/1483/A</t>
  </si>
  <si>
    <t>2026/9000527134</t>
  </si>
  <si>
    <t>S/2026/1556/A</t>
  </si>
  <si>
    <t>000000052415065T</t>
  </si>
  <si>
    <t>S/2026/1549/A</t>
  </si>
  <si>
    <t>2026/9000534384</t>
  </si>
  <si>
    <t>S/2026/1551/A</t>
  </si>
  <si>
    <t>2026/9000534383</t>
  </si>
  <si>
    <t>Total - 700815 - Spese Per Trasferte</t>
  </si>
  <si>
    <t>Total - 7008 - Spese Generali</t>
  </si>
  <si>
    <t>Predisposizione studio di fattibilita tecnico-economica per il Comune di Canegrate (MI) nell ambito della riqualifica illuminotecnica e normativa degli impianti di pubblica illuminazione</t>
  </si>
  <si>
    <t>1.Spese di consulenza</t>
  </si>
  <si>
    <t>F-03748 CONSORZIO KREA SRL</t>
  </si>
  <si>
    <t>F-04249 ATLANTICO S.p.A</t>
  </si>
  <si>
    <t>Avvallimento E.L.E.NA</t>
  </si>
  <si>
    <t>8.Altro</t>
  </si>
  <si>
    <t>F-01657 KPMG S.p.A.</t>
  </si>
  <si>
    <t>F-04354 GENERA INTEGRATED SOLUTIONS SRL</t>
  </si>
  <si>
    <t>2.Assistenza Legale</t>
  </si>
  <si>
    <t>Financial DD</t>
  </si>
  <si>
    <t>Attività pre-bid</t>
  </si>
  <si>
    <t>Servizio DPO su Regolamento Privacy</t>
  </si>
  <si>
    <t>Consulenza e Assistenza tecnica su Spezzano e Crosia</t>
  </si>
  <si>
    <t xml:space="preserve">Soggiorno Rotella, Giuseppe e Valerio </t>
  </si>
  <si>
    <t>JE-CIV-19439</t>
  </si>
  <si>
    <t>JE-CIV-19442</t>
  </si>
  <si>
    <t>JE-CIV-19446</t>
  </si>
  <si>
    <t>MI10STUDIO SRL</t>
  </si>
  <si>
    <t>JE-CIV-19987</t>
  </si>
  <si>
    <t>JE-CIV-19438</t>
  </si>
  <si>
    <t>JE-CIV-19149</t>
  </si>
  <si>
    <t>JE-CIV-19152</t>
  </si>
  <si>
    <t>JE-CIV-19142</t>
  </si>
  <si>
    <t>JE-CIV-19160</t>
  </si>
  <si>
    <t>JE-CIV-19449</t>
  </si>
  <si>
    <t>JE-CIV-19506</t>
  </si>
  <si>
    <t>S/2026/1815/A</t>
  </si>
  <si>
    <t>F-01930 RESTART GREEN SOLUTIONS SRL</t>
  </si>
  <si>
    <t>6 /I</t>
  </si>
  <si>
    <t>S/2026/1897/A</t>
  </si>
  <si>
    <t>F-03613 BCM ENGINEERING S.R.L.</t>
  </si>
  <si>
    <t>S/2026/2054/A</t>
  </si>
  <si>
    <t>F-03954 STELLA NAPOLEONE</t>
  </si>
  <si>
    <t>04/2026</t>
  </si>
  <si>
    <t>S/2026/2113/A</t>
  </si>
  <si>
    <t>F-01928 STEFANO ROMANO</t>
  </si>
  <si>
    <t>2/2026</t>
  </si>
  <si>
    <t>S/2026/2396/A</t>
  </si>
  <si>
    <t>F-04414 GREENWICH S.R.L.</t>
  </si>
  <si>
    <t>S/2026/2472/A</t>
  </si>
  <si>
    <t>F-04412 DAMATO GIANLUCA</t>
  </si>
  <si>
    <t>12</t>
  </si>
  <si>
    <t>S/2026/2469/A</t>
  </si>
  <si>
    <t>F-02360 DELFINO ROBERTO NICOLA</t>
  </si>
  <si>
    <t>4/FE</t>
  </si>
  <si>
    <t>JE-CIV-21053</t>
  </si>
  <si>
    <t>JE-CIV-21052</t>
  </si>
  <si>
    <t>S/2026/2093/A</t>
  </si>
  <si>
    <t>%fornito</t>
  </si>
  <si>
    <t>AF01 383/26</t>
  </si>
  <si>
    <t>S/2026/2089/A</t>
  </si>
  <si>
    <t>S/2026/2529/A</t>
  </si>
  <si>
    <t>FPR 13/26</t>
  </si>
  <si>
    <t>S/2026/1704/A</t>
  </si>
  <si>
    <t>Si emette fattura per asseverazioni Piano Economico e Finanziario svolte per vs conto relative ai seguenti comuni:</t>
  </si>
  <si>
    <t>S/2026/2206/A</t>
  </si>
  <si>
    <t>F-00407 LABORATORIO ANALISI DI A. COVIELLO &amp; C. S.A.S.</t>
  </si>
  <si>
    <t>2026/10</t>
  </si>
  <si>
    <t>S/2026/2226/A</t>
  </si>
  <si>
    <t>F-00247 QUALILAB S.R.L.</t>
  </si>
  <si>
    <t>183/2026</t>
  </si>
  <si>
    <t>S/2026/2305/A</t>
  </si>
  <si>
    <t>F-02168 ARCADIA 888 SRL</t>
  </si>
  <si>
    <t>S/2026/2409/A</t>
  </si>
  <si>
    <t>Oggetto: VARIAZIONE CERTIFICATI PER LA NORMA ISO 14001 (CERTIFICATO 9191.STTR)</t>
  </si>
  <si>
    <t>826007183</t>
  </si>
  <si>
    <t>S/2026/2443/A</t>
  </si>
  <si>
    <t>F-01605 CREDITSAFE ITALIA SRL</t>
  </si>
  <si>
    <t>SID000236468</t>
  </si>
  <si>
    <t>JE-CIV-21018</t>
  </si>
  <si>
    <t>S/2026/1647/A</t>
  </si>
  <si>
    <t>F-03642 AMAPOLA SRL SB</t>
  </si>
  <si>
    <t>2600049</t>
  </si>
  <si>
    <t>S/2026/1683/A</t>
  </si>
  <si>
    <t>F-03949 FAVACCIO CORRADO</t>
  </si>
  <si>
    <t>S/2026/1763/A</t>
  </si>
  <si>
    <t>Comunicazione di nomina (opzione 1 Crosia Smart City S.r.l.) rep. 73.288 racc. 37.963 in data 9 febbraio 2026, atto in autentica Notaio Nicola ATLANTE di Roma; successivi adempimenti: (*) registrazion e c/o l Agenzia delle Entrate du Roma 5 in data 10/2/2026; (*) rilascio di una copia autentica digitale per le parti in data 10/2/2026.</t>
  </si>
  <si>
    <t>408</t>
  </si>
  <si>
    <t>S/2026/1765/A</t>
  </si>
  <si>
    <t>Comunicazione di nomina (opzione 2 Città Metropolitana di Venezia II Smart City S.r.l.) rep. 73.287 racc. 37.962 in data 9 febbraio 2026, atto in autentica Notaio Nicola ATLANTE di Roma; successivi ad empimenti: (*) registrazione c/o l Agenzia delle Entrate du Roma 5 in data 10/2/2026; (*) rilascio di una copia autentica digitale per le parti in data 10/2/2026.</t>
  </si>
  <si>
    <t>407</t>
  </si>
  <si>
    <t>S/2026/1766/A</t>
  </si>
  <si>
    <t>Comunicazione di nomina (opzione 1 Città Metropolitana di Venezia II Smart City S.r.l.) rep. 73.286 racc. 37.961 in data 9 febbraio 2026, atto in autentica Notaio Nicola ATLANTE di Roma; successivi ad empimenti: (*) registrazione c/o l Agenzia delle Entrate du Roma 5 in data 10/2/2026; (*) rilascio di una copia autentica digitale per le parti in data 10/2/2026.</t>
  </si>
  <si>
    <t>406</t>
  </si>
  <si>
    <t>S/2026/1762/A</t>
  </si>
  <si>
    <t>Comunicazione di nomina (opzione 2 Crosia Smart City S.r.l.) rep. 73.289 racc. 37.964 in data 9 febbraio 2026, atto in autentica Notaio Nicola ATLANTE di Roma; successivi adempimenti: (*) registrazion e c/o l Agenzia delle Entrate du Roma 5 in data 10/2/2026; (*) rilascio di una copia autentica digitale per le parti in data 10/2/2026.</t>
  </si>
  <si>
    <t>410</t>
  </si>
  <si>
    <t>S/2026/1764/A</t>
  </si>
  <si>
    <t>Comunicazione di nomina (opzione 1 società Spezzano Albanese Smart City S.r.l.) rep. 73.285 racc. 37.960 in data 9 febbraio 2026, atto in autentica Notaio Nicola ATLANTE di Roma; * COPIA DOCUMENTO in  bollo (certificazione di conformità della procura a rogito Notaio Donatomarco Pirro di Roma del 5/2/2026 rep. 2936 racc.1744, contenuta su supporto informatico) rep. 73.283 in data 6/2/2026; successiv i adempimenti: (*) registrazione c/o l Agenzia delle Entrate du Roma 5 in data 10/2/2026; (*) rilascio di una copia autentica digitale per le parti in data 10/2/2026.</t>
  </si>
  <si>
    <t>409</t>
  </si>
  <si>
    <t>S/2026/2061/A</t>
  </si>
  <si>
    <t>3</t>
  </si>
  <si>
    <t>S/2026/2036/A</t>
  </si>
  <si>
    <t>F-01657 KPMG S.p.A.                              Revisione e organizzazione contabile</t>
  </si>
  <si>
    <t>2026102156</t>
  </si>
  <si>
    <t>S/2026/2304/A</t>
  </si>
  <si>
    <t>F-04408 BELLEMO ERNANI</t>
  </si>
  <si>
    <t>29</t>
  </si>
  <si>
    <t>S/2026/2309/A</t>
  </si>
  <si>
    <t>F-02464 EY ADVISORY S.P.A.</t>
  </si>
  <si>
    <t>IT03I3B2602108</t>
  </si>
  <si>
    <t>S/2026/2398/A</t>
  </si>
  <si>
    <t>F-03485 KPMG Advisory S.p.A</t>
  </si>
  <si>
    <t>2026302126</t>
  </si>
  <si>
    <t>S/2026/2400/A</t>
  </si>
  <si>
    <t>F-03857 LEXIA</t>
  </si>
  <si>
    <t>Oggetto Project Sunset; fase 2 - acquisizione; compensi di cui alla lettera di incarico del 16 maggio 2025.</t>
  </si>
  <si>
    <t>1099</t>
  </si>
  <si>
    <t>S/2026/2399/A</t>
  </si>
  <si>
    <t>F-04405 LEXIA AVVOCATI TRIBUTARIO E FINA NZA PUBBLICA</t>
  </si>
  <si>
    <t>Assistenza nella notifica Goldenpower relativa all acquisizione da parte di Civismart di societ� di Samsic. RGS 5480</t>
  </si>
  <si>
    <t>1/12</t>
  </si>
  <si>
    <t>S/2026/2419/A</t>
  </si>
  <si>
    <t>F-04423 STUDIO RSNOTAI</t>
  </si>
  <si>
    <t>Rep. 19564 del 10/03/2026 - Raggruppamento Temporaneo di Imprese Data operazione o incasso: 23/03/2026</t>
  </si>
  <si>
    <t>831</t>
  </si>
  <si>
    <t>S/2026/2420/A</t>
  </si>
  <si>
    <t>Rep. 19563 del 10/03/2026 - Raggruppamento Temporaneo di Imprese Data operazione o incasso: 23/03/2026</t>
  </si>
  <si>
    <t>832</t>
  </si>
  <si>
    <t>S/2026/2402/A</t>
  </si>
  <si>
    <t>S/2026/2436/A</t>
  </si>
  <si>
    <t>IT03I3B2602809</t>
  </si>
  <si>
    <t>S/2026/2510/A</t>
  </si>
  <si>
    <t>JE-CIV-19116</t>
  </si>
  <si>
    <t>JE-CIV-20159</t>
  </si>
  <si>
    <t>JE-CIV-20158</t>
  </si>
  <si>
    <t>JE-CIV-20095</t>
  </si>
  <si>
    <t>JE-CIV-20096</t>
  </si>
  <si>
    <t>JE-CIV-19440</t>
  </si>
  <si>
    <t>JE-CIV-20097</t>
  </si>
  <si>
    <t>JE-CIV-19445</t>
  </si>
  <si>
    <t>JE-CIV-20160</t>
  </si>
  <si>
    <t>JE-CIV-19482</t>
  </si>
  <si>
    <t>JE-CIV-20136</t>
  </si>
  <si>
    <t>JE-CIV-19527</t>
  </si>
  <si>
    <t>JE-CIV-20161</t>
  </si>
  <si>
    <t>JE-CIV-19483</t>
  </si>
  <si>
    <t>JE-CIV-20011</t>
  </si>
  <si>
    <t>JE-CIV-20105</t>
  </si>
  <si>
    <t>JE-CIV-20217</t>
  </si>
  <si>
    <t>JE-CIV-20162</t>
  </si>
  <si>
    <t>JE-CIV-19484</t>
  </si>
  <si>
    <t>JE-CIV-19469</t>
  </si>
  <si>
    <t>JE-CIV-20138</t>
  </si>
  <si>
    <t>JE-CIV-20137</t>
  </si>
  <si>
    <t>JE-CIV-20012</t>
  </si>
  <si>
    <t>JE-CIV-20179</t>
  </si>
  <si>
    <t>JE-CIV-20014</t>
  </si>
  <si>
    <t>JE-CIV-20140</t>
  </si>
  <si>
    <t>JE-CIV-20164</t>
  </si>
  <si>
    <t>JE-CIV-20163</t>
  </si>
  <si>
    <t>JE-CIV-20139</t>
  </si>
  <si>
    <t>JE-CIV-20214</t>
  </si>
  <si>
    <t>JE-CIV-19470</t>
  </si>
  <si>
    <t>JE-CIV-19525</t>
  </si>
  <si>
    <t>JE-CIV-20165</t>
  </si>
  <si>
    <t>JE-CIV-20166</t>
  </si>
  <si>
    <t>JE-CIV-19485</t>
  </si>
  <si>
    <t>JE-CIV-20016</t>
  </si>
  <si>
    <t>JE-CIV-19471</t>
  </si>
  <si>
    <t>JE-CIV-20015</t>
  </si>
  <si>
    <t>JE-CIV-20145</t>
  </si>
  <si>
    <t>JE-CIV-20242</t>
  </si>
  <si>
    <t>JE-CIV-20017</t>
  </si>
  <si>
    <t>JE-CIV-20167</t>
  </si>
  <si>
    <t>JE-CIV-19486</t>
  </si>
  <si>
    <t>JE-CIV-20168</t>
  </si>
  <si>
    <t>JE-CIV-20148</t>
  </si>
  <si>
    <t>JE-CIV-20147</t>
  </si>
  <si>
    <t>JE-CIV-19487</t>
  </si>
  <si>
    <t>JE-CIV-19464</t>
  </si>
  <si>
    <t>JE-CIV-20119</t>
  </si>
  <si>
    <t>JE-CIV-20149</t>
  </si>
  <si>
    <t>JE-CIV-20169</t>
  </si>
  <si>
    <t>JE-CIV-19462</t>
  </si>
  <si>
    <t>JE-CIV-20118</t>
  </si>
  <si>
    <t>JE-CIV-19461</t>
  </si>
  <si>
    <t>JE-CIV-20228</t>
  </si>
  <si>
    <t>JE-CIV-19473</t>
  </si>
  <si>
    <t>JE-CIV-19490</t>
  </si>
  <si>
    <t>JE-CIV-19472</t>
  </si>
  <si>
    <t>JE-CIV-20170</t>
  </si>
  <si>
    <t>JE-CIV-19463</t>
  </si>
  <si>
    <t>JE-CIV-20022</t>
  </si>
  <si>
    <t>JE-CIV-20023</t>
  </si>
  <si>
    <t>JE-CIV-19491</t>
  </si>
  <si>
    <t>JE-CIV-19474</t>
  </si>
  <si>
    <t>JE-CIV-19494</t>
  </si>
  <si>
    <t>JE-CIV-19492</t>
  </si>
  <si>
    <t>JE-CIV-20223</t>
  </si>
  <si>
    <t>JE-CIV-20024</t>
  </si>
  <si>
    <t>JE-CIV-19495</t>
  </si>
  <si>
    <t>JE-CIV-20152</t>
  </si>
  <si>
    <t>JE-CIV-19496</t>
  </si>
  <si>
    <t>JE-CIV-19500</t>
  </si>
  <si>
    <t>JE-CIV-20173</t>
  </si>
  <si>
    <t>JE-CIV-20174</t>
  </si>
  <si>
    <t>JE-CIV-19497</t>
  </si>
  <si>
    <t>JE-CIV-19499</t>
  </si>
  <si>
    <t>JE-CIV-20172</t>
  </si>
  <si>
    <t>JE-CIV-20121</t>
  </si>
  <si>
    <t>JE-CIV-19475</t>
  </si>
  <si>
    <t>JE-CIV-20175</t>
  </si>
  <si>
    <t>JE-CIV-20027</t>
  </si>
  <si>
    <t>JE-CIV-20025</t>
  </si>
  <si>
    <t>JE-CIV-19465</t>
  </si>
  <si>
    <t>JE-CIV-19501</t>
  </si>
  <si>
    <t>JE-CIV-20122</t>
  </si>
  <si>
    <t>JE-CIV-20034</t>
  </si>
  <si>
    <t>JE-CIV-20153</t>
  </si>
  <si>
    <t>JE-CIV-19503</t>
  </si>
  <si>
    <t>JE-CIV-20176</t>
  </si>
  <si>
    <t>JE-CIV-19466</t>
  </si>
  <si>
    <t>JE-CIV-20032</t>
  </si>
  <si>
    <t>JE-CIV-19502</t>
  </si>
  <si>
    <t>JE-CIV-19476</t>
  </si>
  <si>
    <t>JE-CIV-19477</t>
  </si>
  <si>
    <t>JE-CIV-19467</t>
  </si>
  <si>
    <t>JE-CIV-20125</t>
  </si>
  <si>
    <t>JE-CIV-19504</t>
  </si>
  <si>
    <t>JE-CIV-19478</t>
  </si>
  <si>
    <t>JE-CIV-20040</t>
  </si>
  <si>
    <t>JE-CIV-20039</t>
  </si>
  <si>
    <t>JE-CIV-19519</t>
  </si>
  <si>
    <t>JE-CIV-20235</t>
  </si>
  <si>
    <t>JE-CIV-19518</t>
  </si>
  <si>
    <t>JE-CIV-20048</t>
  </si>
  <si>
    <t>JE-CIV-19522</t>
  </si>
  <si>
    <t>JE-CIV-19520</t>
  </si>
  <si>
    <t>JE-CIV-19521</t>
  </si>
  <si>
    <t>JE-CIV-19526</t>
  </si>
  <si>
    <t>JE-CIV-20236</t>
  </si>
  <si>
    <t>JE-CIV-19523</t>
  </si>
  <si>
    <t>JE-CIV-19524</t>
  </si>
  <si>
    <t>JE-CIV-20197</t>
  </si>
  <si>
    <t>JE-CIV-20156</t>
  </si>
  <si>
    <t>JE-CIV-20051</t>
  </si>
  <si>
    <t>JE-CIV-20050</t>
  </si>
  <si>
    <t>JE-CIV-19479</t>
  </si>
  <si>
    <t>JE-CIV-20155</t>
  </si>
  <si>
    <t>S/2026/1654/A</t>
  </si>
  <si>
    <t>F-02654 HOTEL VILLA PIGNA SRL</t>
  </si>
  <si>
    <t>228/26</t>
  </si>
  <si>
    <t>S/2026/1670/A</t>
  </si>
  <si>
    <t>226</t>
  </si>
  <si>
    <t>S/2026/1671/A</t>
  </si>
  <si>
    <t>242</t>
  </si>
  <si>
    <t>JE-CIV-19822</t>
  </si>
  <si>
    <t>JE-CIV-19823</t>
  </si>
  <si>
    <t>S/2026/1747/A</t>
  </si>
  <si>
    <t>F-04383 IMMOBILIARE CAMPO SRL</t>
  </si>
  <si>
    <t>206/FE</t>
  </si>
  <si>
    <t>JE-CIV-19827</t>
  </si>
  <si>
    <t>JE-CIV-19828</t>
  </si>
  <si>
    <t>JE-CIV-19818</t>
  </si>
  <si>
    <t>JE-CIV-19819</t>
  </si>
  <si>
    <t>JE-CIV-19821</t>
  </si>
  <si>
    <t>JE-CIV-19815</t>
  </si>
  <si>
    <t>S/2026/1912/A</t>
  </si>
  <si>
    <t>E612</t>
  </si>
  <si>
    <t>JE-CIV-19816</t>
  </si>
  <si>
    <t>S/2026/1957/A</t>
  </si>
  <si>
    <t>331</t>
  </si>
  <si>
    <t>S/2026/1979/A</t>
  </si>
  <si>
    <t>562</t>
  </si>
  <si>
    <t>S/2026/2076/A</t>
  </si>
  <si>
    <t>365/2026</t>
  </si>
  <si>
    <t>S/2026/2023/A</t>
  </si>
  <si>
    <t>F-04110 FRATELLI BERGAMASCO E C. SNC</t>
  </si>
  <si>
    <t>46</t>
  </si>
  <si>
    <t>S/2026/2053/A</t>
  </si>
  <si>
    <t>E582</t>
  </si>
  <si>
    <t>S/2026/2072/A</t>
  </si>
  <si>
    <t>F-04108 MyCicero S.r.l.</t>
  </si>
  <si>
    <t>016783-2026-S-MM</t>
  </si>
  <si>
    <t>S/2026/2074/A</t>
  </si>
  <si>
    <t>370/2026</t>
  </si>
  <si>
    <t>S/2026/2133/A</t>
  </si>
  <si>
    <t>116/H</t>
  </si>
  <si>
    <t>S/2026/2171/A</t>
  </si>
  <si>
    <t>606</t>
  </si>
  <si>
    <t>S/2026/2174/A</t>
  </si>
  <si>
    <t>F-03672 PARK HOTEL SOCIETA COOPERATIVA</t>
  </si>
  <si>
    <t>Vendita</t>
  </si>
  <si>
    <t>469</t>
  </si>
  <si>
    <t>S/2026/2225/A</t>
  </si>
  <si>
    <t>F-04392 ENRICO CERENZIA</t>
  </si>
  <si>
    <t>61MED</t>
  </si>
  <si>
    <t>S/2026/2198/A</t>
  </si>
  <si>
    <t>128/H</t>
  </si>
  <si>
    <t>S/2026/2235/A</t>
  </si>
  <si>
    <t>F-04395 RIVAZZURRA S.R.L.</t>
  </si>
  <si>
    <t>58</t>
  </si>
  <si>
    <t>S/2026/2234/A</t>
  </si>
  <si>
    <t>F-04394 ALBERGO VITTORIA SRL</t>
  </si>
  <si>
    <t>498FH</t>
  </si>
  <si>
    <t>S/2026/2272/A</t>
  </si>
  <si>
    <t>226/FE</t>
  </si>
  <si>
    <t>S/2026/2255/A</t>
  </si>
  <si>
    <t>F-03606 SERENA SRLS</t>
  </si>
  <si>
    <t>33</t>
  </si>
  <si>
    <t>S/2026/2315/A</t>
  </si>
  <si>
    <t>F-04411 INTERNATIONAL GARAGE SRL</t>
  </si>
  <si>
    <t>372</t>
  </si>
  <si>
    <t>S/2026/2343/A</t>
  </si>
  <si>
    <t>0000000004946635</t>
  </si>
  <si>
    <t>S/2026/2339/A</t>
  </si>
  <si>
    <t>000000290001365P</t>
  </si>
  <si>
    <t>S/2026/2338/A</t>
  </si>
  <si>
    <t>000000048003535P</t>
  </si>
  <si>
    <t>S/2026/2335/A</t>
  </si>
  <si>
    <t>000000460000642P</t>
  </si>
  <si>
    <t>S/2026/2337/A</t>
  </si>
  <si>
    <t>000000014012275P</t>
  </si>
  <si>
    <t>S/2026/2346/A</t>
  </si>
  <si>
    <t>F-00985 SALERNO MOBILITA' SPA</t>
  </si>
  <si>
    <t>000000212007820P</t>
  </si>
  <si>
    <t>S/2026/2336/A</t>
  </si>
  <si>
    <t>000000156004835P</t>
  </si>
  <si>
    <t>S/2026/2332/A</t>
  </si>
  <si>
    <t>F-03532 TENUTA AGRICOLA LE PAJARE S.R.L.</t>
  </si>
  <si>
    <t>24</t>
  </si>
  <si>
    <t>S/2026/2464/A</t>
  </si>
  <si>
    <t>724</t>
  </si>
  <si>
    <t>S/2026/2461/A</t>
  </si>
  <si>
    <t>JE-CIV-20883</t>
  </si>
  <si>
    <t>S/2026/2476/A</t>
  </si>
  <si>
    <t>391</t>
  </si>
  <si>
    <t>S/2026/2528/A</t>
  </si>
  <si>
    <t>F-01079 CRETI SRL</t>
  </si>
  <si>
    <t>200H</t>
  </si>
  <si>
    <t>S/2026/2555/A</t>
  </si>
  <si>
    <t>F-04432 QUATTRO STELLE SRL - FASHION HOTEL</t>
  </si>
  <si>
    <t>14920260325110224731</t>
  </si>
  <si>
    <t>F 858/H 2026</t>
  </si>
  <si>
    <t>S/2026/2538/A</t>
  </si>
  <si>
    <t>N°01 Pernottamento effettuato per Vs. Conto arrivo 30/03/2026 Partenza 31/03/2026 Ospite Sig.Amoruso Riccardo</t>
  </si>
  <si>
    <t>FPR 64/26</t>
  </si>
  <si>
    <t>S/2026/2554/A</t>
  </si>
  <si>
    <t>476</t>
  </si>
  <si>
    <t>S/2026/2537/A</t>
  </si>
  <si>
    <t>Soggiorno Francesco Ossato</t>
  </si>
  <si>
    <t>Trenitalia SpA</t>
  </si>
  <si>
    <t>Spese per trasferta</t>
  </si>
  <si>
    <t>Soggiorno Federico Mazzotta</t>
  </si>
  <si>
    <t>Soggiorno Marco Bordini</t>
  </si>
  <si>
    <t>Volo Linate Foggia</t>
  </si>
  <si>
    <t>Soggiorno Paolo Crupi</t>
  </si>
  <si>
    <t>Pernottamenti Vadacchino e Luce Del Basso</t>
  </si>
  <si>
    <t>Pernottamenti Santarsiero e Summa</t>
  </si>
  <si>
    <t>Spese di consulenza</t>
  </si>
  <si>
    <t>Due Diligence</t>
  </si>
  <si>
    <t>RIZZO RICCARDO</t>
  </si>
  <si>
    <t>Soggiorno RIZZO RICCARDO</t>
  </si>
  <si>
    <t>RILIEVO FOTOMETRICO - 673-QL25</t>
  </si>
  <si>
    <t>Verifiche qualità su lampade</t>
  </si>
  <si>
    <t>CONCESSIONE DEL SERVIZIO DI GESTIONE,
MANUTENZIONE, EFFICIENTAMENTO ENEREGETICO E RIQUALIFICAZIONE DEGLI IMPIANTI DI PUBBLICA ILLUMINAZIONE- Vibonati</t>
  </si>
  <si>
    <t xml:space="preserve">Piano Economico e Finanziario per Promotore e/o partecipazione a
Gara in Project Financing per Pubblica Illuminazione // N. 15 PEF:
San Felice a Cancello, Messina, Trecchina, Cagnano Varano,
Campobello di Mazzara, Borghetto, Recalbuto, Piana degli Albanesi,
Sant Angelo Le Fratte, Sab Nicola Arcella, Calvanico, Roggiano
Gravina, Faggiano, Pignola, Sommatino </t>
  </si>
  <si>
    <t>Attività di consulenza tecnica per le attività di informatizzazione
degli impianti di illuminazione pubblica Cellino San Marco BR</t>
  </si>
  <si>
    <t>fattura per direzione lavori Ing. Ivan De Bonis -
LAVORI MONGRASSANO EFFICIENTAMENTO PUBBLICA
ILLUMINAZIONE</t>
  </si>
  <si>
    <t xml:space="preserve">Consulenza strutturale // Consulenza per progettazione di plinto di
fondazione per torre faro in Via Buozzi Savona Codice commessa
PPP-IPU-I480-02 </t>
  </si>
  <si>
    <t>Progetti di fattibilità - Comune di Milazzo, Marsala, San Marco D'Alunzio, Riesi, Caltanisetta</t>
  </si>
  <si>
    <t>calcoli illuminotecnici del bando AREST per il comune di Saronno</t>
  </si>
  <si>
    <t>Consulenza tecnica</t>
  </si>
  <si>
    <t>Delfino Roberto Nicola e Stefano Romano</t>
  </si>
  <si>
    <t>RESTART GREEN SOLUTIONS SRL</t>
  </si>
  <si>
    <t>Progetto di Fattibilità Comune di Borgetto (PA)</t>
  </si>
  <si>
    <t>RESTART ENGINEERING SRL</t>
  </si>
  <si>
    <t>Progetto di Fattibilità Comune di San Teodoro</t>
  </si>
  <si>
    <t xml:space="preserve">Delfino Roberto Nicola </t>
  </si>
  <si>
    <t>Collaudo tecnico amministrativo Vicopisano</t>
  </si>
  <si>
    <t>archimede s.r.l</t>
  </si>
  <si>
    <t>S/2026/2743/A</t>
  </si>
  <si>
    <t>3/2026</t>
  </si>
  <si>
    <t>S/2026/3089/A</t>
  </si>
  <si>
    <t>F-04308 FRANCESCO MEZZOPRETE</t>
  </si>
  <si>
    <t>20</t>
  </si>
  <si>
    <t>S/2026/3117/A</t>
  </si>
  <si>
    <t>S/2026/3151/A</t>
  </si>
  <si>
    <t>S/2026/3215/A</t>
  </si>
  <si>
    <t>10 /I</t>
  </si>
  <si>
    <t>JE-CIV-22352</t>
  </si>
  <si>
    <t>JE-CIV-22353</t>
  </si>
  <si>
    <t>JE-CIV-22447</t>
  </si>
  <si>
    <t>S/2026/3507/A</t>
  </si>
  <si>
    <t>5/FE</t>
  </si>
  <si>
    <t>S/2026/2613/A</t>
  </si>
  <si>
    <t>S/2026/2692/A</t>
  </si>
  <si>
    <t>F-03690 STEFANO CALIGARA</t>
  </si>
  <si>
    <t>S/2026/2726/A</t>
  </si>
  <si>
    <t>F-01526 CARMINE  VERLOTTA</t>
  </si>
  <si>
    <t>S/2026/2797/A</t>
  </si>
  <si>
    <t>S/2026/3023/A</t>
  </si>
  <si>
    <t>F-01185 Antonio Venneri</t>
  </si>
  <si>
    <t>S/2026/3022/A</t>
  </si>
  <si>
    <t>S/2026/3020/A</t>
  </si>
  <si>
    <t>S/2026/3016/A</t>
  </si>
  <si>
    <t>S/2026/3419/A</t>
  </si>
  <si>
    <t>S/2026/3460/A</t>
  </si>
  <si>
    <t>F-01623 Donato Miano</t>
  </si>
  <si>
    <t>S/2026/3469/A</t>
  </si>
  <si>
    <t>F-04443 GMS ST.ASSOCIATO GUANELLA MONTANI SUSS</t>
  </si>
  <si>
    <t>AF01 436/26</t>
  </si>
  <si>
    <t>29/E</t>
  </si>
  <si>
    <t>FPR 6/26</t>
  </si>
  <si>
    <t>FPR 9/26</t>
  </si>
  <si>
    <t>FPR 10/26</t>
  </si>
  <si>
    <t>FPR 7/26</t>
  </si>
  <si>
    <t>FPR 8/26</t>
  </si>
  <si>
    <t>FPR 15/26</t>
  </si>
  <si>
    <t>FPR 30/26</t>
  </si>
  <si>
    <t>53/E</t>
  </si>
  <si>
    <t>S/2026/2784/A</t>
  </si>
  <si>
    <t>Si emette fattura per asseverazioni Piano Economico e Finanziario svolte per vs conto in partenariato con A2A ILLUMINAZIONE PUBBLICA SRL</t>
  </si>
  <si>
    <t>11</t>
  </si>
  <si>
    <t>S/2026/2785/A</t>
  </si>
  <si>
    <t>S/2026/3124/A</t>
  </si>
  <si>
    <t>Oggetto: MANTENIMENTO 2° TRIMESTRE 2026 - CERTIFICATO 9196.SLT1 - NORMA ISO 50001</t>
  </si>
  <si>
    <t>226010856</t>
  </si>
  <si>
    <t>S/2026/3123/A</t>
  </si>
  <si>
    <t>Oggetto: MANTENIMENTO 2° TRIMESTRE 2026 - CERTIFICATO 9191.STTR - NORMA ISO 14001</t>
  </si>
  <si>
    <t>226010857</t>
  </si>
  <si>
    <t>S/2026/3169/A</t>
  </si>
  <si>
    <t>000017</t>
  </si>
  <si>
    <t>S/2026/3270/A</t>
  </si>
  <si>
    <t>Oggetto: RIESAME PRATICA PER RICERTIFICAZIONE PER LA NORMA ISO 14001 (CERTIFICATO 9191.STTR)</t>
  </si>
  <si>
    <t>826009588</t>
  </si>
  <si>
    <t>S/2026/3397/A</t>
  </si>
  <si>
    <t>S/2026/3393/A</t>
  </si>
  <si>
    <t>S/2026/3429/A</t>
  </si>
  <si>
    <t>SID000242411</t>
  </si>
  <si>
    <t>JE-CIV-22467</t>
  </si>
  <si>
    <t>CIV| Schede Contabili</t>
  </si>
  <si>
    <t>S/2026/2623/A</t>
  </si>
  <si>
    <t>2600076</t>
  </si>
  <si>
    <t>S/2026/2776/A</t>
  </si>
  <si>
    <t>F-03204 RIVOSECCHI CHIARA AVV.TO</t>
  </si>
  <si>
    <t>4</t>
  </si>
  <si>
    <t>S/2026/3051/A</t>
  </si>
  <si>
    <t>2630007028</t>
  </si>
  <si>
    <t>S/2026/3109/A</t>
  </si>
  <si>
    <t>IT03I3B2603451</t>
  </si>
  <si>
    <t>S/2026/3202/A</t>
  </si>
  <si>
    <t>S/2026/3278/A</t>
  </si>
  <si>
    <t>F-04299 ROBERTO COLUCCI</t>
  </si>
  <si>
    <t>ESTRATTO AUTENTICO REP. 47288 DEL 9.4.2026 REPERTORIO: 47288/ DEL 09/04/2026 COLUCCI ROBERTO</t>
  </si>
  <si>
    <t>248</t>
  </si>
  <si>
    <t>S/2026/3387/A</t>
  </si>
  <si>
    <t>S/2026/3384/A</t>
  </si>
  <si>
    <t>Operazione non soggetta a ritenuta alla fonte a titolo di acconto ai sensi dell articolo 1, comma 67, l. n. 190 del 2014 e successive modificazioni</t>
  </si>
  <si>
    <t>S/2026/3454/A</t>
  </si>
  <si>
    <t>2600093</t>
  </si>
  <si>
    <t>S/2026/3506/A</t>
  </si>
  <si>
    <t>F-03636 CHIOMENTI STUDIO LEGALE</t>
  </si>
  <si>
    <t>2026FC-1997</t>
  </si>
  <si>
    <t>JE-CIV-21871</t>
  </si>
  <si>
    <t>JE-CIV-21873</t>
  </si>
  <si>
    <t>JE-CIV-21872</t>
  </si>
  <si>
    <t>JE-CIV-22076</t>
  </si>
  <si>
    <t>JE-CIV-21874</t>
  </si>
  <si>
    <t>JE-CIV-21407</t>
  </si>
  <si>
    <t>JE-CIV-22207</t>
  </si>
  <si>
    <t>JE-CIV-21373</t>
  </si>
  <si>
    <t>JE-CIV-21410</t>
  </si>
  <si>
    <t>JE-CIV-22079</t>
  </si>
  <si>
    <t>JE-CIV-21411</t>
  </si>
  <si>
    <t>JE-CIV-21879</t>
  </si>
  <si>
    <t>JE-CIV-21380</t>
  </si>
  <si>
    <t>JE-CIV-21876</t>
  </si>
  <si>
    <t>JE-CIV-22082</t>
  </si>
  <si>
    <t>JE-CIV-21880</t>
  </si>
  <si>
    <t>JE-CIV-21375</t>
  </si>
  <si>
    <t>JE-CIV-21378</t>
  </si>
  <si>
    <t>JE-CIV-22080</t>
  </si>
  <si>
    <t>JE-CIV-21413</t>
  </si>
  <si>
    <t>JE-CIV-21390</t>
  </si>
  <si>
    <t>JE-CIV-21924</t>
  </si>
  <si>
    <t>JE-CIV-21412</t>
  </si>
  <si>
    <t>JE-CIV-21925</t>
  </si>
  <si>
    <t>JE-CIV-21384</t>
  </si>
  <si>
    <t>JE-CIV-21414</t>
  </si>
  <si>
    <t>JE-CIV-21394</t>
  </si>
  <si>
    <t>JE-CIV-21395</t>
  </si>
  <si>
    <t>JE-CIV-21415</t>
  </si>
  <si>
    <t>JE-CIV-21926</t>
  </si>
  <si>
    <t>JE-CIV-21416</t>
  </si>
  <si>
    <t>JE-CIV-22085</t>
  </si>
  <si>
    <t>JE-CIV-22180</t>
  </si>
  <si>
    <t>JE-CIV-21881</t>
  </si>
  <si>
    <t>JE-CIV-21371</t>
  </si>
  <si>
    <t>JE-CIV-21882</t>
  </si>
  <si>
    <t>JE-CIV-22192</t>
  </si>
  <si>
    <t>JE-CIV-22054</t>
  </si>
  <si>
    <t>JE-CIV-21387</t>
  </si>
  <si>
    <t>JE-CIV-21372</t>
  </si>
  <si>
    <t>JE-CIV-21927</t>
  </si>
  <si>
    <t>JE-CIV-21884</t>
  </si>
  <si>
    <t>JE-CIV-21883</t>
  </si>
  <si>
    <t>JE-CIV-21417</t>
  </si>
  <si>
    <t>JE-CIV-21929</t>
  </si>
  <si>
    <t>JE-CIV-21280</t>
  </si>
  <si>
    <t>JE-CIV-21885</t>
  </si>
  <si>
    <t>JE-CIV-22086</t>
  </si>
  <si>
    <t>JE-CIV-21386</t>
  </si>
  <si>
    <t>JE-CIV-22056</t>
  </si>
  <si>
    <t>JE-CIV-21385</t>
  </si>
  <si>
    <t>JE-CIV-21930</t>
  </si>
  <si>
    <t>JE-CIV-22217</t>
  </si>
  <si>
    <t>JE-CIV-21419</t>
  </si>
  <si>
    <t>JE-CIV-21396</t>
  </si>
  <si>
    <t>JE-CIV-22200</t>
  </si>
  <si>
    <t>JE-CIV-21421</t>
  </si>
  <si>
    <t>JE-CIV-21931</t>
  </si>
  <si>
    <t>JE-CIV-21420</t>
  </si>
  <si>
    <t>JE-CIV-21887</t>
  </si>
  <si>
    <t>JE-CIV-22058</t>
  </si>
  <si>
    <t>JE-CIV-22088</t>
  </si>
  <si>
    <t>JE-CIV-21889</t>
  </si>
  <si>
    <t>JE-CIV-21397</t>
  </si>
  <si>
    <t>JE-CIV-21422</t>
  </si>
  <si>
    <t>JE-CIV-22059</t>
  </si>
  <si>
    <t>JE-CIV-21893</t>
  </si>
  <si>
    <t>JE-CIV-21892</t>
  </si>
  <si>
    <t>JE-CIV-21205</t>
  </si>
  <si>
    <t>JE-CIV-22060</t>
  </si>
  <si>
    <t>JE-CIV-21932</t>
  </si>
  <si>
    <t>JE-CIV-22031</t>
  </si>
  <si>
    <t>JE-CIV-21408</t>
  </si>
  <si>
    <t>JE-CIV-21423</t>
  </si>
  <si>
    <t>JE-CIV-21220</t>
  </si>
  <si>
    <t>JE-CIV-21894</t>
  </si>
  <si>
    <t>JE-CIV-21208</t>
  </si>
  <si>
    <t>JE-CIV-21933</t>
  </si>
  <si>
    <t>JE-CIV-22064</t>
  </si>
  <si>
    <t>JE-CIV-22093</t>
  </si>
  <si>
    <t>JE-CIV-21425</t>
  </si>
  <si>
    <t>JE-CIV-21895</t>
  </si>
  <si>
    <t>JE-CIV-22092</t>
  </si>
  <si>
    <t>JE-CIV-21398</t>
  </si>
  <si>
    <t>JE-CIV-22094</t>
  </si>
  <si>
    <t>JE-CIV-21934</t>
  </si>
  <si>
    <t>JE-CIV-21427</t>
  </si>
  <si>
    <t>JE-CIV-21399</t>
  </si>
  <si>
    <t>JE-CIV-21426</t>
  </si>
  <si>
    <t>JE-CIV-21896</t>
  </si>
  <si>
    <t>JE-CIV-21935</t>
  </si>
  <si>
    <t>JE-CIV-22065</t>
  </si>
  <si>
    <t>JE-CIV-22029</t>
  </si>
  <si>
    <t>JE-CIV-21903</t>
  </si>
  <si>
    <t>JE-CIV-21904</t>
  </si>
  <si>
    <t>JE-CIV-21428</t>
  </si>
  <si>
    <t>JE-CIV-21212</t>
  </si>
  <si>
    <t>JE-CIV-21936</t>
  </si>
  <si>
    <t>JE-CIV-21210</t>
  </si>
  <si>
    <t>JE-CIV-21910</t>
  </si>
  <si>
    <t>JE-CIV-22066</t>
  </si>
  <si>
    <t>JE-CIV-21907</t>
  </si>
  <si>
    <t>JE-CIV-21905</t>
  </si>
  <si>
    <t>JE-CIV-22032</t>
  </si>
  <si>
    <t>JE-CIV-21409</t>
  </si>
  <si>
    <t>JE-CIV-22096</t>
  </si>
  <si>
    <t>JE-CIV-22231</t>
  </si>
  <si>
    <t>JE-CIV-21430</t>
  </si>
  <si>
    <t>JE-CIV-22067</t>
  </si>
  <si>
    <t>JE-CIV-21911</t>
  </si>
  <si>
    <t>JE-CIV-21908</t>
  </si>
  <si>
    <t>JE-CIV-22232</t>
  </si>
  <si>
    <t>JE-CIV-22097</t>
  </si>
  <si>
    <t>JE-CIV-21939</t>
  </si>
  <si>
    <t>JE-CIV-22098</t>
  </si>
  <si>
    <t>JE-CIV-22233</t>
  </si>
  <si>
    <t>JE-CIV-21912</t>
  </si>
  <si>
    <t>JE-CIV-21940</t>
  </si>
  <si>
    <t>JE-CIV-22070</t>
  </si>
  <si>
    <t>JE-CIV-22069</t>
  </si>
  <si>
    <t>JE-CIV-21393</t>
  </si>
  <si>
    <t>JE-CIV-21224</t>
  </si>
  <si>
    <t>JE-CIV-22107</t>
  </si>
  <si>
    <t>JE-CIV-21391</t>
  </si>
  <si>
    <t>JE-CIV-21941</t>
  </si>
  <si>
    <t>JE-CIV-21215</t>
  </si>
  <si>
    <t>JE-CIV-21392</t>
  </si>
  <si>
    <t>JE-CIV-22106</t>
  </si>
  <si>
    <t>JE-CIV-21914</t>
  </si>
  <si>
    <t>JE-CIV-22108</t>
  </si>
  <si>
    <t>JE-CIV-21431</t>
  </si>
  <si>
    <t>JE-CIV-21942</t>
  </si>
  <si>
    <t>JE-CIV-21432</t>
  </si>
  <si>
    <t>JE-CIV-21920</t>
  </si>
  <si>
    <t>JE-CIV-21944</t>
  </si>
  <si>
    <t>JE-CIV-21433</t>
  </si>
  <si>
    <t>JE-CIV-21943</t>
  </si>
  <si>
    <t>JE-CIV-21916</t>
  </si>
  <si>
    <t>JE-CIV-21917</t>
  </si>
  <si>
    <t>JE-CIV-21921</t>
  </si>
  <si>
    <t>JE-CIV-22099</t>
  </si>
  <si>
    <t>JE-CIV-21918</t>
  </si>
  <si>
    <t>JE-CIV-22071</t>
  </si>
  <si>
    <t>JE-CIV-21434</t>
  </si>
  <si>
    <t>JE-CIV-21435</t>
  </si>
  <si>
    <t>JE-CIV-21922</t>
  </si>
  <si>
    <t>S/2026/2614/A</t>
  </si>
  <si>
    <t>F-03830 EASYPARK ITALIA SRL</t>
  </si>
  <si>
    <t>B_000164795 / 2026</t>
  </si>
  <si>
    <t>JE-CIV-22506</t>
  </si>
  <si>
    <t>S/2026/2666/A</t>
  </si>
  <si>
    <t>37</t>
  </si>
  <si>
    <t>S/2026/2652/A</t>
  </si>
  <si>
    <t>500</t>
  </si>
  <si>
    <t>S/2026/2670/A</t>
  </si>
  <si>
    <t>789</t>
  </si>
  <si>
    <t>S/2026/2800/A</t>
  </si>
  <si>
    <t>2026/9000995598</t>
  </si>
  <si>
    <t>S/2026/2814/A</t>
  </si>
  <si>
    <t>835</t>
  </si>
  <si>
    <t>S/2026/3052/A</t>
  </si>
  <si>
    <t>F 356/2026/M</t>
  </si>
  <si>
    <t>S/2026/3112/A</t>
  </si>
  <si>
    <t>F-04452 D D SRL</t>
  </si>
  <si>
    <t>115/2026</t>
  </si>
  <si>
    <t>S/2026/3100/A</t>
  </si>
  <si>
    <t>F-01869 IL POGGIO DEI FRATELLI FIORAVANTI S.A.S. DI FIORAVANTI MARCO E C .</t>
  </si>
  <si>
    <t>301</t>
  </si>
  <si>
    <t>S/2026/3113/A</t>
  </si>
  <si>
    <t>191/H</t>
  </si>
  <si>
    <t>JE-CIV-22494</t>
  </si>
  <si>
    <t>S/2026/3134/A</t>
  </si>
  <si>
    <t>2026/9001064624</t>
  </si>
  <si>
    <t>S/2026/3115/A</t>
  </si>
  <si>
    <t>325/26</t>
  </si>
  <si>
    <t>JE-CIV-22495</t>
  </si>
  <si>
    <t>S/2026/3203/A</t>
  </si>
  <si>
    <t>F-00512 SO.CE. HOTEL S.A.S.</t>
  </si>
  <si>
    <t>377</t>
  </si>
  <si>
    <t>S/2026/3195/A</t>
  </si>
  <si>
    <t>S/2026/3192/A</t>
  </si>
  <si>
    <t>49</t>
  </si>
  <si>
    <t>S/2026/3179/A</t>
  </si>
  <si>
    <t>9326614993</t>
  </si>
  <si>
    <t>S/2026/3191/A</t>
  </si>
  <si>
    <t>47</t>
  </si>
  <si>
    <t>S/2026/3187/A</t>
  </si>
  <si>
    <t>S/2026/3258/A</t>
  </si>
  <si>
    <t>2026/9001121951</t>
  </si>
  <si>
    <t>S/2026/3244/A</t>
  </si>
  <si>
    <t>2026/9001119016</t>
  </si>
  <si>
    <t>S/2026/3249/A</t>
  </si>
  <si>
    <t>F-04457 MARINA DI PETROLO SRL</t>
  </si>
  <si>
    <t>159</t>
  </si>
  <si>
    <t>JE-CIV-22498</t>
  </si>
  <si>
    <t>S/2026/3225/A</t>
  </si>
  <si>
    <t>2026/9001078070</t>
  </si>
  <si>
    <t>S/2026/3238/A</t>
  </si>
  <si>
    <t>F-03827 SeS SAVONA SRL</t>
  </si>
  <si>
    <t>Struttura : Idea Hotel Savona - Nome Ospite : Mezzarobba - Data Arrivo : 2026-04-14 00:00:00 - Data Partenza : 2026-04-16 00:00:00</t>
  </si>
  <si>
    <t>12601404/S</t>
  </si>
  <si>
    <t>S/2026/3222/A</t>
  </si>
  <si>
    <t>2026/9001078016</t>
  </si>
  <si>
    <t>S/2026/3230/A</t>
  </si>
  <si>
    <t>223/H</t>
  </si>
  <si>
    <t>S/2026/3269/A</t>
  </si>
  <si>
    <t>2026/9001125115</t>
  </si>
  <si>
    <t>S/2026/3268/A</t>
  </si>
  <si>
    <t>2026/9001125114</t>
  </si>
  <si>
    <t>S/2026/3267/A</t>
  </si>
  <si>
    <t>E1002</t>
  </si>
  <si>
    <t>S/2026/3287/A</t>
  </si>
  <si>
    <t>Nome Struttura - Hotel J24 Nome Ospite - Lo Re Data Arrivo - 20/04/2026 Data Partenza - 21/04/2026 Numero di Camera - 619 Numero di Ospiti - 1 Numero Prenotazione - 7100891 Numero Riferimento - 2026040847492542-1</t>
  </si>
  <si>
    <t>12605134J</t>
  </si>
  <si>
    <t>S/2026/3290/A</t>
  </si>
  <si>
    <t>F-04460 ERGIGE S.R.L.</t>
  </si>
  <si>
    <t>259/2026</t>
  </si>
  <si>
    <t>JE-CIV-22501</t>
  </si>
  <si>
    <t>S/2026/3273/A</t>
  </si>
  <si>
    <t>E1005</t>
  </si>
  <si>
    <t>S/2026/3306/A</t>
  </si>
  <si>
    <t>000000048005244P</t>
  </si>
  <si>
    <t>S/2026/3299/A</t>
  </si>
  <si>
    <t>E1017</t>
  </si>
  <si>
    <t>S/2026/3303/A</t>
  </si>
  <si>
    <t>F-00070 GESAC S.P.A.</t>
  </si>
  <si>
    <t>000000310006946P</t>
  </si>
  <si>
    <t>S/2026/3308/A</t>
  </si>
  <si>
    <t>000000460000933P</t>
  </si>
  <si>
    <t>S/2026/3301/A</t>
  </si>
  <si>
    <t>0000000007713315</t>
  </si>
  <si>
    <t>S/2026/3297/A</t>
  </si>
  <si>
    <t>E1015</t>
  </si>
  <si>
    <t>S/2026/3302/A</t>
  </si>
  <si>
    <t>928</t>
  </si>
  <si>
    <t>S/2026/3307/A</t>
  </si>
  <si>
    <t>000000014017724P</t>
  </si>
  <si>
    <t>S/2026/3305/A</t>
  </si>
  <si>
    <t>000000022014977P</t>
  </si>
  <si>
    <t>S/2026/3295/A</t>
  </si>
  <si>
    <t>F-00249 NH ITALIA S.P.A.</t>
  </si>
  <si>
    <t>GLNSELLER8436530367818</t>
  </si>
  <si>
    <t>IDA1026025</t>
  </si>
  <si>
    <t>JE-CIV-22503</t>
  </si>
  <si>
    <t>S/2026/3298/A</t>
  </si>
  <si>
    <t>E1016</t>
  </si>
  <si>
    <t>S/2026/3421/A</t>
  </si>
  <si>
    <t>603</t>
  </si>
  <si>
    <t>S/2026/3382/A</t>
  </si>
  <si>
    <t>0000000007720565</t>
  </si>
  <si>
    <t>S/2026/3430/A</t>
  </si>
  <si>
    <t>240/H</t>
  </si>
  <si>
    <t>S/2026/3434/A</t>
  </si>
  <si>
    <t>F-04466 FARO SERVICES SRLS</t>
  </si>
  <si>
    <t>FPR 195/26</t>
  </si>
  <si>
    <t>JE-CIV-22505</t>
  </si>
  <si>
    <t>JE-CIV-22504</t>
  </si>
  <si>
    <t>S/2026/3464/A</t>
  </si>
  <si>
    <t>F-04462 EMILIO MILONE</t>
  </si>
  <si>
    <t>FA/2026/0650</t>
  </si>
  <si>
    <t>S/2026/3532/A</t>
  </si>
  <si>
    <t>F-04474 VERNA HOTELS S.A.S.</t>
  </si>
  <si>
    <t>198/A/2026</t>
  </si>
  <si>
    <t>S/2026/3521/A</t>
  </si>
  <si>
    <t>F-04119 HOTEL SAVOIA DI PIAZZA HOTELS &amp; RESIDENCES SRL</t>
  </si>
  <si>
    <t>FATTURA1051</t>
  </si>
  <si>
    <t>SHR 1051</t>
  </si>
  <si>
    <t>Attività di consulenza tecnica-comune di Manduria TA</t>
  </si>
  <si>
    <t>Prestazione tecnica per riconfinazione area impianto di pubblica illuminazione del Comune di Scurcola Marsicana (AQ) /</t>
  </si>
  <si>
    <t>PREPARAZIONE DOCUMENTAZIONE GARA AFFIDAMENTO-COMUNE DI
MILAZZO (ME)</t>
  </si>
  <si>
    <t>Rimborso spese mese di aprile</t>
  </si>
  <si>
    <t>consulenza contratto 2024 - servizi resi a marzo 2026</t>
  </si>
  <si>
    <t>PROGETTAZIONE ESECUTIVA, COORDINAMENTO DELLA
SICUREZZA IN FASE DI PROGETTAZIONE, DIREZIONE
LAVORI E COORDINAMENTO DELLA SICUREZZA IN FASE
DI ESECUZIONE- E.L.EN.A. CONTRATTO LOTTO
3</t>
  </si>
  <si>
    <t>E.L.EN.A. CONTRATTO LOTTO 4</t>
  </si>
  <si>
    <t>E.L.EN.A. CONTRATTO LOTTO 1</t>
  </si>
  <si>
    <t>E.L.EN.A. CONTRATTO LOTTO 2</t>
  </si>
  <si>
    <t>F-04062 Giovanni Rossi</t>
  </si>
  <si>
    <t>Servizi per indennizzo garanzie assicurative mese di marzo 2026</t>
  </si>
  <si>
    <t>fattura per assistenza Vs sistemi aziendali (ISO 9001 - ISO 14001 - ISO 45001 - ISO 50001 - UNI CEI 11352 - PdR 125 e SA8000)</t>
  </si>
  <si>
    <t>Asseverazione Piano Economico - Proposta PPP Riqualificazione energetica Comune di Saronno</t>
  </si>
  <si>
    <t>VISURA CAMERALE-DATABASE INTERNAZIONALE HOME-STANDARD PACK -Report Investigato Post-Affidamento-VISURA CAMERALE STORICA</t>
  </si>
  <si>
    <t xml:space="preserve">F-04476 VLN ENGINEERING SRL-F-04249 ATLANTICO S.p.A	 </t>
  </si>
  <si>
    <t xml:space="preserve">consulenza strategica gara SACILE-Servizi per indennizzo garanzie assicurative
mese di aprile 2026 .- contratto IE59-26 preparazione busta tecnica gara
SACILE (PN) </t>
  </si>
  <si>
    <t>Redazione del Progetto di Fattibilità Tecnico-Economica (PFTE)da presentare presso
lAmministrazione Comunale di Gallarate (VA). VS incarico del 04.03.2026. Acconto.</t>
  </si>
  <si>
    <t>Costi di Progettazione</t>
  </si>
  <si>
    <t>Indagine Geologica - Comune di Ruoti</t>
  </si>
  <si>
    <t>Spese legali</t>
  </si>
  <si>
    <t>Spese per viaggi</t>
  </si>
  <si>
    <t xml:space="preserve"> Soggiorno DEL BASSO LUCA</t>
  </si>
  <si>
    <t xml:space="preserve">Soggiorno TIERI BARBARA </t>
  </si>
  <si>
    <t xml:space="preserve">Soggiorno TATARELLI MARCO </t>
  </si>
  <si>
    <t>Soggiorno BOSCOLO SANIA</t>
  </si>
  <si>
    <t>Soggiorno VADACCHINO VALERIO</t>
  </si>
  <si>
    <t>S/2026/3673/A</t>
  </si>
  <si>
    <t>S/2026/3836/A</t>
  </si>
  <si>
    <t>S/2026/4260/A</t>
  </si>
  <si>
    <t>S/2026/4369/A</t>
  </si>
  <si>
    <t>4/2026</t>
  </si>
  <si>
    <t>6/FE</t>
  </si>
  <si>
    <t>Total - 700405 - Comp. Prof. Attinenti  Attivita' Senza Rit.</t>
  </si>
  <si>
    <t>S/2026/3862/A</t>
  </si>
  <si>
    <t>S/2026/4139/A</t>
  </si>
  <si>
    <t>S/2026/4275/A</t>
  </si>
  <si>
    <t>S/2026/4274/A</t>
  </si>
  <si>
    <t>S/2026/4292/A</t>
  </si>
  <si>
    <t>S/2026/4287/A</t>
  </si>
  <si>
    <t>F-02352 DE CHECCHI ANDREA</t>
  </si>
  <si>
    <t>AF01 1078/26</t>
  </si>
  <si>
    <t>AF01 1076/26</t>
  </si>
  <si>
    <t>64/E</t>
  </si>
  <si>
    <t>AF01 1095/26</t>
  </si>
  <si>
    <t>S/2026/3913/A</t>
  </si>
  <si>
    <t>S/2026/4070/A</t>
  </si>
  <si>
    <t>S/2026/4320/A</t>
  </si>
  <si>
    <t>Oggetto: RIESAME PRATICA PER RICERTIFICAZIONE PER LA NORMA ISO 45001 (CERTIFICATO 9192.STT3)</t>
  </si>
  <si>
    <t>826011801</t>
  </si>
  <si>
    <t>SID000247970</t>
  </si>
  <si>
    <t>S/2026/3644/A</t>
  </si>
  <si>
    <t>S/2026/3651/A</t>
  </si>
  <si>
    <t>S/2026/3671/A</t>
  </si>
  <si>
    <t>S/2026/4148/A</t>
  </si>
  <si>
    <t>S/2026/4195/A</t>
  </si>
  <si>
    <t>S/2026/4239/A</t>
  </si>
  <si>
    <t>S/2026/4265/A</t>
  </si>
  <si>
    <t>S/2026/4263/A</t>
  </si>
  <si>
    <t>S/2026/4358/A</t>
  </si>
  <si>
    <t>F-04508 PRAXI SPA</t>
  </si>
  <si>
    <t>da non pagare</t>
  </si>
  <si>
    <t>ATTIVITA  SVOLTA DAL NOTAIO NICOLA ATLANTE DI ROMA (*) consulenza per tutta l operazione e assistenza pre e post atto notarile, conferenze e colloqui telefonici, mail; (*) predisposizione, redazione  e revisione minute; (*) redazione atto; (*) stipula atto; (*) esecuzione di visure camerali pre stipula. - VERBALE DI ASSEMBLEA DI S.p.A. (modifica degli articoli 3 e 6 dello statuto sociale senza c ontenuto patrimoniale) rep. 73.676 racc. 38.161 in data 30 aprile 2026; - adempimenti successivi: (*) registrazione c/o l Agenzia delle Entrate di Roma 5; (*) deposito in data 4/5/2026 e successiva is crizione c/o il Registro delle Imprese di Milano; (*) rilascio di 1 copia autentica digitale per la società.</t>
  </si>
  <si>
    <t>IT03I3B2604266</t>
  </si>
  <si>
    <t>2026NC-0071</t>
  </si>
  <si>
    <t>885</t>
  </si>
  <si>
    <t>2026304276</t>
  </si>
  <si>
    <t>IT03I3B2604805</t>
  </si>
  <si>
    <t>1863/T</t>
  </si>
  <si>
    <t>2600130</t>
  </si>
  <si>
    <t>JE-CIV-23356</t>
  </si>
  <si>
    <t>JE-CIV-23357</t>
  </si>
  <si>
    <t>JE-CIV-23544</t>
  </si>
  <si>
    <t>JE-CIV-23545</t>
  </si>
  <si>
    <t>JE-CIV-23624</t>
  </si>
  <si>
    <t>JE-CIV-23452</t>
  </si>
  <si>
    <t>JE-CIV-23860</t>
  </si>
  <si>
    <t>JE-CIV-23040</t>
  </si>
  <si>
    <t>JE-CIV-23457</t>
  </si>
  <si>
    <t>JE-CIV-23626</t>
  </si>
  <si>
    <t>JE-CIV-23388</t>
  </si>
  <si>
    <t>JE-CIV-22628</t>
  </si>
  <si>
    <t>JE-CIV-23458</t>
  </si>
  <si>
    <t>JE-CIV-23546</t>
  </si>
  <si>
    <t>JE-CIV-23454</t>
  </si>
  <si>
    <t>JE-CIV-23387</t>
  </si>
  <si>
    <t>JE-CIV-23629</t>
  </si>
  <si>
    <t>JE-CIV-23466</t>
  </si>
  <si>
    <t>JE-CIV-23631</t>
  </si>
  <si>
    <t>JE-CIV-23547</t>
  </si>
  <si>
    <t>JE-CIV-23390</t>
  </si>
  <si>
    <t>JE-CIV-23461</t>
  </si>
  <si>
    <t>JE-CIV-23632</t>
  </si>
  <si>
    <t>JE-CIV-23465</t>
  </si>
  <si>
    <t>JE-CIV-23630</t>
  </si>
  <si>
    <t>JE-CIV-23464</t>
  </si>
  <si>
    <t>JE-CIV-23462</t>
  </si>
  <si>
    <t>JE-CIV-23459</t>
  </si>
  <si>
    <t>JE-CIV-23467</t>
  </si>
  <si>
    <t>JE-CIV-22629</t>
  </si>
  <si>
    <t>JE-CIV-23391</t>
  </si>
  <si>
    <t>JE-CIV-23548</t>
  </si>
  <si>
    <t>JE-CIV-23633</t>
  </si>
  <si>
    <t>JE-CIV-23551</t>
  </si>
  <si>
    <t>JE-CIV-22631</t>
  </si>
  <si>
    <t>JE-CIV-23394</t>
  </si>
  <si>
    <t>JE-CIV-23550</t>
  </si>
  <si>
    <t>JE-CIV-23392</t>
  </si>
  <si>
    <t>JE-CIV-23393</t>
  </si>
  <si>
    <t>JE-CIV-22630</t>
  </si>
  <si>
    <t>JE-CIV-22632</t>
  </si>
  <si>
    <t>JE-CIV-23552</t>
  </si>
  <si>
    <t>JE-CIV-23471</t>
  </si>
  <si>
    <t>JE-CIV-22634</t>
  </si>
  <si>
    <t>JE-CIV-23553</t>
  </si>
  <si>
    <t>JE-CIV-22633</t>
  </si>
  <si>
    <t>JE-CIV-23397</t>
  </si>
  <si>
    <t>JE-CIV-22638</t>
  </si>
  <si>
    <t>JE-CIV-22636</t>
  </si>
  <si>
    <t>JE-CIV-22637</t>
  </si>
  <si>
    <t>JE-CIV-22635</t>
  </si>
  <si>
    <t>JE-CIV-23044</t>
  </si>
  <si>
    <t>JE-CIV-23396</t>
  </si>
  <si>
    <t>JE-CIV-23395</t>
  </si>
  <si>
    <t>JE-CIV-23554</t>
  </si>
  <si>
    <t>JE-CIV-22639</t>
  </si>
  <si>
    <t>JE-CIV-23398</t>
  </si>
  <si>
    <t>JE-CIV-23475</t>
  </si>
  <si>
    <t>JE-CIV-23474</t>
  </si>
  <si>
    <t>JE-CIV-23555</t>
  </si>
  <si>
    <t>JE-CIV-22573</t>
  </si>
  <si>
    <t>JE-CIV-22641</t>
  </si>
  <si>
    <t>JE-CIV-23476</t>
  </si>
  <si>
    <t>JE-CIV-23636</t>
  </si>
  <si>
    <t>JE-CIV-23399</t>
  </si>
  <si>
    <t>JE-CIV-23479</t>
  </si>
  <si>
    <t>JE-CIV-22640</t>
  </si>
  <si>
    <t>JE-CIV-23017</t>
  </si>
  <si>
    <t>JE-CIV-23634</t>
  </si>
  <si>
    <t>JE-CIV-23635</t>
  </si>
  <si>
    <t>JE-CIV-23477</t>
  </si>
  <si>
    <t>JE-CIV-23637</t>
  </si>
  <si>
    <t>JE-CIV-23018</t>
  </si>
  <si>
    <t>JE-CIV-23556</t>
  </si>
  <si>
    <t>JE-CIV-23400</t>
  </si>
  <si>
    <t>JE-CIV-22595</t>
  </si>
  <si>
    <t>JE-CIV-22642</t>
  </si>
  <si>
    <t>JE-CIV-23019</t>
  </si>
  <si>
    <t>JE-CIV-23401</t>
  </si>
  <si>
    <t>JE-CIV-23480</t>
  </si>
  <si>
    <t>JE-CIV-22599</t>
  </si>
  <si>
    <t>JE-CIV-23494</t>
  </si>
  <si>
    <t>JE-CIV-23493</t>
  </si>
  <si>
    <t>JE-CIV-22597</t>
  </si>
  <si>
    <t>JE-CIV-23054</t>
  </si>
  <si>
    <t>JE-CIV-23020</t>
  </si>
  <si>
    <t>JE-CIV-22662</t>
  </si>
  <si>
    <t>JE-CIV-23558</t>
  </si>
  <si>
    <t>JE-CIV-23862</t>
  </si>
  <si>
    <t>JE-CIV-23482</t>
  </si>
  <si>
    <t>JE-CIV-23402</t>
  </si>
  <si>
    <t>JE-CIV-22598</t>
  </si>
  <si>
    <t>JE-CIV-22613</t>
  </si>
  <si>
    <t>JE-CIV-23504</t>
  </si>
  <si>
    <t>JE-CIV-23560</t>
  </si>
  <si>
    <t>JE-CIV-23055</t>
  </si>
  <si>
    <t>JE-CIV-23559</t>
  </si>
  <si>
    <t>JE-CIV-22615</t>
  </si>
  <si>
    <t>JE-CIV-23563</t>
  </si>
  <si>
    <t>JE-CIV-22643</t>
  </si>
  <si>
    <t>JE-CIV-22614</t>
  </si>
  <si>
    <t>JE-CIV-23562</t>
  </si>
  <si>
    <t>JE-CIV-22616</t>
  </si>
  <si>
    <t>JE-CIV-22644</t>
  </si>
  <si>
    <t>JE-CIV-22601</t>
  </si>
  <si>
    <t>JE-CIV-23403</t>
  </si>
  <si>
    <t>JE-CIV-23568</t>
  </si>
  <si>
    <t>JE-CIV-23512</t>
  </si>
  <si>
    <t>JE-CIV-23567</t>
  </si>
  <si>
    <t>JE-CIV-22645</t>
  </si>
  <si>
    <t>JE-CIV-23574</t>
  </si>
  <si>
    <t>JE-CIV-23861</t>
  </si>
  <si>
    <t>JE-CIV-23407</t>
  </si>
  <si>
    <t>JE-CIV-22647</t>
  </si>
  <si>
    <t>JE-CIV-23575</t>
  </si>
  <si>
    <t>JE-CIV-23404</t>
  </si>
  <si>
    <t>JE-CIV-23405</t>
  </si>
  <si>
    <t>JE-CIV-22646</t>
  </si>
  <si>
    <t>JE-CIV-22602</t>
  </si>
  <si>
    <t>JE-CIV-23406</t>
  </si>
  <si>
    <t>JE-CIV-23514</t>
  </si>
  <si>
    <t>JE-CIV-23581</t>
  </si>
  <si>
    <t>JE-CIV-22605</t>
  </si>
  <si>
    <t>JE-CIV-23580</t>
  </si>
  <si>
    <t>JE-CIV-22604</t>
  </si>
  <si>
    <t>JE-CIV-23578</t>
  </si>
  <si>
    <t>JE-CIV-22648</t>
  </si>
  <si>
    <t>JE-CIV-23517</t>
  </si>
  <si>
    <t>JE-CIV-23409</t>
  </si>
  <si>
    <t>JE-CIV-23520</t>
  </si>
  <si>
    <t>JE-CIV-23584</t>
  </si>
  <si>
    <t>JE-CIV-22649</t>
  </si>
  <si>
    <t>JE-CIV-23408</t>
  </si>
  <si>
    <t>JE-CIV-23024</t>
  </si>
  <si>
    <t>JE-CIV-23585</t>
  </si>
  <si>
    <t>JE-CIV-23582</t>
  </si>
  <si>
    <t>JE-CIV-23025</t>
  </si>
  <si>
    <t>JE-CIV-23058</t>
  </si>
  <si>
    <t>JE-CIV-22607</t>
  </si>
  <si>
    <t>JE-CIV-23522</t>
  </si>
  <si>
    <t>JE-CIV-23411</t>
  </si>
  <si>
    <t>JE-CIV-22650</t>
  </si>
  <si>
    <t>JE-CIV-22618</t>
  </si>
  <si>
    <t>JE-CIV-23587</t>
  </si>
  <si>
    <t>JE-CIV-22651</t>
  </si>
  <si>
    <t>JE-CIV-23503</t>
  </si>
  <si>
    <t>JE-CIV-23412</t>
  </si>
  <si>
    <t>JE-CIV-22619</t>
  </si>
  <si>
    <t>JE-CIV-23595</t>
  </si>
  <si>
    <t>JE-CIV-22620</t>
  </si>
  <si>
    <t>JE-CIV-23590</t>
  </si>
  <si>
    <t>JE-CIV-23591</t>
  </si>
  <si>
    <t>JE-CIV-23592</t>
  </si>
  <si>
    <t>JE-CIV-23059</t>
  </si>
  <si>
    <t>JE-CIV-22652</t>
  </si>
  <si>
    <t>JE-CIV-23597</t>
  </si>
  <si>
    <t>JE-CIV-22612</t>
  </si>
  <si>
    <t>JE-CIV-22611</t>
  </si>
  <si>
    <t>JE-CIV-23599</t>
  </si>
  <si>
    <t>JE-CIV-23414</t>
  </si>
  <si>
    <t>JE-CIV-23598</t>
  </si>
  <si>
    <t>JE-CIV-23600</t>
  </si>
  <si>
    <t>JE-CIV-23413</t>
  </si>
  <si>
    <t>JE-CIV-23601</t>
  </si>
  <si>
    <t>JE-CIV-22621</t>
  </si>
  <si>
    <t>JE-CIV-23061</t>
  </si>
  <si>
    <t>JE-CIV-22654</t>
  </si>
  <si>
    <t>JE-CIV-23604</t>
  </si>
  <si>
    <t>JE-CIV-23603</t>
  </si>
  <si>
    <t>JE-CIV-23523</t>
  </si>
  <si>
    <t>JE-CIV-23415</t>
  </si>
  <si>
    <t>JE-CIV-22653</t>
  </si>
  <si>
    <t>JE-CIV-23605</t>
  </si>
  <si>
    <t>JE-CIV-23609</t>
  </si>
  <si>
    <t>JE-CIV-23612</t>
  </si>
  <si>
    <t>JE-CIV-23613</t>
  </si>
  <si>
    <t>JE-CIV-23608</t>
  </si>
  <si>
    <t>JE-CIV-23524</t>
  </si>
  <si>
    <t>JE-CIV-23610</t>
  </si>
  <si>
    <t>JE-CIV-23607</t>
  </si>
  <si>
    <t>JE-CIV-22655</t>
  </si>
  <si>
    <t>JE-CIV-23527</t>
  </si>
  <si>
    <t>JE-CIV-23526</t>
  </si>
  <si>
    <t>JE-CIV-23418</t>
  </si>
  <si>
    <t>JE-CIV-23614</t>
  </si>
  <si>
    <t>JE-CIV-23615</t>
  </si>
  <si>
    <t>JE-CIV-23420</t>
  </si>
  <si>
    <t>JE-CIV-23128</t>
  </si>
  <si>
    <t>JE-CIV-23618</t>
  </si>
  <si>
    <t>JE-CIV-23062</t>
  </si>
  <si>
    <t>JE-CIV-22657</t>
  </si>
  <si>
    <t>JE-CIV-22656</t>
  </si>
  <si>
    <t>JE-CIV-23616</t>
  </si>
  <si>
    <t>JE-CIV-22625</t>
  </si>
  <si>
    <t>JE-CIV-23619</t>
  </si>
  <si>
    <t>JE-CIV-22658</t>
  </si>
  <si>
    <t>JE-CIV-23423</t>
  </si>
  <si>
    <t>JE-CIV-23064</t>
  </si>
  <si>
    <t>S/2026/3665/A</t>
  </si>
  <si>
    <t>038842-2026-S-MM</t>
  </si>
  <si>
    <t>S/2026/3700/A</t>
  </si>
  <si>
    <t>2026/9001297770</t>
  </si>
  <si>
    <t>S/2026/3716/A</t>
  </si>
  <si>
    <t>1063</t>
  </si>
  <si>
    <t>S/2026/3707/A</t>
  </si>
  <si>
    <t>Nome Struttura - Hotel J24 Nome Ospite - Lo Re Data Arrivo - 04/05/2026 Data Partenza - 05/05/2026 Numero di Camera - 220 Numero di Ospiti - 1 Numero Prenotazione - 7135446 Numero Riferimento - 2026043048077453-1</t>
  </si>
  <si>
    <t>12605773J</t>
  </si>
  <si>
    <t>S/2026/3756/A</t>
  </si>
  <si>
    <t>1100</t>
  </si>
  <si>
    <t>S/2026/3757/A</t>
  </si>
  <si>
    <t>700</t>
  </si>
  <si>
    <t>S/2026/3939/A</t>
  </si>
  <si>
    <t>FA/2026/0733</t>
  </si>
  <si>
    <t>S/2026/4031/A</t>
  </si>
  <si>
    <t>1135</t>
  </si>
  <si>
    <t>S/2026/4088/A</t>
  </si>
  <si>
    <t>1161</t>
  </si>
  <si>
    <t>S/2026/4111/A</t>
  </si>
  <si>
    <t>FA/2026/0777</t>
  </si>
  <si>
    <t>S/2026/4112/A</t>
  </si>
  <si>
    <t>FA/2026/0781</t>
  </si>
  <si>
    <t>S/2026/4135/A</t>
  </si>
  <si>
    <t>Oggetto: ATTIVITA  DI RICERTIFICAZIONE E SPESE DI TRASFERTA PER LA NORMA ISO 45001</t>
  </si>
  <si>
    <t>826012101</t>
  </si>
  <si>
    <t>S/2026/4165/A</t>
  </si>
  <si>
    <t>2026/9001427673</t>
  </si>
  <si>
    <t>S/2026/4213/A</t>
  </si>
  <si>
    <t>F-01669 TRENORD Srl</t>
  </si>
  <si>
    <t>2026/880082907</t>
  </si>
  <si>
    <t>S/2026/4212/A</t>
  </si>
  <si>
    <t>2026/9001447933</t>
  </si>
  <si>
    <t>S/2026/4233/A</t>
  </si>
  <si>
    <t>F-03668 DI SABATINO SRL</t>
  </si>
  <si>
    <t>217S</t>
  </si>
  <si>
    <t>S/2026/4240/A</t>
  </si>
  <si>
    <t>000000256008921P</t>
  </si>
  <si>
    <t>S/2026/4241/A</t>
  </si>
  <si>
    <t>000000602007203P</t>
  </si>
  <si>
    <t>S/2026/4242/A</t>
  </si>
  <si>
    <t>000000014023334P</t>
  </si>
  <si>
    <t>S/2026/4246/A</t>
  </si>
  <si>
    <t>000000059435150T</t>
  </si>
  <si>
    <t>S/2026/4276/A</t>
  </si>
  <si>
    <t>0000000010362335</t>
  </si>
  <si>
    <t>S/2026/4277/A</t>
  </si>
  <si>
    <t>000000059519974T</t>
  </si>
  <si>
    <t>S/2026/4284/A</t>
  </si>
  <si>
    <t>2026/9001487746</t>
  </si>
  <si>
    <t>S/2026/4252/A</t>
  </si>
  <si>
    <t>F-01644 SABA ITALIA SPA</t>
  </si>
  <si>
    <t>000000086050943P</t>
  </si>
  <si>
    <t>S/2026/4243/A</t>
  </si>
  <si>
    <t>000000020015690P</t>
  </si>
  <si>
    <t>S/2026/4257/A</t>
  </si>
  <si>
    <t>F-04509 LOMBARDIA PARCHEGGI SRL</t>
  </si>
  <si>
    <t>000000524003366P</t>
  </si>
  <si>
    <t>S/2026/4247/A</t>
  </si>
  <si>
    <t>0000000010355095</t>
  </si>
  <si>
    <t>S/2026/4244/A</t>
  </si>
  <si>
    <t>000000048006922P</t>
  </si>
  <si>
    <t>S/2026/4301/A</t>
  </si>
  <si>
    <t>2026/9001499505</t>
  </si>
  <si>
    <t>S/2026/4323/A</t>
  </si>
  <si>
    <t>300/H</t>
  </si>
  <si>
    <t>S/2026/4322/A</t>
  </si>
  <si>
    <t>803</t>
  </si>
  <si>
    <t>PEF Canosa di Puglia, Miglionico, Buonabitacolo, Borgetto e Vairano Patenora</t>
  </si>
  <si>
    <t xml:space="preserve">Progetto tecnico di gara - Parco Archeologico Pompei </t>
  </si>
  <si>
    <t>Collaudo illuminazione pubblica Lanuvio</t>
  </si>
  <si>
    <t>JE-CIV-23869</t>
  </si>
  <si>
    <t>JE-CIV-23866</t>
  </si>
  <si>
    <t>JE-CIV-23864</t>
  </si>
  <si>
    <t>JE-CIV-23872</t>
  </si>
  <si>
    <t>JE-CIV-23870</t>
  </si>
  <si>
    <t>JE-CIV-23867</t>
  </si>
  <si>
    <t>JE-CIV-23874</t>
  </si>
  <si>
    <t>JE-CIV-24005</t>
  </si>
  <si>
    <t>S/2026/4488/A</t>
  </si>
  <si>
    <t>S/2026/4526/A</t>
  </si>
  <si>
    <t>S/2026/4570/A</t>
  </si>
  <si>
    <t>F-04529 ROCCO DONATO LORUSSO</t>
  </si>
  <si>
    <t>S/2026/4615/A</t>
  </si>
  <si>
    <t>F-01911 RESTART ENERGY LAB S.R.L.</t>
  </si>
  <si>
    <t>S/2026/4614/A</t>
  </si>
  <si>
    <t>S/2026/4618/A</t>
  </si>
  <si>
    <t>S/2026/4609/A</t>
  </si>
  <si>
    <t>S/2026/4626/A</t>
  </si>
  <si>
    <t>F-04531 PAOLO SCOTTO</t>
  </si>
  <si>
    <t>S/2026/4712/A</t>
  </si>
  <si>
    <t>S/2026/4713/A</t>
  </si>
  <si>
    <t>S/2026/5041/A</t>
  </si>
  <si>
    <t>F-00304 ACCETTA CRISTIAN</t>
  </si>
  <si>
    <t>S/2026/5106/A</t>
  </si>
  <si>
    <t>S/2026/5228/A</t>
  </si>
  <si>
    <t>S/2026/5204/A</t>
  </si>
  <si>
    <t>JE-CIV-25637</t>
  </si>
  <si>
    <t>JE-CIV-25476</t>
  </si>
  <si>
    <t>JE-CIV-25482</t>
  </si>
  <si>
    <t>JE-CIV-25475</t>
  </si>
  <si>
    <t>JE-CIV-25484</t>
  </si>
  <si>
    <t>JE-CIV-25479</t>
  </si>
  <si>
    <t>JE-CIV-25478</t>
  </si>
  <si>
    <t>JE-CIV-25487</t>
  </si>
  <si>
    <t>FATTURA</t>
  </si>
  <si>
    <t>NOTA CREDITO</t>
  </si>
  <si>
    <t>5/2026</t>
  </si>
  <si>
    <t>6/2026</t>
  </si>
  <si>
    <t>FPR 21/26</t>
  </si>
  <si>
    <t>9 /I</t>
  </si>
  <si>
    <t>8 /I</t>
  </si>
  <si>
    <t>4 /I</t>
  </si>
  <si>
    <t>3 /I</t>
  </si>
  <si>
    <t>FPR 14/26</t>
  </si>
  <si>
    <t>18 /I</t>
  </si>
  <si>
    <t>19 /I</t>
  </si>
  <si>
    <t>FPR 23/26</t>
  </si>
  <si>
    <t>20 /I</t>
  </si>
  <si>
    <t>7/FE</t>
  </si>
  <si>
    <t>21 /I</t>
  </si>
  <si>
    <t>S/2026/4698/A</t>
  </si>
  <si>
    <t>S/2026/4699/A</t>
  </si>
  <si>
    <t>S/2026/4707/A</t>
  </si>
  <si>
    <t>S/2026/4700/A</t>
  </si>
  <si>
    <t>S/2026/4695/A</t>
  </si>
  <si>
    <t>F-04532 ROBERTO MONDINI</t>
  </si>
  <si>
    <t>S/2026/5002/A</t>
  </si>
  <si>
    <t>F-01783 CARMINE DI GIACOMO</t>
  </si>
  <si>
    <t>S/2026/5017/A</t>
  </si>
  <si>
    <t>F-04545 LUCA SPORTELLI</t>
  </si>
  <si>
    <t>S/2026/5032/A</t>
  </si>
  <si>
    <t>S/2026/5039/A</t>
  </si>
  <si>
    <t>F-04546 ROBERTO ADOSIO</t>
  </si>
  <si>
    <t>S/2026/5082/A</t>
  </si>
  <si>
    <t>S/2026/5132/A</t>
  </si>
  <si>
    <t>F-01939 Bonelli Erede Lombardi Pappalardo - Studio Legale</t>
  </si>
  <si>
    <t>S/2026/5168/A</t>
  </si>
  <si>
    <t>F-04561 CARUSO E ANDREATINI - NOTAI ASSOCIATI</t>
  </si>
  <si>
    <t>S/2026/5169/A</t>
  </si>
  <si>
    <t>AFFIDAMENTO SERVIZI TECNICI DI DIREZIONE LAVORI E COORDINAMENTO DELLA SICUREZZA IN FASE DI ESECUZIONE PER L INTERVENTO DI RIQUALIFICAZIONE DELL IMPIANTO D ILLUMINAZIONE PUBBLICA - DIREZIONE LAVORI</t>
  </si>
  <si>
    <t>In relazione all attività di Organismo di Vigilanza per il I° trimestre 2026.</t>
  </si>
  <si>
    <t>CESSIONE DI PARTECIPAZIONE NELLA SOCIETA   DIAMOND SMART CITY S.R.L.  IN AUTENTICA</t>
  </si>
  <si>
    <t>CESSIONI DI PARTECIPAZIONI NELLA SOCIETA   RSEE ROMAGNANO SESIA EFFICIENZA ENERGETICA S.R.L.  IN AUTENTICA</t>
  </si>
  <si>
    <t>FPR 20/26</t>
  </si>
  <si>
    <t>FPR 19/26</t>
  </si>
  <si>
    <t>11/001</t>
  </si>
  <si>
    <t>9</t>
  </si>
  <si>
    <t>AF01 1367/26</t>
  </si>
  <si>
    <t>2536/2026/01EL</t>
  </si>
  <si>
    <t>1898/2026</t>
  </si>
  <si>
    <t>1897/2026</t>
  </si>
  <si>
    <t>S/2026/4440/A</t>
  </si>
  <si>
    <t>S/2026/4586/A</t>
  </si>
  <si>
    <t>S/2026/4589/A</t>
  </si>
  <si>
    <t>S/2026/4552/A</t>
  </si>
  <si>
    <t>S/2026/4660/A</t>
  </si>
  <si>
    <t>F-00843 STUDIO ERGANI SRL</t>
  </si>
  <si>
    <t>S/2026/4886/A</t>
  </si>
  <si>
    <t>S/2026/4928/A</t>
  </si>
  <si>
    <t>F-04538 BUREAU VERITAS ITALIA Spa</t>
  </si>
  <si>
    <t>S/2026/5004/A</t>
  </si>
  <si>
    <t>F-04543 ANDREA BERRI</t>
  </si>
  <si>
    <t>S/2026/5121/A</t>
  </si>
  <si>
    <t>S/2026/5209/A</t>
  </si>
  <si>
    <t>F-04476 VLN ENGINEERING SRL</t>
  </si>
  <si>
    <t>S/2026/5202/A</t>
  </si>
  <si>
    <t>F-04558 ALBATROS SRL</t>
  </si>
  <si>
    <t>S/2026/5208/A</t>
  </si>
  <si>
    <t>S/2026/5248/A</t>
  </si>
  <si>
    <t>F-04553 GEMO SERVICE SRL</t>
  </si>
  <si>
    <t>S/2026/5241/A</t>
  </si>
  <si>
    <t>F-04542 AEQUILIBRIA SRL</t>
  </si>
  <si>
    <t>S/2026/5242/A</t>
  </si>
  <si>
    <t>S/2026/5255/A</t>
  </si>
  <si>
    <t>F-02941 MY_E_SERVICES SRLS</t>
  </si>
  <si>
    <t>S/2026/5244/A</t>
  </si>
  <si>
    <t>CTR 14915847 Bilanci Materici Verifica Iniziale Documentale del 22/05/2026 Verifica disciplinare, Verifica progetto pilota e Report del 03-04/06/2026 Nostro riferimento: BU 0079667</t>
  </si>
  <si>
    <t>22</t>
  </si>
  <si>
    <t>21</t>
  </si>
  <si>
    <t>116</t>
  </si>
  <si>
    <t>213</t>
  </si>
  <si>
    <t>127</t>
  </si>
  <si>
    <t>26024590</t>
  </si>
  <si>
    <t>8/A</t>
  </si>
  <si>
    <t>22/2026</t>
  </si>
  <si>
    <t>FPR 17/26</t>
  </si>
  <si>
    <t>SID000253486</t>
  </si>
  <si>
    <t>181/2026</t>
  </si>
  <si>
    <t>220/2026</t>
  </si>
  <si>
    <t>19</t>
  </si>
  <si>
    <t>21/2026</t>
  </si>
  <si>
    <t>JE-CIV-23868</t>
  </si>
  <si>
    <t>S/2026/4484/A</t>
  </si>
  <si>
    <t>S/2026/4475/A</t>
  </si>
  <si>
    <t>S/2026/4636/A</t>
  </si>
  <si>
    <t>S/2026/4692/A</t>
  </si>
  <si>
    <t>S/2026/4676/A</t>
  </si>
  <si>
    <t>S/2026/4979/A</t>
  </si>
  <si>
    <t>S/2026/4980/A</t>
  </si>
  <si>
    <t>S/2026/5058/A</t>
  </si>
  <si>
    <t>F-04345 PwC Legal STA Srl</t>
  </si>
  <si>
    <t>S/2026/5087/A</t>
  </si>
  <si>
    <t>F-00440 NICODEMO GIOVANNI FRANCESCO</t>
  </si>
  <si>
    <t>S/2026/5110/A</t>
  </si>
  <si>
    <t>S/2026/5125/A</t>
  </si>
  <si>
    <t>S/2026/5128/A</t>
  </si>
  <si>
    <t>F-04192 ETA Ingegneria S.r.l.</t>
  </si>
  <si>
    <t>S/2026/5170/A</t>
  </si>
  <si>
    <t>S/2026/5179/A</t>
  </si>
  <si>
    <t>F-04562 E.A.M. S.R.L.</t>
  </si>
  <si>
    <t>S/2026/5246/A</t>
  </si>
  <si>
    <t>S/2026/5245/A</t>
  </si>
  <si>
    <t>Acc comp profesle nel ricorso contro il Comune di Porto San Giorgio e di SGDS Multiservizi S.r.l. - TAR Marche, sez. II, r.g. n. 284/2026 - fase cautelare (cc 07/4 - 7/5/26) rgs 5481</t>
  </si>
  <si>
    <t>Attività svolta dal Nicola ATLANTE di Roma: - PROCURA in bollo (a Vito Telesca per vendere terreno sito nel Comune di Pietragalla (PZ), ubicato nella zona PIP, di circa mq. 4.517) rep. 73.782 in data  22 maggio 2026; (*) visura camerale pre stipula; (*) verifica poteri; (*) predisposizione, redazione minuta; (*) stipula; (*) autentica di firma; (*) anticipo di una copia PDF per email alla società;  (*) rilascio di una copia digitale al Notaio Francesco Zotta; (*) rilascio originale alla società.</t>
  </si>
  <si>
    <t>Operazione effettuata ai sensi dell articolo 1, commi da 54 a 89, della Legge n. 190-2014 così come modificato dalla Legge numero 208-2015. Imposta di bollo da 2 euro assolta sull originale per importi maggiori di 77,47 euro</t>
  </si>
  <si>
    <t>ATTIVITA  SVOLTA DAL NOTAIO NICOLA ATLANTE DI ROMA (*) assistenza pre e post atto notarile, conferenze e colloqui telefonici, mail; (*) redazione, revisione e correzione minuta; (*) verifica poteri  di firma delle parti; (*) stipula atto; (*) esecuzione di visure camerali pre e post stipula. - ATTO DI CESSIONE DI QUOTE DI S.R.L. (SOFEIN S.P.A. cede a CIVISMART S.p.A. la quota di nominali euro 6. 750,00 della  CROSIA SMART CITY SOCIETA  A RESPONSABILITA  LIMITATA , per il prezzo di euro 6.750,00) rep. 73.806 racc. 38.215 in data 11 giugno 2026; * COPIA DOCUMENTO (certificazione di conformità d ella procura in autentica Notaio Federico Occelli di Pinerolo del giorno 9/6/2026 rep. 15157, contenuta su supporto informatico) rep. 73.790 del 10/6/2026; - adempimenti successivi: (*) registrazione  c/o l Agenzia delle Entrate di Roma 5; (*) deposito cessione e successiva iscrizione c/o il Registro delle Imprese di Imprese di Milano; (*) rilascio di una copia digitale per le parti.</t>
  </si>
  <si>
    <t>Attività svolta dal Nicola ATLANTE di Roma: - PROCURA in bollo (a Giacomo Ferdinando ZENNARO, Bruno Edoardo MARSEGLIA e Carla NUZZOLO per stipulare il contratto di risoluzione parziale per mutuo disse nso dell atto di cessione di ramo d azienda autenticato nelle firme dal Notaio Lorenzo Colizzi di Milano il 23 dicembre 2024 rep. 12.749 racc. 5.544) rep. 73.807 in data 11 giugno 2026; (*) visura ca merale pre stipula; (*) verifica poteri; (*) predisposizione, redazione minuta; (*) stipula; (*) autentica di firma; (*) anticipo di una copia digitale per email alla società; (*) rilascio di una copi a digitale al Notaio Lorenzo Colizzi. (*) rilascio originale alla società.</t>
  </si>
  <si>
    <t>Assistenza legale societaria in relazione alla cessazione del rapporto di lavoro con un dipendente come da lettera di incarico del 4 marzo 2026. Spese pari al 6  del corrispettivo complessivo come da lettera di incarico.</t>
  </si>
  <si>
    <t>ATTIVITA  SVOLTA DAL NOTAIO NICOLA ATLANTE DI ROMA (*) assistenza pre e post atto notarile, conferenze e colloqui telefonici, mail; (*) redazione, revisione e correzione minuta; (*) verifica poteri  di firma delle parti; (*) stipula atto; (*) esecuzione di visure camerali pre e post stipula. - ATTO DI CESSIONE DI QUOTE DI S.R.L. (CYNERGI S.R.L. cede a CIVISMART S.p.A. la quota di nominali euro 2 .250,00 della  CROSIA SMART CITY SOCIETA  A RESPONSABILITA  LIMITATA , per il prezzo di euro 2.250,00 (prima firma su due)) rep. 73.808 in data 11 giugno 2026; - a completamento precedente repertorio,  raccolta ultima firma rep. 73.847 racc. 38.231 in data 18 giugno 2026; - adempimenti successivi: (*) registrazione c/o l Agenzia delle Entrate di Roma 5; (*) deposito cessione e successiva iscrizione  c/o il Registro delle Imprese di Imprese di Milano; (*) rilascio di una copia digitale per le parti.</t>
  </si>
  <si>
    <t>Compenso profle per appello dinanzi al C.D.S., sez. V, r.g. n. 4435/2026 avverso sent Tar Marche n 122/26 - def con ordin n 2242/2026 Com Porto S Giorgio - SGDS srl - rgs 5563</t>
  </si>
  <si>
    <t>Costi ex Atlantic1 Giugno 2026</t>
  </si>
  <si>
    <t>1/52</t>
  </si>
  <si>
    <t>967</t>
  </si>
  <si>
    <t>10/2026</t>
  </si>
  <si>
    <t>155</t>
  </si>
  <si>
    <t>1016</t>
  </si>
  <si>
    <t>1015</t>
  </si>
  <si>
    <t>6101001069</t>
  </si>
  <si>
    <t>1061</t>
  </si>
  <si>
    <t>00 / 0000237</t>
  </si>
  <si>
    <t>1/58</t>
  </si>
  <si>
    <t>2026107827</t>
  </si>
  <si>
    <t>174</t>
  </si>
  <si>
    <t>JE-CIV-24801</t>
  </si>
  <si>
    <t>JE-CIV-24545</t>
  </si>
  <si>
    <t>JE-CIV-24146</t>
  </si>
  <si>
    <t>JE-CIV-24147</t>
  </si>
  <si>
    <t>JE-CIV-24670</t>
  </si>
  <si>
    <t>JE-CIV-24697</t>
  </si>
  <si>
    <t>JE-CIV-24495</t>
  </si>
  <si>
    <t>JE-CIV-24490</t>
  </si>
  <si>
    <t>JE-CIV-24493</t>
  </si>
  <si>
    <t>JE-CIV-24149</t>
  </si>
  <si>
    <t>JE-CIV-24671</t>
  </si>
  <si>
    <t>JE-CIV-24150</t>
  </si>
  <si>
    <t>JE-CIV-24624</t>
  </si>
  <si>
    <t>JE-CIV-24124</t>
  </si>
  <si>
    <t>JE-CIV-24153</t>
  </si>
  <si>
    <t>JE-CIV-24113</t>
  </si>
  <si>
    <t>JE-CIV-24240</t>
  </si>
  <si>
    <t>JE-CIV-24422</t>
  </si>
  <si>
    <t>JE-CIV-24151</t>
  </si>
  <si>
    <t>JE-CIV-24625</t>
  </si>
  <si>
    <t>JE-CIV-24672</t>
  </si>
  <si>
    <t>JE-CIV-24126</t>
  </si>
  <si>
    <t>JE-CIV-24125</t>
  </si>
  <si>
    <t>JE-CIV-24626</t>
  </si>
  <si>
    <t>JE-CIV-24627</t>
  </si>
  <si>
    <t>JE-CIV-24496</t>
  </si>
  <si>
    <t>JE-CIV-24629</t>
  </si>
  <si>
    <t>JE-CIV-24628</t>
  </si>
  <si>
    <t>JE-CIV-24497</t>
  </si>
  <si>
    <t>JE-CIV-24116</t>
  </si>
  <si>
    <t>JE-CIV-24632</t>
  </si>
  <si>
    <t>JE-CIV-24630</t>
  </si>
  <si>
    <t>JE-CIV-24506</t>
  </si>
  <si>
    <t>JE-CIV-24631</t>
  </si>
  <si>
    <t>JE-CIV-24500</t>
  </si>
  <si>
    <t>JE-CIV-24501</t>
  </si>
  <si>
    <t>JE-CIV-24503</t>
  </si>
  <si>
    <t>JE-CIV-24127</t>
  </si>
  <si>
    <t>JE-CIV-24673</t>
  </si>
  <si>
    <t>JE-CIV-24505</t>
  </si>
  <si>
    <t>JE-CIV-24498</t>
  </si>
  <si>
    <t>JE-CIV-24508</t>
  </si>
  <si>
    <t>JE-CIV-24675</t>
  </si>
  <si>
    <t>JE-CIV-24258</t>
  </si>
  <si>
    <t>JE-CIV-24119</t>
  </si>
  <si>
    <t>JE-CIV-24674</t>
  </si>
  <si>
    <t>JE-CIV-24511</t>
  </si>
  <si>
    <t>JE-CIV-24129</t>
  </si>
  <si>
    <t>JE-CIV-24152</t>
  </si>
  <si>
    <t>JE-CIV-24512</t>
  </si>
  <si>
    <t>JE-CIV-24154</t>
  </si>
  <si>
    <t>JE-CIV-24128</t>
  </si>
  <si>
    <t>JE-CIV-24514</t>
  </si>
  <si>
    <t>JE-CIV-24517</t>
  </si>
  <si>
    <t>JE-CIV-24513</t>
  </si>
  <si>
    <t>JE-CIV-24633</t>
  </si>
  <si>
    <t>JE-CIV-24518</t>
  </si>
  <si>
    <t>JE-CIV-24121</t>
  </si>
  <si>
    <t>JE-CIV-24519</t>
  </si>
  <si>
    <t>JE-CIV-24522</t>
  </si>
  <si>
    <t>JE-CIV-24520</t>
  </si>
  <si>
    <t>JE-CIV-24677</t>
  </si>
  <si>
    <t>JE-CIV-24130</t>
  </si>
  <si>
    <t>JE-CIV-24710</t>
  </si>
  <si>
    <t>JE-CIV-24634</t>
  </si>
  <si>
    <t>JE-CIV-24155</t>
  </si>
  <si>
    <t>JE-CIV-24523</t>
  </si>
  <si>
    <t>JE-CIV-24171</t>
  </si>
  <si>
    <t>JE-CIV-24678</t>
  </si>
  <si>
    <t>JE-CIV-24635</t>
  </si>
  <si>
    <t>JE-CIV-24524</t>
  </si>
  <si>
    <t>JE-CIV-24636</t>
  </si>
  <si>
    <t>JE-CIV-24680</t>
  </si>
  <si>
    <t>JE-CIV-24679</t>
  </si>
  <si>
    <t>JE-CIV-24156</t>
  </si>
  <si>
    <t>JE-CIV-24260</t>
  </si>
  <si>
    <t>JE-CIV-24638</t>
  </si>
  <si>
    <t>JE-CIV-24682</t>
  </si>
  <si>
    <t>JE-CIV-24157</t>
  </si>
  <si>
    <t>JE-CIV-24261</t>
  </si>
  <si>
    <t>JE-CIV-24681</t>
  </si>
  <si>
    <t>JE-CIV-24537</t>
  </si>
  <si>
    <t>JE-CIV-24132</t>
  </si>
  <si>
    <t>JE-CIV-24172</t>
  </si>
  <si>
    <t>JE-CIV-24641</t>
  </si>
  <si>
    <t>JE-CIV-24637</t>
  </si>
  <si>
    <t>JE-CIV-24639</t>
  </si>
  <si>
    <t>JE-CIV-24640</t>
  </si>
  <si>
    <t>JE-CIV-24133</t>
  </si>
  <si>
    <t>JE-CIV-24134</t>
  </si>
  <si>
    <t>JE-CIV-24539</t>
  </si>
  <si>
    <t>JE-CIV-24683</t>
  </si>
  <si>
    <t>JE-CIV-24159</t>
  </si>
  <si>
    <t>JE-CIV-24297</t>
  </si>
  <si>
    <t>JE-CIV-24541</t>
  </si>
  <si>
    <t>JE-CIV-24135</t>
  </si>
  <si>
    <t>JE-CIV-24542</t>
  </si>
  <si>
    <t>JE-CIV-24564</t>
  </si>
  <si>
    <t>JE-CIV-24160</t>
  </si>
  <si>
    <t>JE-CIV-24561</t>
  </si>
  <si>
    <t>JE-CIV-24543</t>
  </si>
  <si>
    <t>JE-CIV-24570</t>
  </si>
  <si>
    <t>JE-CIV-24138</t>
  </si>
  <si>
    <t>JE-CIV-24161</t>
  </si>
  <si>
    <t>JE-CIV-24162</t>
  </si>
  <si>
    <t>JE-CIV-24568</t>
  </si>
  <si>
    <t>JE-CIV-24137</t>
  </si>
  <si>
    <t>JE-CIV-24423</t>
  </si>
  <si>
    <t>JE-CIV-24642</t>
  </si>
  <si>
    <t>JE-CIV-24298</t>
  </si>
  <si>
    <t>JE-CIV-24685</t>
  </si>
  <si>
    <t>JE-CIV-24140</t>
  </si>
  <si>
    <t>JE-CIV-24593</t>
  </si>
  <si>
    <t>JE-CIV-24643</t>
  </si>
  <si>
    <t>JE-CIV-24684</t>
  </si>
  <si>
    <t>JE-CIV-24572</t>
  </si>
  <si>
    <t>JE-CIV-24139</t>
  </si>
  <si>
    <t>JE-CIV-24175</t>
  </si>
  <si>
    <t>JE-CIV-24278</t>
  </si>
  <si>
    <t>JE-CIV-24594</t>
  </si>
  <si>
    <t>JE-CIV-24164</t>
  </si>
  <si>
    <t>JE-CIV-24163</t>
  </si>
  <si>
    <t>JE-CIV-24687</t>
  </si>
  <si>
    <t>JE-CIV-24596</t>
  </si>
  <si>
    <t>JE-CIV-24595</t>
  </si>
  <si>
    <t>JE-CIV-24688</t>
  </si>
  <si>
    <t>JE-CIV-24122</t>
  </si>
  <si>
    <t>JE-CIV-24598</t>
  </si>
  <si>
    <t>JE-CIV-24599</t>
  </si>
  <si>
    <t>JE-CIV-24597</t>
  </si>
  <si>
    <t>JE-CIV-24265</t>
  </si>
  <si>
    <t>JE-CIV-24603</t>
  </si>
  <si>
    <t>JE-CIV-24165</t>
  </si>
  <si>
    <t>JE-CIV-24605</t>
  </si>
  <si>
    <t>JE-CIV-24604</t>
  </si>
  <si>
    <t>JE-CIV-24690</t>
  </si>
  <si>
    <t>JE-CIV-24280</t>
  </si>
  <si>
    <t>JE-CIV-24606</t>
  </si>
  <si>
    <t>JE-CIV-24607</t>
  </si>
  <si>
    <t>JE-CIV-24645</t>
  </si>
  <si>
    <t>JE-CIV-24608</t>
  </si>
  <si>
    <t>JE-CIV-24644</t>
  </si>
  <si>
    <t>JE-CIV-24266</t>
  </si>
  <si>
    <t>JE-CIV-24612</t>
  </si>
  <si>
    <t>JE-CIV-24611</t>
  </si>
  <si>
    <t>JE-CIV-24648</t>
  </si>
  <si>
    <t>JE-CIV-24650</t>
  </si>
  <si>
    <t>JE-CIV-24609</t>
  </si>
  <si>
    <t>JE-CIV-24300</t>
  </si>
  <si>
    <t>JE-CIV-24141</t>
  </si>
  <si>
    <t>JE-CIV-24649</t>
  </si>
  <si>
    <t>JE-CIV-24610</t>
  </si>
  <si>
    <t>JE-CIV-24647</t>
  </si>
  <si>
    <t>JE-CIV-24219</t>
  </si>
  <si>
    <t>JE-CIV-24646</t>
  </si>
  <si>
    <t>JE-CIV-24691</t>
  </si>
  <si>
    <t>JE-CIV-24166</t>
  </si>
  <si>
    <t>JE-CIV-24168</t>
  </si>
  <si>
    <t>JE-CIV-24613</t>
  </si>
  <si>
    <t>JE-CIV-24302</t>
  </si>
  <si>
    <t>JE-CIV-24652</t>
  </si>
  <si>
    <t>JE-CIV-24617</t>
  </si>
  <si>
    <t>JE-CIV-24142</t>
  </si>
  <si>
    <t>JE-CIV-24616</t>
  </si>
  <si>
    <t>JE-CIV-24693</t>
  </si>
  <si>
    <t>JE-CIV-24615</t>
  </si>
  <si>
    <t>JE-CIV-24614</t>
  </si>
  <si>
    <t>JE-CIV-24713</t>
  </si>
  <si>
    <t>JE-CIV-24651</t>
  </si>
  <si>
    <t>JE-CIV-24229</t>
  </si>
  <si>
    <t>JE-CIV-24620</t>
  </si>
  <si>
    <t>JE-CIV-24619</t>
  </si>
  <si>
    <t>JE-CIV-24143</t>
  </si>
  <si>
    <t>JE-CIV-24268</t>
  </si>
  <si>
    <t>JE-CIV-24621</t>
  </si>
  <si>
    <t>JE-CIV-24618</t>
  </si>
  <si>
    <t>JE-CIV-24694</t>
  </si>
  <si>
    <t>JE-CIV-24169</t>
  </si>
  <si>
    <t>JE-CIV-24170</t>
  </si>
  <si>
    <t>JE-CIV-24234</t>
  </si>
  <si>
    <t>JE-CIV-24715</t>
  </si>
  <si>
    <t>S/2026/4452/A</t>
  </si>
  <si>
    <t>9326623595</t>
  </si>
  <si>
    <t>S/2026/4388/A</t>
  </si>
  <si>
    <t>302176-2026/F</t>
  </si>
  <si>
    <t>S/2026/4509/A</t>
  </si>
  <si>
    <t>313/H</t>
  </si>
  <si>
    <t>S/2026/4548/A</t>
  </si>
  <si>
    <t>049742-2026-S-MM</t>
  </si>
  <si>
    <t>S/2026/4671/A</t>
  </si>
  <si>
    <t>Nome Struttura - Hotel J24 Nome Ospite - Lo Re Data Arrivo - 08/06/2026 Data Partenza - 09/06/2026 Numero di Camera - 308 Numero di Ospiti - 1 Numero Prenotazione - 7180127 Numero Riferimento - 2026052648782388-1</t>
  </si>
  <si>
    <t>12607363J</t>
  </si>
  <si>
    <t>S/2026/4740/A</t>
  </si>
  <si>
    <t>325/H</t>
  </si>
  <si>
    <t>S/2026/4879/A</t>
  </si>
  <si>
    <t>954</t>
  </si>
  <si>
    <t>S/2026/4876/A</t>
  </si>
  <si>
    <t>76</t>
  </si>
  <si>
    <t>S/2026/4994/A</t>
  </si>
  <si>
    <t>2026/9001709592</t>
  </si>
  <si>
    <t>S/2026/4941/A</t>
  </si>
  <si>
    <t>2026/9001702962</t>
  </si>
  <si>
    <t>S/2026/5044/A</t>
  </si>
  <si>
    <t>2026/9001738274</t>
  </si>
  <si>
    <t>S/2026/5038/A</t>
  </si>
  <si>
    <t>99A</t>
  </si>
  <si>
    <t>S/2026/5042/A</t>
  </si>
  <si>
    <t>2026/9001732169</t>
  </si>
  <si>
    <t>S/2026/5030/A</t>
  </si>
  <si>
    <t>337/H</t>
  </si>
  <si>
    <t>S/2026/5046/A</t>
  </si>
  <si>
    <t>2026/9001738273</t>
  </si>
  <si>
    <t>S/2026/5047/A</t>
  </si>
  <si>
    <t>536</t>
  </si>
  <si>
    <t>JE-CIV-24861</t>
  </si>
  <si>
    <t>S/2026/5107/A</t>
  </si>
  <si>
    <t>0000000012675985</t>
  </si>
  <si>
    <t>S/2026/5100/A</t>
  </si>
  <si>
    <t>000000460001448P</t>
  </si>
  <si>
    <t>S/2026/5102/A</t>
  </si>
  <si>
    <t>000000172024607P</t>
  </si>
  <si>
    <t>S/2026/5105/A</t>
  </si>
  <si>
    <t>000000086057566P</t>
  </si>
  <si>
    <t>S/2026/5101/A</t>
  </si>
  <si>
    <t>000000014027568P</t>
  </si>
  <si>
    <t>S/2026/5108/A</t>
  </si>
  <si>
    <t>000000061654413T</t>
  </si>
  <si>
    <t>S/2026/5130/A</t>
  </si>
  <si>
    <t>F-04539 FABRIZIO GIOVINO</t>
  </si>
  <si>
    <t>Servizio di Noleggio con Conducente eseguito per Vostro conto nel mese di Giugno 2026.</t>
  </si>
  <si>
    <t>FTE-44</t>
  </si>
  <si>
    <t>S/2026/5126/A</t>
  </si>
  <si>
    <t>NA00108253</t>
  </si>
  <si>
    <t>S/2026/5139/A</t>
  </si>
  <si>
    <t>000000061696918T</t>
  </si>
  <si>
    <t>S/2026/5150/A</t>
  </si>
  <si>
    <t>F-04556 BB HOTELS SRL</t>
  </si>
  <si>
    <t>189-21</t>
  </si>
  <si>
    <t>S/2026/5231/A</t>
  </si>
  <si>
    <t>FA/2026/0985</t>
  </si>
  <si>
    <t>S/2026/5196/A</t>
  </si>
  <si>
    <t>F-00780 GLICINE SRL</t>
  </si>
  <si>
    <t>Scarano Enrico Sogg. dal 22/06/26 al 26/06/26 N.pren. 00045978 Camera 404 Ospiti 1</t>
  </si>
  <si>
    <t>1030</t>
  </si>
  <si>
    <t>S/2026/5223/A</t>
  </si>
  <si>
    <t>1020</t>
  </si>
  <si>
    <t>S/2026/5232/A</t>
  </si>
  <si>
    <t>FA/2026/1012</t>
  </si>
  <si>
    <t>Hotel Aries</t>
  </si>
  <si>
    <t xml:space="preserve">	F-01930 RESTART GREEN SOLUTIONS SRL</t>
  </si>
  <si>
    <t>F-01911 RESTART ENERGY LAB S.R.L. e F-01930 RESTART GREEN SOLUTIONS SRL</t>
  </si>
  <si>
    <t>C.S.E. Comune di Savona</t>
  </si>
  <si>
    <t>Visite mediche personale</t>
  </si>
  <si>
    <t>Preparazione busta tecnica gara di Sacile</t>
  </si>
  <si>
    <t>Predisposizione PFTE Gussago</t>
  </si>
  <si>
    <t>Certificazione Matrec</t>
  </si>
  <si>
    <t>Compenso forfettario onnicomprensivo</t>
  </si>
  <si>
    <t>CENSIMENTO IMPIANTI DI IP COMUNE DI NICHELINO</t>
  </si>
  <si>
    <t>F-01657 KPMG S.p.A. Revisione e organizzazione contabile</t>
  </si>
  <si>
    <t xml:space="preserve">Consulenza e assistenza tecnica  </t>
  </si>
  <si>
    <t>Spese per trasferte</t>
  </si>
  <si>
    <t>1 January 2026 - 31 August 2026</t>
  </si>
  <si>
    <t>S/2026/5488/A</t>
  </si>
  <si>
    <t>F-03611 RESET S.R.L.</t>
  </si>
  <si>
    <t>S/2026/5536/A</t>
  </si>
  <si>
    <t>S/2026/5531/A</t>
  </si>
  <si>
    <t>S/2026/5541/A</t>
  </si>
  <si>
    <t>S/2026/5692/A</t>
  </si>
  <si>
    <t>S/2026/6049/A</t>
  </si>
  <si>
    <t>F-04624 ANTONIO FISCINA</t>
  </si>
  <si>
    <t>S/2026/6046/A</t>
  </si>
  <si>
    <t>F-03833 A3S PROGETTI S.R.L.</t>
  </si>
  <si>
    <t>S/2026/6125/A</t>
  </si>
  <si>
    <t>S/2026/6146/A</t>
  </si>
  <si>
    <t>S/2026/6158/A</t>
  </si>
  <si>
    <t>F-04160 Studio Marinelli Progettazioni</t>
  </si>
  <si>
    <t>S/2026/6181/A</t>
  </si>
  <si>
    <t>S/2026/6390/A</t>
  </si>
  <si>
    <t>S/2026/6393/A</t>
  </si>
  <si>
    <t>S/2026/6392/A</t>
  </si>
  <si>
    <t>S/2026/6391/A</t>
  </si>
  <si>
    <t>S/2026/6520/A</t>
  </si>
  <si>
    <t>S/2026/6609/A</t>
  </si>
  <si>
    <t>F-04407 P.M. DI LAZZARO ANTONIO</t>
  </si>
  <si>
    <t>S/2026/6705/A</t>
  </si>
  <si>
    <t>S/2026/6761/A</t>
  </si>
  <si>
    <t>S/2026/6762/A</t>
  </si>
  <si>
    <t>S/2026/6829/A</t>
  </si>
  <si>
    <t>Comune di Alassio (SV) - Servizi di ingegneria e progettazione di impianti di illuminazione pubblica, semaforici e smart</t>
  </si>
  <si>
    <t>PROGETTAZIONE PFTE ILLUMINAZIONE PUBBLICA GARA COMUNE CREMONA</t>
  </si>
  <si>
    <t>15 /I</t>
  </si>
  <si>
    <t>12 /I</t>
  </si>
  <si>
    <t>13 /I</t>
  </si>
  <si>
    <t>69-FE_2026</t>
  </si>
  <si>
    <t>8/FE</t>
  </si>
  <si>
    <t>9/2026</t>
  </si>
  <si>
    <t>00084/26</t>
  </si>
  <si>
    <t>23 /I</t>
  </si>
  <si>
    <t>22 /I</t>
  </si>
  <si>
    <t>15</t>
  </si>
  <si>
    <t>25 /I</t>
  </si>
  <si>
    <t>26 /I</t>
  </si>
  <si>
    <t>9/FE</t>
  </si>
  <si>
    <t>S/2026/5369/A</t>
  </si>
  <si>
    <t>F-04571 EMANUELE GIANNINI</t>
  </si>
  <si>
    <t>S/2026/5455/A</t>
  </si>
  <si>
    <t>93/E</t>
  </si>
  <si>
    <t>S/2026/5449/A</t>
  </si>
  <si>
    <t>FPR 11/26</t>
  </si>
  <si>
    <t>S/2026/5451/A</t>
  </si>
  <si>
    <t>FPR 26/26</t>
  </si>
  <si>
    <t>S/2026/5485/A</t>
  </si>
  <si>
    <t>S/2026/5487/A</t>
  </si>
  <si>
    <t>FPR 31/26</t>
  </si>
  <si>
    <t>S/2026/5486/A</t>
  </si>
  <si>
    <t>FPR 29/26</t>
  </si>
  <si>
    <t>JE-CIV-26293</t>
  </si>
  <si>
    <t>S/2026/5939/A</t>
  </si>
  <si>
    <t>S/2026/5964/A</t>
  </si>
  <si>
    <t>30</t>
  </si>
  <si>
    <t>S/2026/6027/A</t>
  </si>
  <si>
    <t>fattura già pagata</t>
  </si>
  <si>
    <t>AF01 1676/26</t>
  </si>
  <si>
    <t>S/2026/6174/A</t>
  </si>
  <si>
    <t>F-01243 DEGLI ATTI PASQUALE</t>
  </si>
  <si>
    <t>S/2026/6170/A</t>
  </si>
  <si>
    <t>S/2026/6173/A</t>
  </si>
  <si>
    <t>S/2026/6182/A</t>
  </si>
  <si>
    <t>FPR 32/26</t>
  </si>
  <si>
    <t>S/2026/6167/A</t>
  </si>
  <si>
    <t>S/2026/6353/A</t>
  </si>
  <si>
    <t>68/E</t>
  </si>
  <si>
    <t>S/2026/6367/A</t>
  </si>
  <si>
    <t>S/2026/6613/A</t>
  </si>
  <si>
    <t>F-01816 Domenico Benincasa</t>
  </si>
  <si>
    <t>1/137</t>
  </si>
  <si>
    <t>S/2026/5324/A</t>
  </si>
  <si>
    <t>F-01926 CREDIT AGRICOLE LEASING ITALIA S.R.L.</t>
  </si>
  <si>
    <t>S/2026/5378/A</t>
  </si>
  <si>
    <t>F-04549 ASTRA SRL</t>
  </si>
  <si>
    <t>S/2026/5358/A</t>
  </si>
  <si>
    <t>F-04578 CARPOINT S.p.A.</t>
  </si>
  <si>
    <t>S/2026/5504/A</t>
  </si>
  <si>
    <t>S/2026/5520/A</t>
  </si>
  <si>
    <t>S/2026/5780/A</t>
  </si>
  <si>
    <t>S/2026/5918/A</t>
  </si>
  <si>
    <t>F-00287 RINA SERVICES S.P.A.</t>
  </si>
  <si>
    <t>S/2026/6041/A</t>
  </si>
  <si>
    <t>F-04621 SGS ICS Italia S.r.l.</t>
  </si>
  <si>
    <t>S/2026/6060/A</t>
  </si>
  <si>
    <t>S/2026/6085/A</t>
  </si>
  <si>
    <t>S/2026/6080/A</t>
  </si>
  <si>
    <t>S/2026/6079/A</t>
  </si>
  <si>
    <t>S/2026/6126/A</t>
  </si>
  <si>
    <t>S/2026/6191/A</t>
  </si>
  <si>
    <t>F-03792 FIT CONSULTING S.R.L.</t>
  </si>
  <si>
    <t>S/2026/6157/A</t>
  </si>
  <si>
    <t>S/2026/6425/A</t>
  </si>
  <si>
    <t>S/2026/6611/A</t>
  </si>
  <si>
    <t>S/2026/6665/A</t>
  </si>
  <si>
    <t>F-03942 MACROAZIENDA INN. E SVIL. SRL</t>
  </si>
  <si>
    <t>S/2026/6667/A</t>
  </si>
  <si>
    <t>S/2026/6698/A</t>
  </si>
  <si>
    <t>S/2026/6758/A</t>
  </si>
  <si>
    <t>Cd cliente 02551021 Nr contratto 01612023/001</t>
  </si>
  <si>
    <t>Veicolo - Targa: GH615SJ , Telaio: WV1ZZZSYZM9058782 , KM: 1 , Descr Veicolo: VIC - E-Crafter 35 FURG 100 kW</t>
  </si>
  <si>
    <t>Oggetto: MANTENIMENTO 3° TRIMESTRE 2026 - CERTIFICATO 9196.SLT1 - NORMA ISO 50001</t>
  </si>
  <si>
    <t>Oggetto: MANTENIMENTO 3° TRIMESTRE 2026 - CERTIFICATO 9191.STTR - NORMA ISO 14001</t>
  </si>
  <si>
    <t>DARE PER LE SEGUENTI PRESTAZIONI: Periodica UNI EN ISO 9001 - SISTEMA DI GESTIONE PER LA QUALITA Cliente: 1091524 Contratto: 2025 CITTA 129 Rif. Amministrazione: AOC@rina.org</t>
  </si>
  <si>
    <t>Si emette fattura per asseverazioni Piano Economico e Finanziario svolte per vs conto in partenariato con CDF SRL</t>
  </si>
  <si>
    <t>Contratto quadro per advisor tecnico e supporto per servizi di ingegneria legati a progetti di elettrificazione del trasporto pubblico.</t>
  </si>
  <si>
    <t>Oggetto: VARIAZIONE CERTIFICATI PER LA NORMA ISO 50001 (CERTIFICATO 9196.SLT1)</t>
  </si>
  <si>
    <t>V1 /2026/26012974</t>
  </si>
  <si>
    <t>308 / 1241</t>
  </si>
  <si>
    <t>226016077</t>
  </si>
  <si>
    <t>226016078</t>
  </si>
  <si>
    <t>26T9-001174</t>
  </si>
  <si>
    <t>26710622</t>
  </si>
  <si>
    <t>SID000258776</t>
  </si>
  <si>
    <t>27</t>
  </si>
  <si>
    <t>28</t>
  </si>
  <si>
    <t>45</t>
  </si>
  <si>
    <t>826020103</t>
  </si>
  <si>
    <t>2254/26</t>
  </si>
  <si>
    <t>2320/26</t>
  </si>
  <si>
    <t>FPR 28/26</t>
  </si>
  <si>
    <t>- -</t>
  </si>
  <si>
    <t>Consulenza</t>
  </si>
  <si>
    <t>S/2026/5349/A</t>
  </si>
  <si>
    <t>S/2026/5370/A</t>
  </si>
  <si>
    <t>2630012903</t>
  </si>
  <si>
    <t>S/2026/5454/A</t>
  </si>
  <si>
    <t>1932/26</t>
  </si>
  <si>
    <t>S/2026/5509/A</t>
  </si>
  <si>
    <t>F-04587 LUCIBELLO   ASSOCIATI STUDIO LEGALE</t>
  </si>
  <si>
    <t>231/001</t>
  </si>
  <si>
    <t>S/2026/5665/A</t>
  </si>
  <si>
    <t>Attività svolta dal Nicola ATLANTE di Roma: - PROCURA in bollo (a Marco Marippi per sottoscrivere con il Comune di Spotorno il CONTRATTO ATTUATIVO DI CONCESSIONE DI SERVIZI AVENTE AD OGGETTO I SERVIZI  DI PRESTAZIONE ENERGETICA, INCLUSI LA RIQUALIFICAZIONE ENERGETICA E LA GESTIONE DELL IMPIANTO DI PUBBLICA ILLUMINAZIONE, CON LA PREDISPOSIZIONE DELLO STESSO AI SERVIZI SMART CITY) rep. 73.934 in data  8 luglio 2026; (*) visura camerale pre stipula; (*) verifica poteri; (*) predisposizione, redazione minuta; (*) stipula; (*) anticipo di una copia PDF per email alla società; (*) rilascio di una cop ia digitale per il comune di Spotorno; (*) rilascio originale alla società.</t>
  </si>
  <si>
    <t>1187</t>
  </si>
  <si>
    <t>S/2026/5666/A</t>
  </si>
  <si>
    <t>Attività svolta dal Nicola ATLANTE di Roma: - PROCURA in bollo (a Pietro SANFILIPPO per sottoscrivere con ROSSI contratto definitivo di costituzione diritto di superficie e servitù su terreni in Scurc ola Marsicana) rep. 73.935 in data 8 luglio 2026; (*) visura camerale pre stipula; (*) verifica poteri; (*) predisposizione, redazione minuta; (*) stipula; (*) autentica di firma; (*) anticipo di una  copia PDF per email alla società; (*) rilascio originale alla società.</t>
  </si>
  <si>
    <t>1186</t>
  </si>
  <si>
    <t>S/2026/5916/A</t>
  </si>
  <si>
    <t>F-04593 OSBORNE CLARKE STUDIO LEGALE</t>
  </si>
  <si>
    <t>2026000002070-F</t>
  </si>
  <si>
    <t>S/2026/5915/A</t>
  </si>
  <si>
    <t>F-04601 ISABELLA MARTINELLO</t>
  </si>
  <si>
    <t>Atlantic 1 S.r.l. Campello S.p.a. consulenza e assistenza conciliazione stragiudiziale 18.6.2025</t>
  </si>
  <si>
    <t>44</t>
  </si>
  <si>
    <t>S/2026/5975/A</t>
  </si>
  <si>
    <t>F-04612 PAOLO MORELLI</t>
  </si>
  <si>
    <t>ATTO DI TRASFERIMENTO QUOTA rep 154.915 del 13/07/2026</t>
  </si>
  <si>
    <t>642</t>
  </si>
  <si>
    <t>S/2026/5976/A</t>
  </si>
  <si>
    <t>ATTO DI TRASFERIMENTO QUOTA rep 154.916 del 13/07/2026</t>
  </si>
  <si>
    <t>643</t>
  </si>
  <si>
    <t>S/2026/5974/A</t>
  </si>
  <si>
    <t>ATTO DI TRASFERIMENTO QUOTA rep 154.914 del 13/07/2026</t>
  </si>
  <si>
    <t>641</t>
  </si>
  <si>
    <t>S/2026/6016/A</t>
  </si>
  <si>
    <t>8</t>
  </si>
  <si>
    <t>S/2026/6010/A</t>
  </si>
  <si>
    <t>2026306844</t>
  </si>
  <si>
    <t>JE-CIV-27009</t>
  </si>
  <si>
    <t>S/2026/6030/A</t>
  </si>
  <si>
    <t>2600177</t>
  </si>
  <si>
    <t>S/2026/6056/A</t>
  </si>
  <si>
    <t>S/2026/6151/A</t>
  </si>
  <si>
    <t>F-04635 REX AUDIT SOCIETA  A RESPONSABILITA  LIMITATA SEMPLIFICATA</t>
  </si>
  <si>
    <t>RA26014</t>
  </si>
  <si>
    <t>S/2026/6148/A</t>
  </si>
  <si>
    <t>2026FC-3229</t>
  </si>
  <si>
    <t>S/2026/6152/A</t>
  </si>
  <si>
    <t>RA26015</t>
  </si>
  <si>
    <t>S/2026/6154/A</t>
  </si>
  <si>
    <t>S/2026/6165/A</t>
  </si>
  <si>
    <t>210</t>
  </si>
  <si>
    <t>S/2026/6247/A</t>
  </si>
  <si>
    <t>ATTIVITA  SVOLTA DAL NOTAIO NICOLA ATLANTE DI ROMA (*) assistenza pre e post atto notarile, conferenze e colloqui telefonici, mail; (*) redazione, revisione e correzione minuta; (*) verifica poteri  di firma delle parti; (*) stipula atto; (*) esecuzione di visure camerali pre e post stipula. - ATTO DI CESSIONE DI QUOTE DI S.R.L. (della  SAN MANGO PIEMONTE ILLUMINAZIONE SPV S.R.L.  in favore di C IVISMART S.p.A., da IPAN IMMOBILIARE S.R.L. la quota di nominali euro 29.750,00 per il prezzo di euro 637.500,00 e da  CO.GE.MA.ENGINEERING S.R.L.  la quota di nominali euro 5.250,00, per il prezzo di  euro 112.500,00) rep. 73.991 racc. 38.311 in data 27 luglio 2026; * COPIA DOCUMENTO (certificazione di conformità della procura a rogito Notaio Roberta Greco di Procida del 23/7/2026 rep. 4307, conte nuta su supporto informatico) rep. 73.982 del 24/7/2026; * COPIA DOCUMENTO (certificazione di conformità della procura a rogito Notaio Stefano Rampolla di Milano del 23/7/2026 rep. 72435, contenuta su  supporto informatico) rep. 73.987 del 27/7/2026; - adempimenti successivi: (*) registrazione c/o l Agenzia delle Entrate di Roma 5; (*) n. 3 depositi e successive iscrizioni c/o il Registro delle Im prese competente; (*) rilascio di una copia digitale per le parti.</t>
  </si>
  <si>
    <t>1353</t>
  </si>
  <si>
    <t>S/2026/6246/A</t>
  </si>
  <si>
    <t>ATTIVITA  SVOLTA DAL NOTAIO NICOLA ATLANTE DI ROMA (*) assistenza pre e post atto notarile, conferenze e colloqui telefonici, mail; (*) predisposizione, redazione e revisione minute; (*) redazione a tto; (*) stipula atto; (*) esecuzione di visure camerali pre stipula. - VERBALE DI ASSEMBLEA DI SAN MANGO PIEMONTE ILLUMINAZIONE SPV S.R.L. (per deliberare modifiche statutarie senza contenuto patrim oniale e trasferimento della sede sociale in Avigliano (PZ), Località Mandria D Isca s.n.c., Frazione Possidente) rep. 73.990 racc. 38.310 in data 27 luglio 2026; - adempimenti successivi: (*) registr azione c/o l Agenzia delle Entrate di Roma 5; (*) deposito e successiva iscrizione c/o il Registro delle Imprese competente; (*) rilascio di 1 copia autentica digitale per la società.</t>
  </si>
  <si>
    <t>1354</t>
  </si>
  <si>
    <t>S/2026/6296/A</t>
  </si>
  <si>
    <t>2026110068</t>
  </si>
  <si>
    <t>S/2026/6297/A</t>
  </si>
  <si>
    <t>2026109933</t>
  </si>
  <si>
    <t>S/2026/6298/A</t>
  </si>
  <si>
    <t>2026109938</t>
  </si>
  <si>
    <t>S/2026/6335/A</t>
  </si>
  <si>
    <t>2600200</t>
  </si>
  <si>
    <t>JE-CIV-27041</t>
  </si>
  <si>
    <t>S/2026/6360/A</t>
  </si>
  <si>
    <t>00 / 0000312</t>
  </si>
  <si>
    <t>S/2026/6369/A</t>
  </si>
  <si>
    <t>ATTIVITA  SVOLTA DAL NOTAIO NICOLA ATLANTE DI ROMA (*) assistenza pre e post atto notarile, conferenze e colloqui telefonici, mail; (*) redazione, revisione e correzione minuta; (*) verifica poteri  di firma delle parti; (*) kyc antiriciclaggio; (*) stipula atto; (*) esecuzione di visure camerali pre e post stipula. - ATTO DI CESSIONE DI QUOTE DI S.R.L. (della DE GIORGI GLOBAL SERVICE S.R.L. con  sede legale in San Donato di Lecce, in favore di CIVISMART S.p.A. DE GIORGI Irene cede la quota sociale di euro 25.000,00, per il prezzo di euro 924.692,43 DE GIORGI Francesca cede la quota di euro 2 5.000,00, per il prezzo di euro 924.692,43; DE GIORGI Luigi cede la quota di euro 50.000,00, per il prezzo di euro 1.849.384,87) rep. 74.051 racc. 38.348 in data 3 agosto 2026; * COPIA DOCUMENTO (cert ificazione di conformità della procura a rogito Notaio Stefano Rampolla di Milano del 23/7/2026 rep. 72434, contenuta su supporto informatico) rep. 73.988 del 27/7/2026; - adempimenti successivi: (*)  registrazione c/o l Agenzia delle Entrate di Roma 5; (*) n. 2 depositi e successive iscrizioni c/o il Registro delle Imprese competente; (*) rilascio di una copia digitale per le parti.</t>
  </si>
  <si>
    <t>1391</t>
  </si>
  <si>
    <t>S/2026/6368/A</t>
  </si>
  <si>
    <t>ATTIVITA  SVOLTA DAL NOTAIO NICOLA ATLANTE DI ROMA (*) assistenza pre e post atto notarile, conferenze e colloqui telefonici, mail; (*) predisposizione, redazione e revisione minute; (*) redazione a tto; (*) stipula atto; (*) esecuzione visure catastali pre stipula; (*) esecuzione di visure camerali pre stipula. - VERBALE DI ASSEMBLEA DE GIORGI GLOBAL SERVICE S.R.L. ( per deliberare tra l altro  il trasferimento della sede legale in Avigliano (PZ) Località Mandria D Isca s.n.c., Frazione Possidente e conseguente modifica statutaria) rep. 74.050 racc. 38.347 in data 3 agosto 2026; - adempiment i successivi: (*) registrazione c/o l Agenzia delle Entrate di Roma 5; (*) deposito e successiva iscrizione c/o il Registro delle Imprese competente; (*) trascrizione c/o l Agenzia del Territorio di c ompetenza; (*) rilascio di 1 copia autentica digitale per la società.</t>
  </si>
  <si>
    <t>1390</t>
  </si>
  <si>
    <t>S/2026/0051/RC_UE</t>
  </si>
  <si>
    <t>F-04257 VIMALUX SALES APS</t>
  </si>
  <si>
    <t>214</t>
  </si>
  <si>
    <t>S/2026/6824/A</t>
  </si>
  <si>
    <t>228</t>
  </si>
  <si>
    <t>Predisposizione di Linee Guida perl identificazione e
il trattamento contabile delle operazioni in ambito IFRS 3</t>
  </si>
  <si>
    <t>JE-CIV-26357</t>
  </si>
  <si>
    <t>JE-CIV-26363</t>
  </si>
  <si>
    <t>JE-CIV-26033</t>
  </si>
  <si>
    <t>JE-CIV-26036</t>
  </si>
  <si>
    <t>JE-CIV-24600</t>
  </si>
  <si>
    <t>JE-CIV-26037</t>
  </si>
  <si>
    <t>JE-CIV-26489</t>
  </si>
  <si>
    <t>JE-CIV-26366</t>
  </si>
  <si>
    <t>JE-CIV-26455</t>
  </si>
  <si>
    <t>JE-CIV-26367</t>
  </si>
  <si>
    <t>JE-CIV-26368</t>
  </si>
  <si>
    <t>JE-CIV-26370</t>
  </si>
  <si>
    <t>JE-CIV-25980</t>
  </si>
  <si>
    <t>JE-CIV-26490</t>
  </si>
  <si>
    <t>JE-CIV-26372</t>
  </si>
  <si>
    <t>JE-CIV-26003</t>
  </si>
  <si>
    <t>JE-CIV-25979</t>
  </si>
  <si>
    <t>JE-CIV-26374</t>
  </si>
  <si>
    <t>JE-CIV-26465</t>
  </si>
  <si>
    <t>JE-CIV-26466</t>
  </si>
  <si>
    <t>JE-CIV-26371</t>
  </si>
  <si>
    <t>JE-CIV-25661</t>
  </si>
  <si>
    <t>JE-CIV-26373</t>
  </si>
  <si>
    <t>JE-CIV-26375</t>
  </si>
  <si>
    <t>JE-CIV-26492</t>
  </si>
  <si>
    <t>JE-CIV-26377</t>
  </si>
  <si>
    <t>JE-CIV-26469</t>
  </si>
  <si>
    <t>JE-CIV-26468</t>
  </si>
  <si>
    <t>JE-CIV-25982</t>
  </si>
  <si>
    <t>JE-CIV-26004</t>
  </si>
  <si>
    <t>JE-CIV-26491</t>
  </si>
  <si>
    <t>JE-CIV-25981</t>
  </si>
  <si>
    <t>JE-CIV-26088</t>
  </si>
  <si>
    <t>JE-CIV-26005</t>
  </si>
  <si>
    <t>JE-CIV-26493</t>
  </si>
  <si>
    <t>JE-CIV-25983</t>
  </si>
  <si>
    <t>JE-CIV-25963</t>
  </si>
  <si>
    <t>JE-CIV-26471</t>
  </si>
  <si>
    <t>JE-CIV-26472</t>
  </si>
  <si>
    <t>JE-CIV-26378</t>
  </si>
  <si>
    <t>JE-CIV-26006</t>
  </si>
  <si>
    <t>JE-CIV-25662</t>
  </si>
  <si>
    <t>JE-CIV-26090</t>
  </si>
  <si>
    <t>JE-CIV-25964</t>
  </si>
  <si>
    <t>JE-CIV-25986</t>
  </si>
  <si>
    <t>JE-CIV-25985</t>
  </si>
  <si>
    <t>JE-CIV-26494</t>
  </si>
  <si>
    <t>JE-CIV-25984</t>
  </si>
  <si>
    <t>JE-CIV-25670</t>
  </si>
  <si>
    <t>JE-CIV-26008</t>
  </si>
  <si>
    <t>JE-CIV-25665</t>
  </si>
  <si>
    <t>JE-CIV-26403</t>
  </si>
  <si>
    <t>JE-CIV-25988</t>
  </si>
  <si>
    <t>JE-CIV-26401</t>
  </si>
  <si>
    <t>JE-CIV-26009</t>
  </si>
  <si>
    <t>JE-CIV-26404</t>
  </si>
  <si>
    <t>JE-CIV-26402</t>
  </si>
  <si>
    <t>JE-CIV-25671</t>
  </si>
  <si>
    <t>JE-CIV-25987</t>
  </si>
  <si>
    <t>JE-CIV-26495</t>
  </si>
  <si>
    <t>JE-CIV-25672</t>
  </si>
  <si>
    <t>JE-CIV-26405</t>
  </si>
  <si>
    <t>JE-CIV-26010</t>
  </si>
  <si>
    <t>JE-CIV-26411</t>
  </si>
  <si>
    <t>JE-CIV-26414</t>
  </si>
  <si>
    <t>JE-CIV-26496</t>
  </si>
  <si>
    <t>JE-CIV-26406</t>
  </si>
  <si>
    <t>JE-CIV-26126</t>
  </si>
  <si>
    <t>JE-CIV-26412</t>
  </si>
  <si>
    <t>JE-CIV-26413</t>
  </si>
  <si>
    <t>JE-CIV-25667</t>
  </si>
  <si>
    <t>JE-CIV-26012</t>
  </si>
  <si>
    <t>JE-CIV-26421</t>
  </si>
  <si>
    <t>JE-CIV-26420</t>
  </si>
  <si>
    <t>JE-CIV-26416</t>
  </si>
  <si>
    <t>JE-CIV-26419</t>
  </si>
  <si>
    <t>JE-CIV-26418</t>
  </si>
  <si>
    <t>JE-CIV-26417</t>
  </si>
  <si>
    <t>JE-CIV-26422</t>
  </si>
  <si>
    <t>JE-CIV-26424</t>
  </si>
  <si>
    <t>JE-CIV-26426</t>
  </si>
  <si>
    <t>JE-CIV-26476</t>
  </si>
  <si>
    <t>JE-CIV-26129</t>
  </si>
  <si>
    <t>JE-CIV-26477</t>
  </si>
  <si>
    <t>JE-CIV-26497</t>
  </si>
  <si>
    <t>JE-CIV-25989</t>
  </si>
  <si>
    <t>JE-CIV-26475</t>
  </si>
  <si>
    <t>JE-CIV-26427</t>
  </si>
  <si>
    <t>JE-CIV-26011</t>
  </si>
  <si>
    <t>JE-CIV-26425</t>
  </si>
  <si>
    <t>JE-CIV-26093</t>
  </si>
  <si>
    <t>JE-CIV-26498</t>
  </si>
  <si>
    <t>JE-CIV-26457</t>
  </si>
  <si>
    <t>JE-CIV-26430</t>
  </si>
  <si>
    <t>JE-CIV-26014</t>
  </si>
  <si>
    <t>JE-CIV-26429</t>
  </si>
  <si>
    <t>JE-CIV-26479</t>
  </si>
  <si>
    <t>JE-CIV-26015</t>
  </si>
  <si>
    <t>JE-CIV-26013</t>
  </si>
  <si>
    <t>JE-CIV-26478</t>
  </si>
  <si>
    <t>JE-CIV-26431</t>
  </si>
  <si>
    <t>JE-CIV-26499</t>
  </si>
  <si>
    <t>JE-CIV-26480</t>
  </si>
  <si>
    <t>JE-CIV-26482</t>
  </si>
  <si>
    <t>JE-CIV-26500</t>
  </si>
  <si>
    <t>JE-CIV-25675</t>
  </si>
  <si>
    <t>JE-CIV-25673</t>
  </si>
  <si>
    <t>JE-CIV-25674</t>
  </si>
  <si>
    <t>JE-CIV-25966</t>
  </si>
  <si>
    <t>JE-CIV-26432</t>
  </si>
  <si>
    <t>JE-CIV-26016</t>
  </si>
  <si>
    <t>JE-CIV-25968</t>
  </si>
  <si>
    <t>JE-CIV-26433</t>
  </si>
  <si>
    <t>JE-CIV-25990</t>
  </si>
  <si>
    <t>JE-CIV-26434</t>
  </si>
  <si>
    <t>JE-CIV-26481</t>
  </si>
  <si>
    <t>JE-CIV-26501</t>
  </si>
  <si>
    <t>JE-CIV-26130</t>
  </si>
  <si>
    <t>JE-CIV-25992</t>
  </si>
  <si>
    <t>JE-CIV-25991</t>
  </si>
  <si>
    <t>JE-CIV-25668</t>
  </si>
  <si>
    <t>JE-CIV-25969</t>
  </si>
  <si>
    <t>JE-CIV-26095</t>
  </si>
  <si>
    <t>JE-CIV-26017</t>
  </si>
  <si>
    <t>JE-CIV-26436</t>
  </si>
  <si>
    <t>JE-CIV-26502</t>
  </si>
  <si>
    <t>JE-CIV-26437</t>
  </si>
  <si>
    <t>JE-CIV-26483</t>
  </si>
  <si>
    <t>JE-CIV-26435</t>
  </si>
  <si>
    <t>JE-CIV-25971</t>
  </si>
  <si>
    <t>JE-CIV-26503</t>
  </si>
  <si>
    <t>JE-CIV-26504</t>
  </si>
  <si>
    <t>JE-CIV-26442</t>
  </si>
  <si>
    <t>JE-CIV-26019</t>
  </si>
  <si>
    <t>JE-CIV-26506</t>
  </si>
  <si>
    <t>JE-CIV-25994</t>
  </si>
  <si>
    <t>JE-CIV-26505</t>
  </si>
  <si>
    <t>JE-CIV-26096</t>
  </si>
  <si>
    <t>JE-CIV-26484</t>
  </si>
  <si>
    <t>JE-CIV-26444</t>
  </si>
  <si>
    <t>JE-CIV-26443</t>
  </si>
  <si>
    <t>JE-CIV-26020</t>
  </si>
  <si>
    <t>JE-CIV-26445</t>
  </si>
  <si>
    <t>JE-CIV-25995</t>
  </si>
  <si>
    <t>JE-CIV-26507</t>
  </si>
  <si>
    <t>JE-CIV-26486</t>
  </si>
  <si>
    <t>JE-CIV-26097</t>
  </si>
  <si>
    <t>JE-CIV-26134</t>
  </si>
  <si>
    <t>JE-CIV-25973</t>
  </si>
  <si>
    <t>JE-CIV-26022</t>
  </si>
  <si>
    <t>JE-CIV-26021</t>
  </si>
  <si>
    <t>JE-CIV-26446</t>
  </si>
  <si>
    <t>JE-CIV-26135</t>
  </si>
  <si>
    <t>JE-CIV-26024</t>
  </si>
  <si>
    <t>JE-CIV-25676</t>
  </si>
  <si>
    <t>JE-CIV-25996</t>
  </si>
  <si>
    <t>JE-CIV-26098</t>
  </si>
  <si>
    <t>JE-CIV-26449</t>
  </si>
  <si>
    <t>JE-CIV-25998</t>
  </si>
  <si>
    <t>JE-CIV-25997</t>
  </si>
  <si>
    <t>JE-CIV-26447</t>
  </si>
  <si>
    <t>JE-CIV-26450</t>
  </si>
  <si>
    <t>JE-CIV-26137</t>
  </si>
  <si>
    <t>JE-CIV-26487</t>
  </si>
  <si>
    <t>JE-CIV-26025</t>
  </si>
  <si>
    <t>JE-CIV-26508</t>
  </si>
  <si>
    <t>JE-CIV-26451</t>
  </si>
  <si>
    <t>JE-CIV-25999</t>
  </si>
  <si>
    <t>JE-CIV-25975</t>
  </si>
  <si>
    <t>JE-CIV-26452</t>
  </si>
  <si>
    <t>JE-CIV-26026</t>
  </si>
  <si>
    <t>JE-CIV-26509</t>
  </si>
  <si>
    <t>JE-CIV-26453</t>
  </si>
  <si>
    <t>JE-CIV-26510</t>
  </si>
  <si>
    <t>JE-CIV-27372</t>
  </si>
  <si>
    <t>JE-CIV-27440</t>
  </si>
  <si>
    <t>JE-CIV-27497</t>
  </si>
  <si>
    <t>JE-CIV-26458</t>
  </si>
  <si>
    <t>JE-CIV-27391</t>
  </si>
  <si>
    <t>JE-CIV-27342</t>
  </si>
  <si>
    <t>JE-CIV-27444</t>
  </si>
  <si>
    <t>JE-CIV-27275</t>
  </si>
  <si>
    <t>JE-CIV-27278</t>
  </si>
  <si>
    <t>JE-CIV-27276</t>
  </si>
  <si>
    <t>JE-CIV-27323</t>
  </si>
  <si>
    <t>JE-CIV-27500</t>
  </si>
  <si>
    <t>JE-CIV-27392</t>
  </si>
  <si>
    <t>JE-CIV-27499</t>
  </si>
  <si>
    <t>JE-CIV-27445</t>
  </si>
  <si>
    <t>JE-CIV-27498</t>
  </si>
  <si>
    <t>JE-CIV-27344</t>
  </si>
  <si>
    <t>JE-CIV-27443</t>
  </si>
  <si>
    <t>JE-CIV-27277</t>
  </si>
  <si>
    <t>JE-CIV-27687</t>
  </si>
  <si>
    <t>JE-CIV-27343</t>
  </si>
  <si>
    <t>JE-CIV-27345</t>
  </si>
  <si>
    <t>JE-CIV-27280</t>
  </si>
  <si>
    <t>JE-CIV-27501</t>
  </si>
  <si>
    <t>JE-CIV-27447</t>
  </si>
  <si>
    <t>JE-CIV-27279</t>
  </si>
  <si>
    <t>JE-CIV-27504</t>
  </si>
  <si>
    <t>JE-CIV-27503</t>
  </si>
  <si>
    <t>S/2026/5338/A</t>
  </si>
  <si>
    <t>361470-2026/F</t>
  </si>
  <si>
    <t>JE-CIV-27346</t>
  </si>
  <si>
    <t>JE-CIV-27502</t>
  </si>
  <si>
    <t>JE-CIV-27506</t>
  </si>
  <si>
    <t>JE-CIV-27325</t>
  </si>
  <si>
    <t>S/2026/5420/A</t>
  </si>
  <si>
    <t>2026/9001901568</t>
  </si>
  <si>
    <t>JE-CIV-27324</t>
  </si>
  <si>
    <t>JE-CIV-27347</t>
  </si>
  <si>
    <t>JE-CIV-27448</t>
  </si>
  <si>
    <t>JE-CIV-27505</t>
  </si>
  <si>
    <t>JE-CIV-27457</t>
  </si>
  <si>
    <t>S/2026/5466/A</t>
  </si>
  <si>
    <t>1125</t>
  </si>
  <si>
    <t>JE-CIV-27369</t>
  </si>
  <si>
    <t>JE-CIV-27449</t>
  </si>
  <si>
    <t>JE-CIV-27349</t>
  </si>
  <si>
    <t>JE-CIV-27458</t>
  </si>
  <si>
    <t>JE-CIV-27508</t>
  </si>
  <si>
    <t>S/2026/5465/A</t>
  </si>
  <si>
    <t>2026/9001909176</t>
  </si>
  <si>
    <t>JE-CIV-27507</t>
  </si>
  <si>
    <t>JE-CIV-27348</t>
  </si>
  <si>
    <t>JE-CIV-27326</t>
  </si>
  <si>
    <t>JE-CIV-27786</t>
  </si>
  <si>
    <t>JE-CIV-27327</t>
  </si>
  <si>
    <t>JE-CIV-27328</t>
  </si>
  <si>
    <t>JE-CIV-27394</t>
  </si>
  <si>
    <t>S/2026/5499/A</t>
  </si>
  <si>
    <t>F-04588 Ulivi e Palme Srl</t>
  </si>
  <si>
    <t>1978</t>
  </si>
  <si>
    <t>JE-CIV-27703</t>
  </si>
  <si>
    <t>JE-CIV-27510</t>
  </si>
  <si>
    <t>JE-CIV-27350</t>
  </si>
  <si>
    <t>JE-CIV-27459</t>
  </si>
  <si>
    <t>JE-CIV-27460</t>
  </si>
  <si>
    <t>JE-CIV-27704</t>
  </si>
  <si>
    <t>S/2026/5513/A</t>
  </si>
  <si>
    <t>2026/9001926600</t>
  </si>
  <si>
    <t>JE-CIV-27352</t>
  </si>
  <si>
    <t>JE-CIV-27461</t>
  </si>
  <si>
    <t>JE-CIV-27351</t>
  </si>
  <si>
    <t>JE-CIV-27462</t>
  </si>
  <si>
    <t>JE-CIV-27395</t>
  </si>
  <si>
    <t>S/2026/5524/A</t>
  </si>
  <si>
    <t>E1702</t>
  </si>
  <si>
    <t>JE-CIV-27464</t>
  </si>
  <si>
    <t>JE-CIV-27465</t>
  </si>
  <si>
    <t>JE-CIV-27329</t>
  </si>
  <si>
    <t>JE-CIV-27289</t>
  </si>
  <si>
    <t>JE-CIV-27397</t>
  </si>
  <si>
    <t>JE-CIV-27398</t>
  </si>
  <si>
    <t>JE-CIV-27396</t>
  </si>
  <si>
    <t>S/2026/5697/A</t>
  </si>
  <si>
    <t>F-00738 EURO SALENTO SRL</t>
  </si>
  <si>
    <t>83</t>
  </si>
  <si>
    <t>JE-CIV-27353</t>
  </si>
  <si>
    <t>JE-CIV-27466</t>
  </si>
  <si>
    <t>JE-CIV-27652</t>
  </si>
  <si>
    <t>JE-CIV-27402</t>
  </si>
  <si>
    <t>JE-CIV-27470</t>
  </si>
  <si>
    <t>JE-CIV-27292</t>
  </si>
  <si>
    <t>JE-CIV-27331</t>
  </si>
  <si>
    <t>JE-CIV-27401</t>
  </si>
  <si>
    <t>JE-CIV-27403</t>
  </si>
  <si>
    <t>JE-CIV-27469</t>
  </si>
  <si>
    <t>JE-CIV-27399</t>
  </si>
  <si>
    <t>JE-CIV-27330</t>
  </si>
  <si>
    <t>JE-CIV-27511</t>
  </si>
  <si>
    <t>JE-CIV-27400</t>
  </si>
  <si>
    <t>JE-CIV-27354</t>
  </si>
  <si>
    <t>JE-CIV-27404</t>
  </si>
  <si>
    <t>JE-CIV-27296</t>
  </si>
  <si>
    <t>JE-CIV-27294</t>
  </si>
  <si>
    <t>JE-CIV-26079</t>
  </si>
  <si>
    <t>JE-CIV-27355</t>
  </si>
  <si>
    <t>JE-CIV-27333</t>
  </si>
  <si>
    <t>JE-CIV-27405</t>
  </si>
  <si>
    <t>JE-CIV-27293</t>
  </si>
  <si>
    <t>JE-CIV-27334</t>
  </si>
  <si>
    <t>JE-CIV-27295</t>
  </si>
  <si>
    <t>JE-CIV-27336</t>
  </si>
  <si>
    <t>JE-CIV-27332</t>
  </si>
  <si>
    <t>JE-CIV-27370</t>
  </si>
  <si>
    <t>JE-CIV-27297</t>
  </si>
  <si>
    <t>JE-CIV-26080</t>
  </si>
  <si>
    <t>S/2026/5862/A</t>
  </si>
  <si>
    <t>1179</t>
  </si>
  <si>
    <t>JE-CIV-27406</t>
  </si>
  <si>
    <t>JE-CIV-27337</t>
  </si>
  <si>
    <t>JE-CIV-27356</t>
  </si>
  <si>
    <t>JE-CIV-27513</t>
  </si>
  <si>
    <t>JE-CIV-27471</t>
  </si>
  <si>
    <t>JE-CIV-27515</t>
  </si>
  <si>
    <t>JE-CIV-27339</t>
  </si>
  <si>
    <t>JE-CIV-27473</t>
  </si>
  <si>
    <t>JE-CIV-27357</t>
  </si>
  <si>
    <t>JE-CIV-27472</t>
  </si>
  <si>
    <t>JE-CIV-27514</t>
  </si>
  <si>
    <t>JE-CIV-27299</t>
  </si>
  <si>
    <t>S/2026/5873/A</t>
  </si>
  <si>
    <t>385101-2026/F</t>
  </si>
  <si>
    <t>S/2026/5874/A</t>
  </si>
  <si>
    <t>385119-2026/F</t>
  </si>
  <si>
    <t>JE-CIV-27301</t>
  </si>
  <si>
    <t>JE-CIV-27476</t>
  </si>
  <si>
    <t>JE-CIV-27358</t>
  </si>
  <si>
    <t>JE-CIV-27518</t>
  </si>
  <si>
    <t>JE-CIV-27517</t>
  </si>
  <si>
    <t>JE-CIV-27475</t>
  </si>
  <si>
    <t>S/2026/5922/A</t>
  </si>
  <si>
    <t>FA/2026/1138</t>
  </si>
  <si>
    <t>JE-CIV-27303</t>
  </si>
  <si>
    <t>JE-CIV-27302</t>
  </si>
  <si>
    <t>JE-CIV-27519</t>
  </si>
  <si>
    <t>JE-CIV-27360</t>
  </si>
  <si>
    <t>JE-CIV-27304</t>
  </si>
  <si>
    <t>JE-CIV-27407</t>
  </si>
  <si>
    <t>JE-CIV-27520</t>
  </si>
  <si>
    <t>JE-CIV-27359</t>
  </si>
  <si>
    <t>JE-CIV-27725</t>
  </si>
  <si>
    <t>JE-CIV-27477</t>
  </si>
  <si>
    <t>JE-CIV-27305</t>
  </si>
  <si>
    <t>S/2026/5945/A</t>
  </si>
  <si>
    <t>F-02283 BEB HOTELS ITALIA S.P.A.</t>
  </si>
  <si>
    <t>Voucher: BB21981921</t>
  </si>
  <si>
    <t>FT71/26/6104</t>
  </si>
  <si>
    <t>S/2026/5957/A</t>
  </si>
  <si>
    <t>2026/9002014913</t>
  </si>
  <si>
    <t>S/2026/5956/A</t>
  </si>
  <si>
    <t>2026/9002014891</t>
  </si>
  <si>
    <t>S/2026/5958/A</t>
  </si>
  <si>
    <t>2026/9002014890</t>
  </si>
  <si>
    <t>JE-CIV-27478</t>
  </si>
  <si>
    <t>JE-CIV-27480</t>
  </si>
  <si>
    <t>S/2026/5959/A</t>
  </si>
  <si>
    <t>2026/9002014912</t>
  </si>
  <si>
    <t>JE-CIV-27479</t>
  </si>
  <si>
    <t>JE-CIV-27523</t>
  </si>
  <si>
    <t>JE-CIV-27483</t>
  </si>
  <si>
    <t>JE-CIV-27482</t>
  </si>
  <si>
    <t>JE-CIV-27361</t>
  </si>
  <si>
    <t>JE-CIV-27521</t>
  </si>
  <si>
    <t>JE-CIV-27362</t>
  </si>
  <si>
    <t>JE-CIV-27522</t>
  </si>
  <si>
    <t>JE-CIV-27481</t>
  </si>
  <si>
    <t>JE-CIV-27306</t>
  </si>
  <si>
    <t>JE-CIV-27308</t>
  </si>
  <si>
    <t>JE-CIV-27309</t>
  </si>
  <si>
    <t>JE-CIV-27524</t>
  </si>
  <si>
    <t>JE-CIV-27527</t>
  </si>
  <si>
    <t>S/2026/5984/A</t>
  </si>
  <si>
    <t>000000212022546P</t>
  </si>
  <si>
    <t>JE-CIV-27310</t>
  </si>
  <si>
    <t>S/2026/5981/A</t>
  </si>
  <si>
    <t>0000000015680875</t>
  </si>
  <si>
    <t>JE-CIV-27526</t>
  </si>
  <si>
    <t>JE-CIV-27408</t>
  </si>
  <si>
    <t>JE-CIV-27364</t>
  </si>
  <si>
    <t>S/2026/5983/A</t>
  </si>
  <si>
    <t>000000310013829P</t>
  </si>
  <si>
    <t>JE-CIV-27311</t>
  </si>
  <si>
    <t>JE-CIV-27525</t>
  </si>
  <si>
    <t>JE-CIV-27363</t>
  </si>
  <si>
    <t>JE-CIV-27485</t>
  </si>
  <si>
    <t>S/2026/6001/A</t>
  </si>
  <si>
    <t>9326630669</t>
  </si>
  <si>
    <t>JE-CIV-27528</t>
  </si>
  <si>
    <t>S/2026/5998/A</t>
  </si>
  <si>
    <t>F-04616 HOTEL GRAN SASSO SRLS</t>
  </si>
  <si>
    <t>FPR 933/26</t>
  </si>
  <si>
    <t>S/2026/5989/A</t>
  </si>
  <si>
    <t>E1814</t>
  </si>
  <si>
    <t>JE-CIV-27365</t>
  </si>
  <si>
    <t>JE-CIV-27484</t>
  </si>
  <si>
    <t>S/2026/5988/A</t>
  </si>
  <si>
    <t>E1815</t>
  </si>
  <si>
    <t>JE-CIV-27487</t>
  </si>
  <si>
    <t>JE-CIV-27488</t>
  </si>
  <si>
    <t>JE-CIV-27486</t>
  </si>
  <si>
    <t>JE-CIV-27489</t>
  </si>
  <si>
    <t>JE-CIV-27490</t>
  </si>
  <si>
    <t>JE-CIV-27313</t>
  </si>
  <si>
    <t>JE-CIV-27529</t>
  </si>
  <si>
    <t>JE-CIV-27669</t>
  </si>
  <si>
    <t>JE-CIV-26575</t>
  </si>
  <si>
    <t>S/2026/6022/A</t>
  </si>
  <si>
    <t>402331-2026/F</t>
  </si>
  <si>
    <t>S/2026/6029/A</t>
  </si>
  <si>
    <t>NA00123929</t>
  </si>
  <si>
    <t>JE-CIV-27531</t>
  </si>
  <si>
    <t>S/2026/6045/A</t>
  </si>
  <si>
    <t>1235</t>
  </si>
  <si>
    <t>JE-CIV-27410</t>
  </si>
  <si>
    <t>JE-CIV-27530</t>
  </si>
  <si>
    <t>JE-CIV-27411</t>
  </si>
  <si>
    <t>JE-CIV-27409</t>
  </si>
  <si>
    <t>JE-CIV-27413</t>
  </si>
  <si>
    <t>JE-CIV-27414</t>
  </si>
  <si>
    <t>JE-CIV-27416</t>
  </si>
  <si>
    <t>JE-CIV-27379</t>
  </si>
  <si>
    <t>JE-CIV-27532</t>
  </si>
  <si>
    <t>JE-CIV-27412</t>
  </si>
  <si>
    <t>JE-CIV-27415</t>
  </si>
  <si>
    <t>JE-CIV-27366</t>
  </si>
  <si>
    <t>JE-CIV-27491</t>
  </si>
  <si>
    <t>JE-CIV-27534</t>
  </si>
  <si>
    <t>JE-CIV-27316</t>
  </si>
  <si>
    <t>JE-CIV-27732</t>
  </si>
  <si>
    <t>JE-CIV-27417</t>
  </si>
  <si>
    <t>JE-CIV-27317</t>
  </si>
  <si>
    <t>JE-CIV-27492</t>
  </si>
  <si>
    <t>JE-CIV-27315</t>
  </si>
  <si>
    <t>JE-CIV-27533</t>
  </si>
  <si>
    <t>JE-CIV-27341</t>
  </si>
  <si>
    <t>JE-CIV-27674</t>
  </si>
  <si>
    <t>JE-CIV-27318</t>
  </si>
  <si>
    <t>JE-CIV-27340</t>
  </si>
  <si>
    <t>S/2026/6106/A</t>
  </si>
  <si>
    <t>Voucher: BB22109841</t>
  </si>
  <si>
    <t>FT129/26/6104</t>
  </si>
  <si>
    <t>S/2026/6112/A</t>
  </si>
  <si>
    <t>TELL 29/07/26</t>
  </si>
  <si>
    <t>F 1885/H 2026</t>
  </si>
  <si>
    <t>JE-CIV-27734</t>
  </si>
  <si>
    <t>S/2026/6141/A</t>
  </si>
  <si>
    <t>1276</t>
  </si>
  <si>
    <t>S/2026/6186/A</t>
  </si>
  <si>
    <t>JE-CIV-27388</t>
  </si>
  <si>
    <t>S/2026/6162/A</t>
  </si>
  <si>
    <t>F-04639 L AUTOPARCO SRL</t>
  </si>
  <si>
    <t>HOTEL ALOISI VIA TARANTO, 297 LECCE LE Arrivo: 27/07/2026 - Partenza 31/07/2026 Booking Reference: 24872SI11323 IBAN: IT42U0881779040010000001416 BIC: CCRTIT2TSMZ</t>
  </si>
  <si>
    <t>1039/2026/H</t>
  </si>
  <si>
    <t>S/2026/6259/A</t>
  </si>
  <si>
    <t>071820-2026-S-MM</t>
  </si>
  <si>
    <t>S/2026/6352/A</t>
  </si>
  <si>
    <t>2026/9002115997</t>
  </si>
  <si>
    <t>S/2026/6374/A</t>
  </si>
  <si>
    <t>Voucher: BB22251214</t>
  </si>
  <si>
    <t>FT197/26/6104</t>
  </si>
  <si>
    <t>S/2026/6424/A</t>
  </si>
  <si>
    <t>E1923</t>
  </si>
  <si>
    <t>S/2026/6445/A</t>
  </si>
  <si>
    <t>2026/9002166240</t>
  </si>
  <si>
    <t>S/2026/6442/A</t>
  </si>
  <si>
    <t>2026/9002166629</t>
  </si>
  <si>
    <t>S/2026/6446/A</t>
  </si>
  <si>
    <t>2026/9002166239</t>
  </si>
  <si>
    <t>S/2026/6432/A</t>
  </si>
  <si>
    <t>2026/9002123257</t>
  </si>
  <si>
    <t>S/2026/6426/A</t>
  </si>
  <si>
    <t>424071-2026/F</t>
  </si>
  <si>
    <t>S/2026/6448/A</t>
  </si>
  <si>
    <t>2026/9002163808</t>
  </si>
  <si>
    <t>S/2026/6427/A</t>
  </si>
  <si>
    <t>424852-2026/F</t>
  </si>
  <si>
    <t>S/2026/6468/A</t>
  </si>
  <si>
    <t>2026/9002166628</t>
  </si>
  <si>
    <t>S/2026/6515/A</t>
  </si>
  <si>
    <t>000000212025645P</t>
  </si>
  <si>
    <t>S/2026/6514/A</t>
  </si>
  <si>
    <t>000000310016062P</t>
  </si>
  <si>
    <t>S/2026/6510/A</t>
  </si>
  <si>
    <t>0000000018530975</t>
  </si>
  <si>
    <t>S/2026/6516/A</t>
  </si>
  <si>
    <t>000000014041051P</t>
  </si>
  <si>
    <t>S/2026/6654/A</t>
  </si>
  <si>
    <t>1U717/ZE/911777535</t>
  </si>
  <si>
    <t>S/2026/6714/A</t>
  </si>
  <si>
    <t>Voucher: BB22526481</t>
  </si>
  <si>
    <t>FT312/26/6104</t>
  </si>
  <si>
    <t>S/2026/6771/A</t>
  </si>
  <si>
    <t>F-04657 HOTEL GIULIETTA di Frattesi Daniele e Roberto S.N.C.</t>
  </si>
  <si>
    <t>53</t>
  </si>
  <si>
    <t>S/2026/6789/A</t>
  </si>
  <si>
    <t>Voucher: BB22558585</t>
  </si>
  <si>
    <t>FT323/26/6104</t>
  </si>
  <si>
    <t>S/2026/6795/A</t>
  </si>
  <si>
    <t>2026/9002204748</t>
  </si>
  <si>
    <t>Progetto nuova sede Civismart Spa in Ascoli Piceno</t>
  </si>
  <si>
    <t>OFFERTA AFFIDAMENTO IN CONCESSIONE
DEGLI IMPIANTI DI PUBBLICA
ILLUMINAZIONE E SEMAFORICI AI FINI
DELLA REALIZZAZIONE DI INTERVENTI DI
RIQUALIFICAZIONE ENERGETICA,
ADEGUAMENTO NORMATIVO NONCHÈ DI
GESTIONE DEGLI STESSI PER IL COMUNE DI
RIVOLI</t>
  </si>
  <si>
    <t>Progetto G.R.O.W.S. - ELENA - Lotto 3 - Campi Salentina</t>
  </si>
  <si>
    <t>Progetto G.R.O.W.S. - ELENA - Lotto 3 - Ugento</t>
  </si>
  <si>
    <t>Progetto G.R.O.W.S. - ELENA - Lotto 2 - Gallipoli</t>
  </si>
  <si>
    <t>Progetto G.R.O.W.S. - ELENA - Lotto 2 - San Cesario di Lecce</t>
  </si>
  <si>
    <t>Attivit professionali relative al deposito di pensilini prefabbricate
per autorizzazione sismica -Impianto fotovoltaico FV1_SANT
ARCANGELO</t>
  </si>
  <si>
    <t>SALDO PREVENTIVO PER ATTIVAZIONE
DELLOFFERTA PER ATTIVITÀ DI
CENSIMENTO IMPIANTI DI IP COMUNE DI
NICHELINO TO</t>
  </si>
  <si>
    <t>attività di Financial e Tax DD</t>
  </si>
  <si>
    <t>Modello di
organizzazione, gestione e controllo Redazione
della Procedura di Whistleblowing</t>
  </si>
  <si>
    <t>Fees previste da EL più 8 spese</t>
  </si>
  <si>
    <t xml:space="preserve">DUE DILIGENCE AML PRATICHE ESCO CAMPANIA ,
LA.RE.FIN E T.IMPIANTI </t>
  </si>
  <si>
    <t>ANALISI CONTROPARTE DE GIORGI GLOBAL SERVICE SRL</t>
  </si>
  <si>
    <t>prestazioni professionali relative a Pj Grecia buy side FDD e TDD</t>
  </si>
  <si>
    <t>Pj Pre-bid - light touch duediligence sulle
seguenti società, municipalità e concessioni:- Municipalità di Maletto- Pacifico- Sofein- Ruach- Green energy- EPS- CED e Smart Building- Cogiatech- Mateda e Smart Energy solution</t>
  </si>
  <si>
    <t>Pj Omnia Financial Tax DD</t>
  </si>
  <si>
    <t>AMOROSO RICCARDO</t>
  </si>
  <si>
    <t xml:space="preserve">ITA </t>
  </si>
  <si>
    <t>BOSCOLO SANIA</t>
  </si>
  <si>
    <t>TATARELLI MARCO</t>
  </si>
  <si>
    <t>HOTEL AMBASCIATORI CHIOGGIA</t>
  </si>
  <si>
    <t>Soggiorni</t>
  </si>
  <si>
    <t>Booking</t>
  </si>
  <si>
    <t>SOGGIORNi</t>
  </si>
  <si>
    <t>Soggiorni Mauro Carretta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</si>
</sst>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0.00\ &quot;€&quot;;[Red]\-#,##0.00\ &quot;€&quot;"/>
    <numFmt numFmtId="44" formatCode="_-* #,##0.00\ &quot;€&quot;_-;\-* #,##0.00\ &quot;€&quot;_-;_-* &quot;-&quot;??\ &quot;€&quot;_-;_-@_-"/>
    <numFmt numFmtId="164" formatCode="&quot;€&quot;#,##0.00"/>
  </numFmts>
  <fonts count="38" x14ac:knownFonts="1">
    <font>
      <sz val="11"/>
      <color theme="1"/>
      <name val="Aptos Narrow"/>
      <family val="2"/>
      <scheme val="minor"/>
    </font>
    <font>
      <sz val="11"/>
      <color theme="1"/>
      <name val="Aptos Narrow"/>
      <family val="2"/>
      <scheme val="minor"/>
    </font>
    <font>
      <b/>
      <sz val="11"/>
      <color theme="1"/>
      <name val="Aptos Narrow"/>
      <family val="2"/>
      <scheme val="minor"/>
    </font>
    <font>
      <b/>
      <sz val="8"/>
      <color indexed="8"/>
      <name val="Arial"/>
      <family val="2"/>
    </font>
    <font>
      <sz val="8"/>
      <color indexed="8"/>
      <name val="Arial"/>
      <family val="2"/>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sz val="11"/>
      <color theme="0"/>
      <name val="Aptos Narrow"/>
      <family val="2"/>
      <scheme val="minor"/>
    </font>
    <font>
      <sz val="8"/>
      <name val="Arial"/>
      <family val="2"/>
    </font>
    <font>
      <b/>
      <sz val="8"/>
      <color indexed="8"/>
      <name val="Arial"/>
      <family val="2"/>
    </font>
    <font>
      <sz val="8"/>
      <color indexed="8"/>
      <name val="Arial"/>
      <family val="2"/>
    </font>
    <font>
      <b/>
      <sz val="8"/>
      <color indexed="8"/>
      <name val="Arial"/>
      <family val="2"/>
    </font>
    <font>
      <sz val="8"/>
      <color indexed="8"/>
      <name val="Arial"/>
      <family val="2"/>
    </font>
    <font>
      <b/>
      <sz val="8"/>
      <color indexed="8"/>
      <name val="Arial"/>
      <family val="2"/>
    </font>
    <font>
      <b/>
      <sz val="12"/>
      <name val="Arial"/>
      <family val="2"/>
    </font>
    <font>
      <b/>
      <sz val="14"/>
      <name val="Arial"/>
      <family val="2"/>
    </font>
    <font>
      <b/>
      <sz val="7"/>
      <name val="Arial"/>
      <family val="2"/>
    </font>
    <font>
      <b/>
      <sz val="12"/>
      <name val="Arial"/>
      <family val="2"/>
    </font>
    <font>
      <b/>
      <sz val="14"/>
      <name val="Arial"/>
      <family val="2"/>
    </font>
    <font>
      <b/>
      <sz val="7"/>
      <name val="Arial"/>
      <family val="2"/>
    </font>
    <font>
      <sz val="10"/>
      <color rgb="FF333333"/>
      <name val="Arial"/>
      <family val="2"/>
    </font>
    <font>
      <b/>
      <sz val="12"/>
      <name val="Arial"/>
    </font>
    <font>
      <b/>
      <sz val="14"/>
      <name val="Arial"/>
    </font>
    <font>
      <sz val="8"/>
      <color indexed="8"/>
      <name val="Arial"/>
    </font>
    <font>
      <b/>
      <sz val="8"/>
      <color indexed="8"/>
      <name val="Arial"/>
    </font>
    <font>
      <b/>
      <sz val="7"/>
      <name val="Arial"/>
    </font>
  </fonts>
  <fills count="36">
    <fill>
      <patternFill patternType="none"/>
    </fill>
    <fill>
      <patternFill patternType="gray125"/>
    </fill>
    <fill>
      <patternFill patternType="solid">
        <fgColor rgb="FFD0D0D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99FF"/>
        <bgColor indexed="64"/>
      </patternFill>
    </fill>
    <fill>
      <patternFill patternType="solid">
        <fgColor rgb="FF66CCFF"/>
        <bgColor indexed="64"/>
      </patternFill>
    </fill>
  </fills>
  <borders count="11">
    <border>
      <left/>
      <right/>
      <top/>
      <bottom/>
      <diagonal/>
    </border>
    <border>
      <left/>
      <right/>
      <top style="dashed">
        <color rgb="FFCCCCCC"/>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5" fillId="0" borderId="0" applyNumberFormat="0" applyFill="0" applyBorder="0" applyAlignment="0" applyProtection="0"/>
    <xf numFmtId="0" fontId="6" fillId="0" borderId="2" applyNumberFormat="0" applyFill="0" applyAlignment="0" applyProtection="0"/>
    <xf numFmtId="0" fontId="7" fillId="0" borderId="3" applyNumberFormat="0" applyFill="0" applyAlignment="0" applyProtection="0"/>
    <xf numFmtId="0" fontId="8" fillId="0" borderId="4" applyNumberFormat="0" applyFill="0" applyAlignment="0" applyProtection="0"/>
    <xf numFmtId="0" fontId="8" fillId="0" borderId="0" applyNumberFormat="0" applyFill="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0" applyNumberFormat="0" applyBorder="0" applyAlignment="0" applyProtection="0"/>
    <xf numFmtId="0" fontId="12" fillId="6" borderId="5" applyNumberFormat="0" applyAlignment="0" applyProtection="0"/>
    <xf numFmtId="0" fontId="13" fillId="7" borderId="6" applyNumberFormat="0" applyAlignment="0" applyProtection="0"/>
    <xf numFmtId="0" fontId="14" fillId="7" borderId="5" applyNumberFormat="0" applyAlignment="0" applyProtection="0"/>
    <xf numFmtId="0" fontId="15" fillId="0" borderId="7" applyNumberFormat="0" applyFill="0" applyAlignment="0" applyProtection="0"/>
    <xf numFmtId="0" fontId="16" fillId="8" borderId="8" applyNumberFormat="0" applyAlignment="0" applyProtection="0"/>
    <xf numFmtId="0" fontId="17" fillId="0" borderId="0" applyNumberFormat="0" applyFill="0" applyBorder="0" applyAlignment="0" applyProtection="0"/>
    <xf numFmtId="0" fontId="1" fillId="9" borderId="9" applyNumberFormat="0" applyFont="0" applyAlignment="0" applyProtection="0"/>
    <xf numFmtId="0" fontId="18" fillId="0" borderId="0" applyNumberFormat="0" applyFill="0" applyBorder="0" applyAlignment="0" applyProtection="0"/>
    <xf numFmtId="0" fontId="2" fillId="0" borderId="10" applyNumberFormat="0" applyFill="0" applyAlignment="0" applyProtection="0"/>
    <xf numFmtId="0" fontId="19"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9"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9"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9"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9"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9"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20" fillId="0" borderId="0"/>
  </cellStyleXfs>
  <cellXfs count="77">
    <xf numFmtId="0" fontId="0" fillId="0" borderId="0" xfId="0"/>
    <xf numFmtId="0" fontId="2" fillId="0" borderId="0" xfId="0" applyFont="1"/>
    <xf numFmtId="0" fontId="3" fillId="0" borderId="0" xfId="0" applyFont="1" applyAlignment="1">
      <alignment horizontal="left" indent="2"/>
    </xf>
    <xf numFmtId="17" fontId="0" fillId="0" borderId="0" xfId="0" applyNumberFormat="1"/>
    <xf numFmtId="0" fontId="4" fillId="0" borderId="0" xfId="0" applyFont="1" applyAlignment="1">
      <alignment horizontal="left" vertical="center"/>
    </xf>
    <xf numFmtId="164" fontId="4" fillId="0" borderId="0" xfId="0" applyNumberFormat="1" applyFont="1" applyAlignment="1">
      <alignment horizontal="right" vertical="center"/>
    </xf>
    <xf numFmtId="44" fontId="0" fillId="0" borderId="0" xfId="0" applyNumberFormat="1"/>
    <xf numFmtId="44" fontId="2" fillId="0" borderId="0" xfId="0" applyNumberFormat="1" applyFont="1"/>
    <xf numFmtId="17" fontId="0" fillId="0" borderId="0" xfId="0" applyNumberFormat="1" applyAlignment="1">
      <alignment horizontal="right"/>
    </xf>
    <xf numFmtId="164" fontId="2" fillId="0" borderId="0" xfId="0" applyNumberFormat="1" applyFont="1"/>
    <xf numFmtId="0" fontId="21" fillId="0" borderId="0" xfId="0" applyFont="1" applyAlignment="1">
      <alignment horizontal="left" indent="2"/>
    </xf>
    <xf numFmtId="0" fontId="22" fillId="0" borderId="0" xfId="0" applyFont="1" applyAlignment="1">
      <alignment horizontal="left" vertical="center"/>
    </xf>
    <xf numFmtId="0" fontId="23" fillId="0" borderId="1" xfId="0" applyFont="1" applyBorder="1" applyAlignment="1">
      <alignment horizontal="left" indent="2"/>
    </xf>
    <xf numFmtId="14" fontId="22" fillId="0" borderId="0" xfId="0" applyNumberFormat="1" applyFont="1" applyAlignment="1">
      <alignment horizontal="center" vertical="center"/>
    </xf>
    <xf numFmtId="0" fontId="2" fillId="0" borderId="0" xfId="0" applyFont="1" applyAlignment="1">
      <alignment horizontal="center"/>
    </xf>
    <xf numFmtId="0" fontId="24" fillId="0" borderId="0" xfId="0" applyFont="1" applyAlignment="1">
      <alignment horizontal="left" indent="3"/>
    </xf>
    <xf numFmtId="0" fontId="24" fillId="0" borderId="0" xfId="0" applyFont="1" applyAlignment="1">
      <alignment horizontal="left" vertical="center"/>
    </xf>
    <xf numFmtId="14" fontId="24" fillId="0" borderId="0" xfId="0" applyNumberFormat="1" applyFont="1" applyAlignment="1">
      <alignment horizontal="left" vertical="center"/>
    </xf>
    <xf numFmtId="164" fontId="24" fillId="0" borderId="0" xfId="0" applyNumberFormat="1" applyFont="1" applyAlignment="1">
      <alignment horizontal="right" vertical="center"/>
    </xf>
    <xf numFmtId="0" fontId="25" fillId="0" borderId="1" xfId="0" applyFont="1" applyBorder="1" applyAlignment="1">
      <alignment horizontal="left" indent="2"/>
    </xf>
    <xf numFmtId="0" fontId="26" fillId="0" borderId="0" xfId="0" applyFont="1"/>
    <xf numFmtId="0" fontId="27" fillId="0" borderId="0" xfId="0" applyFont="1"/>
    <xf numFmtId="0" fontId="28" fillId="2" borderId="0" xfId="0" applyFont="1" applyFill="1" applyAlignment="1">
      <alignment horizontal="left"/>
    </xf>
    <xf numFmtId="0" fontId="28" fillId="2" borderId="0" xfId="0" applyFont="1" applyFill="1" applyAlignment="1">
      <alignment horizontal="right"/>
    </xf>
    <xf numFmtId="0" fontId="25" fillId="0" borderId="0" xfId="0" applyFont="1" applyAlignment="1">
      <alignment horizontal="left" vertical="center"/>
    </xf>
    <xf numFmtId="0" fontId="25" fillId="0" borderId="0" xfId="0" applyFont="1" applyAlignment="1">
      <alignment horizontal="left" indent="1"/>
    </xf>
    <xf numFmtId="0" fontId="25" fillId="0" borderId="0" xfId="0" applyFont="1" applyAlignment="1">
      <alignment horizontal="left" indent="2"/>
    </xf>
    <xf numFmtId="14" fontId="24" fillId="0" borderId="0" xfId="0" applyNumberFormat="1" applyFont="1" applyAlignment="1">
      <alignment horizontal="center" vertical="center"/>
    </xf>
    <xf numFmtId="0" fontId="3" fillId="0" borderId="0" xfId="0" applyFont="1" applyAlignment="1">
      <alignment horizontal="left" vertical="center"/>
    </xf>
    <xf numFmtId="164" fontId="4" fillId="0" borderId="0" xfId="0" applyNumberFormat="1" applyFont="1" applyAlignment="1">
      <alignment horizontal="left" vertical="center"/>
    </xf>
    <xf numFmtId="164" fontId="4" fillId="0" borderId="0" xfId="0" applyNumberFormat="1" applyFont="1" applyAlignment="1">
      <alignment horizontal="left" vertical="center" wrapText="1"/>
    </xf>
    <xf numFmtId="0" fontId="29" fillId="0" borderId="0" xfId="0" applyFont="1"/>
    <xf numFmtId="0" fontId="30" fillId="0" borderId="0" xfId="0" applyFont="1"/>
    <xf numFmtId="0" fontId="31" fillId="2" borderId="0" xfId="0" applyFont="1" applyFill="1" applyAlignment="1">
      <alignment horizontal="left"/>
    </xf>
    <xf numFmtId="0" fontId="31" fillId="2" borderId="0" xfId="0" applyFont="1" applyFill="1" applyAlignment="1">
      <alignment horizontal="right"/>
    </xf>
    <xf numFmtId="14" fontId="4" fillId="0" borderId="0" xfId="0" applyNumberFormat="1" applyFont="1" applyAlignment="1">
      <alignment horizontal="left" vertical="center"/>
    </xf>
    <xf numFmtId="0" fontId="3" fillId="0" borderId="0" xfId="0" applyFont="1" applyAlignment="1">
      <alignment horizontal="left" indent="1"/>
    </xf>
    <xf numFmtId="0" fontId="4" fillId="0" borderId="0" xfId="0" applyFont="1" applyAlignment="1">
      <alignment horizontal="left" indent="3"/>
    </xf>
    <xf numFmtId="164" fontId="3" fillId="0" borderId="1" xfId="0" applyNumberFormat="1" applyFont="1" applyBorder="1" applyAlignment="1">
      <alignment horizontal="right" vertical="center"/>
    </xf>
    <xf numFmtId="0" fontId="4" fillId="0" borderId="0" xfId="0" applyFont="1" applyAlignment="1">
      <alignment horizontal="left" vertical="center" wrapText="1"/>
    </xf>
    <xf numFmtId="0" fontId="32" fillId="0" borderId="0" xfId="0" applyFont="1"/>
    <xf numFmtId="164" fontId="4" fillId="0" borderId="0" xfId="0" applyNumberFormat="1" applyFont="1" applyAlignment="1">
      <alignment vertical="center"/>
    </xf>
    <xf numFmtId="164" fontId="4" fillId="0" borderId="0" xfId="0" applyNumberFormat="1" applyFont="1" applyAlignment="1">
      <alignment horizontal="right" vertical="center" wrapText="1"/>
    </xf>
    <xf numFmtId="164" fontId="25" fillId="0" borderId="1" xfId="0" applyNumberFormat="1" applyFont="1" applyBorder="1" applyAlignment="1">
      <alignment horizontal="right" vertical="center"/>
    </xf>
    <xf numFmtId="0" fontId="25" fillId="0" borderId="1" xfId="0" applyFont="1" applyBorder="1" applyAlignment="1">
      <alignment horizontal="left" vertical="center"/>
    </xf>
    <xf numFmtId="0" fontId="25" fillId="0" borderId="1" xfId="0" applyFont="1" applyBorder="1" applyAlignment="1">
      <alignment horizontal="left" indent="1"/>
    </xf>
    <xf numFmtId="0" fontId="24" fillId="0" borderId="0" xfId="0" applyFont="1" applyAlignment="1">
      <alignment horizontal="left" vertical="center" wrapText="1"/>
    </xf>
    <xf numFmtId="164" fontId="4" fillId="0" borderId="1" xfId="0" applyNumberFormat="1" applyFont="1" applyBorder="1" applyAlignment="1">
      <alignment horizontal="right" vertical="center"/>
    </xf>
    <xf numFmtId="0" fontId="3" fillId="0" borderId="1" xfId="0" applyFont="1" applyBorder="1" applyAlignment="1">
      <alignment horizontal="left" indent="1"/>
    </xf>
    <xf numFmtId="0" fontId="3" fillId="0" borderId="1" xfId="0" applyFont="1" applyBorder="1" applyAlignment="1">
      <alignment horizontal="left" vertical="center"/>
    </xf>
    <xf numFmtId="0" fontId="33" fillId="0" borderId="0" xfId="0" applyFont="1"/>
    <xf numFmtId="0" fontId="34" fillId="0" borderId="0" xfId="0" applyFont="1"/>
    <xf numFmtId="0" fontId="35" fillId="0" borderId="0" xfId="0" applyFont="1" applyAlignment="1">
      <alignment horizontal="left" indent="3"/>
    </xf>
    <xf numFmtId="0" fontId="35" fillId="0" borderId="0" xfId="0" applyFont="1" applyAlignment="1">
      <alignment horizontal="left" vertical="center"/>
    </xf>
    <xf numFmtId="14" fontId="35" fillId="0" borderId="0" xfId="0" applyNumberFormat="1" applyFont="1" applyAlignment="1">
      <alignment horizontal="left" vertical="center"/>
    </xf>
    <xf numFmtId="0" fontId="36" fillId="0" borderId="1" xfId="0" applyFont="1" applyBorder="1" applyAlignment="1">
      <alignment horizontal="left" indent="2"/>
    </xf>
    <xf numFmtId="0" fontId="36" fillId="0" borderId="1" xfId="0" applyFont="1" applyBorder="1" applyAlignment="1">
      <alignment horizontal="left" vertical="center"/>
    </xf>
    <xf numFmtId="14" fontId="36" fillId="0" borderId="1" xfId="0" applyNumberFormat="1" applyFont="1" applyBorder="1" applyAlignment="1">
      <alignment horizontal="left" vertical="center"/>
    </xf>
    <xf numFmtId="0" fontId="36" fillId="0" borderId="1" xfId="0" applyFont="1" applyBorder="1" applyAlignment="1">
      <alignment horizontal="left" indent="1"/>
    </xf>
    <xf numFmtId="164" fontId="35" fillId="0" borderId="0" xfId="0" applyNumberFormat="1" applyFont="1" applyAlignment="1">
      <alignment horizontal="right" vertical="center"/>
    </xf>
    <xf numFmtId="164" fontId="36" fillId="0" borderId="1" xfId="0" applyNumberFormat="1" applyFont="1" applyBorder="1" applyAlignment="1">
      <alignment horizontal="right" vertical="center"/>
    </xf>
    <xf numFmtId="0" fontId="37" fillId="2" borderId="0" xfId="0" applyFont="1" applyFill="1" applyAlignment="1">
      <alignment horizontal="left"/>
    </xf>
    <xf numFmtId="0" fontId="37" fillId="2" borderId="0" xfId="0" applyFont="1" applyFill="1" applyAlignment="1">
      <alignment horizontal="right"/>
    </xf>
    <xf numFmtId="0" fontId="36" fillId="0" borderId="0" xfId="0" applyFont="1" applyAlignment="1">
      <alignment horizontal="left" vertical="center"/>
    </xf>
    <xf numFmtId="0" fontId="36" fillId="0" borderId="0" xfId="0" applyFont="1" applyAlignment="1">
      <alignment horizontal="left" indent="1"/>
    </xf>
    <xf numFmtId="0" fontId="36" fillId="0" borderId="0" xfId="0" applyFont="1" applyAlignment="1">
      <alignment horizontal="left" indent="2"/>
    </xf>
    <xf numFmtId="0" fontId="35" fillId="0" borderId="0" xfId="0" applyFont="1" applyAlignment="1">
      <alignment horizontal="left" vertical="center" wrapText="1"/>
    </xf>
    <xf numFmtId="0" fontId="3" fillId="0" borderId="1" xfId="0" applyFont="1" applyBorder="1" applyAlignment="1">
      <alignment horizontal="left" indent="2"/>
    </xf>
    <xf numFmtId="164" fontId="35" fillId="0" borderId="0" xfId="0" applyNumberFormat="1" applyFont="1" applyAlignment="1">
      <alignment horizontal="right" vertical="center" wrapText="1"/>
    </xf>
    <xf numFmtId="0" fontId="0" fillId="0" borderId="0" xfId="0" applyAlignment="1">
      <alignment wrapText="1"/>
    </xf>
    <xf numFmtId="0" fontId="0" fillId="0" borderId="0" xfId="0" applyAlignment="1">
      <alignment vertical="center"/>
    </xf>
    <xf numFmtId="44" fontId="0" fillId="34" borderId="0" xfId="0" applyNumberFormat="1" applyFill="1"/>
    <xf numFmtId="164" fontId="35" fillId="35" borderId="0" xfId="0" applyNumberFormat="1" applyFont="1" applyFill="1" applyAlignment="1">
      <alignment horizontal="right" vertical="center"/>
    </xf>
    <xf numFmtId="164" fontId="35" fillId="0" borderId="0" xfId="0" applyNumberFormat="1" applyFont="1" applyFill="1" applyAlignment="1">
      <alignment horizontal="right" vertical="center"/>
    </xf>
    <xf numFmtId="44" fontId="0" fillId="0" borderId="0" xfId="0" applyNumberFormat="1" applyFill="1"/>
    <xf numFmtId="4" fontId="0" fillId="0" borderId="0" xfId="0" applyNumberFormat="1"/>
    <xf numFmtId="8"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e 2" xfId="42" xr:uid="{0C632186-1C66-48D5-9DBE-CCA6FCEDB43E}"/>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patternType="solid">
          <fgColor rgb="FF66CCFF"/>
          <bgColor rgb="FF000000"/>
        </patternFill>
      </fill>
    </dxf>
    <dxf>
      <fill>
        <patternFill patternType="solid">
          <fgColor rgb="FF66CCFF"/>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hyperlink" Target="https://9628427.app.netsuite.com/app/common/entity/entity.nl?id=2189" TargetMode="External"/><Relationship Id="rId1" Type="http://schemas.openxmlformats.org/officeDocument/2006/relationships/hyperlink" Target="https://9628427.app.netsuite.com/app/common/entity/entity.nl?id=17730"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9628427.app.netsuite.com/app/common/entity/entity.nl?id=2189" TargetMode="External"/><Relationship Id="rId1" Type="http://schemas.openxmlformats.org/officeDocument/2006/relationships/hyperlink" Target="https://9628427.app.netsuite.com/app/common/entity/entity.nl?id=17730"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hyperlink" Target="https://9628427.app.netsuite.com/app/common/entity/entity.nl?id=17280" TargetMode="External"/><Relationship Id="rId1" Type="http://schemas.openxmlformats.org/officeDocument/2006/relationships/hyperlink" Target="https://9628427.app.netsuite.com/app/common/entity/entity.nl?id=17280"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9628427.app.netsuite.com/app/common/entity/entity.nl?id=17800" TargetMode="External"/><Relationship Id="rId1" Type="http://schemas.openxmlformats.org/officeDocument/2006/relationships/hyperlink" Target="https://9628427.app.netsuite.com/app/common/entity/entity.nl?id=1929"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78D5E-3DD1-4D0A-8ED6-B708F73F1963}">
  <dimension ref="A1:N23"/>
  <sheetViews>
    <sheetView workbookViewId="0">
      <selection activeCell="I6" sqref="I6"/>
    </sheetView>
  </sheetViews>
  <sheetFormatPr defaultRowHeight="14.4" x14ac:dyDescent="0.3"/>
  <cols>
    <col min="1" max="1" width="42.44140625" bestFit="1" customWidth="1"/>
    <col min="2" max="2" width="42.44140625" customWidth="1"/>
    <col min="3" max="3" width="12" bestFit="1" customWidth="1"/>
    <col min="4" max="7" width="13.109375" bestFit="1" customWidth="1"/>
    <col min="8" max="8" width="14.6640625" bestFit="1" customWidth="1"/>
    <col min="9" max="10" width="13.109375" bestFit="1" customWidth="1"/>
    <col min="11" max="13" width="13.109375" customWidth="1"/>
    <col min="14" max="14" width="21.109375" customWidth="1"/>
  </cols>
  <sheetData>
    <row r="1" spans="1:14" x14ac:dyDescent="0.3">
      <c r="A1" s="3"/>
      <c r="B1" s="8">
        <v>46023</v>
      </c>
      <c r="C1" s="8">
        <v>46054</v>
      </c>
      <c r="D1" s="8">
        <v>46082</v>
      </c>
      <c r="E1" s="8">
        <v>46113</v>
      </c>
      <c r="F1" s="8">
        <v>46143</v>
      </c>
      <c r="G1" s="8">
        <v>46174</v>
      </c>
      <c r="H1" s="8">
        <v>46204</v>
      </c>
      <c r="I1" s="8">
        <v>46235</v>
      </c>
      <c r="J1" s="8">
        <v>46266</v>
      </c>
      <c r="K1" s="8">
        <v>46296</v>
      </c>
      <c r="L1" s="8">
        <v>46327</v>
      </c>
      <c r="M1" s="8">
        <v>46357</v>
      </c>
    </row>
    <row r="2" spans="1:14" x14ac:dyDescent="0.3">
      <c r="A2" s="1" t="s">
        <v>0</v>
      </c>
      <c r="B2" s="7">
        <f>SUM(B3:B7)</f>
        <v>162230.02000000002</v>
      </c>
      <c r="C2" s="7">
        <f t="shared" ref="C2:I2" si="0">SUM(C3:C7)</f>
        <v>41762.22</v>
      </c>
      <c r="D2" s="7">
        <f t="shared" si="0"/>
        <v>171506.47</v>
      </c>
      <c r="E2" s="7">
        <f t="shared" si="0"/>
        <v>850823.34999999986</v>
      </c>
      <c r="F2" s="7">
        <f t="shared" si="0"/>
        <v>226333.65</v>
      </c>
      <c r="G2" s="7">
        <f t="shared" si="0"/>
        <v>254433.27999999997</v>
      </c>
      <c r="H2" s="7">
        <f t="shared" si="0"/>
        <v>119088.85</v>
      </c>
      <c r="I2" s="7">
        <f t="shared" si="0"/>
        <v>225190.18</v>
      </c>
      <c r="J2" s="7">
        <f>SUM(J3:J7)</f>
        <v>0</v>
      </c>
      <c r="K2" s="7">
        <f>SUM(K3:K7)</f>
        <v>0</v>
      </c>
      <c r="L2" s="7">
        <f>SUM(L3:L7)</f>
        <v>0</v>
      </c>
      <c r="M2" s="7">
        <f>SUM(M3:M7)</f>
        <v>0</v>
      </c>
      <c r="N2" s="7">
        <f>SUM(B2:M2)</f>
        <v>2051368.0199999998</v>
      </c>
    </row>
    <row r="3" spans="1:14" x14ac:dyDescent="0.3">
      <c r="A3" s="2" t="s">
        <v>1</v>
      </c>
      <c r="B3" s="6">
        <v>0</v>
      </c>
      <c r="C3" s="6">
        <v>0</v>
      </c>
      <c r="D3" s="6">
        <f>+'700405'!I29+'700405'!I32</f>
        <v>3328</v>
      </c>
      <c r="E3" s="6">
        <v>0</v>
      </c>
      <c r="F3" s="6">
        <v>0</v>
      </c>
      <c r="G3" s="6">
        <v>0</v>
      </c>
      <c r="H3" s="74">
        <f>+'700405'!I85</f>
        <v>7589.77</v>
      </c>
      <c r="I3" s="6">
        <v>0</v>
      </c>
      <c r="J3" s="6"/>
      <c r="K3" s="6"/>
      <c r="L3" s="6"/>
      <c r="M3" s="6"/>
    </row>
    <row r="4" spans="1:14" x14ac:dyDescent="0.3">
      <c r="A4" s="2" t="s">
        <v>2</v>
      </c>
      <c r="B4" s="6">
        <f>+'700407'!I11+'700407'!I13</f>
        <v>5760.32</v>
      </c>
      <c r="C4" s="6">
        <f>+'700407'!I16</f>
        <v>979.17</v>
      </c>
      <c r="D4" s="6">
        <v>0</v>
      </c>
      <c r="E4" s="6">
        <f>+'700407'!I28+'700407'!I29+'700407'!I30+'700407'!I31+'700407'!I32+'700407'!I33+'700407'!I34</f>
        <v>579950.14999999991</v>
      </c>
      <c r="F4" s="6">
        <f>+'700407'!I40+'700407'!I43</f>
        <v>31200</v>
      </c>
      <c r="G4" s="6">
        <f>+'700407'!I47+'700407'!I48+'700407'!I50+'700407'!I57+'700407'!I58+'700407'!I59</f>
        <v>35323.24</v>
      </c>
      <c r="H4" s="74">
        <f>+'700407'!I65+'700407'!I66+'700407'!I67</f>
        <v>26988</v>
      </c>
      <c r="I4" s="74">
        <f>+'700407'!I72+'700407'!I73+'700407'!I74+'700407'!I76+'700407'!I79</f>
        <v>43680</v>
      </c>
      <c r="J4" s="6"/>
      <c r="K4" s="6"/>
      <c r="L4" s="6"/>
      <c r="M4" s="6"/>
    </row>
    <row r="5" spans="1:14" x14ac:dyDescent="0.3">
      <c r="A5" s="2" t="s">
        <v>3</v>
      </c>
      <c r="B5" s="6">
        <f>+'700409'!I16</f>
        <v>112500</v>
      </c>
      <c r="C5" s="6">
        <v>0</v>
      </c>
      <c r="D5" s="6">
        <f>+'700409'!I22</f>
        <v>9920</v>
      </c>
      <c r="E5" s="6">
        <f>+'700409'!I35</f>
        <v>31250</v>
      </c>
      <c r="F5" s="6">
        <v>0</v>
      </c>
      <c r="G5" s="6">
        <f>+'700409'!I49+'700409'!I57</f>
        <v>31250</v>
      </c>
      <c r="H5" s="6">
        <v>0</v>
      </c>
      <c r="I5" s="74">
        <f>+'700409'!I73</f>
        <v>9280</v>
      </c>
      <c r="J5" s="6"/>
      <c r="K5" s="6"/>
      <c r="L5" s="6"/>
      <c r="M5" s="6"/>
    </row>
    <row r="6" spans="1:14" x14ac:dyDescent="0.3">
      <c r="A6" s="2" t="s">
        <v>4</v>
      </c>
      <c r="B6" s="6">
        <f>+'702001'!I13+'702001'!I16</f>
        <v>42012</v>
      </c>
      <c r="C6" s="6">
        <f>+'702001'!I19+'702001'!I20+'702001'!I22</f>
        <v>38760</v>
      </c>
      <c r="D6" s="6">
        <f>+'702001'!I29+'702001'!I30+'702001'!I31+'702001'!I32+'702001'!I33+'702001'!I37+'702001'!I38+'702001'!I39+'702001'!I40+'702001'!I41+'702001'!I43+'702001'!I44</f>
        <v>156644.11000000002</v>
      </c>
      <c r="E6" s="6">
        <f>+'702001'!I49+'702001'!I50+'702001'!I52+'702001'!I56</f>
        <v>238032</v>
      </c>
      <c r="F6" s="6">
        <f>+'702001'!I57+'702001'!I60+'702001'!I61+'702001'!I63+'702001'!I64+'702001'!I67</f>
        <v>195133.65</v>
      </c>
      <c r="G6" s="6">
        <f>+'702001'!I70+'702001'!I71+'702001'!I74+'702001'!I75+'702001'!I76+'702001'!I78+'702001'!I81+'702001'!I82+'702001'!I83+'702001'!I85</f>
        <v>186622.53999999998</v>
      </c>
      <c r="H6" s="74">
        <f>+'702001'!I90+'702001'!I92+'702001'!I93+'702001'!I94+'702001'!I95+'702001'!I96+'702001'!I101+'702001'!I105+'702001'!I107</f>
        <v>81173.09</v>
      </c>
      <c r="I6" s="71">
        <f>+'702001'!I112+'702001'!I113+'702001'!I114+'702001'!I120+'702001'!I121</f>
        <v>171372</v>
      </c>
      <c r="J6" s="6"/>
      <c r="K6" s="6"/>
      <c r="L6" s="6"/>
      <c r="M6" s="6"/>
    </row>
    <row r="7" spans="1:14" x14ac:dyDescent="0.3">
      <c r="A7" s="2" t="s">
        <v>9</v>
      </c>
      <c r="B7" s="6">
        <f>+'700815'!I50+'700815'!I101+'700815'!I107+'700815'!I125</f>
        <v>1957.7</v>
      </c>
      <c r="C7" s="6">
        <f>+'700815'!I200+'700815'!I211+'700815'!I238+'700815'!I267</f>
        <v>2023.0500000000002</v>
      </c>
      <c r="D7" s="6">
        <f>+'700815'!I319+'700815'!I381+'700815'!I398+'700815'!I399</f>
        <v>1614.3600000000001</v>
      </c>
      <c r="E7" s="6">
        <f>+'700815'!I577+'700815'!I684+'700815'!I694+'700815'!I703+'700815'!I708+'700815'!I717</f>
        <v>1591.1999999999998</v>
      </c>
      <c r="F7" s="6">
        <v>0</v>
      </c>
      <c r="G7" s="6">
        <f>+'700815'!I1155</f>
        <v>1237.5</v>
      </c>
      <c r="H7" s="74">
        <f>+'700815'!I1211+'700815'!I1223+'700815'!I1244+'700815'!I1271+'700815'!I1351+'700815'!I1354+'700815'!I1395</f>
        <v>3337.99</v>
      </c>
      <c r="I7" s="6">
        <f>+'700815'!I1403</f>
        <v>858.18</v>
      </c>
      <c r="J7" s="6"/>
      <c r="K7" s="6"/>
      <c r="L7" s="6"/>
      <c r="M7" s="6"/>
    </row>
    <row r="13" spans="1:14" x14ac:dyDescent="0.3">
      <c r="B13" s="76"/>
    </row>
    <row r="14" spans="1:14" x14ac:dyDescent="0.3">
      <c r="B14" s="75"/>
    </row>
    <row r="15" spans="1:14" x14ac:dyDescent="0.3">
      <c r="B15" s="75"/>
    </row>
    <row r="17" spans="2:2" x14ac:dyDescent="0.3">
      <c r="B17" s="75"/>
    </row>
    <row r="20" spans="2:2" x14ac:dyDescent="0.3">
      <c r="B20" s="76"/>
    </row>
    <row r="22" spans="2:2" x14ac:dyDescent="0.3">
      <c r="B22" s="75"/>
    </row>
    <row r="23" spans="2:2" x14ac:dyDescent="0.3">
      <c r="B23" s="76"/>
    </row>
  </sheetData>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600FF-966B-4403-8973-30EFC70692F4}">
  <dimension ref="A1:D54"/>
  <sheetViews>
    <sheetView topLeftCell="A7" workbookViewId="0">
      <selection activeCell="D28" sqref="D28"/>
    </sheetView>
  </sheetViews>
  <sheetFormatPr defaultRowHeight="14.4" x14ac:dyDescent="0.3"/>
  <cols>
    <col min="1" max="1" width="46.5546875" bestFit="1" customWidth="1"/>
    <col min="2" max="2" width="11.33203125" bestFit="1" customWidth="1"/>
    <col min="3" max="3" width="61.88671875" bestFit="1" customWidth="1"/>
    <col min="4" max="4" width="13.109375" bestFit="1" customWidth="1"/>
  </cols>
  <sheetData>
    <row r="1" spans="1:4" x14ac:dyDescent="0.3">
      <c r="A1" s="14" t="s">
        <v>5</v>
      </c>
      <c r="B1" s="14" t="s">
        <v>8</v>
      </c>
      <c r="C1" s="14" t="s">
        <v>6</v>
      </c>
      <c r="D1" s="14" t="s">
        <v>7</v>
      </c>
    </row>
    <row r="2" spans="1:4" x14ac:dyDescent="0.3">
      <c r="A2" s="2" t="s">
        <v>1</v>
      </c>
      <c r="B2" s="35">
        <v>46053</v>
      </c>
      <c r="C2" s="4" t="s">
        <v>421</v>
      </c>
      <c r="D2" s="6">
        <f>+'700405'!I13</f>
        <v>16153.85</v>
      </c>
    </row>
    <row r="3" spans="1:4" x14ac:dyDescent="0.3">
      <c r="A3" s="2" t="s">
        <v>1</v>
      </c>
      <c r="B3" s="35">
        <v>46053</v>
      </c>
      <c r="C3" s="4" t="s">
        <v>769</v>
      </c>
      <c r="D3" s="6">
        <f>+'700405'!I15</f>
        <v>8943.2000000000007</v>
      </c>
    </row>
    <row r="4" spans="1:4" x14ac:dyDescent="0.3">
      <c r="A4" s="2" t="s">
        <v>1</v>
      </c>
      <c r="B4" s="35">
        <v>46053</v>
      </c>
      <c r="C4" s="4" t="s">
        <v>771</v>
      </c>
      <c r="D4" s="6">
        <f>+'700405'!I17</f>
        <v>4230.24</v>
      </c>
    </row>
    <row r="5" spans="1:4" x14ac:dyDescent="0.3">
      <c r="A5" s="2" t="s">
        <v>1</v>
      </c>
      <c r="B5" s="35">
        <v>46064</v>
      </c>
      <c r="C5" s="4" t="s">
        <v>30</v>
      </c>
      <c r="D5" s="6">
        <f>+'700405'!I18</f>
        <v>646.15</v>
      </c>
    </row>
    <row r="6" spans="1:4" x14ac:dyDescent="0.3">
      <c r="A6" s="2" t="s">
        <v>1</v>
      </c>
      <c r="B6" s="35">
        <v>46092</v>
      </c>
      <c r="C6" s="4" t="s">
        <v>431</v>
      </c>
      <c r="D6" s="6">
        <f>+'700405'!I27</f>
        <v>26000</v>
      </c>
    </row>
    <row r="7" spans="1:4" x14ac:dyDescent="0.3">
      <c r="A7" s="2" t="s">
        <v>1</v>
      </c>
      <c r="B7" s="17">
        <v>46132</v>
      </c>
      <c r="C7" s="4" t="s">
        <v>431</v>
      </c>
      <c r="D7" s="6">
        <f>+'700405'!I40</f>
        <v>4095</v>
      </c>
    </row>
    <row r="8" spans="1:4" x14ac:dyDescent="0.3">
      <c r="A8" s="2" t="s">
        <v>1</v>
      </c>
      <c r="B8" s="17">
        <v>46142</v>
      </c>
      <c r="C8" s="16" t="s">
        <v>431</v>
      </c>
      <c r="D8" s="6">
        <f>+'700405'!I43</f>
        <v>9464</v>
      </c>
    </row>
    <row r="9" spans="1:4" x14ac:dyDescent="0.3">
      <c r="A9" s="2" t="s">
        <v>2</v>
      </c>
      <c r="B9" s="17">
        <v>46119</v>
      </c>
      <c r="C9" s="16" t="s">
        <v>792</v>
      </c>
      <c r="D9" s="6">
        <f>+'700407'!I28</f>
        <v>17640</v>
      </c>
    </row>
    <row r="10" spans="1:4" x14ac:dyDescent="0.3">
      <c r="A10" s="19" t="s">
        <v>1158</v>
      </c>
      <c r="B10" s="17">
        <v>46148</v>
      </c>
      <c r="C10" s="16" t="s">
        <v>434</v>
      </c>
      <c r="D10" s="6">
        <f>+'700405'!I45</f>
        <v>2652</v>
      </c>
    </row>
    <row r="11" spans="1:4" x14ac:dyDescent="0.3">
      <c r="A11" s="2" t="s">
        <v>2</v>
      </c>
      <c r="B11" s="17">
        <v>46168</v>
      </c>
      <c r="C11" s="16" t="s">
        <v>805</v>
      </c>
      <c r="D11" s="6">
        <f>+'700407'!I43</f>
        <v>18720</v>
      </c>
    </row>
    <row r="12" spans="1:4" x14ac:dyDescent="0.3">
      <c r="A12" s="2" t="s">
        <v>1</v>
      </c>
      <c r="B12" s="54">
        <v>46173</v>
      </c>
      <c r="C12" s="53" t="s">
        <v>1477</v>
      </c>
      <c r="D12" s="6">
        <f>+'700405'!I50</f>
        <v>14050.85</v>
      </c>
    </row>
    <row r="13" spans="1:4" x14ac:dyDescent="0.3">
      <c r="A13" s="2" t="s">
        <v>1</v>
      </c>
      <c r="B13" s="54">
        <v>46173</v>
      </c>
      <c r="C13" s="53" t="s">
        <v>1876</v>
      </c>
      <c r="D13" s="6">
        <f>+'700405'!I51</f>
        <v>13650.61</v>
      </c>
    </row>
    <row r="14" spans="1:4" x14ac:dyDescent="0.3">
      <c r="A14" s="2" t="s">
        <v>1</v>
      </c>
      <c r="B14" s="54">
        <v>46173</v>
      </c>
      <c r="C14" s="53" t="s">
        <v>1877</v>
      </c>
      <c r="D14" s="6">
        <f>+'700405'!I55</f>
        <v>18281.599999999999</v>
      </c>
    </row>
    <row r="15" spans="1:4" x14ac:dyDescent="0.3">
      <c r="A15" s="2" t="s">
        <v>1</v>
      </c>
      <c r="B15" s="54">
        <v>46182</v>
      </c>
      <c r="C15" s="53" t="s">
        <v>1477</v>
      </c>
      <c r="D15" s="6">
        <v>26000</v>
      </c>
    </row>
    <row r="16" spans="1:4" x14ac:dyDescent="0.3">
      <c r="A16" s="2" t="s">
        <v>1</v>
      </c>
      <c r="B16" s="54">
        <v>46182</v>
      </c>
      <c r="C16" s="53" t="s">
        <v>1477</v>
      </c>
      <c r="D16" s="6">
        <v>5265</v>
      </c>
    </row>
    <row r="17" spans="1:4" x14ac:dyDescent="0.3">
      <c r="A17" s="2" t="s">
        <v>1</v>
      </c>
      <c r="B17" s="54">
        <v>46182</v>
      </c>
      <c r="C17" s="53" t="s">
        <v>1477</v>
      </c>
      <c r="D17" s="6">
        <v>2600</v>
      </c>
    </row>
    <row r="18" spans="1:4" x14ac:dyDescent="0.3">
      <c r="A18" s="2" t="s">
        <v>1</v>
      </c>
      <c r="B18" s="54">
        <v>46182</v>
      </c>
      <c r="C18" s="53" t="s">
        <v>1477</v>
      </c>
      <c r="D18" s="6">
        <v>16640</v>
      </c>
    </row>
    <row r="19" spans="1:4" x14ac:dyDescent="0.3">
      <c r="A19" s="2" t="s">
        <v>1</v>
      </c>
      <c r="B19" s="54">
        <v>46184</v>
      </c>
      <c r="C19" s="53" t="s">
        <v>431</v>
      </c>
      <c r="D19" s="6">
        <f>+'700405'!I66</f>
        <v>10337.6</v>
      </c>
    </row>
    <row r="20" spans="1:4" x14ac:dyDescent="0.3">
      <c r="A20" s="2" t="s">
        <v>1</v>
      </c>
      <c r="B20" s="54">
        <v>46196</v>
      </c>
      <c r="C20" s="53" t="s">
        <v>431</v>
      </c>
      <c r="D20" s="6">
        <f>+'700405'!I68</f>
        <v>4303.9399999999996</v>
      </c>
    </row>
    <row r="21" spans="1:4" x14ac:dyDescent="0.3">
      <c r="A21" s="2" t="s">
        <v>1</v>
      </c>
      <c r="B21" s="54">
        <v>46202</v>
      </c>
      <c r="C21" s="53" t="s">
        <v>431</v>
      </c>
      <c r="D21" s="6">
        <f>+'700405'!I70</f>
        <v>3706.56</v>
      </c>
    </row>
    <row r="22" spans="1:4" x14ac:dyDescent="0.3">
      <c r="A22" s="26" t="s">
        <v>80</v>
      </c>
      <c r="B22" s="54">
        <v>46203</v>
      </c>
      <c r="C22" s="4" t="s">
        <v>1568</v>
      </c>
      <c r="D22" s="6">
        <f>+'700409'!I56</f>
        <v>9828</v>
      </c>
    </row>
    <row r="23" spans="1:4" x14ac:dyDescent="0.3">
      <c r="A23" s="55" t="s">
        <v>78</v>
      </c>
      <c r="B23" s="54">
        <v>46211</v>
      </c>
      <c r="C23" s="53" t="s">
        <v>805</v>
      </c>
      <c r="D23" s="6">
        <f>+'700407'!I62</f>
        <v>30680</v>
      </c>
    </row>
    <row r="24" spans="1:4" x14ac:dyDescent="0.3">
      <c r="A24" s="55" t="s">
        <v>1158</v>
      </c>
      <c r="B24" s="54">
        <v>46213</v>
      </c>
      <c r="C24" s="53" t="s">
        <v>1477</v>
      </c>
      <c r="D24" s="6">
        <f>+'700405'!I80</f>
        <v>6179.26</v>
      </c>
    </row>
    <row r="25" spans="1:4" x14ac:dyDescent="0.3">
      <c r="A25" s="55" t="s">
        <v>1158</v>
      </c>
      <c r="B25" s="54">
        <v>46213</v>
      </c>
      <c r="C25" s="53" t="s">
        <v>1477</v>
      </c>
      <c r="D25" s="6">
        <f>+'700405'!I81</f>
        <v>19650.18</v>
      </c>
    </row>
    <row r="26" spans="1:4" x14ac:dyDescent="0.3">
      <c r="A26" s="55" t="s">
        <v>1158</v>
      </c>
      <c r="B26" s="54">
        <v>46213</v>
      </c>
      <c r="C26" s="53" t="s">
        <v>1477</v>
      </c>
      <c r="D26" s="6">
        <f>+'700405'!I82</f>
        <v>20273.34</v>
      </c>
    </row>
    <row r="27" spans="1:4" x14ac:dyDescent="0.3">
      <c r="A27" s="55" t="s">
        <v>78</v>
      </c>
      <c r="B27" s="54">
        <v>46240</v>
      </c>
      <c r="C27" s="53" t="s">
        <v>792</v>
      </c>
      <c r="D27" s="6">
        <f>+'700407'!I77</f>
        <v>6300</v>
      </c>
    </row>
    <row r="28" spans="1:4" x14ac:dyDescent="0.3">
      <c r="A28" s="55" t="s">
        <v>1158</v>
      </c>
      <c r="B28" s="54">
        <v>46254</v>
      </c>
      <c r="C28" s="53" t="s">
        <v>1477</v>
      </c>
      <c r="D28" s="6">
        <f>+'700405'!I90</f>
        <v>5200</v>
      </c>
    </row>
    <row r="29" spans="1:4" x14ac:dyDescent="0.3">
      <c r="A29" s="55" t="s">
        <v>1158</v>
      </c>
      <c r="B29" s="54">
        <v>46254</v>
      </c>
      <c r="C29" s="53" t="s">
        <v>1477</v>
      </c>
      <c r="D29" s="6">
        <f>+'700405'!I91</f>
        <v>14734.72</v>
      </c>
    </row>
    <row r="30" spans="1:4" x14ac:dyDescent="0.3">
      <c r="A30" s="55" t="s">
        <v>1158</v>
      </c>
      <c r="B30" s="54">
        <v>46254</v>
      </c>
      <c r="C30" s="53" t="s">
        <v>1477</v>
      </c>
      <c r="D30" s="6">
        <f>+'700405'!I92</f>
        <v>7280</v>
      </c>
    </row>
    <row r="31" spans="1:4" x14ac:dyDescent="0.3">
      <c r="A31" s="55" t="s">
        <v>1158</v>
      </c>
      <c r="B31" s="54">
        <v>46254</v>
      </c>
      <c r="C31" s="53" t="s">
        <v>1477</v>
      </c>
      <c r="D31" s="6">
        <f>+'700405'!I93</f>
        <v>16640</v>
      </c>
    </row>
    <row r="32" spans="1:4" x14ac:dyDescent="0.3">
      <c r="A32" s="55" t="s">
        <v>1158</v>
      </c>
      <c r="B32" s="54">
        <v>46254</v>
      </c>
      <c r="C32" s="53" t="s">
        <v>1477</v>
      </c>
      <c r="D32" s="6">
        <f>+'700405'!I94</f>
        <v>3120</v>
      </c>
    </row>
    <row r="33" spans="1:4" x14ac:dyDescent="0.3">
      <c r="A33" s="10"/>
      <c r="B33" s="13"/>
      <c r="C33" s="11"/>
      <c r="D33" s="6"/>
    </row>
    <row r="34" spans="1:4" x14ac:dyDescent="0.3">
      <c r="A34" s="12"/>
      <c r="B34" s="13"/>
      <c r="C34" s="11"/>
      <c r="D34" s="6"/>
    </row>
    <row r="35" spans="1:4" x14ac:dyDescent="0.3">
      <c r="A35" s="19"/>
      <c r="B35" s="13"/>
      <c r="C35" s="16"/>
      <c r="D35" s="6"/>
    </row>
    <row r="36" spans="1:4" x14ac:dyDescent="0.3">
      <c r="A36" s="19"/>
      <c r="B36" s="13"/>
      <c r="C36" s="16"/>
      <c r="D36" s="6"/>
    </row>
    <row r="37" spans="1:4" x14ac:dyDescent="0.3">
      <c r="A37" s="19"/>
      <c r="B37" s="13"/>
      <c r="C37" s="16"/>
      <c r="D37" s="6"/>
    </row>
    <row r="38" spans="1:4" x14ac:dyDescent="0.3">
      <c r="A38" s="19"/>
      <c r="B38" s="13"/>
      <c r="C38" s="16"/>
      <c r="D38" s="6"/>
    </row>
    <row r="39" spans="1:4" x14ac:dyDescent="0.3">
      <c r="A39" s="19"/>
      <c r="B39" s="27"/>
      <c r="C39" s="16"/>
      <c r="D39" s="6"/>
    </row>
    <row r="40" spans="1:4" x14ac:dyDescent="0.3">
      <c r="A40" s="19"/>
      <c r="B40" s="27"/>
      <c r="C40" s="16"/>
      <c r="D40" s="6"/>
    </row>
    <row r="41" spans="1:4" x14ac:dyDescent="0.3">
      <c r="A41" s="19"/>
      <c r="B41" s="27"/>
      <c r="C41" s="16"/>
      <c r="D41" s="6"/>
    </row>
    <row r="42" spans="1:4" x14ac:dyDescent="0.3">
      <c r="A42" s="19"/>
      <c r="B42" s="27"/>
      <c r="C42" s="16"/>
      <c r="D42" s="6"/>
    </row>
    <row r="43" spans="1:4" x14ac:dyDescent="0.3">
      <c r="A43" s="19"/>
      <c r="B43" s="27"/>
      <c r="C43" s="16"/>
      <c r="D43" s="6"/>
    </row>
    <row r="44" spans="1:4" x14ac:dyDescent="0.3">
      <c r="A44" s="19"/>
      <c r="B44" s="27"/>
      <c r="C44" s="16"/>
      <c r="D44" s="6"/>
    </row>
    <row r="45" spans="1:4" x14ac:dyDescent="0.3">
      <c r="A45" s="19"/>
      <c r="B45" s="27"/>
      <c r="C45" s="16"/>
      <c r="D45" s="6"/>
    </row>
    <row r="46" spans="1:4" x14ac:dyDescent="0.3">
      <c r="A46" s="19"/>
      <c r="B46" s="27"/>
      <c r="C46" s="16"/>
      <c r="D46" s="6"/>
    </row>
    <row r="47" spans="1:4" x14ac:dyDescent="0.3">
      <c r="A47" s="19"/>
      <c r="B47" s="27"/>
      <c r="C47" s="16"/>
      <c r="D47" s="6"/>
    </row>
    <row r="48" spans="1:4" x14ac:dyDescent="0.3">
      <c r="A48" s="19"/>
      <c r="B48" s="27"/>
      <c r="C48" s="16"/>
      <c r="D48" s="6"/>
    </row>
    <row r="49" spans="1:4" x14ac:dyDescent="0.3">
      <c r="A49" s="26"/>
      <c r="B49" s="17"/>
      <c r="C49" s="16"/>
      <c r="D49" s="6"/>
    </row>
    <row r="50" spans="1:4" x14ac:dyDescent="0.3">
      <c r="A50" s="26"/>
      <c r="B50" s="17"/>
      <c r="C50" s="16"/>
      <c r="D50" s="6"/>
    </row>
    <row r="51" spans="1:4" x14ac:dyDescent="0.3">
      <c r="A51" s="26"/>
      <c r="B51" s="17"/>
      <c r="C51" s="16"/>
      <c r="D51" s="6"/>
    </row>
    <row r="53" spans="1:4" ht="14.25" customHeight="1" x14ac:dyDescent="0.3"/>
    <row r="54" spans="1:4" x14ac:dyDescent="0.3">
      <c r="A54" s="2" t="s">
        <v>7</v>
      </c>
      <c r="B54" s="2"/>
      <c r="D54" s="9">
        <f>SUM(D2:D53)</f>
        <v>363266.10000000003</v>
      </c>
    </row>
  </sheetData>
  <autoFilter ref="A1:D46" xr:uid="{694600FF-966B-4403-8973-30EFC70692F4}"/>
  <hyperlinks>
    <hyperlink ref="C2" r:id="rId1" display="https://9628427.app.netsuite.com/app/common/entity/entity.nl?id=17730" xr:uid="{E8319510-F757-4164-98E4-1FA987CE0EC9}"/>
    <hyperlink ref="C3" r:id="rId2" display="https://9628427.app.netsuite.com/app/common/entity/entity.nl?id=2189" xr:uid="{9A719BB0-4015-49AB-81B8-ADF0E612F2C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519FF-2497-4B40-AC8C-E31FBB953893}">
  <dimension ref="A1:L102"/>
  <sheetViews>
    <sheetView topLeftCell="B73" zoomScaleNormal="100" workbookViewId="0">
      <selection activeCell="H85" sqref="H85"/>
    </sheetView>
  </sheetViews>
  <sheetFormatPr defaultRowHeight="14.4" x14ac:dyDescent="0.3"/>
  <cols>
    <col min="1" max="1" width="48.109375" bestFit="1" customWidth="1"/>
    <col min="3" max="3" width="9.6640625" bestFit="1" customWidth="1"/>
    <col min="4" max="4" width="14.88671875" bestFit="1" customWidth="1"/>
    <col min="5" max="5" width="32" customWidth="1"/>
    <col min="6" max="6" width="67.33203125" customWidth="1"/>
    <col min="7" max="7" width="15.5546875" bestFit="1" customWidth="1"/>
    <col min="8" max="8" width="13.109375" bestFit="1" customWidth="1"/>
    <col min="9" max="9" width="11.33203125" bestFit="1" customWidth="1"/>
    <col min="10" max="10" width="17.44140625" bestFit="1" customWidth="1"/>
    <col min="11" max="11" width="8.6640625" bestFit="1" customWidth="1"/>
    <col min="12" max="12" width="13.33203125" bestFit="1" customWidth="1"/>
  </cols>
  <sheetData>
    <row r="1" spans="1:12" ht="15.6" x14ac:dyDescent="0.3">
      <c r="A1" s="50" t="s">
        <v>10</v>
      </c>
      <c r="B1" s="31"/>
      <c r="C1" s="31"/>
      <c r="D1" s="31"/>
      <c r="E1" s="31"/>
      <c r="F1" s="31"/>
      <c r="G1" s="31"/>
      <c r="H1" s="31"/>
      <c r="I1" s="31"/>
      <c r="J1" s="31"/>
      <c r="K1" s="31"/>
      <c r="L1" s="31"/>
    </row>
    <row r="2" spans="1:12" ht="15.6" x14ac:dyDescent="0.3">
      <c r="A2" s="50" t="s">
        <v>11</v>
      </c>
      <c r="B2" s="31"/>
      <c r="C2" s="31"/>
      <c r="D2" s="31"/>
      <c r="E2" s="31"/>
      <c r="F2" s="31"/>
      <c r="G2" s="31"/>
      <c r="H2" s="31"/>
      <c r="I2" s="31"/>
      <c r="J2" s="31"/>
      <c r="K2" s="31"/>
      <c r="L2" s="31"/>
    </row>
    <row r="3" spans="1:12" ht="17.399999999999999" x14ac:dyDescent="0.3">
      <c r="A3" s="51" t="s">
        <v>836</v>
      </c>
      <c r="B3" s="32"/>
      <c r="C3" s="32"/>
      <c r="D3" s="32"/>
      <c r="E3" s="32"/>
      <c r="F3" s="32"/>
      <c r="G3" s="32"/>
      <c r="H3" s="32"/>
      <c r="I3" s="32"/>
      <c r="J3" s="32"/>
      <c r="K3" s="32"/>
      <c r="L3" s="32"/>
    </row>
    <row r="4" spans="1:12" ht="17.399999999999999" x14ac:dyDescent="0.3">
      <c r="A4" s="51" t="s">
        <v>1888</v>
      </c>
      <c r="B4" s="32"/>
      <c r="C4" s="32"/>
      <c r="D4" s="32"/>
      <c r="E4" s="32"/>
      <c r="F4" s="32"/>
      <c r="G4" s="32"/>
      <c r="H4" s="32"/>
      <c r="I4" s="32"/>
      <c r="J4" s="32"/>
      <c r="K4" s="32"/>
      <c r="L4" s="32"/>
    </row>
    <row r="5" spans="1:12" ht="17.399999999999999" x14ac:dyDescent="0.3">
      <c r="A5" s="51" t="s">
        <v>12</v>
      </c>
      <c r="B5" s="32"/>
      <c r="C5" s="32"/>
      <c r="D5" s="32"/>
      <c r="E5" s="32"/>
      <c r="F5" s="32"/>
      <c r="G5" s="32"/>
      <c r="H5" s="32"/>
      <c r="I5" s="32"/>
      <c r="J5" s="32"/>
      <c r="K5" s="32"/>
      <c r="L5" s="32"/>
    </row>
    <row r="6" spans="1:12" ht="17.399999999999999" x14ac:dyDescent="0.3">
      <c r="A6" s="51" t="s">
        <v>12</v>
      </c>
      <c r="B6" s="32"/>
      <c r="C6" s="32"/>
      <c r="D6" s="32"/>
      <c r="E6" s="32"/>
      <c r="F6" s="32"/>
      <c r="G6" s="32"/>
      <c r="H6" s="32"/>
      <c r="I6" s="32"/>
      <c r="J6" s="32"/>
      <c r="K6" s="32"/>
      <c r="L6" s="32"/>
    </row>
    <row r="7" spans="1:12" x14ac:dyDescent="0.3">
      <c r="A7" s="61" t="s">
        <v>13</v>
      </c>
      <c r="B7" s="33" t="s">
        <v>14</v>
      </c>
      <c r="C7" s="33" t="s">
        <v>15</v>
      </c>
      <c r="D7" s="33" t="s">
        <v>16</v>
      </c>
      <c r="E7" s="33" t="s">
        <v>17</v>
      </c>
      <c r="F7" s="33" t="s">
        <v>18</v>
      </c>
      <c r="G7" s="33" t="s">
        <v>19</v>
      </c>
      <c r="H7" s="33" t="s">
        <v>20</v>
      </c>
      <c r="I7" s="34" t="s">
        <v>21</v>
      </c>
      <c r="J7" s="34" t="s">
        <v>79</v>
      </c>
      <c r="K7" s="34" t="s">
        <v>22</v>
      </c>
      <c r="L7" s="34" t="s">
        <v>23</v>
      </c>
    </row>
    <row r="8" spans="1:12" x14ac:dyDescent="0.3">
      <c r="A8" s="28" t="s">
        <v>24</v>
      </c>
      <c r="B8" s="4"/>
      <c r="C8" s="35"/>
      <c r="D8" s="4"/>
      <c r="E8" s="4"/>
      <c r="F8" s="4"/>
      <c r="G8" s="35"/>
      <c r="H8" s="4"/>
      <c r="I8" s="5"/>
      <c r="J8" s="5"/>
      <c r="K8" s="5"/>
      <c r="L8" s="5">
        <v>0</v>
      </c>
    </row>
    <row r="9" spans="1:12" x14ac:dyDescent="0.3">
      <c r="A9" s="36" t="s">
        <v>25</v>
      </c>
      <c r="B9" s="4"/>
      <c r="C9" s="35"/>
      <c r="D9" s="4"/>
      <c r="E9" s="4"/>
      <c r="F9" s="4"/>
      <c r="G9" s="35"/>
      <c r="H9" s="4"/>
      <c r="I9" s="5"/>
      <c r="J9" s="5"/>
      <c r="K9" s="5"/>
      <c r="L9" s="5">
        <v>0</v>
      </c>
    </row>
    <row r="10" spans="1:12" x14ac:dyDescent="0.3">
      <c r="A10" s="2" t="s">
        <v>1</v>
      </c>
      <c r="B10" s="4"/>
      <c r="C10" s="35"/>
      <c r="D10" s="4"/>
      <c r="E10" s="4"/>
      <c r="F10" s="4"/>
      <c r="G10" s="35"/>
      <c r="H10" s="4"/>
      <c r="I10" s="5"/>
      <c r="J10" s="5"/>
      <c r="K10" s="59"/>
      <c r="L10" s="5">
        <v>1060008.23</v>
      </c>
    </row>
    <row r="11" spans="1:12" x14ac:dyDescent="0.3">
      <c r="A11" s="37"/>
      <c r="B11" s="4" t="s">
        <v>26</v>
      </c>
      <c r="C11" s="35">
        <v>46053</v>
      </c>
      <c r="D11" s="4" t="s">
        <v>418</v>
      </c>
      <c r="E11" s="4" t="s">
        <v>768</v>
      </c>
      <c r="F11" s="4"/>
      <c r="G11" s="35"/>
      <c r="H11" s="4"/>
      <c r="I11" s="5">
        <v>4320</v>
      </c>
      <c r="J11" s="5"/>
      <c r="K11" s="59"/>
      <c r="L11" s="5">
        <v>1064238.47</v>
      </c>
    </row>
    <row r="12" spans="1:12" x14ac:dyDescent="0.3">
      <c r="A12" s="37"/>
      <c r="B12" s="4" t="s">
        <v>26</v>
      </c>
      <c r="C12" s="35">
        <v>46053</v>
      </c>
      <c r="D12" s="4" t="s">
        <v>419</v>
      </c>
      <c r="E12" s="4"/>
      <c r="F12" s="4"/>
      <c r="G12" s="35"/>
      <c r="H12" s="4"/>
      <c r="I12" s="5">
        <v>72</v>
      </c>
      <c r="J12" s="5"/>
      <c r="K12" s="59"/>
      <c r="L12" s="5">
        <v>1064310.47</v>
      </c>
    </row>
    <row r="13" spans="1:12" x14ac:dyDescent="0.3">
      <c r="A13" s="37"/>
      <c r="B13" s="4" t="s">
        <v>26</v>
      </c>
      <c r="C13" s="35">
        <v>46053</v>
      </c>
      <c r="D13" s="4" t="s">
        <v>420</v>
      </c>
      <c r="E13" s="4" t="s">
        <v>421</v>
      </c>
      <c r="F13" s="4" t="s">
        <v>404</v>
      </c>
      <c r="G13" s="35"/>
      <c r="H13" s="4"/>
      <c r="I13" s="5">
        <v>16153.85</v>
      </c>
      <c r="J13" s="5" t="s">
        <v>47</v>
      </c>
      <c r="K13" s="59"/>
      <c r="L13" s="5">
        <v>1080464.32</v>
      </c>
    </row>
    <row r="14" spans="1:12" x14ac:dyDescent="0.3">
      <c r="A14" s="37"/>
      <c r="B14" s="4" t="s">
        <v>26</v>
      </c>
      <c r="C14" s="35">
        <v>46053</v>
      </c>
      <c r="D14" s="4" t="s">
        <v>422</v>
      </c>
      <c r="E14" s="4"/>
      <c r="F14" s="4"/>
      <c r="G14" s="35"/>
      <c r="H14" s="4"/>
      <c r="I14" s="5">
        <v>211.51</v>
      </c>
      <c r="J14" s="5"/>
      <c r="K14" s="59"/>
      <c r="L14" s="5">
        <v>1080675.83</v>
      </c>
    </row>
    <row r="15" spans="1:12" x14ac:dyDescent="0.3">
      <c r="A15" s="37"/>
      <c r="B15" s="4" t="s">
        <v>26</v>
      </c>
      <c r="C15" s="35">
        <v>46053</v>
      </c>
      <c r="D15" s="4" t="s">
        <v>27</v>
      </c>
      <c r="E15" s="4" t="s">
        <v>769</v>
      </c>
      <c r="F15" s="4" t="s">
        <v>770</v>
      </c>
      <c r="G15" s="35"/>
      <c r="H15" s="4"/>
      <c r="I15" s="5">
        <v>8943.2000000000007</v>
      </c>
      <c r="J15" s="5" t="s">
        <v>47</v>
      </c>
      <c r="K15" s="59"/>
      <c r="L15" s="5">
        <v>1089619.03</v>
      </c>
    </row>
    <row r="16" spans="1:12" x14ac:dyDescent="0.3">
      <c r="A16" s="37"/>
      <c r="B16" s="4" t="s">
        <v>26</v>
      </c>
      <c r="C16" s="35">
        <v>46053</v>
      </c>
      <c r="D16" s="4" t="s">
        <v>423</v>
      </c>
      <c r="E16" s="4"/>
      <c r="F16" s="4"/>
      <c r="G16" s="35"/>
      <c r="H16" s="4"/>
      <c r="I16" s="5">
        <v>2168.98</v>
      </c>
      <c r="J16" s="5"/>
      <c r="K16" s="59"/>
      <c r="L16" s="5">
        <v>1091788.01</v>
      </c>
    </row>
    <row r="17" spans="1:12" x14ac:dyDescent="0.3">
      <c r="A17" s="37"/>
      <c r="B17" s="4" t="s">
        <v>26</v>
      </c>
      <c r="C17" s="35">
        <v>46053</v>
      </c>
      <c r="D17" s="4" t="s">
        <v>424</v>
      </c>
      <c r="E17" s="4" t="s">
        <v>771</v>
      </c>
      <c r="F17" s="4" t="s">
        <v>772</v>
      </c>
      <c r="G17" s="35"/>
      <c r="H17" s="4"/>
      <c r="I17" s="5">
        <v>4230.24</v>
      </c>
      <c r="J17" s="5" t="s">
        <v>47</v>
      </c>
      <c r="K17" s="59"/>
      <c r="L17" s="5">
        <v>1096108.01</v>
      </c>
    </row>
    <row r="18" spans="1:12" x14ac:dyDescent="0.3">
      <c r="A18" s="37"/>
      <c r="B18" s="4" t="s">
        <v>28</v>
      </c>
      <c r="C18" s="35">
        <v>46064</v>
      </c>
      <c r="D18" s="4" t="s">
        <v>29</v>
      </c>
      <c r="E18" s="4" t="s">
        <v>30</v>
      </c>
      <c r="F18" s="4" t="s">
        <v>31</v>
      </c>
      <c r="G18" s="35">
        <v>46049</v>
      </c>
      <c r="H18" s="4" t="s">
        <v>32</v>
      </c>
      <c r="I18" s="5">
        <v>646.15</v>
      </c>
      <c r="J18" s="5" t="s">
        <v>47</v>
      </c>
      <c r="K18" s="59"/>
      <c r="L18" s="5">
        <v>1096754.1599999999</v>
      </c>
    </row>
    <row r="19" spans="1:12" x14ac:dyDescent="0.3">
      <c r="A19" s="37"/>
      <c r="B19" s="4" t="s">
        <v>28</v>
      </c>
      <c r="C19" s="35">
        <v>46064</v>
      </c>
      <c r="D19" s="4" t="s">
        <v>33</v>
      </c>
      <c r="E19" s="4" t="s">
        <v>34</v>
      </c>
      <c r="F19" s="4" t="s">
        <v>35</v>
      </c>
      <c r="G19" s="35">
        <v>46058</v>
      </c>
      <c r="H19" s="4" t="s">
        <v>36</v>
      </c>
      <c r="I19" s="5">
        <v>264</v>
      </c>
      <c r="J19" s="5"/>
      <c r="K19" s="59"/>
      <c r="L19" s="5">
        <v>1097018.1599999999</v>
      </c>
    </row>
    <row r="20" spans="1:12" x14ac:dyDescent="0.3">
      <c r="A20" s="37"/>
      <c r="B20" s="4" t="s">
        <v>28</v>
      </c>
      <c r="C20" s="35">
        <v>46073</v>
      </c>
      <c r="D20" s="4" t="s">
        <v>37</v>
      </c>
      <c r="E20" s="4" t="s">
        <v>38</v>
      </c>
      <c r="F20" s="4"/>
      <c r="G20" s="35">
        <v>46072</v>
      </c>
      <c r="H20" s="4" t="s">
        <v>39</v>
      </c>
      <c r="I20" s="5">
        <v>8112</v>
      </c>
      <c r="J20" s="5"/>
      <c r="K20" s="59"/>
      <c r="L20" s="5">
        <v>1105130.1599999999</v>
      </c>
    </row>
    <row r="21" spans="1:12" x14ac:dyDescent="0.3">
      <c r="A21" s="37"/>
      <c r="B21" s="4" t="s">
        <v>28</v>
      </c>
      <c r="C21" s="35">
        <v>46076</v>
      </c>
      <c r="D21" s="4" t="s">
        <v>40</v>
      </c>
      <c r="E21" s="4" t="s">
        <v>41</v>
      </c>
      <c r="F21" s="4"/>
      <c r="G21" s="35">
        <v>46073</v>
      </c>
      <c r="H21" s="4" t="s">
        <v>42</v>
      </c>
      <c r="I21" s="5">
        <v>4512.99</v>
      </c>
      <c r="J21" s="5"/>
      <c r="K21" s="59"/>
      <c r="L21" s="5">
        <v>1109643.1499999999</v>
      </c>
    </row>
    <row r="22" spans="1:12" x14ac:dyDescent="0.3">
      <c r="A22" s="37"/>
      <c r="B22" s="4" t="s">
        <v>26</v>
      </c>
      <c r="C22" s="35">
        <v>46081</v>
      </c>
      <c r="D22" s="4" t="s">
        <v>425</v>
      </c>
      <c r="E22" s="4" t="s">
        <v>773</v>
      </c>
      <c r="F22" s="4"/>
      <c r="G22" s="35"/>
      <c r="H22" s="4"/>
      <c r="I22" s="5">
        <v>10169</v>
      </c>
      <c r="J22" s="5"/>
      <c r="K22" s="59"/>
      <c r="L22" s="5">
        <v>1119812.1499999999</v>
      </c>
    </row>
    <row r="23" spans="1:12" x14ac:dyDescent="0.3">
      <c r="A23" s="37"/>
      <c r="B23" s="4" t="s">
        <v>26</v>
      </c>
      <c r="C23" s="35">
        <v>46081</v>
      </c>
      <c r="D23" s="4" t="s">
        <v>426</v>
      </c>
      <c r="E23" s="4" t="s">
        <v>773</v>
      </c>
      <c r="F23" s="4"/>
      <c r="G23" s="35"/>
      <c r="H23" s="4"/>
      <c r="I23" s="5">
        <v>20225</v>
      </c>
      <c r="J23" s="5"/>
      <c r="K23" s="59"/>
      <c r="L23" s="5">
        <v>1126827.1499999999</v>
      </c>
    </row>
    <row r="24" spans="1:12" x14ac:dyDescent="0.3">
      <c r="A24" s="37"/>
      <c r="B24" s="4" t="s">
        <v>26</v>
      </c>
      <c r="C24" s="35">
        <v>46081</v>
      </c>
      <c r="D24" s="4" t="s">
        <v>427</v>
      </c>
      <c r="E24" s="4" t="s">
        <v>775</v>
      </c>
      <c r="F24" s="4" t="s">
        <v>774</v>
      </c>
      <c r="G24" s="35"/>
      <c r="H24" s="4"/>
      <c r="I24" s="5">
        <v>7015</v>
      </c>
      <c r="J24" s="5"/>
      <c r="K24" s="59"/>
      <c r="L24" s="5">
        <v>1128699.1499999999</v>
      </c>
    </row>
    <row r="25" spans="1:12" x14ac:dyDescent="0.3">
      <c r="A25" s="37"/>
      <c r="B25" s="4" t="s">
        <v>26</v>
      </c>
      <c r="C25" s="35">
        <v>46081</v>
      </c>
      <c r="D25" s="4" t="s">
        <v>428</v>
      </c>
      <c r="E25" s="4"/>
      <c r="F25" s="4"/>
      <c r="G25" s="35"/>
      <c r="H25" s="4"/>
      <c r="I25" s="5">
        <v>1872</v>
      </c>
      <c r="J25" s="5"/>
      <c r="K25" s="59"/>
      <c r="L25" s="5">
        <v>1148924.1499999999</v>
      </c>
    </row>
    <row r="26" spans="1:12" x14ac:dyDescent="0.3">
      <c r="A26" s="37"/>
      <c r="B26" s="4" t="s">
        <v>26</v>
      </c>
      <c r="C26" s="35">
        <v>46081</v>
      </c>
      <c r="D26" s="4" t="s">
        <v>429</v>
      </c>
      <c r="E26" s="4"/>
      <c r="F26" s="4"/>
      <c r="G26" s="35"/>
      <c r="H26" s="4"/>
      <c r="I26" s="5">
        <v>2900.35</v>
      </c>
      <c r="J26" s="5"/>
      <c r="K26" s="59"/>
      <c r="L26" s="5">
        <v>1151824.5</v>
      </c>
    </row>
    <row r="27" spans="1:12" x14ac:dyDescent="0.3">
      <c r="A27" s="37"/>
      <c r="B27" s="4" t="s">
        <v>28</v>
      </c>
      <c r="C27" s="35">
        <v>46092</v>
      </c>
      <c r="D27" s="4" t="s">
        <v>430</v>
      </c>
      <c r="E27" s="4" t="s">
        <v>431</v>
      </c>
      <c r="F27" s="4" t="s">
        <v>765</v>
      </c>
      <c r="G27" s="35">
        <v>46081</v>
      </c>
      <c r="H27" s="4" t="s">
        <v>432</v>
      </c>
      <c r="I27" s="5">
        <v>26000</v>
      </c>
      <c r="J27" s="5" t="s">
        <v>47</v>
      </c>
      <c r="K27" s="59"/>
      <c r="L27" s="5">
        <v>1177824.5</v>
      </c>
    </row>
    <row r="28" spans="1:12" ht="69" customHeight="1" x14ac:dyDescent="0.3">
      <c r="A28" s="37"/>
      <c r="B28" s="4" t="s">
        <v>28</v>
      </c>
      <c r="C28" s="35">
        <v>46093</v>
      </c>
      <c r="D28" s="4" t="s">
        <v>433</v>
      </c>
      <c r="E28" s="4" t="s">
        <v>434</v>
      </c>
      <c r="F28" s="39" t="s">
        <v>761</v>
      </c>
      <c r="G28" s="35">
        <v>46093</v>
      </c>
      <c r="H28" s="4" t="s">
        <v>104</v>
      </c>
      <c r="I28" s="5">
        <v>3900</v>
      </c>
      <c r="J28" s="5"/>
      <c r="K28" s="59"/>
      <c r="L28" s="5">
        <v>1181724.5</v>
      </c>
    </row>
    <row r="29" spans="1:12" x14ac:dyDescent="0.3">
      <c r="A29" s="37"/>
      <c r="B29" s="4" t="s">
        <v>28</v>
      </c>
      <c r="C29" s="35">
        <v>46097</v>
      </c>
      <c r="D29" s="4" t="s">
        <v>435</v>
      </c>
      <c r="E29" s="4" t="s">
        <v>436</v>
      </c>
      <c r="F29" t="s">
        <v>766</v>
      </c>
      <c r="G29" s="35">
        <v>46090</v>
      </c>
      <c r="H29" s="4" t="s">
        <v>437</v>
      </c>
      <c r="I29" s="5">
        <v>2340</v>
      </c>
      <c r="J29" s="5" t="s">
        <v>767</v>
      </c>
      <c r="K29" s="59"/>
      <c r="L29" s="5">
        <v>1184064.5</v>
      </c>
    </row>
    <row r="30" spans="1:12" ht="20.399999999999999" x14ac:dyDescent="0.3">
      <c r="A30" s="37"/>
      <c r="B30" s="4" t="s">
        <v>28</v>
      </c>
      <c r="C30" s="35">
        <v>46098</v>
      </c>
      <c r="D30" s="4" t="s">
        <v>438</v>
      </c>
      <c r="E30" s="4" t="s">
        <v>439</v>
      </c>
      <c r="F30" s="39" t="s">
        <v>762</v>
      </c>
      <c r="G30" s="35">
        <v>46090</v>
      </c>
      <c r="H30" s="4" t="s">
        <v>440</v>
      </c>
      <c r="I30" s="5">
        <v>2100</v>
      </c>
      <c r="J30" s="5"/>
      <c r="K30" s="59"/>
      <c r="L30" s="5">
        <v>1186164.5</v>
      </c>
    </row>
    <row r="31" spans="1:12" ht="30.6" x14ac:dyDescent="0.3">
      <c r="A31" s="37"/>
      <c r="B31" s="4" t="s">
        <v>28</v>
      </c>
      <c r="C31" s="35">
        <v>46105</v>
      </c>
      <c r="D31" s="4" t="s">
        <v>441</v>
      </c>
      <c r="E31" s="4" t="s">
        <v>442</v>
      </c>
      <c r="F31" s="39" t="s">
        <v>763</v>
      </c>
      <c r="G31" s="35">
        <v>46101</v>
      </c>
      <c r="H31" s="4" t="s">
        <v>104</v>
      </c>
      <c r="I31" s="5">
        <v>15062</v>
      </c>
      <c r="J31" s="5"/>
      <c r="K31" s="59"/>
      <c r="L31" s="5">
        <v>1201226.5</v>
      </c>
    </row>
    <row r="32" spans="1:12" ht="30.6" x14ac:dyDescent="0.3">
      <c r="A32" s="37"/>
      <c r="B32" s="4" t="s">
        <v>28</v>
      </c>
      <c r="C32" s="35">
        <v>46108</v>
      </c>
      <c r="D32" s="4" t="s">
        <v>443</v>
      </c>
      <c r="E32" s="4" t="s">
        <v>444</v>
      </c>
      <c r="F32" s="39" t="s">
        <v>764</v>
      </c>
      <c r="G32" s="35">
        <v>46100</v>
      </c>
      <c r="H32" s="4" t="s">
        <v>445</v>
      </c>
      <c r="I32" s="5">
        <v>988</v>
      </c>
      <c r="J32" s="5" t="s">
        <v>767</v>
      </c>
      <c r="K32" s="59"/>
      <c r="L32" s="5">
        <v>1202214.5</v>
      </c>
    </row>
    <row r="33" spans="1:12" x14ac:dyDescent="0.3">
      <c r="A33" s="37"/>
      <c r="B33" s="4" t="s">
        <v>28</v>
      </c>
      <c r="C33" s="35">
        <v>46108</v>
      </c>
      <c r="D33" s="4" t="s">
        <v>446</v>
      </c>
      <c r="E33" s="4" t="s">
        <v>447</v>
      </c>
      <c r="F33" s="4"/>
      <c r="G33" s="35">
        <v>46108</v>
      </c>
      <c r="H33" s="4" t="s">
        <v>448</v>
      </c>
      <c r="I33" s="5">
        <v>1872</v>
      </c>
      <c r="J33" s="5"/>
      <c r="K33" s="59"/>
      <c r="L33" s="5">
        <v>1204086.5</v>
      </c>
    </row>
    <row r="34" spans="1:12" x14ac:dyDescent="0.3">
      <c r="A34" s="37"/>
      <c r="B34" s="4" t="s">
        <v>26</v>
      </c>
      <c r="C34" s="35">
        <v>46112</v>
      </c>
      <c r="D34" s="4" t="s">
        <v>449</v>
      </c>
      <c r="E34" s="4"/>
      <c r="F34" s="4"/>
      <c r="G34" s="35"/>
      <c r="H34" s="4"/>
      <c r="I34" s="5">
        <v>36</v>
      </c>
      <c r="J34" s="5"/>
      <c r="K34" s="59"/>
      <c r="L34" s="5">
        <v>1204122.5</v>
      </c>
    </row>
    <row r="35" spans="1:12" x14ac:dyDescent="0.3">
      <c r="A35" s="37"/>
      <c r="B35" s="4" t="s">
        <v>26</v>
      </c>
      <c r="C35" s="35">
        <v>46112</v>
      </c>
      <c r="D35" s="4" t="s">
        <v>450</v>
      </c>
      <c r="E35" s="4"/>
      <c r="F35" s="4"/>
      <c r="G35" s="35"/>
      <c r="H35" s="4"/>
      <c r="I35" s="5">
        <v>900</v>
      </c>
      <c r="J35" s="5"/>
      <c r="K35" s="59"/>
      <c r="L35" s="5">
        <v>1205022.5</v>
      </c>
    </row>
    <row r="36" spans="1:12" x14ac:dyDescent="0.3">
      <c r="A36" s="15"/>
      <c r="B36" s="16" t="s">
        <v>28</v>
      </c>
      <c r="C36" s="17">
        <v>46120</v>
      </c>
      <c r="D36" s="16" t="s">
        <v>776</v>
      </c>
      <c r="E36" s="16" t="s">
        <v>439</v>
      </c>
      <c r="F36" s="16" t="s">
        <v>1126</v>
      </c>
      <c r="G36" s="17">
        <v>46120</v>
      </c>
      <c r="H36" s="16" t="s">
        <v>777</v>
      </c>
      <c r="I36" s="18">
        <v>2100</v>
      </c>
      <c r="J36" s="18"/>
      <c r="K36" s="59"/>
      <c r="L36" s="18">
        <v>1207122.5</v>
      </c>
    </row>
    <row r="37" spans="1:12" x14ac:dyDescent="0.3">
      <c r="A37" s="15"/>
      <c r="B37" s="16" t="s">
        <v>28</v>
      </c>
      <c r="C37" s="17">
        <v>46127</v>
      </c>
      <c r="D37" s="16" t="s">
        <v>778</v>
      </c>
      <c r="E37" s="16" t="s">
        <v>779</v>
      </c>
      <c r="G37" s="17">
        <v>46126</v>
      </c>
      <c r="H37" s="16" t="s">
        <v>780</v>
      </c>
      <c r="I37" s="18">
        <v>9450</v>
      </c>
      <c r="J37" s="18"/>
      <c r="K37" s="59"/>
      <c r="L37" s="18">
        <v>1216572.5</v>
      </c>
    </row>
    <row r="38" spans="1:12" x14ac:dyDescent="0.3">
      <c r="A38" s="15"/>
      <c r="B38" s="16" t="s">
        <v>75</v>
      </c>
      <c r="C38" s="17">
        <v>46128</v>
      </c>
      <c r="D38" s="16" t="s">
        <v>781</v>
      </c>
      <c r="E38" s="16" t="s">
        <v>779</v>
      </c>
      <c r="F38" s="16"/>
      <c r="G38" s="17">
        <v>46127</v>
      </c>
      <c r="H38" s="16" t="s">
        <v>113</v>
      </c>
      <c r="I38" s="18"/>
      <c r="K38" s="59"/>
      <c r="L38" s="18">
        <v>1217519.5</v>
      </c>
    </row>
    <row r="39" spans="1:12" ht="20.399999999999999" x14ac:dyDescent="0.3">
      <c r="A39" s="15"/>
      <c r="B39" s="16" t="s">
        <v>28</v>
      </c>
      <c r="C39" s="17">
        <v>46128</v>
      </c>
      <c r="D39" s="16" t="s">
        <v>782</v>
      </c>
      <c r="E39" s="16" t="s">
        <v>779</v>
      </c>
      <c r="F39" s="46" t="s">
        <v>1127</v>
      </c>
      <c r="G39" s="17">
        <v>46127</v>
      </c>
      <c r="H39" s="16" t="s">
        <v>501</v>
      </c>
      <c r="I39" s="18">
        <v>947</v>
      </c>
      <c r="J39" s="18"/>
      <c r="K39" s="59">
        <v>9450</v>
      </c>
      <c r="L39" s="18">
        <v>1208069.5</v>
      </c>
    </row>
    <row r="40" spans="1:12" ht="20.399999999999999" x14ac:dyDescent="0.3">
      <c r="A40" s="15"/>
      <c r="B40" s="16" t="s">
        <v>28</v>
      </c>
      <c r="C40" s="17">
        <v>46132</v>
      </c>
      <c r="D40" s="16" t="s">
        <v>783</v>
      </c>
      <c r="E40" s="16" t="s">
        <v>431</v>
      </c>
      <c r="F40" s="46" t="s">
        <v>1128</v>
      </c>
      <c r="G40" s="17">
        <v>46132</v>
      </c>
      <c r="H40" s="16" t="s">
        <v>784</v>
      </c>
      <c r="I40" s="18">
        <v>4095</v>
      </c>
      <c r="J40" s="5" t="s">
        <v>47</v>
      </c>
      <c r="K40" s="59"/>
      <c r="L40" s="18">
        <v>1212164.5</v>
      </c>
    </row>
    <row r="41" spans="1:12" x14ac:dyDescent="0.3">
      <c r="A41" s="15"/>
      <c r="B41" s="16" t="s">
        <v>26</v>
      </c>
      <c r="C41" s="17">
        <v>46142</v>
      </c>
      <c r="D41" s="16" t="s">
        <v>785</v>
      </c>
      <c r="E41" s="16"/>
      <c r="F41" s="16"/>
      <c r="G41" s="17"/>
      <c r="H41" s="16"/>
      <c r="I41" s="18">
        <v>100</v>
      </c>
      <c r="J41" s="18"/>
      <c r="K41" s="59"/>
      <c r="L41" s="18">
        <v>1212264.5</v>
      </c>
    </row>
    <row r="42" spans="1:12" x14ac:dyDescent="0.3">
      <c r="A42" s="15"/>
      <c r="B42" s="16" t="s">
        <v>26</v>
      </c>
      <c r="C42" s="17">
        <v>46142</v>
      </c>
      <c r="D42" s="16" t="s">
        <v>786</v>
      </c>
      <c r="E42" s="16"/>
      <c r="F42" s="16"/>
      <c r="G42" s="17"/>
      <c r="H42" s="16"/>
      <c r="I42" s="18">
        <v>2502</v>
      </c>
      <c r="J42" s="18"/>
      <c r="K42" s="59"/>
      <c r="L42" s="18">
        <v>1221728.5</v>
      </c>
    </row>
    <row r="43" spans="1:12" ht="20.399999999999999" x14ac:dyDescent="0.3">
      <c r="A43" s="15"/>
      <c r="B43" s="16" t="s">
        <v>26</v>
      </c>
      <c r="C43" s="17">
        <v>46142</v>
      </c>
      <c r="D43" s="16" t="s">
        <v>787</v>
      </c>
      <c r="E43" s="16" t="s">
        <v>431</v>
      </c>
      <c r="F43" s="46" t="s">
        <v>1128</v>
      </c>
      <c r="G43" s="17"/>
      <c r="H43" s="16"/>
      <c r="I43" s="18">
        <v>9464</v>
      </c>
      <c r="J43" s="5" t="s">
        <v>47</v>
      </c>
      <c r="K43" s="59"/>
      <c r="L43" s="18">
        <v>1224230.5</v>
      </c>
    </row>
    <row r="44" spans="1:12" x14ac:dyDescent="0.3">
      <c r="A44" s="15"/>
      <c r="B44" s="16" t="s">
        <v>28</v>
      </c>
      <c r="C44" s="17">
        <v>46142</v>
      </c>
      <c r="D44" s="16" t="s">
        <v>788</v>
      </c>
      <c r="E44" s="16" t="s">
        <v>447</v>
      </c>
      <c r="F44" s="16" t="s">
        <v>1129</v>
      </c>
      <c r="G44" s="17">
        <v>46141</v>
      </c>
      <c r="H44" s="16" t="s">
        <v>789</v>
      </c>
      <c r="I44" s="18">
        <v>1872</v>
      </c>
      <c r="J44" s="18"/>
      <c r="K44" s="59"/>
      <c r="L44" s="18">
        <v>1226102.5</v>
      </c>
    </row>
    <row r="45" spans="1:12" x14ac:dyDescent="0.3">
      <c r="B45" s="16" t="s">
        <v>28</v>
      </c>
      <c r="C45" s="17">
        <v>46148</v>
      </c>
      <c r="D45" s="16" t="s">
        <v>1152</v>
      </c>
      <c r="E45" s="16" t="s">
        <v>434</v>
      </c>
      <c r="F45" s="4" t="s">
        <v>1461</v>
      </c>
      <c r="G45" s="17">
        <v>46146</v>
      </c>
      <c r="H45" s="16" t="s">
        <v>113</v>
      </c>
      <c r="I45" s="18">
        <v>2652</v>
      </c>
      <c r="J45" s="5" t="s">
        <v>47</v>
      </c>
      <c r="K45" s="59"/>
      <c r="L45" s="18">
        <v>1228754.5</v>
      </c>
    </row>
    <row r="46" spans="1:12" x14ac:dyDescent="0.3">
      <c r="B46" s="16" t="s">
        <v>28</v>
      </c>
      <c r="C46" s="17">
        <v>46154</v>
      </c>
      <c r="D46" s="16" t="s">
        <v>1153</v>
      </c>
      <c r="E46" s="16" t="s">
        <v>439</v>
      </c>
      <c r="F46" s="16"/>
      <c r="G46" s="17">
        <v>46154</v>
      </c>
      <c r="H46" s="16" t="s">
        <v>1156</v>
      </c>
      <c r="I46" s="18">
        <v>2240</v>
      </c>
      <c r="J46" s="43"/>
      <c r="K46" s="59"/>
      <c r="L46" s="18">
        <v>1230994.5</v>
      </c>
    </row>
    <row r="47" spans="1:12" x14ac:dyDescent="0.3">
      <c r="B47" s="16" t="s">
        <v>28</v>
      </c>
      <c r="C47" s="17">
        <v>46167</v>
      </c>
      <c r="D47" s="16" t="s">
        <v>1154</v>
      </c>
      <c r="E47" s="16" t="s">
        <v>106</v>
      </c>
      <c r="F47" s="16"/>
      <c r="G47" s="17">
        <v>46166</v>
      </c>
      <c r="H47" s="16" t="s">
        <v>116</v>
      </c>
      <c r="I47" s="18">
        <v>3122</v>
      </c>
      <c r="J47" s="43"/>
      <c r="K47" s="59"/>
      <c r="L47" s="18">
        <v>1234116.5</v>
      </c>
    </row>
    <row r="48" spans="1:12" x14ac:dyDescent="0.3">
      <c r="B48" s="16" t="s">
        <v>28</v>
      </c>
      <c r="C48" s="17">
        <v>46171</v>
      </c>
      <c r="D48" s="16" t="s">
        <v>1155</v>
      </c>
      <c r="E48" s="16" t="s">
        <v>447</v>
      </c>
      <c r="F48" s="16"/>
      <c r="G48" s="17">
        <v>46171</v>
      </c>
      <c r="H48" s="16" t="s">
        <v>1157</v>
      </c>
      <c r="I48" s="18">
        <v>1872</v>
      </c>
      <c r="K48" s="59"/>
      <c r="L48" s="18">
        <v>1235988.5</v>
      </c>
    </row>
    <row r="49" spans="1:12" x14ac:dyDescent="0.3">
      <c r="A49" s="52"/>
      <c r="B49" s="53" t="s">
        <v>26</v>
      </c>
      <c r="C49" s="54">
        <v>46173</v>
      </c>
      <c r="D49" s="53" t="s">
        <v>1464</v>
      </c>
      <c r="E49" s="53"/>
      <c r="F49" s="53"/>
      <c r="G49" s="54"/>
      <c r="H49" s="53"/>
      <c r="I49" s="59">
        <v>3089.18</v>
      </c>
      <c r="J49" s="59"/>
      <c r="K49" s="59"/>
      <c r="L49" s="59">
        <v>1239077.68</v>
      </c>
    </row>
    <row r="50" spans="1:12" x14ac:dyDescent="0.3">
      <c r="A50" s="52"/>
      <c r="B50" s="53" t="s">
        <v>26</v>
      </c>
      <c r="C50" s="54">
        <v>46173</v>
      </c>
      <c r="D50" s="53" t="s">
        <v>1465</v>
      </c>
      <c r="E50" s="53" t="s">
        <v>1477</v>
      </c>
      <c r="F50" s="53"/>
      <c r="G50" s="54"/>
      <c r="H50" s="53"/>
      <c r="I50" s="59">
        <v>14050.85</v>
      </c>
      <c r="J50" s="5" t="s">
        <v>47</v>
      </c>
      <c r="K50" s="59"/>
      <c r="L50" s="59">
        <v>1253128.53</v>
      </c>
    </row>
    <row r="51" spans="1:12" x14ac:dyDescent="0.3">
      <c r="A51" s="52"/>
      <c r="B51" s="53" t="s">
        <v>26</v>
      </c>
      <c r="C51" s="54">
        <v>46173</v>
      </c>
      <c r="D51" s="53" t="s">
        <v>1466</v>
      </c>
      <c r="E51" s="53" t="s">
        <v>1876</v>
      </c>
      <c r="F51" s="53"/>
      <c r="G51" s="54"/>
      <c r="H51" s="53"/>
      <c r="I51" s="59">
        <v>13650.61</v>
      </c>
      <c r="J51" s="5" t="s">
        <v>47</v>
      </c>
      <c r="K51" s="59"/>
      <c r="L51" s="59">
        <v>1266779.1400000001</v>
      </c>
    </row>
    <row r="52" spans="1:12" x14ac:dyDescent="0.3">
      <c r="A52" s="52"/>
      <c r="B52" s="53" t="s">
        <v>26</v>
      </c>
      <c r="C52" s="54">
        <v>46173</v>
      </c>
      <c r="D52" s="53" t="s">
        <v>1467</v>
      </c>
      <c r="E52" s="53"/>
      <c r="F52" s="53"/>
      <c r="G52" s="54"/>
      <c r="H52" s="53"/>
      <c r="I52" s="59">
        <v>5387.2</v>
      </c>
      <c r="J52" s="59"/>
      <c r="K52" s="59"/>
      <c r="L52" s="59">
        <v>1272166.3400000001</v>
      </c>
    </row>
    <row r="53" spans="1:12" x14ac:dyDescent="0.3">
      <c r="A53" s="52"/>
      <c r="B53" s="53" t="s">
        <v>26</v>
      </c>
      <c r="C53" s="54">
        <v>46173</v>
      </c>
      <c r="D53" s="53" t="s">
        <v>1468</v>
      </c>
      <c r="E53" s="53"/>
      <c r="F53" s="53"/>
      <c r="G53" s="54"/>
      <c r="H53" s="53"/>
      <c r="I53" s="59">
        <v>479.59</v>
      </c>
      <c r="J53" s="59"/>
      <c r="K53" s="59"/>
      <c r="L53" s="59">
        <v>1272645.9300000002</v>
      </c>
    </row>
    <row r="54" spans="1:12" x14ac:dyDescent="0.3">
      <c r="A54" s="52"/>
      <c r="B54" s="53" t="s">
        <v>26</v>
      </c>
      <c r="C54" s="54">
        <v>46173</v>
      </c>
      <c r="D54" s="53" t="s">
        <v>1469</v>
      </c>
      <c r="E54" s="53"/>
      <c r="F54" s="53"/>
      <c r="G54" s="54"/>
      <c r="H54" s="53"/>
      <c r="I54" s="59">
        <v>4554.8</v>
      </c>
      <c r="J54" s="59"/>
      <c r="K54" s="59"/>
      <c r="L54" s="59">
        <v>1277200.7300000002</v>
      </c>
    </row>
    <row r="55" spans="1:12" x14ac:dyDescent="0.3">
      <c r="A55" s="52"/>
      <c r="B55" s="53" t="s">
        <v>26</v>
      </c>
      <c r="C55" s="54">
        <v>46173</v>
      </c>
      <c r="D55" s="53" t="s">
        <v>1470</v>
      </c>
      <c r="E55" s="53" t="s">
        <v>1877</v>
      </c>
      <c r="F55" s="53"/>
      <c r="G55" s="54"/>
      <c r="H55" s="53"/>
      <c r="I55" s="59">
        <v>18281.599999999999</v>
      </c>
      <c r="J55" s="5" t="s">
        <v>47</v>
      </c>
      <c r="K55" s="59"/>
      <c r="L55" s="59">
        <v>1295482.3300000003</v>
      </c>
    </row>
    <row r="56" spans="1:12" x14ac:dyDescent="0.3">
      <c r="A56" s="52"/>
      <c r="B56" s="53" t="s">
        <v>26</v>
      </c>
      <c r="C56" s="54">
        <v>46173</v>
      </c>
      <c r="D56" s="53" t="s">
        <v>1471</v>
      </c>
      <c r="E56" s="53"/>
      <c r="F56" s="53"/>
      <c r="G56" s="54"/>
      <c r="H56" s="53"/>
      <c r="I56" s="59">
        <v>467.17</v>
      </c>
      <c r="J56" s="59"/>
      <c r="K56" s="59"/>
      <c r="L56" s="59">
        <v>1295949.5000000002</v>
      </c>
    </row>
    <row r="57" spans="1:12" x14ac:dyDescent="0.3">
      <c r="A57" s="52"/>
      <c r="B57" s="53" t="s">
        <v>28</v>
      </c>
      <c r="C57" s="54">
        <v>46177</v>
      </c>
      <c r="D57" s="53" t="s">
        <v>1472</v>
      </c>
      <c r="E57" s="53" t="s">
        <v>439</v>
      </c>
      <c r="F57" s="53"/>
      <c r="G57" s="54">
        <v>46174</v>
      </c>
      <c r="H57" s="53" t="s">
        <v>1500</v>
      </c>
      <c r="I57" s="59">
        <v>1680</v>
      </c>
      <c r="J57" s="59"/>
      <c r="K57" s="59"/>
      <c r="L57" s="59">
        <v>1297629.5000000002</v>
      </c>
    </row>
    <row r="58" spans="1:12" x14ac:dyDescent="0.3">
      <c r="A58" s="52"/>
      <c r="B58" s="53" t="s">
        <v>75</v>
      </c>
      <c r="C58" s="54">
        <v>46178</v>
      </c>
      <c r="D58" s="53" t="s">
        <v>1473</v>
      </c>
      <c r="E58" s="53" t="s">
        <v>439</v>
      </c>
      <c r="F58" s="53"/>
      <c r="G58" s="54">
        <v>46174</v>
      </c>
      <c r="H58" s="53" t="s">
        <v>1501</v>
      </c>
      <c r="I58" s="59"/>
      <c r="J58" s="59">
        <v>1680</v>
      </c>
      <c r="K58" s="59">
        <v>1680</v>
      </c>
      <c r="L58" s="59">
        <v>1295949.5000000002</v>
      </c>
    </row>
    <row r="59" spans="1:12" x14ac:dyDescent="0.3">
      <c r="A59" s="52"/>
      <c r="B59" s="53" t="s">
        <v>28</v>
      </c>
      <c r="C59" s="54">
        <v>46181</v>
      </c>
      <c r="D59" s="53" t="s">
        <v>1474</v>
      </c>
      <c r="E59" s="53" t="s">
        <v>1475</v>
      </c>
      <c r="F59" s="53" t="s">
        <v>853</v>
      </c>
      <c r="G59" s="54">
        <v>46179</v>
      </c>
      <c r="H59" s="53" t="s">
        <v>1502</v>
      </c>
      <c r="I59" s="59">
        <v>999.6</v>
      </c>
      <c r="J59" s="59"/>
      <c r="K59" s="59"/>
      <c r="L59" s="59">
        <v>1296949.1000000003</v>
      </c>
    </row>
    <row r="60" spans="1:12" x14ac:dyDescent="0.3">
      <c r="A60" s="52"/>
      <c r="B60" s="53" t="s">
        <v>28</v>
      </c>
      <c r="C60" s="54">
        <v>46182</v>
      </c>
      <c r="D60" s="53" t="s">
        <v>1476</v>
      </c>
      <c r="E60" s="53" t="s">
        <v>1477</v>
      </c>
      <c r="F60" s="53" t="s">
        <v>1498</v>
      </c>
      <c r="G60" s="54">
        <v>46173</v>
      </c>
      <c r="H60" s="53" t="s">
        <v>1503</v>
      </c>
      <c r="I60" s="59">
        <v>26000</v>
      </c>
      <c r="J60" s="5" t="s">
        <v>47</v>
      </c>
      <c r="K60" s="59"/>
      <c r="L60" s="59">
        <v>1322949.1000000003</v>
      </c>
    </row>
    <row r="61" spans="1:12" x14ac:dyDescent="0.3">
      <c r="A61" s="52"/>
      <c r="B61" s="53" t="s">
        <v>28</v>
      </c>
      <c r="C61" s="54">
        <v>46182</v>
      </c>
      <c r="D61" s="53" t="s">
        <v>1478</v>
      </c>
      <c r="E61" s="53" t="s">
        <v>1477</v>
      </c>
      <c r="F61" s="53" t="s">
        <v>1498</v>
      </c>
      <c r="G61" s="54">
        <v>46173</v>
      </c>
      <c r="H61" s="53" t="s">
        <v>1504</v>
      </c>
      <c r="I61" s="59">
        <v>5265</v>
      </c>
      <c r="J61" s="5" t="s">
        <v>47</v>
      </c>
      <c r="K61" s="59"/>
      <c r="L61" s="59">
        <v>1328214.1000000003</v>
      </c>
    </row>
    <row r="62" spans="1:12" x14ac:dyDescent="0.3">
      <c r="A62" s="52"/>
      <c r="B62" s="53" t="s">
        <v>28</v>
      </c>
      <c r="C62" s="54">
        <v>46182</v>
      </c>
      <c r="D62" s="53" t="s">
        <v>1479</v>
      </c>
      <c r="E62" s="53" t="s">
        <v>1477</v>
      </c>
      <c r="F62" s="53" t="s">
        <v>1498</v>
      </c>
      <c r="G62" s="54">
        <v>46173</v>
      </c>
      <c r="H62" s="53" t="s">
        <v>1505</v>
      </c>
      <c r="I62" s="59">
        <v>2600</v>
      </c>
      <c r="J62" s="5" t="s">
        <v>47</v>
      </c>
      <c r="K62" s="59"/>
      <c r="L62" s="59">
        <v>1330814.1000000003</v>
      </c>
    </row>
    <row r="63" spans="1:12" x14ac:dyDescent="0.3">
      <c r="A63" s="52"/>
      <c r="B63" s="53" t="s">
        <v>28</v>
      </c>
      <c r="C63" s="54">
        <v>46182</v>
      </c>
      <c r="D63" s="53" t="s">
        <v>1480</v>
      </c>
      <c r="E63" s="53" t="s">
        <v>1477</v>
      </c>
      <c r="F63" s="53" t="s">
        <v>1498</v>
      </c>
      <c r="G63" s="54">
        <v>46173</v>
      </c>
      <c r="H63" s="53" t="s">
        <v>1506</v>
      </c>
      <c r="I63" s="59">
        <v>16640</v>
      </c>
      <c r="J63" s="5" t="s">
        <v>47</v>
      </c>
      <c r="K63" s="59"/>
      <c r="L63" s="59">
        <v>1347454.1000000003</v>
      </c>
    </row>
    <row r="64" spans="1:12" x14ac:dyDescent="0.3">
      <c r="A64" s="52"/>
      <c r="B64" s="53" t="s">
        <v>28</v>
      </c>
      <c r="C64" s="54">
        <v>46182</v>
      </c>
      <c r="D64" s="53" t="s">
        <v>1481</v>
      </c>
      <c r="E64" s="53" t="s">
        <v>1482</v>
      </c>
      <c r="F64" s="53" t="s">
        <v>1878</v>
      </c>
      <c r="G64" s="54">
        <v>46181</v>
      </c>
      <c r="H64" s="53" t="s">
        <v>1507</v>
      </c>
      <c r="I64" s="59">
        <v>25155</v>
      </c>
      <c r="J64" s="59"/>
      <c r="K64" s="59"/>
      <c r="L64" s="59">
        <v>1372609.1000000003</v>
      </c>
    </row>
    <row r="65" spans="1:12" x14ac:dyDescent="0.3">
      <c r="A65" s="52"/>
      <c r="B65" s="53" t="s">
        <v>75</v>
      </c>
      <c r="C65" s="54">
        <v>46184</v>
      </c>
      <c r="D65" s="53" t="s">
        <v>1483</v>
      </c>
      <c r="E65" s="53" t="s">
        <v>431</v>
      </c>
      <c r="F65" s="53" t="s">
        <v>1499</v>
      </c>
      <c r="G65" s="54">
        <v>46173</v>
      </c>
      <c r="H65" s="53" t="s">
        <v>1508</v>
      </c>
      <c r="I65" s="59"/>
      <c r="J65" s="59">
        <v>14029.6</v>
      </c>
      <c r="K65" s="59">
        <v>14029.6</v>
      </c>
      <c r="L65" s="59">
        <v>1358579.5000000002</v>
      </c>
    </row>
    <row r="66" spans="1:12" x14ac:dyDescent="0.3">
      <c r="A66" s="52"/>
      <c r="B66" s="53" t="s">
        <v>28</v>
      </c>
      <c r="C66" s="54">
        <v>46184</v>
      </c>
      <c r="D66" s="53" t="s">
        <v>1484</v>
      </c>
      <c r="E66" s="53" t="s">
        <v>431</v>
      </c>
      <c r="F66" s="53" t="s">
        <v>1498</v>
      </c>
      <c r="G66" s="54">
        <v>46173</v>
      </c>
      <c r="H66" s="53" t="s">
        <v>1509</v>
      </c>
      <c r="I66" s="59">
        <v>10337.6</v>
      </c>
      <c r="J66" s="5" t="s">
        <v>47</v>
      </c>
      <c r="K66" s="59"/>
      <c r="L66" s="59">
        <v>1368917.1000000003</v>
      </c>
    </row>
    <row r="67" spans="1:12" x14ac:dyDescent="0.3">
      <c r="A67" s="52"/>
      <c r="B67" s="53" t="s">
        <v>28</v>
      </c>
      <c r="C67" s="54">
        <v>46191</v>
      </c>
      <c r="D67" s="53" t="s">
        <v>1485</v>
      </c>
      <c r="E67" s="53" t="s">
        <v>1486</v>
      </c>
      <c r="F67" s="53" t="s">
        <v>853</v>
      </c>
      <c r="G67" s="54">
        <v>46191</v>
      </c>
      <c r="H67" s="53" t="s">
        <v>1510</v>
      </c>
      <c r="I67" s="59">
        <v>400</v>
      </c>
      <c r="J67" s="59"/>
      <c r="K67" s="59"/>
      <c r="L67" s="59">
        <v>1369317.1000000003</v>
      </c>
    </row>
    <row r="68" spans="1:12" x14ac:dyDescent="0.3">
      <c r="A68" s="52"/>
      <c r="B68" s="53" t="s">
        <v>28</v>
      </c>
      <c r="C68" s="54">
        <v>46196</v>
      </c>
      <c r="D68" s="53" t="s">
        <v>1487</v>
      </c>
      <c r="E68" s="53" t="s">
        <v>431</v>
      </c>
      <c r="F68" s="53" t="s">
        <v>1498</v>
      </c>
      <c r="G68" s="54">
        <v>46196</v>
      </c>
      <c r="H68" s="53" t="s">
        <v>1511</v>
      </c>
      <c r="I68" s="59">
        <v>4303.9399999999996</v>
      </c>
      <c r="J68" s="5" t="s">
        <v>47</v>
      </c>
      <c r="K68" s="59"/>
      <c r="L68" s="59">
        <v>1373621.0400000003</v>
      </c>
    </row>
    <row r="69" spans="1:12" x14ac:dyDescent="0.3">
      <c r="A69" s="52"/>
      <c r="B69" s="53" t="s">
        <v>28</v>
      </c>
      <c r="C69" s="54">
        <v>46202</v>
      </c>
      <c r="D69" s="53" t="s">
        <v>1488</v>
      </c>
      <c r="E69" s="53" t="s">
        <v>447</v>
      </c>
      <c r="F69" s="53"/>
      <c r="G69" s="54">
        <v>46202</v>
      </c>
      <c r="H69" s="53" t="s">
        <v>1512</v>
      </c>
      <c r="I69" s="59">
        <v>1872</v>
      </c>
      <c r="J69" s="59"/>
      <c r="K69" s="59"/>
      <c r="L69" s="59">
        <v>1375493.0400000003</v>
      </c>
    </row>
    <row r="70" spans="1:12" x14ac:dyDescent="0.3">
      <c r="A70" s="52"/>
      <c r="B70" s="53" t="s">
        <v>28</v>
      </c>
      <c r="C70" s="54">
        <v>46202</v>
      </c>
      <c r="D70" s="53" t="s">
        <v>1489</v>
      </c>
      <c r="E70" s="53" t="s">
        <v>431</v>
      </c>
      <c r="F70" s="53" t="s">
        <v>1498</v>
      </c>
      <c r="G70" s="54">
        <v>46199</v>
      </c>
      <c r="H70" s="53" t="s">
        <v>1513</v>
      </c>
      <c r="I70" s="59">
        <v>3706.56</v>
      </c>
      <c r="J70" s="5" t="s">
        <v>47</v>
      </c>
      <c r="K70" s="59"/>
      <c r="L70" s="59">
        <v>1379199.6000000003</v>
      </c>
    </row>
    <row r="71" spans="1:12" x14ac:dyDescent="0.3">
      <c r="A71" s="52"/>
      <c r="B71" s="53" t="s">
        <v>26</v>
      </c>
      <c r="C71" s="54">
        <v>46203</v>
      </c>
      <c r="D71" s="53" t="s">
        <v>1490</v>
      </c>
      <c r="E71" s="53"/>
      <c r="F71" s="53"/>
      <c r="G71" s="54"/>
      <c r="H71" s="53"/>
      <c r="I71" s="59">
        <v>40</v>
      </c>
      <c r="J71" s="59"/>
      <c r="K71" s="59"/>
      <c r="L71" s="59">
        <v>1379239.6000000003</v>
      </c>
    </row>
    <row r="72" spans="1:12" x14ac:dyDescent="0.3">
      <c r="A72" s="52"/>
      <c r="B72" s="53" t="s">
        <v>26</v>
      </c>
      <c r="C72" s="54">
        <v>46203</v>
      </c>
      <c r="D72" s="53" t="s">
        <v>1491</v>
      </c>
      <c r="E72" s="53"/>
      <c r="F72" s="53"/>
      <c r="G72" s="54"/>
      <c r="H72" s="53"/>
      <c r="I72" s="59">
        <v>500</v>
      </c>
      <c r="J72" s="59"/>
      <c r="K72" s="59"/>
      <c r="L72" s="59">
        <v>1379489.6000000003</v>
      </c>
    </row>
    <row r="73" spans="1:12" x14ac:dyDescent="0.3">
      <c r="A73" s="52"/>
      <c r="B73" s="53" t="s">
        <v>26</v>
      </c>
      <c r="C73" s="54">
        <v>46203</v>
      </c>
      <c r="D73" s="53" t="s">
        <v>1492</v>
      </c>
      <c r="E73" s="53"/>
      <c r="F73" s="53"/>
      <c r="G73" s="54"/>
      <c r="H73" s="53"/>
      <c r="I73" s="59">
        <v>250</v>
      </c>
      <c r="J73" s="59"/>
      <c r="K73" s="59"/>
      <c r="L73" s="59">
        <v>1379749.6000000003</v>
      </c>
    </row>
    <row r="74" spans="1:12" x14ac:dyDescent="0.3">
      <c r="A74" s="52"/>
      <c r="B74" s="53" t="s">
        <v>26</v>
      </c>
      <c r="C74" s="54">
        <v>46203</v>
      </c>
      <c r="D74" s="53" t="s">
        <v>1493</v>
      </c>
      <c r="E74" s="53"/>
      <c r="F74" s="53"/>
      <c r="G74" s="54"/>
      <c r="H74" s="53"/>
      <c r="I74" s="59">
        <v>30</v>
      </c>
      <c r="J74" s="59"/>
      <c r="K74" s="59"/>
      <c r="L74" s="59">
        <v>1380009.6000000003</v>
      </c>
    </row>
    <row r="75" spans="1:12" x14ac:dyDescent="0.3">
      <c r="A75" s="52"/>
      <c r="B75" s="53" t="s">
        <v>26</v>
      </c>
      <c r="C75" s="54">
        <v>46203</v>
      </c>
      <c r="D75" s="53" t="s">
        <v>1494</v>
      </c>
      <c r="E75" s="53"/>
      <c r="F75" s="53"/>
      <c r="G75" s="54"/>
      <c r="H75" s="53"/>
      <c r="I75" s="59">
        <v>750</v>
      </c>
      <c r="J75" s="59"/>
      <c r="K75" s="59"/>
      <c r="L75" s="59">
        <v>1380759.6000000003</v>
      </c>
    </row>
    <row r="76" spans="1:12" x14ac:dyDescent="0.3">
      <c r="A76" s="52"/>
      <c r="B76" s="53" t="s">
        <v>26</v>
      </c>
      <c r="C76" s="54">
        <v>46203</v>
      </c>
      <c r="D76" s="53" t="s">
        <v>1495</v>
      </c>
      <c r="E76" s="53"/>
      <c r="F76" s="53"/>
      <c r="G76" s="54"/>
      <c r="H76" s="53"/>
      <c r="I76" s="59">
        <v>260</v>
      </c>
      <c r="J76" s="59"/>
      <c r="K76" s="59"/>
      <c r="L76" s="59">
        <v>1380789.6000000003</v>
      </c>
    </row>
    <row r="77" spans="1:12" x14ac:dyDescent="0.3">
      <c r="A77" s="52"/>
      <c r="B77" s="53" t="s">
        <v>26</v>
      </c>
      <c r="C77" s="54">
        <v>46203</v>
      </c>
      <c r="D77" s="53" t="s">
        <v>1496</v>
      </c>
      <c r="E77" s="53"/>
      <c r="F77" s="53"/>
      <c r="G77" s="54"/>
      <c r="H77" s="53"/>
      <c r="I77" s="59">
        <v>260</v>
      </c>
      <c r="J77" s="59"/>
      <c r="K77" s="59"/>
      <c r="L77" s="59">
        <v>1381039.6000000003</v>
      </c>
    </row>
    <row r="78" spans="1:12" x14ac:dyDescent="0.3">
      <c r="A78" s="52"/>
      <c r="B78" s="53" t="s">
        <v>26</v>
      </c>
      <c r="C78" s="54">
        <v>46203</v>
      </c>
      <c r="D78" s="53" t="s">
        <v>1497</v>
      </c>
      <c r="E78" s="53"/>
      <c r="F78" s="53"/>
      <c r="G78" s="54"/>
      <c r="H78" s="53"/>
      <c r="I78" s="59">
        <v>250</v>
      </c>
      <c r="J78" s="59"/>
      <c r="K78" s="59"/>
      <c r="L78" s="59">
        <v>1381539.6000000003</v>
      </c>
    </row>
    <row r="79" spans="1:12" x14ac:dyDescent="0.3">
      <c r="A79" s="55"/>
      <c r="B79" s="53" t="s">
        <v>28</v>
      </c>
      <c r="C79" s="54">
        <v>46212</v>
      </c>
      <c r="D79" s="53" t="s">
        <v>1889</v>
      </c>
      <c r="E79" s="53" t="s">
        <v>1890</v>
      </c>
      <c r="F79" s="53"/>
      <c r="G79" s="54">
        <v>46211</v>
      </c>
      <c r="H79" s="53" t="s">
        <v>84</v>
      </c>
      <c r="I79" s="59">
        <v>2808</v>
      </c>
      <c r="J79" s="60"/>
      <c r="K79" s="59"/>
      <c r="L79" s="59">
        <v>1384347.6000000003</v>
      </c>
    </row>
    <row r="80" spans="1:12" x14ac:dyDescent="0.3">
      <c r="A80" s="58"/>
      <c r="B80" s="53" t="s">
        <v>28</v>
      </c>
      <c r="C80" s="54">
        <v>46213</v>
      </c>
      <c r="D80" s="53" t="s">
        <v>1891</v>
      </c>
      <c r="E80" s="53" t="s">
        <v>1477</v>
      </c>
      <c r="F80" s="53" t="s">
        <v>1498</v>
      </c>
      <c r="G80" s="54">
        <v>46203</v>
      </c>
      <c r="H80" s="53" t="s">
        <v>1917</v>
      </c>
      <c r="I80" s="59">
        <v>6179.26</v>
      </c>
      <c r="J80" s="5" t="s">
        <v>47</v>
      </c>
      <c r="K80" s="59"/>
      <c r="L80" s="59">
        <v>1390526.8600000003</v>
      </c>
    </row>
    <row r="81" spans="1:12" x14ac:dyDescent="0.3">
      <c r="A81" s="56"/>
      <c r="B81" s="53" t="s">
        <v>28</v>
      </c>
      <c r="C81" s="54">
        <v>46213</v>
      </c>
      <c r="D81" s="53" t="s">
        <v>1892</v>
      </c>
      <c r="E81" s="53" t="s">
        <v>1477</v>
      </c>
      <c r="F81" s="53" t="s">
        <v>1498</v>
      </c>
      <c r="G81" s="54">
        <v>46203</v>
      </c>
      <c r="H81" s="53" t="s">
        <v>1918</v>
      </c>
      <c r="I81" s="59">
        <v>19650.18</v>
      </c>
      <c r="J81" s="5" t="s">
        <v>47</v>
      </c>
      <c r="K81" s="59"/>
      <c r="L81" s="59">
        <v>1410177.0400000003</v>
      </c>
    </row>
    <row r="82" spans="1:12" x14ac:dyDescent="0.3">
      <c r="B82" s="53" t="s">
        <v>28</v>
      </c>
      <c r="C82" s="54">
        <v>46213</v>
      </c>
      <c r="D82" s="53" t="s">
        <v>1893</v>
      </c>
      <c r="E82" s="53" t="s">
        <v>1477</v>
      </c>
      <c r="F82" s="53" t="s">
        <v>1498</v>
      </c>
      <c r="G82" s="54">
        <v>46203</v>
      </c>
      <c r="H82" s="53" t="s">
        <v>1919</v>
      </c>
      <c r="I82" s="59">
        <v>20273.34</v>
      </c>
      <c r="J82" s="5" t="s">
        <v>47</v>
      </c>
      <c r="K82" s="59"/>
      <c r="L82" s="59">
        <v>1430450.3800000004</v>
      </c>
    </row>
    <row r="83" spans="1:12" x14ac:dyDescent="0.3">
      <c r="B83" s="53" t="s">
        <v>28</v>
      </c>
      <c r="C83" s="54">
        <v>46216</v>
      </c>
      <c r="D83" s="53" t="s">
        <v>1894</v>
      </c>
      <c r="E83" s="53" t="s">
        <v>444</v>
      </c>
      <c r="F83" s="53"/>
      <c r="G83" s="54">
        <v>46212</v>
      </c>
      <c r="H83" s="53" t="s">
        <v>725</v>
      </c>
      <c r="I83" s="59">
        <v>2912</v>
      </c>
      <c r="K83" s="59"/>
      <c r="L83" s="59">
        <v>1433362.3800000004</v>
      </c>
    </row>
    <row r="84" spans="1:12" x14ac:dyDescent="0.3">
      <c r="B84" s="53" t="s">
        <v>28</v>
      </c>
      <c r="C84" s="54">
        <v>46230</v>
      </c>
      <c r="D84" s="53" t="s">
        <v>1895</v>
      </c>
      <c r="E84" s="53" t="s">
        <v>1896</v>
      </c>
      <c r="F84" s="53"/>
      <c r="G84" s="54">
        <v>46228</v>
      </c>
      <c r="H84" s="53" t="s">
        <v>74</v>
      </c>
      <c r="I84" s="59">
        <v>8400</v>
      </c>
      <c r="K84" s="59"/>
      <c r="L84" s="59">
        <v>1441762.3800000004</v>
      </c>
    </row>
    <row r="85" spans="1:12" x14ac:dyDescent="0.3">
      <c r="B85" s="53" t="s">
        <v>28</v>
      </c>
      <c r="C85" s="54">
        <v>46230</v>
      </c>
      <c r="D85" s="53" t="s">
        <v>1897</v>
      </c>
      <c r="E85" s="53" t="s">
        <v>1898</v>
      </c>
      <c r="F85" s="53" t="s">
        <v>1915</v>
      </c>
      <c r="G85" s="54">
        <v>46218</v>
      </c>
      <c r="H85" s="53" t="s">
        <v>1920</v>
      </c>
      <c r="I85" s="73">
        <v>7589.77</v>
      </c>
      <c r="J85" s="5" t="s">
        <v>767</v>
      </c>
      <c r="K85" s="59"/>
      <c r="L85" s="59">
        <v>1449352.1500000004</v>
      </c>
    </row>
    <row r="86" spans="1:12" x14ac:dyDescent="0.3">
      <c r="B86" s="53" t="s">
        <v>28</v>
      </c>
      <c r="C86" s="54">
        <v>46233</v>
      </c>
      <c r="D86" s="53" t="s">
        <v>1899</v>
      </c>
      <c r="E86" s="53" t="s">
        <v>447</v>
      </c>
      <c r="F86" s="53"/>
      <c r="G86" s="54">
        <v>46233</v>
      </c>
      <c r="H86" s="53" t="s">
        <v>1921</v>
      </c>
      <c r="I86" s="59">
        <v>1872</v>
      </c>
      <c r="K86" s="59"/>
      <c r="L86" s="59">
        <v>1451224.1500000004</v>
      </c>
    </row>
    <row r="87" spans="1:12" x14ac:dyDescent="0.3">
      <c r="B87" s="53" t="s">
        <v>28</v>
      </c>
      <c r="C87" s="54">
        <v>46234</v>
      </c>
      <c r="D87" s="53" t="s">
        <v>1900</v>
      </c>
      <c r="E87" s="53" t="s">
        <v>439</v>
      </c>
      <c r="F87" s="53"/>
      <c r="G87" s="54">
        <v>46234</v>
      </c>
      <c r="H87" s="53" t="s">
        <v>1922</v>
      </c>
      <c r="I87" s="59">
        <v>3680</v>
      </c>
      <c r="K87" s="59"/>
      <c r="L87" s="59">
        <v>1454904.1500000004</v>
      </c>
    </row>
    <row r="88" spans="1:12" x14ac:dyDescent="0.3">
      <c r="B88" s="53" t="s">
        <v>28</v>
      </c>
      <c r="C88" s="54">
        <v>46237</v>
      </c>
      <c r="D88" s="53" t="s">
        <v>1901</v>
      </c>
      <c r="E88" s="53" t="s">
        <v>1902</v>
      </c>
      <c r="F88" s="53" t="s">
        <v>853</v>
      </c>
      <c r="G88" s="54">
        <v>46225</v>
      </c>
      <c r="H88" s="53" t="s">
        <v>809</v>
      </c>
      <c r="I88" s="59">
        <v>262</v>
      </c>
      <c r="K88" s="59"/>
      <c r="L88" s="59">
        <v>1455166.1500000004</v>
      </c>
    </row>
    <row r="89" spans="1:12" x14ac:dyDescent="0.3">
      <c r="B89" s="53" t="s">
        <v>28</v>
      </c>
      <c r="C89" s="54">
        <v>46237</v>
      </c>
      <c r="D89" s="53" t="s">
        <v>1903</v>
      </c>
      <c r="E89" s="53" t="s">
        <v>30</v>
      </c>
      <c r="F89" s="53" t="s">
        <v>1916</v>
      </c>
      <c r="G89" s="54">
        <v>46230</v>
      </c>
      <c r="H89" s="53" t="s">
        <v>1923</v>
      </c>
      <c r="I89" s="59">
        <v>95992</v>
      </c>
      <c r="K89" s="59"/>
      <c r="L89" s="59">
        <v>1551158.1500000004</v>
      </c>
    </row>
    <row r="90" spans="1:12" x14ac:dyDescent="0.3">
      <c r="B90" s="53" t="s">
        <v>28</v>
      </c>
      <c r="C90" s="54">
        <v>46254</v>
      </c>
      <c r="D90" s="53" t="s">
        <v>1904</v>
      </c>
      <c r="E90" s="53" t="s">
        <v>1477</v>
      </c>
      <c r="F90" s="53" t="s">
        <v>1498</v>
      </c>
      <c r="G90" s="54">
        <v>46234</v>
      </c>
      <c r="H90" s="53" t="s">
        <v>1513</v>
      </c>
      <c r="I90" s="59">
        <v>5200</v>
      </c>
      <c r="J90" s="5" t="s">
        <v>47</v>
      </c>
      <c r="K90" s="59"/>
      <c r="L90" s="59">
        <v>1556358.1500000004</v>
      </c>
    </row>
    <row r="91" spans="1:12" x14ac:dyDescent="0.3">
      <c r="B91" s="53" t="s">
        <v>28</v>
      </c>
      <c r="C91" s="54">
        <v>46254</v>
      </c>
      <c r="D91" s="53" t="s">
        <v>1905</v>
      </c>
      <c r="E91" s="53" t="s">
        <v>1477</v>
      </c>
      <c r="F91" s="53" t="s">
        <v>1498</v>
      </c>
      <c r="G91" s="54">
        <v>46234</v>
      </c>
      <c r="H91" s="53" t="s">
        <v>1509</v>
      </c>
      <c r="I91" s="59">
        <v>14734.72</v>
      </c>
      <c r="J91" s="5" t="s">
        <v>47</v>
      </c>
      <c r="K91" s="59"/>
      <c r="L91" s="59">
        <v>1571092.8700000003</v>
      </c>
    </row>
    <row r="92" spans="1:12" x14ac:dyDescent="0.3">
      <c r="B92" s="53" t="s">
        <v>28</v>
      </c>
      <c r="C92" s="54">
        <v>46254</v>
      </c>
      <c r="D92" s="53" t="s">
        <v>1906</v>
      </c>
      <c r="E92" s="53" t="s">
        <v>1477</v>
      </c>
      <c r="F92" s="53" t="s">
        <v>1498</v>
      </c>
      <c r="G92" s="54">
        <v>46234</v>
      </c>
      <c r="H92" s="53" t="s">
        <v>1924</v>
      </c>
      <c r="I92" s="59">
        <v>7280</v>
      </c>
      <c r="J92" s="5" t="s">
        <v>47</v>
      </c>
      <c r="K92" s="59"/>
      <c r="L92" s="59">
        <v>1578372.8700000003</v>
      </c>
    </row>
    <row r="93" spans="1:12" x14ac:dyDescent="0.3">
      <c r="B93" s="53" t="s">
        <v>28</v>
      </c>
      <c r="C93" s="54">
        <v>46254</v>
      </c>
      <c r="D93" s="53" t="s">
        <v>1907</v>
      </c>
      <c r="E93" s="53" t="s">
        <v>1477</v>
      </c>
      <c r="F93" s="53" t="s">
        <v>1498</v>
      </c>
      <c r="G93" s="54">
        <v>46234</v>
      </c>
      <c r="H93" s="53" t="s">
        <v>1925</v>
      </c>
      <c r="I93" s="59">
        <v>16640</v>
      </c>
      <c r="J93" s="5" t="s">
        <v>47</v>
      </c>
      <c r="K93" s="59"/>
      <c r="L93" s="59">
        <v>1595012.8700000003</v>
      </c>
    </row>
    <row r="94" spans="1:12" x14ac:dyDescent="0.3">
      <c r="B94" s="53" t="s">
        <v>28</v>
      </c>
      <c r="C94" s="54">
        <v>46258</v>
      </c>
      <c r="D94" s="53" t="s">
        <v>1908</v>
      </c>
      <c r="E94" s="53" t="s">
        <v>106</v>
      </c>
      <c r="F94" s="53"/>
      <c r="G94" s="54">
        <v>46258</v>
      </c>
      <c r="H94" s="53" t="s">
        <v>1540</v>
      </c>
      <c r="I94" s="59">
        <v>3120</v>
      </c>
      <c r="J94" s="5" t="s">
        <v>47</v>
      </c>
      <c r="K94" s="59"/>
      <c r="L94" s="59">
        <v>1598132.8700000003</v>
      </c>
    </row>
    <row r="95" spans="1:12" x14ac:dyDescent="0.3">
      <c r="B95" s="53" t="s">
        <v>28</v>
      </c>
      <c r="C95" s="54">
        <v>46258</v>
      </c>
      <c r="D95" s="53" t="s">
        <v>1909</v>
      </c>
      <c r="E95" s="53" t="s">
        <v>1910</v>
      </c>
      <c r="F95" s="53"/>
      <c r="G95" s="54">
        <v>46258</v>
      </c>
      <c r="H95" s="53" t="s">
        <v>1926</v>
      </c>
      <c r="I95" s="59">
        <v>5720</v>
      </c>
      <c r="K95" s="59"/>
      <c r="L95" s="59">
        <v>1603852.8700000003</v>
      </c>
    </row>
    <row r="96" spans="1:12" x14ac:dyDescent="0.3">
      <c r="B96" s="53" t="s">
        <v>28</v>
      </c>
      <c r="C96" s="54">
        <v>46259</v>
      </c>
      <c r="D96" s="53" t="s">
        <v>1911</v>
      </c>
      <c r="E96" s="53" t="s">
        <v>1477</v>
      </c>
      <c r="F96" s="53" t="s">
        <v>1498</v>
      </c>
      <c r="G96" s="54">
        <v>46234</v>
      </c>
      <c r="H96" s="53" t="s">
        <v>1511</v>
      </c>
      <c r="I96" s="59">
        <v>7800</v>
      </c>
      <c r="K96" s="59"/>
      <c r="L96" s="59">
        <v>1611652.8700000003</v>
      </c>
    </row>
    <row r="97" spans="1:12" x14ac:dyDescent="0.3">
      <c r="B97" s="53" t="s">
        <v>75</v>
      </c>
      <c r="C97" s="54">
        <v>46260</v>
      </c>
      <c r="D97" s="53" t="s">
        <v>1912</v>
      </c>
      <c r="E97" s="53" t="s">
        <v>1477</v>
      </c>
      <c r="F97" s="53" t="s">
        <v>1499</v>
      </c>
      <c r="G97" s="54">
        <v>46260</v>
      </c>
      <c r="H97" s="53" t="s">
        <v>1927</v>
      </c>
      <c r="I97" s="59"/>
      <c r="K97" s="59">
        <v>7800</v>
      </c>
      <c r="L97" s="59">
        <v>1603852.8700000003</v>
      </c>
    </row>
    <row r="98" spans="1:12" x14ac:dyDescent="0.3">
      <c r="B98" s="53" t="s">
        <v>75</v>
      </c>
      <c r="C98" s="54">
        <v>46260</v>
      </c>
      <c r="D98" s="53" t="s">
        <v>1913</v>
      </c>
      <c r="E98" s="53" t="s">
        <v>1477</v>
      </c>
      <c r="F98" s="53" t="s">
        <v>1499</v>
      </c>
      <c r="G98" s="54">
        <v>46260</v>
      </c>
      <c r="H98" s="53" t="s">
        <v>1928</v>
      </c>
      <c r="I98" s="59"/>
      <c r="K98" s="59">
        <v>5200</v>
      </c>
      <c r="L98" s="59">
        <v>1598652.8700000003</v>
      </c>
    </row>
    <row r="99" spans="1:12" x14ac:dyDescent="0.3">
      <c r="B99" s="53" t="s">
        <v>28</v>
      </c>
      <c r="C99" s="54">
        <v>46265</v>
      </c>
      <c r="D99" s="53" t="s">
        <v>1914</v>
      </c>
      <c r="E99" s="53" t="s">
        <v>447</v>
      </c>
      <c r="F99" s="53"/>
      <c r="G99" s="54">
        <v>46265</v>
      </c>
      <c r="H99" s="53" t="s">
        <v>1929</v>
      </c>
      <c r="I99" s="59">
        <v>1872</v>
      </c>
      <c r="K99" s="59"/>
      <c r="L99" s="59">
        <v>1600524.8700000003</v>
      </c>
    </row>
    <row r="100" spans="1:12" x14ac:dyDescent="0.3">
      <c r="A100" s="55" t="s">
        <v>1158</v>
      </c>
      <c r="I100" s="60">
        <f>SUM(I10:I99)</f>
        <v>578676.24000000011</v>
      </c>
      <c r="J100" s="60"/>
      <c r="K100" s="60">
        <f>SUM(K10:K99)</f>
        <v>38159.599999999999</v>
      </c>
      <c r="L100" s="60">
        <f>L99</f>
        <v>1600524.8700000003</v>
      </c>
    </row>
    <row r="101" spans="1:12" x14ac:dyDescent="0.3">
      <c r="A101" s="58" t="s">
        <v>44</v>
      </c>
      <c r="I101" s="60">
        <f>SUM(I9,I100)</f>
        <v>578676.24000000011</v>
      </c>
      <c r="J101" s="60"/>
      <c r="K101" s="60">
        <f>SUM(K9,K100)</f>
        <v>38159.599999999999</v>
      </c>
      <c r="L101" s="60">
        <f>L9+L100</f>
        <v>1600524.8700000003</v>
      </c>
    </row>
    <row r="102" spans="1:12" x14ac:dyDescent="0.3">
      <c r="A102" s="56" t="s">
        <v>45</v>
      </c>
      <c r="I102" s="60">
        <f>SUM(I8,I101)</f>
        <v>578676.24000000011</v>
      </c>
      <c r="J102" s="60"/>
      <c r="K102" s="60">
        <f>SUM(K8,K101)</f>
        <v>38159.599999999999</v>
      </c>
      <c r="L102" s="60">
        <f>L8+L101</f>
        <v>1600524.8700000003</v>
      </c>
    </row>
  </sheetData>
  <autoFilter ref="A1:L35" xr:uid="{F2D519FF-2497-4B40-AC8C-E31FBB953893}"/>
  <hyperlinks>
    <hyperlink ref="E13" r:id="rId1" display="https://9628427.app.netsuite.com/app/common/entity/entity.nl?id=17730" xr:uid="{1E913CD5-3A95-4904-B787-DED26F45775A}"/>
    <hyperlink ref="E15" r:id="rId2" display="https://9628427.app.netsuite.com/app/common/entity/entity.nl?id=2189" xr:uid="{2DA34DDF-D7B6-4AA3-AB80-90F5C139319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15443-8DAF-4501-A9F6-F8FF385A1939}">
  <sheetPr filterMode="1"/>
  <dimension ref="A1:L82"/>
  <sheetViews>
    <sheetView topLeftCell="D1" workbookViewId="0">
      <selection activeCell="E72" sqref="E72:E79"/>
    </sheetView>
  </sheetViews>
  <sheetFormatPr defaultColWidth="9.109375" defaultRowHeight="14.4" x14ac:dyDescent="0.3"/>
  <cols>
    <col min="1" max="1" width="45.44140625" bestFit="1" customWidth="1"/>
    <col min="2" max="2" width="8.88671875"/>
    <col min="3" max="3" width="8.6640625" bestFit="1" customWidth="1"/>
    <col min="4" max="4" width="14.88671875" bestFit="1" customWidth="1"/>
    <col min="5" max="5" width="43" bestFit="1" customWidth="1"/>
    <col min="6" max="6" width="69.109375" customWidth="1"/>
    <col min="7" max="7" width="15.6640625" bestFit="1" customWidth="1"/>
    <col min="8" max="8" width="13.109375" bestFit="1" customWidth="1"/>
    <col min="9" max="9" width="10.88671875" bestFit="1" customWidth="1"/>
    <col min="10" max="10" width="17.44140625" bestFit="1" customWidth="1"/>
    <col min="11" max="11" width="8.6640625" bestFit="1" customWidth="1"/>
    <col min="12" max="12" width="10.88671875" bestFit="1" customWidth="1"/>
  </cols>
  <sheetData>
    <row r="1" spans="1:12" ht="15.6" x14ac:dyDescent="0.3">
      <c r="A1" s="50" t="s">
        <v>10</v>
      </c>
      <c r="B1" s="50"/>
      <c r="C1" s="50"/>
      <c r="D1" s="50"/>
      <c r="E1" s="50"/>
      <c r="F1" s="50"/>
      <c r="G1" s="50"/>
      <c r="H1" s="50"/>
      <c r="I1" s="50"/>
      <c r="J1" s="50"/>
      <c r="K1" s="50"/>
      <c r="L1" s="50"/>
    </row>
    <row r="2" spans="1:12" ht="15.6" x14ac:dyDescent="0.3">
      <c r="A2" s="50" t="s">
        <v>11</v>
      </c>
      <c r="B2" s="50"/>
      <c r="C2" s="50"/>
      <c r="D2" s="50"/>
      <c r="E2" s="50"/>
      <c r="F2" s="50"/>
      <c r="G2" s="50"/>
      <c r="H2" s="50"/>
      <c r="I2" s="50"/>
      <c r="J2" s="50"/>
      <c r="K2" s="50"/>
      <c r="L2" s="50"/>
    </row>
    <row r="3" spans="1:12" ht="17.399999999999999" x14ac:dyDescent="0.3">
      <c r="A3" s="51" t="s">
        <v>836</v>
      </c>
      <c r="B3" s="51"/>
      <c r="C3" s="51"/>
      <c r="D3" s="51"/>
      <c r="E3" s="51"/>
      <c r="F3" s="51"/>
      <c r="G3" s="51"/>
      <c r="H3" s="51"/>
      <c r="I3" s="51"/>
      <c r="J3" s="51"/>
      <c r="K3" s="51"/>
      <c r="L3" s="51"/>
    </row>
    <row r="4" spans="1:12" ht="17.399999999999999" x14ac:dyDescent="0.3">
      <c r="A4" s="51" t="s">
        <v>1888</v>
      </c>
      <c r="B4" s="51"/>
      <c r="C4" s="51"/>
      <c r="D4" s="51"/>
      <c r="E4" s="51"/>
      <c r="F4" s="51"/>
      <c r="G4" s="51"/>
      <c r="H4" s="51"/>
      <c r="I4" s="51"/>
      <c r="J4" s="51"/>
      <c r="K4" s="51"/>
      <c r="L4" s="51"/>
    </row>
    <row r="5" spans="1:12" ht="17.399999999999999" x14ac:dyDescent="0.3">
      <c r="A5" s="51" t="s">
        <v>12</v>
      </c>
      <c r="B5" s="51"/>
      <c r="C5" s="51"/>
      <c r="D5" s="51"/>
      <c r="E5" s="51"/>
      <c r="F5" s="51"/>
      <c r="G5" s="51"/>
      <c r="H5" s="51"/>
      <c r="I5" s="51"/>
      <c r="J5" s="51"/>
      <c r="K5" s="51"/>
      <c r="L5" s="51"/>
    </row>
    <row r="6" spans="1:12" ht="17.399999999999999" x14ac:dyDescent="0.3">
      <c r="A6" s="51" t="s">
        <v>12</v>
      </c>
      <c r="B6" s="51"/>
      <c r="C6" s="51"/>
      <c r="D6" s="51"/>
      <c r="E6" s="51"/>
      <c r="F6" s="51"/>
      <c r="G6" s="51"/>
      <c r="H6" s="51"/>
      <c r="I6" s="51"/>
      <c r="J6" s="51"/>
      <c r="K6" s="51"/>
      <c r="L6" s="51"/>
    </row>
    <row r="7" spans="1:12" x14ac:dyDescent="0.3">
      <c r="A7" s="61" t="s">
        <v>13</v>
      </c>
      <c r="B7" s="61" t="s">
        <v>14</v>
      </c>
      <c r="C7" s="61" t="s">
        <v>15</v>
      </c>
      <c r="D7" s="61" t="s">
        <v>16</v>
      </c>
      <c r="E7" s="61" t="s">
        <v>17</v>
      </c>
      <c r="F7" s="61" t="s">
        <v>18</v>
      </c>
      <c r="G7" s="61" t="s">
        <v>19</v>
      </c>
      <c r="H7" s="61" t="s">
        <v>20</v>
      </c>
      <c r="I7" s="62" t="s">
        <v>21</v>
      </c>
      <c r="J7" s="62" t="s">
        <v>79</v>
      </c>
      <c r="K7" s="62" t="s">
        <v>22</v>
      </c>
      <c r="L7" s="62" t="s">
        <v>23</v>
      </c>
    </row>
    <row r="8" spans="1:12" hidden="1" x14ac:dyDescent="0.3">
      <c r="A8" s="63" t="s">
        <v>24</v>
      </c>
      <c r="B8" s="53"/>
      <c r="C8" s="54"/>
      <c r="D8" s="53"/>
      <c r="E8" s="53"/>
      <c r="F8" s="53"/>
      <c r="G8" s="54"/>
      <c r="H8" s="53"/>
      <c r="I8" s="59"/>
      <c r="J8" s="59"/>
      <c r="K8" s="59"/>
      <c r="L8" s="59">
        <v>0</v>
      </c>
    </row>
    <row r="9" spans="1:12" hidden="1" x14ac:dyDescent="0.3">
      <c r="A9" s="64" t="s">
        <v>25</v>
      </c>
      <c r="B9" s="53"/>
      <c r="C9" s="54"/>
      <c r="D9" s="53"/>
      <c r="E9" s="53"/>
      <c r="F9" s="53"/>
      <c r="G9" s="54"/>
      <c r="H9" s="53"/>
      <c r="I9" s="59"/>
      <c r="J9" s="59"/>
      <c r="K9" s="59"/>
      <c r="L9" s="59">
        <v>0</v>
      </c>
    </row>
    <row r="10" spans="1:12" hidden="1" x14ac:dyDescent="0.3">
      <c r="A10" s="65" t="s">
        <v>2</v>
      </c>
      <c r="B10" s="53"/>
      <c r="C10" s="54"/>
      <c r="D10" s="53"/>
      <c r="E10" s="53"/>
      <c r="F10" s="53"/>
      <c r="G10" s="54"/>
      <c r="H10" s="53"/>
      <c r="I10" s="59"/>
      <c r="J10" s="59"/>
      <c r="K10" s="59"/>
      <c r="L10" s="59">
        <v>1443204.88</v>
      </c>
    </row>
    <row r="11" spans="1:12" hidden="1" x14ac:dyDescent="0.3">
      <c r="A11" s="52"/>
      <c r="B11" s="53" t="s">
        <v>28</v>
      </c>
      <c r="C11" s="54">
        <v>46044</v>
      </c>
      <c r="D11" s="53" t="s">
        <v>48</v>
      </c>
      <c r="E11" s="53" t="s">
        <v>49</v>
      </c>
      <c r="F11" s="53" t="s">
        <v>50</v>
      </c>
      <c r="G11" s="54">
        <v>46041</v>
      </c>
      <c r="H11" s="53" t="s">
        <v>51</v>
      </c>
      <c r="I11" s="59">
        <v>560.32000000000005</v>
      </c>
      <c r="J11" s="5" t="s">
        <v>405</v>
      </c>
      <c r="K11" s="59"/>
      <c r="L11" s="59">
        <f t="shared" ref="L11:L74" si="0">L10+I11-K11</f>
        <v>1443765.2</v>
      </c>
    </row>
    <row r="12" spans="1:12" hidden="1" x14ac:dyDescent="0.3">
      <c r="A12" s="52"/>
      <c r="B12" s="53" t="s">
        <v>28</v>
      </c>
      <c r="C12" s="54">
        <v>46052</v>
      </c>
      <c r="D12" s="53" t="s">
        <v>52</v>
      </c>
      <c r="E12" s="53" t="s">
        <v>53</v>
      </c>
      <c r="F12" s="53"/>
      <c r="G12" s="54">
        <v>46050</v>
      </c>
      <c r="H12" s="53" t="s">
        <v>36</v>
      </c>
      <c r="I12" s="59">
        <v>2080</v>
      </c>
      <c r="J12" s="59"/>
      <c r="K12" s="59"/>
      <c r="L12" s="59">
        <f t="shared" si="0"/>
        <v>1445845.2</v>
      </c>
    </row>
    <row r="13" spans="1:12" ht="30.6" hidden="1" x14ac:dyDescent="0.3">
      <c r="A13" s="52"/>
      <c r="B13" s="53" t="s">
        <v>26</v>
      </c>
      <c r="C13" s="54">
        <v>46053</v>
      </c>
      <c r="D13" s="53" t="s">
        <v>55</v>
      </c>
      <c r="E13" s="53"/>
      <c r="F13" s="42" t="s">
        <v>760</v>
      </c>
      <c r="G13" s="54"/>
      <c r="H13" s="53"/>
      <c r="I13" s="59">
        <v>5200</v>
      </c>
      <c r="J13" s="5" t="s">
        <v>405</v>
      </c>
      <c r="K13" s="59"/>
      <c r="L13" s="59">
        <f t="shared" si="0"/>
        <v>1451045.2</v>
      </c>
    </row>
    <row r="14" spans="1:12" hidden="1" x14ac:dyDescent="0.3">
      <c r="A14" s="52"/>
      <c r="B14" s="53" t="s">
        <v>26</v>
      </c>
      <c r="C14" s="54">
        <v>46053</v>
      </c>
      <c r="D14" s="53" t="s">
        <v>54</v>
      </c>
      <c r="E14" s="53"/>
      <c r="F14" s="53"/>
      <c r="G14" s="54"/>
      <c r="H14" s="53"/>
      <c r="I14" s="59">
        <v>10550</v>
      </c>
      <c r="J14" s="59"/>
      <c r="K14" s="59"/>
      <c r="L14" s="59">
        <f t="shared" si="0"/>
        <v>1461595.2</v>
      </c>
    </row>
    <row r="15" spans="1:12" hidden="1" x14ac:dyDescent="0.3">
      <c r="A15" s="52"/>
      <c r="B15" s="53" t="s">
        <v>26</v>
      </c>
      <c r="C15" s="54">
        <v>46053</v>
      </c>
      <c r="D15" s="53" t="s">
        <v>423</v>
      </c>
      <c r="E15" s="53"/>
      <c r="F15" s="53"/>
      <c r="G15" s="54"/>
      <c r="H15" s="53"/>
      <c r="I15" s="59">
        <v>8000</v>
      </c>
      <c r="J15" s="59"/>
      <c r="K15" s="59"/>
      <c r="L15" s="59">
        <f t="shared" si="0"/>
        <v>1469595.2</v>
      </c>
    </row>
    <row r="16" spans="1:12" hidden="1" x14ac:dyDescent="0.3">
      <c r="A16" s="52"/>
      <c r="B16" s="53" t="s">
        <v>28</v>
      </c>
      <c r="C16" s="54">
        <v>46058</v>
      </c>
      <c r="D16" s="53" t="s">
        <v>56</v>
      </c>
      <c r="E16" s="53" t="s">
        <v>49</v>
      </c>
      <c r="F16" s="53" t="s">
        <v>57</v>
      </c>
      <c r="G16" s="54">
        <v>46057</v>
      </c>
      <c r="H16" s="53" t="s">
        <v>58</v>
      </c>
      <c r="I16" s="59">
        <v>979.17</v>
      </c>
      <c r="J16" s="5" t="s">
        <v>405</v>
      </c>
      <c r="K16" s="59"/>
      <c r="L16" s="59">
        <f t="shared" si="0"/>
        <v>1470574.3699999999</v>
      </c>
    </row>
    <row r="17" spans="1:12" hidden="1" x14ac:dyDescent="0.3">
      <c r="A17" s="52"/>
      <c r="B17" s="53" t="s">
        <v>28</v>
      </c>
      <c r="C17" s="54">
        <v>46070</v>
      </c>
      <c r="D17" s="53" t="s">
        <v>59</v>
      </c>
      <c r="E17" s="53" t="s">
        <v>60</v>
      </c>
      <c r="F17" s="53"/>
      <c r="G17" s="54">
        <v>46062</v>
      </c>
      <c r="H17" s="53" t="s">
        <v>61</v>
      </c>
      <c r="I17" s="59">
        <v>419.29</v>
      </c>
      <c r="J17" s="59"/>
      <c r="K17" s="59"/>
      <c r="L17" s="59">
        <f t="shared" si="0"/>
        <v>1470993.66</v>
      </c>
    </row>
    <row r="18" spans="1:12" hidden="1" x14ac:dyDescent="0.3">
      <c r="A18" s="52"/>
      <c r="B18" s="53" t="s">
        <v>28</v>
      </c>
      <c r="C18" s="54">
        <v>46071</v>
      </c>
      <c r="D18" s="53" t="s">
        <v>62</v>
      </c>
      <c r="E18" s="53" t="s">
        <v>63</v>
      </c>
      <c r="F18" s="53"/>
      <c r="G18" s="54">
        <v>46063</v>
      </c>
      <c r="H18" s="53" t="s">
        <v>64</v>
      </c>
      <c r="I18" s="59">
        <v>832</v>
      </c>
      <c r="J18" s="59"/>
      <c r="K18" s="59"/>
      <c r="L18" s="59">
        <f t="shared" si="0"/>
        <v>1471825.66</v>
      </c>
    </row>
    <row r="19" spans="1:12" hidden="1" x14ac:dyDescent="0.3">
      <c r="A19" s="52"/>
      <c r="B19" s="53" t="s">
        <v>28</v>
      </c>
      <c r="C19" s="54">
        <v>46076</v>
      </c>
      <c r="D19" s="53" t="s">
        <v>65</v>
      </c>
      <c r="E19" s="53" t="s">
        <v>66</v>
      </c>
      <c r="F19" s="53"/>
      <c r="G19" s="54">
        <v>46063</v>
      </c>
      <c r="H19" s="53" t="s">
        <v>67</v>
      </c>
      <c r="I19" s="59">
        <v>9204</v>
      </c>
      <c r="J19" s="59"/>
      <c r="K19" s="59"/>
      <c r="L19" s="59">
        <f t="shared" si="0"/>
        <v>1481029.66</v>
      </c>
    </row>
    <row r="20" spans="1:12" hidden="1" x14ac:dyDescent="0.3">
      <c r="A20" s="52"/>
      <c r="B20" s="53" t="s">
        <v>28</v>
      </c>
      <c r="C20" s="54">
        <v>46078</v>
      </c>
      <c r="D20" s="53" t="s">
        <v>71</v>
      </c>
      <c r="E20" s="53" t="s">
        <v>69</v>
      </c>
      <c r="F20" s="53"/>
      <c r="G20" s="54">
        <v>46057</v>
      </c>
      <c r="H20" s="53" t="s">
        <v>72</v>
      </c>
      <c r="I20" s="59">
        <v>8320</v>
      </c>
      <c r="J20" s="59"/>
      <c r="K20" s="59"/>
      <c r="L20" s="59">
        <f t="shared" si="0"/>
        <v>1489349.66</v>
      </c>
    </row>
    <row r="21" spans="1:12" hidden="1" x14ac:dyDescent="0.3">
      <c r="A21" s="52"/>
      <c r="B21" s="53" t="s">
        <v>28</v>
      </c>
      <c r="C21" s="54">
        <v>46078</v>
      </c>
      <c r="D21" s="53" t="s">
        <v>68</v>
      </c>
      <c r="E21" s="53" t="s">
        <v>69</v>
      </c>
      <c r="F21" s="53"/>
      <c r="G21" s="54">
        <v>46057</v>
      </c>
      <c r="H21" s="53" t="s">
        <v>70</v>
      </c>
      <c r="I21" s="59">
        <v>320</v>
      </c>
      <c r="J21" s="59"/>
      <c r="K21" s="59"/>
      <c r="L21" s="59">
        <f t="shared" si="0"/>
        <v>1489669.66</v>
      </c>
    </row>
    <row r="22" spans="1:12" hidden="1" x14ac:dyDescent="0.3">
      <c r="A22" s="52"/>
      <c r="B22" s="53" t="s">
        <v>75</v>
      </c>
      <c r="C22" s="54">
        <v>46079</v>
      </c>
      <c r="D22" s="53" t="s">
        <v>76</v>
      </c>
      <c r="E22" s="53" t="s">
        <v>69</v>
      </c>
      <c r="F22" s="53"/>
      <c r="G22" s="54">
        <v>46066</v>
      </c>
      <c r="H22" s="53" t="s">
        <v>77</v>
      </c>
      <c r="I22" s="59"/>
      <c r="J22" s="59"/>
      <c r="K22" s="59">
        <v>8320</v>
      </c>
      <c r="L22" s="59">
        <f t="shared" si="0"/>
        <v>1481349.66</v>
      </c>
    </row>
    <row r="23" spans="1:12" hidden="1" x14ac:dyDescent="0.3">
      <c r="A23" s="52"/>
      <c r="B23" s="53" t="s">
        <v>28</v>
      </c>
      <c r="C23" s="54">
        <v>46079</v>
      </c>
      <c r="D23" s="53" t="s">
        <v>73</v>
      </c>
      <c r="E23" s="53" t="s">
        <v>53</v>
      </c>
      <c r="F23" s="53"/>
      <c r="G23" s="54">
        <v>46078</v>
      </c>
      <c r="H23" s="53" t="s">
        <v>74</v>
      </c>
      <c r="I23" s="59">
        <v>2080</v>
      </c>
      <c r="J23" s="59"/>
      <c r="K23" s="59"/>
      <c r="L23" s="59">
        <f t="shared" si="0"/>
        <v>1483429.66</v>
      </c>
    </row>
    <row r="24" spans="1:12" hidden="1" x14ac:dyDescent="0.3">
      <c r="A24" s="52"/>
      <c r="B24" s="53" t="s">
        <v>28</v>
      </c>
      <c r="C24" s="54">
        <v>46097</v>
      </c>
      <c r="D24" s="53" t="s">
        <v>451</v>
      </c>
      <c r="E24" s="53" t="s">
        <v>60</v>
      </c>
      <c r="F24" s="53" t="s">
        <v>452</v>
      </c>
      <c r="G24" s="54">
        <v>46097</v>
      </c>
      <c r="H24" s="53" t="s">
        <v>453</v>
      </c>
      <c r="I24" s="59">
        <v>419.29</v>
      </c>
      <c r="J24" s="59"/>
      <c r="K24" s="59"/>
      <c r="L24" s="59">
        <f t="shared" si="0"/>
        <v>1483848.95</v>
      </c>
    </row>
    <row r="25" spans="1:12" hidden="1" x14ac:dyDescent="0.3">
      <c r="A25" s="52"/>
      <c r="B25" s="53" t="s">
        <v>28</v>
      </c>
      <c r="C25" s="54">
        <v>46097</v>
      </c>
      <c r="D25" s="53" t="s">
        <v>454</v>
      </c>
      <c r="E25" s="53" t="s">
        <v>69</v>
      </c>
      <c r="F25" s="53"/>
      <c r="G25" s="54">
        <v>46085</v>
      </c>
      <c r="H25" s="53" t="s">
        <v>74</v>
      </c>
      <c r="I25" s="59">
        <v>8320</v>
      </c>
      <c r="J25" s="59"/>
      <c r="K25" s="59"/>
      <c r="L25" s="59">
        <f t="shared" si="0"/>
        <v>1492168.95</v>
      </c>
    </row>
    <row r="26" spans="1:12" hidden="1" x14ac:dyDescent="0.3">
      <c r="A26" s="52"/>
      <c r="B26" s="53" t="s">
        <v>28</v>
      </c>
      <c r="C26" s="54">
        <v>46111</v>
      </c>
      <c r="D26" s="53" t="s">
        <v>455</v>
      </c>
      <c r="E26" s="53" t="s">
        <v>53</v>
      </c>
      <c r="F26" s="53"/>
      <c r="G26" s="54">
        <v>46111</v>
      </c>
      <c r="H26" s="53" t="s">
        <v>456</v>
      </c>
      <c r="I26" s="59">
        <v>2704</v>
      </c>
      <c r="J26" s="59"/>
      <c r="K26" s="59"/>
      <c r="L26" s="59">
        <f t="shared" si="0"/>
        <v>1494872.95</v>
      </c>
    </row>
    <row r="27" spans="1:12" hidden="1" x14ac:dyDescent="0.3">
      <c r="A27" s="52"/>
      <c r="B27" s="53" t="s">
        <v>28</v>
      </c>
      <c r="C27" s="54">
        <v>46114</v>
      </c>
      <c r="D27" s="53" t="s">
        <v>790</v>
      </c>
      <c r="E27" s="53" t="s">
        <v>60</v>
      </c>
      <c r="F27" s="53"/>
      <c r="G27" s="54">
        <v>46099</v>
      </c>
      <c r="H27" s="53" t="s">
        <v>806</v>
      </c>
      <c r="I27" s="59">
        <v>104.82</v>
      </c>
      <c r="J27" s="59"/>
      <c r="K27" s="59"/>
      <c r="L27" s="59">
        <f t="shared" si="0"/>
        <v>1494977.77</v>
      </c>
    </row>
    <row r="28" spans="1:12" ht="20.399999999999999" hidden="1" x14ac:dyDescent="0.3">
      <c r="A28" s="52"/>
      <c r="B28" s="53" t="s">
        <v>28</v>
      </c>
      <c r="C28" s="54">
        <v>46119</v>
      </c>
      <c r="D28" s="53" t="s">
        <v>791</v>
      </c>
      <c r="E28" s="53" t="s">
        <v>792</v>
      </c>
      <c r="F28" s="39" t="s">
        <v>1142</v>
      </c>
      <c r="G28" s="54">
        <v>46119</v>
      </c>
      <c r="H28" s="53" t="s">
        <v>807</v>
      </c>
      <c r="I28" s="59">
        <v>17640</v>
      </c>
      <c r="J28" s="47" t="s">
        <v>1143</v>
      </c>
      <c r="K28" s="59"/>
      <c r="L28" s="59">
        <f t="shared" si="0"/>
        <v>1512617.77</v>
      </c>
    </row>
    <row r="29" spans="1:12" hidden="1" x14ac:dyDescent="0.3">
      <c r="A29" s="52"/>
      <c r="B29" s="53" t="s">
        <v>28</v>
      </c>
      <c r="C29" s="54">
        <v>46120</v>
      </c>
      <c r="D29" s="53" t="s">
        <v>793</v>
      </c>
      <c r="E29" s="53" t="s">
        <v>794</v>
      </c>
      <c r="F29" s="4" t="s">
        <v>1144</v>
      </c>
      <c r="G29" s="54">
        <v>46119</v>
      </c>
      <c r="H29" s="53" t="s">
        <v>495</v>
      </c>
      <c r="I29" s="59">
        <v>1500</v>
      </c>
      <c r="J29" s="5" t="s">
        <v>405</v>
      </c>
      <c r="K29" s="59"/>
      <c r="L29" s="59">
        <f t="shared" si="0"/>
        <v>1514117.77</v>
      </c>
    </row>
    <row r="30" spans="1:12" hidden="1" x14ac:dyDescent="0.3">
      <c r="A30" s="52"/>
      <c r="B30" s="53" t="s">
        <v>28</v>
      </c>
      <c r="C30" s="54">
        <v>46122</v>
      </c>
      <c r="D30" s="53" t="s">
        <v>795</v>
      </c>
      <c r="E30" s="53" t="s">
        <v>69</v>
      </c>
      <c r="F30" s="39" t="s">
        <v>1130</v>
      </c>
      <c r="G30" s="54">
        <v>46120</v>
      </c>
      <c r="H30" s="53" t="s">
        <v>808</v>
      </c>
      <c r="I30" s="59">
        <v>8320</v>
      </c>
      <c r="J30" s="5" t="s">
        <v>405</v>
      </c>
      <c r="K30" s="59"/>
      <c r="L30" s="59">
        <f t="shared" si="0"/>
        <v>1522437.77</v>
      </c>
    </row>
    <row r="31" spans="1:12" ht="51" hidden="1" x14ac:dyDescent="0.3">
      <c r="A31" s="52"/>
      <c r="B31" s="53" t="s">
        <v>28</v>
      </c>
      <c r="C31" s="54">
        <v>46126</v>
      </c>
      <c r="D31" s="53" t="s">
        <v>796</v>
      </c>
      <c r="E31" s="53" t="s">
        <v>797</v>
      </c>
      <c r="F31" s="39" t="s">
        <v>1131</v>
      </c>
      <c r="G31" s="54">
        <v>46125</v>
      </c>
      <c r="H31" s="53" t="s">
        <v>809</v>
      </c>
      <c r="I31" s="59">
        <v>125721.61</v>
      </c>
      <c r="J31" s="5" t="s">
        <v>405</v>
      </c>
      <c r="K31" s="59"/>
      <c r="L31" s="59">
        <f t="shared" si="0"/>
        <v>1648159.3800000001</v>
      </c>
    </row>
    <row r="32" spans="1:12" hidden="1" x14ac:dyDescent="0.3">
      <c r="A32" s="52"/>
      <c r="B32" s="53" t="s">
        <v>28</v>
      </c>
      <c r="C32" s="54">
        <v>46126</v>
      </c>
      <c r="D32" s="53" t="s">
        <v>798</v>
      </c>
      <c r="E32" s="53" t="s">
        <v>797</v>
      </c>
      <c r="F32" s="4" t="s">
        <v>1132</v>
      </c>
      <c r="G32" s="54">
        <v>46125</v>
      </c>
      <c r="H32" s="53" t="s">
        <v>810</v>
      </c>
      <c r="I32" s="59">
        <v>71259.91</v>
      </c>
      <c r="J32" s="5" t="s">
        <v>405</v>
      </c>
      <c r="K32" s="59"/>
      <c r="L32" s="59">
        <f t="shared" si="0"/>
        <v>1719419.29</v>
      </c>
    </row>
    <row r="33" spans="1:12" hidden="1" x14ac:dyDescent="0.3">
      <c r="A33" s="52"/>
      <c r="B33" s="53" t="s">
        <v>28</v>
      </c>
      <c r="C33" s="54">
        <v>46126</v>
      </c>
      <c r="D33" s="53" t="s">
        <v>799</v>
      </c>
      <c r="E33" s="53" t="s">
        <v>797</v>
      </c>
      <c r="F33" s="4" t="s">
        <v>1133</v>
      </c>
      <c r="G33" s="54">
        <v>46125</v>
      </c>
      <c r="H33" s="53" t="s">
        <v>811</v>
      </c>
      <c r="I33" s="59">
        <v>190626.82</v>
      </c>
      <c r="J33" s="5" t="s">
        <v>405</v>
      </c>
      <c r="K33" s="59"/>
      <c r="L33" s="59">
        <f t="shared" si="0"/>
        <v>1910046.11</v>
      </c>
    </row>
    <row r="34" spans="1:12" hidden="1" x14ac:dyDescent="0.3">
      <c r="A34" s="52"/>
      <c r="B34" s="53" t="s">
        <v>28</v>
      </c>
      <c r="C34" s="54">
        <v>46126</v>
      </c>
      <c r="D34" s="53" t="s">
        <v>800</v>
      </c>
      <c r="E34" s="53" t="s">
        <v>797</v>
      </c>
      <c r="F34" s="39" t="s">
        <v>1134</v>
      </c>
      <c r="G34" s="54">
        <v>46125</v>
      </c>
      <c r="H34" s="53" t="s">
        <v>812</v>
      </c>
      <c r="I34" s="59">
        <v>164881.81</v>
      </c>
      <c r="J34" s="5" t="s">
        <v>405</v>
      </c>
      <c r="K34" s="59"/>
      <c r="L34" s="59">
        <f t="shared" si="0"/>
        <v>2074927.9200000002</v>
      </c>
    </row>
    <row r="35" spans="1:12" hidden="1" x14ac:dyDescent="0.3">
      <c r="A35" s="52"/>
      <c r="B35" s="53" t="s">
        <v>28</v>
      </c>
      <c r="C35" s="54">
        <v>46139</v>
      </c>
      <c r="D35" s="53" t="s">
        <v>801</v>
      </c>
      <c r="E35" s="53" t="s">
        <v>53</v>
      </c>
      <c r="F35" s="53"/>
      <c r="G35" s="54">
        <v>46136</v>
      </c>
      <c r="H35" s="53" t="s">
        <v>813</v>
      </c>
      <c r="I35" s="59">
        <v>2589.6</v>
      </c>
      <c r="J35" s="59"/>
      <c r="K35" s="59"/>
      <c r="L35" s="59">
        <f t="shared" si="0"/>
        <v>2077517.5200000003</v>
      </c>
    </row>
    <row r="36" spans="1:12" hidden="1" x14ac:dyDescent="0.3">
      <c r="A36" s="52"/>
      <c r="B36" s="53" t="s">
        <v>28</v>
      </c>
      <c r="C36" s="54">
        <v>46140</v>
      </c>
      <c r="D36" s="53" t="s">
        <v>802</v>
      </c>
      <c r="E36" s="53" t="s">
        <v>803</v>
      </c>
      <c r="F36" s="53"/>
      <c r="G36" s="54">
        <v>46137</v>
      </c>
      <c r="H36" s="53" t="s">
        <v>814</v>
      </c>
      <c r="I36" s="59">
        <v>2080</v>
      </c>
      <c r="J36" s="59"/>
      <c r="K36" s="59"/>
      <c r="L36" s="59">
        <f t="shared" si="0"/>
        <v>2079597.5200000003</v>
      </c>
    </row>
    <row r="37" spans="1:12" hidden="1" x14ac:dyDescent="0.3">
      <c r="A37" s="52"/>
      <c r="B37" s="53" t="s">
        <v>28</v>
      </c>
      <c r="C37" s="54">
        <v>46141</v>
      </c>
      <c r="D37" s="53" t="s">
        <v>804</v>
      </c>
      <c r="E37" s="53" t="s">
        <v>805</v>
      </c>
      <c r="F37" s="4"/>
      <c r="G37" s="54">
        <v>46119</v>
      </c>
      <c r="H37" s="53" t="s">
        <v>815</v>
      </c>
      <c r="I37" s="59">
        <v>30680</v>
      </c>
      <c r="J37" s="59"/>
      <c r="K37" s="59"/>
      <c r="L37" s="59">
        <f t="shared" si="0"/>
        <v>2110277.5200000005</v>
      </c>
    </row>
    <row r="38" spans="1:12" hidden="1" x14ac:dyDescent="0.3">
      <c r="A38" s="52"/>
      <c r="B38" s="53" t="s">
        <v>26</v>
      </c>
      <c r="C38" s="54">
        <v>46142</v>
      </c>
      <c r="D38" s="53" t="s">
        <v>785</v>
      </c>
      <c r="E38" s="53"/>
      <c r="F38" s="53"/>
      <c r="G38" s="54"/>
      <c r="H38" s="53"/>
      <c r="I38" s="59">
        <v>5766.28</v>
      </c>
      <c r="J38" s="59"/>
      <c r="K38" s="59"/>
      <c r="L38" s="59">
        <f t="shared" si="0"/>
        <v>2116043.8000000003</v>
      </c>
    </row>
    <row r="39" spans="1:12" hidden="1" x14ac:dyDescent="0.3">
      <c r="A39" s="52"/>
      <c r="B39" s="53" t="s">
        <v>28</v>
      </c>
      <c r="C39" s="54">
        <v>46154</v>
      </c>
      <c r="D39" s="53" t="s">
        <v>1159</v>
      </c>
      <c r="E39" s="53" t="s">
        <v>69</v>
      </c>
      <c r="F39" s="53"/>
      <c r="G39" s="54">
        <v>46154</v>
      </c>
      <c r="H39" s="53" t="s">
        <v>809</v>
      </c>
      <c r="I39" s="59">
        <v>8606.83</v>
      </c>
      <c r="J39" s="59"/>
      <c r="K39" s="59"/>
      <c r="L39" s="59">
        <f t="shared" si="0"/>
        <v>2124650.6300000004</v>
      </c>
    </row>
    <row r="40" spans="1:12" hidden="1" x14ac:dyDescent="0.3">
      <c r="A40" s="52"/>
      <c r="B40" s="53" t="s">
        <v>28</v>
      </c>
      <c r="C40" s="54">
        <v>46161</v>
      </c>
      <c r="D40" s="53" t="s">
        <v>1160</v>
      </c>
      <c r="E40" s="53" t="s">
        <v>1165</v>
      </c>
      <c r="F40" s="4" t="s">
        <v>1463</v>
      </c>
      <c r="G40" s="54">
        <v>46160</v>
      </c>
      <c r="H40" s="53" t="s">
        <v>70</v>
      </c>
      <c r="I40" s="59">
        <v>12480</v>
      </c>
      <c r="J40" s="5" t="s">
        <v>405</v>
      </c>
      <c r="K40" s="59"/>
      <c r="L40" s="59">
        <f t="shared" si="0"/>
        <v>2137130.6300000004</v>
      </c>
    </row>
    <row r="41" spans="1:12" hidden="1" x14ac:dyDescent="0.3">
      <c r="A41" s="52"/>
      <c r="B41" s="53" t="s">
        <v>28</v>
      </c>
      <c r="C41" s="54">
        <v>46167</v>
      </c>
      <c r="D41" s="53" t="s">
        <v>1161</v>
      </c>
      <c r="E41" s="53" t="s">
        <v>60</v>
      </c>
      <c r="F41" s="53" t="s">
        <v>452</v>
      </c>
      <c r="G41" s="54">
        <v>46167</v>
      </c>
      <c r="H41" s="53" t="s">
        <v>1166</v>
      </c>
      <c r="I41" s="59">
        <v>209.64</v>
      </c>
      <c r="J41" s="59"/>
      <c r="K41" s="59"/>
      <c r="L41" s="59">
        <f t="shared" si="0"/>
        <v>2137340.2700000005</v>
      </c>
    </row>
    <row r="42" spans="1:12" hidden="1" x14ac:dyDescent="0.3">
      <c r="A42" s="52"/>
      <c r="B42" s="53" t="s">
        <v>28</v>
      </c>
      <c r="C42" s="54">
        <v>46167</v>
      </c>
      <c r="D42" s="53" t="s">
        <v>1162</v>
      </c>
      <c r="E42" s="53" t="s">
        <v>60</v>
      </c>
      <c r="F42" s="53" t="s">
        <v>452</v>
      </c>
      <c r="G42" s="54">
        <v>46167</v>
      </c>
      <c r="H42" s="53" t="s">
        <v>1167</v>
      </c>
      <c r="I42" s="59">
        <v>434.05</v>
      </c>
      <c r="J42" s="59"/>
      <c r="K42" s="59"/>
      <c r="L42" s="59">
        <f t="shared" si="0"/>
        <v>2137774.3200000003</v>
      </c>
    </row>
    <row r="43" spans="1:12" hidden="1" x14ac:dyDescent="0.3">
      <c r="A43" s="52"/>
      <c r="B43" s="53" t="s">
        <v>28</v>
      </c>
      <c r="C43" s="54">
        <v>46168</v>
      </c>
      <c r="D43" s="53" t="s">
        <v>1163</v>
      </c>
      <c r="E43" s="53" t="s">
        <v>805</v>
      </c>
      <c r="F43" s="4" t="s">
        <v>1462</v>
      </c>
      <c r="G43" s="54">
        <v>46167</v>
      </c>
      <c r="H43" s="53" t="s">
        <v>1168</v>
      </c>
      <c r="I43" s="59">
        <v>18720</v>
      </c>
      <c r="J43" s="47" t="s">
        <v>1143</v>
      </c>
      <c r="K43" s="59"/>
      <c r="L43" s="59">
        <f t="shared" si="0"/>
        <v>2156494.3200000003</v>
      </c>
    </row>
    <row r="44" spans="1:12" hidden="1" x14ac:dyDescent="0.3">
      <c r="A44" s="52"/>
      <c r="B44" s="53" t="s">
        <v>28</v>
      </c>
      <c r="C44" s="54">
        <v>46168</v>
      </c>
      <c r="D44" s="53" t="s">
        <v>1164</v>
      </c>
      <c r="E44" s="53" t="s">
        <v>60</v>
      </c>
      <c r="F44" s="53" t="s">
        <v>452</v>
      </c>
      <c r="G44" s="54">
        <v>46167</v>
      </c>
      <c r="H44" s="53" t="s">
        <v>1169</v>
      </c>
      <c r="I44" s="59">
        <v>419.29</v>
      </c>
      <c r="J44" s="59"/>
      <c r="K44" s="59"/>
      <c r="L44" s="59">
        <f t="shared" si="0"/>
        <v>2156913.6100000003</v>
      </c>
    </row>
    <row r="45" spans="1:12" hidden="1" x14ac:dyDescent="0.3">
      <c r="A45" s="52"/>
      <c r="B45" s="53" t="s">
        <v>26</v>
      </c>
      <c r="C45" s="54">
        <v>46173</v>
      </c>
      <c r="D45" s="53" t="s">
        <v>1466</v>
      </c>
      <c r="E45" s="53"/>
      <c r="F45" s="53"/>
      <c r="G45" s="54"/>
      <c r="H45" s="53"/>
      <c r="I45" s="59">
        <v>7580</v>
      </c>
      <c r="J45" s="59"/>
      <c r="K45" s="59"/>
      <c r="L45" s="59">
        <f t="shared" si="0"/>
        <v>2164493.6100000003</v>
      </c>
    </row>
    <row r="46" spans="1:12" hidden="1" x14ac:dyDescent="0.3">
      <c r="A46" s="52"/>
      <c r="B46" s="53" t="s">
        <v>26</v>
      </c>
      <c r="C46" s="54">
        <v>46173</v>
      </c>
      <c r="D46" s="53" t="s">
        <v>1470</v>
      </c>
      <c r="E46" s="53"/>
      <c r="F46" s="53"/>
      <c r="G46" s="54"/>
      <c r="H46" s="53"/>
      <c r="I46" s="59">
        <v>220</v>
      </c>
      <c r="J46" s="59"/>
      <c r="K46" s="59"/>
      <c r="L46" s="59">
        <f t="shared" si="0"/>
        <v>2164713.6100000003</v>
      </c>
    </row>
    <row r="47" spans="1:12" hidden="1" x14ac:dyDescent="0.3">
      <c r="A47" s="52"/>
      <c r="B47" s="53" t="s">
        <v>28</v>
      </c>
      <c r="C47" s="54">
        <v>46184</v>
      </c>
      <c r="D47" s="53" t="s">
        <v>1514</v>
      </c>
      <c r="E47" s="53" t="s">
        <v>797</v>
      </c>
      <c r="F47" s="53"/>
      <c r="G47" s="54">
        <v>46184</v>
      </c>
      <c r="H47" s="53" t="s">
        <v>1502</v>
      </c>
      <c r="I47" s="59">
        <v>8320</v>
      </c>
      <c r="J47" s="5" t="s">
        <v>405</v>
      </c>
      <c r="K47" s="59"/>
      <c r="L47" s="59">
        <f t="shared" si="0"/>
        <v>2173033.6100000003</v>
      </c>
    </row>
    <row r="48" spans="1:12" hidden="1" x14ac:dyDescent="0.3">
      <c r="A48" s="52"/>
      <c r="B48" s="53" t="s">
        <v>28</v>
      </c>
      <c r="C48" s="54">
        <v>46184</v>
      </c>
      <c r="D48" s="53" t="s">
        <v>1515</v>
      </c>
      <c r="E48" s="53" t="s">
        <v>797</v>
      </c>
      <c r="F48" s="53"/>
      <c r="G48" s="54">
        <v>46184</v>
      </c>
      <c r="H48" s="53" t="s">
        <v>1537</v>
      </c>
      <c r="I48" s="59">
        <v>3120</v>
      </c>
      <c r="J48" s="5" t="s">
        <v>405</v>
      </c>
      <c r="K48" s="59"/>
      <c r="L48" s="59">
        <f t="shared" si="0"/>
        <v>2176153.6100000003</v>
      </c>
    </row>
    <row r="49" spans="1:12" hidden="1" x14ac:dyDescent="0.3">
      <c r="A49" s="52"/>
      <c r="B49" s="53" t="s">
        <v>28</v>
      </c>
      <c r="C49" s="54">
        <v>46184</v>
      </c>
      <c r="D49" s="53" t="s">
        <v>1516</v>
      </c>
      <c r="E49" s="53" t="s">
        <v>69</v>
      </c>
      <c r="F49" s="53"/>
      <c r="G49" s="54">
        <v>46184</v>
      </c>
      <c r="H49" s="53" t="s">
        <v>810</v>
      </c>
      <c r="I49" s="59">
        <v>8320</v>
      </c>
      <c r="J49" s="5"/>
      <c r="K49" s="59"/>
      <c r="L49" s="59">
        <f t="shared" si="0"/>
        <v>2184473.6100000003</v>
      </c>
    </row>
    <row r="50" spans="1:12" hidden="1" x14ac:dyDescent="0.3">
      <c r="A50" s="52"/>
      <c r="B50" s="53" t="s">
        <v>28</v>
      </c>
      <c r="C50" s="54">
        <v>46184</v>
      </c>
      <c r="D50" s="53" t="s">
        <v>1517</v>
      </c>
      <c r="E50" s="53" t="s">
        <v>797</v>
      </c>
      <c r="F50" s="53"/>
      <c r="G50" s="54">
        <v>46184</v>
      </c>
      <c r="H50" s="53" t="s">
        <v>1538</v>
      </c>
      <c r="I50" s="59">
        <v>13208</v>
      </c>
      <c r="J50" s="5" t="s">
        <v>405</v>
      </c>
      <c r="K50" s="59"/>
      <c r="L50" s="59">
        <f t="shared" si="0"/>
        <v>2197681.6100000003</v>
      </c>
    </row>
    <row r="51" spans="1:12" hidden="1" x14ac:dyDescent="0.3">
      <c r="A51" s="52"/>
      <c r="B51" s="53" t="s">
        <v>28</v>
      </c>
      <c r="C51" s="54">
        <v>46184</v>
      </c>
      <c r="D51" s="53" t="s">
        <v>1518</v>
      </c>
      <c r="E51" s="53" t="s">
        <v>1519</v>
      </c>
      <c r="F51" s="53" t="s">
        <v>1533</v>
      </c>
      <c r="G51" s="54">
        <v>46176</v>
      </c>
      <c r="H51" s="53" t="s">
        <v>1539</v>
      </c>
      <c r="I51" s="59">
        <v>9360</v>
      </c>
      <c r="J51" s="59"/>
      <c r="K51" s="59"/>
      <c r="L51" s="59">
        <f t="shared" si="0"/>
        <v>2207041.6100000003</v>
      </c>
    </row>
    <row r="52" spans="1:12" hidden="1" x14ac:dyDescent="0.3">
      <c r="A52" s="52"/>
      <c r="B52" s="53" t="s">
        <v>28</v>
      </c>
      <c r="C52" s="54">
        <v>46190</v>
      </c>
      <c r="D52" s="53" t="s">
        <v>1520</v>
      </c>
      <c r="E52" s="53" t="s">
        <v>1521</v>
      </c>
      <c r="F52" s="53"/>
      <c r="G52" s="54">
        <v>46189</v>
      </c>
      <c r="H52" s="53" t="s">
        <v>811</v>
      </c>
      <c r="I52" s="59">
        <v>13520</v>
      </c>
      <c r="J52" s="59"/>
      <c r="K52" s="59"/>
      <c r="L52" s="59">
        <f t="shared" si="0"/>
        <v>2220561.6100000003</v>
      </c>
    </row>
    <row r="53" spans="1:12" hidden="1" x14ac:dyDescent="0.3">
      <c r="A53" s="52"/>
      <c r="B53" s="53" t="s">
        <v>28</v>
      </c>
      <c r="C53" s="54">
        <v>46190</v>
      </c>
      <c r="D53" s="53" t="s">
        <v>1522</v>
      </c>
      <c r="E53" s="53" t="s">
        <v>1523</v>
      </c>
      <c r="F53" s="53"/>
      <c r="G53" s="54">
        <v>46142</v>
      </c>
      <c r="H53" s="53" t="s">
        <v>119</v>
      </c>
      <c r="I53" s="59">
        <v>41533.440000000002</v>
      </c>
      <c r="J53" s="59"/>
      <c r="K53" s="59"/>
      <c r="L53" s="59">
        <f t="shared" si="0"/>
        <v>2262095.0500000003</v>
      </c>
    </row>
    <row r="54" spans="1:12" hidden="1" x14ac:dyDescent="0.3">
      <c r="A54" s="52"/>
      <c r="B54" s="53" t="s">
        <v>75</v>
      </c>
      <c r="C54" s="54">
        <v>46191</v>
      </c>
      <c r="D54" s="53" t="s">
        <v>1524</v>
      </c>
      <c r="E54" s="53" t="s">
        <v>1523</v>
      </c>
      <c r="F54" s="53"/>
      <c r="G54" s="54">
        <v>46190</v>
      </c>
      <c r="H54" s="53" t="s">
        <v>1540</v>
      </c>
      <c r="I54" s="59"/>
      <c r="J54" s="59"/>
      <c r="K54" s="59">
        <v>41533.440000000002</v>
      </c>
      <c r="L54" s="59">
        <f t="shared" si="0"/>
        <v>2220561.6100000003</v>
      </c>
    </row>
    <row r="55" spans="1:12" hidden="1" x14ac:dyDescent="0.3">
      <c r="A55" s="52"/>
      <c r="B55" s="53" t="s">
        <v>28</v>
      </c>
      <c r="C55" s="54">
        <v>46191</v>
      </c>
      <c r="D55" s="53" t="s">
        <v>1525</v>
      </c>
      <c r="E55" s="53" t="s">
        <v>1526</v>
      </c>
      <c r="F55" s="53"/>
      <c r="G55" s="54">
        <v>46182</v>
      </c>
      <c r="H55" s="53" t="s">
        <v>84</v>
      </c>
      <c r="I55" s="59">
        <v>32648.44</v>
      </c>
      <c r="J55" s="59"/>
      <c r="K55" s="59"/>
      <c r="L55" s="59">
        <f t="shared" si="0"/>
        <v>2253210.0500000003</v>
      </c>
    </row>
    <row r="56" spans="1:12" hidden="1" x14ac:dyDescent="0.3">
      <c r="A56" s="52"/>
      <c r="B56" s="53" t="s">
        <v>28</v>
      </c>
      <c r="C56" s="54">
        <v>46195</v>
      </c>
      <c r="D56" s="53" t="s">
        <v>1527</v>
      </c>
      <c r="E56" s="53" t="s">
        <v>60</v>
      </c>
      <c r="F56" s="53" t="s">
        <v>452</v>
      </c>
      <c r="G56" s="54">
        <v>46191</v>
      </c>
      <c r="H56" s="53" t="s">
        <v>1541</v>
      </c>
      <c r="I56" s="59">
        <v>128.33000000000001</v>
      </c>
      <c r="J56" s="59"/>
      <c r="K56" s="59"/>
      <c r="L56" s="59">
        <f t="shared" si="0"/>
        <v>2253338.3800000004</v>
      </c>
    </row>
    <row r="57" spans="1:12" hidden="1" x14ac:dyDescent="0.3">
      <c r="A57" s="52"/>
      <c r="B57" s="53" t="s">
        <v>28</v>
      </c>
      <c r="C57" s="54">
        <v>46197</v>
      </c>
      <c r="D57" s="53" t="s">
        <v>1528</v>
      </c>
      <c r="E57" s="53" t="s">
        <v>1529</v>
      </c>
      <c r="F57" s="53" t="s">
        <v>1534</v>
      </c>
      <c r="G57" s="54">
        <v>46196</v>
      </c>
      <c r="H57" s="53" t="s">
        <v>1542</v>
      </c>
      <c r="I57" s="59">
        <v>2246.4</v>
      </c>
      <c r="J57" s="5" t="s">
        <v>405</v>
      </c>
      <c r="K57" s="59"/>
      <c r="L57" s="59">
        <f t="shared" si="0"/>
        <v>2255584.7800000003</v>
      </c>
    </row>
    <row r="58" spans="1:12" hidden="1" x14ac:dyDescent="0.3">
      <c r="A58" s="52"/>
      <c r="B58" s="53" t="s">
        <v>28</v>
      </c>
      <c r="C58" s="54">
        <v>46198</v>
      </c>
      <c r="D58" s="53" t="s">
        <v>1530</v>
      </c>
      <c r="E58" s="53" t="s">
        <v>1531</v>
      </c>
      <c r="F58" s="53" t="s">
        <v>1535</v>
      </c>
      <c r="G58" s="54">
        <v>46196</v>
      </c>
      <c r="H58" s="53" t="s">
        <v>1543</v>
      </c>
      <c r="I58" s="59">
        <v>4676.62</v>
      </c>
      <c r="J58" s="5" t="s">
        <v>405</v>
      </c>
      <c r="K58" s="59"/>
      <c r="L58" s="59">
        <f t="shared" si="0"/>
        <v>2260261.4000000004</v>
      </c>
    </row>
    <row r="59" spans="1:12" hidden="1" x14ac:dyDescent="0.3">
      <c r="A59" s="52"/>
      <c r="B59" s="53" t="s">
        <v>28</v>
      </c>
      <c r="C59" s="54">
        <v>46198</v>
      </c>
      <c r="D59" s="53" t="s">
        <v>1532</v>
      </c>
      <c r="E59" s="53" t="s">
        <v>1531</v>
      </c>
      <c r="F59" s="53" t="s">
        <v>1536</v>
      </c>
      <c r="G59" s="54">
        <v>46196</v>
      </c>
      <c r="H59" s="53" t="s">
        <v>1544</v>
      </c>
      <c r="I59" s="59">
        <v>3752.22</v>
      </c>
      <c r="J59" s="5" t="s">
        <v>405</v>
      </c>
      <c r="K59" s="59"/>
      <c r="L59" s="59">
        <f t="shared" si="0"/>
        <v>2264013.6200000006</v>
      </c>
    </row>
    <row r="60" spans="1:12" hidden="1" x14ac:dyDescent="0.3">
      <c r="A60" s="52"/>
      <c r="B60" s="53" t="s">
        <v>26</v>
      </c>
      <c r="C60" s="54">
        <v>46203</v>
      </c>
      <c r="D60" s="53" t="s">
        <v>1494</v>
      </c>
      <c r="E60" s="53"/>
      <c r="F60" s="53"/>
      <c r="G60" s="54"/>
      <c r="H60" s="53"/>
      <c r="I60" s="59">
        <v>5500</v>
      </c>
      <c r="J60" s="59"/>
      <c r="K60" s="59"/>
      <c r="L60" s="59">
        <f t="shared" si="0"/>
        <v>2269513.6200000006</v>
      </c>
    </row>
    <row r="61" spans="1:12" hidden="1" x14ac:dyDescent="0.3">
      <c r="A61" s="52"/>
      <c r="B61" s="53" t="s">
        <v>28</v>
      </c>
      <c r="C61" s="54">
        <v>46209</v>
      </c>
      <c r="D61" s="53" t="s">
        <v>1930</v>
      </c>
      <c r="E61" s="53" t="s">
        <v>1931</v>
      </c>
      <c r="F61" s="53" t="s">
        <v>2575</v>
      </c>
      <c r="G61" s="54">
        <v>46205</v>
      </c>
      <c r="H61" s="53" t="s">
        <v>1579</v>
      </c>
      <c r="I61" s="59">
        <v>2496</v>
      </c>
      <c r="J61" s="5" t="s">
        <v>405</v>
      </c>
      <c r="K61" s="59"/>
      <c r="L61" s="59">
        <f t="shared" si="0"/>
        <v>2272009.6200000006</v>
      </c>
    </row>
    <row r="62" spans="1:12" ht="81.599999999999994" hidden="1" x14ac:dyDescent="0.3">
      <c r="A62" s="52"/>
      <c r="B62" s="53" t="s">
        <v>28</v>
      </c>
      <c r="C62" s="54">
        <v>46211</v>
      </c>
      <c r="D62" s="53" t="s">
        <v>1932</v>
      </c>
      <c r="E62" s="53" t="s">
        <v>805</v>
      </c>
      <c r="F62" s="66" t="s">
        <v>2576</v>
      </c>
      <c r="G62" s="54">
        <v>46203</v>
      </c>
      <c r="H62" s="53" t="s">
        <v>1933</v>
      </c>
      <c r="I62" s="59">
        <v>30680</v>
      </c>
      <c r="J62" s="47" t="s">
        <v>1143</v>
      </c>
      <c r="K62" s="59"/>
      <c r="L62" s="59">
        <f t="shared" si="0"/>
        <v>2302689.6200000006</v>
      </c>
    </row>
    <row r="63" spans="1:12" hidden="1" x14ac:dyDescent="0.3">
      <c r="A63" s="52"/>
      <c r="B63" s="53" t="s">
        <v>28</v>
      </c>
      <c r="C63" s="54">
        <v>46211</v>
      </c>
      <c r="D63" s="53" t="s">
        <v>1934</v>
      </c>
      <c r="E63" s="53" t="s">
        <v>69</v>
      </c>
      <c r="F63" s="53"/>
      <c r="G63" s="54">
        <v>46210</v>
      </c>
      <c r="H63" s="53" t="s">
        <v>1935</v>
      </c>
      <c r="I63" s="59">
        <v>8320</v>
      </c>
      <c r="J63" s="59"/>
      <c r="K63" s="59"/>
      <c r="L63" s="59">
        <f t="shared" si="0"/>
        <v>2311009.6200000006</v>
      </c>
    </row>
    <row r="64" spans="1:12" hidden="1" x14ac:dyDescent="0.3">
      <c r="A64" s="52"/>
      <c r="B64" s="53" t="s">
        <v>28</v>
      </c>
      <c r="C64" s="54">
        <v>46211</v>
      </c>
      <c r="D64" s="53" t="s">
        <v>1936</v>
      </c>
      <c r="E64" s="53" t="s">
        <v>53</v>
      </c>
      <c r="F64" s="53"/>
      <c r="G64" s="54">
        <v>46210</v>
      </c>
      <c r="H64" s="53" t="s">
        <v>1937</v>
      </c>
      <c r="I64" s="59">
        <v>2080</v>
      </c>
      <c r="J64" s="59"/>
      <c r="K64" s="59"/>
      <c r="L64" s="59">
        <f t="shared" si="0"/>
        <v>2313089.6200000006</v>
      </c>
    </row>
    <row r="65" spans="1:12" hidden="1" x14ac:dyDescent="0.3">
      <c r="A65" s="52"/>
      <c r="B65" s="53" t="s">
        <v>28</v>
      </c>
      <c r="C65" s="54">
        <v>46212</v>
      </c>
      <c r="D65" s="53" t="s">
        <v>1938</v>
      </c>
      <c r="E65" s="53" t="s">
        <v>797</v>
      </c>
      <c r="F65" s="53"/>
      <c r="G65" s="54">
        <v>46211</v>
      </c>
      <c r="H65" s="53" t="s">
        <v>814</v>
      </c>
      <c r="I65" s="73">
        <v>7800</v>
      </c>
      <c r="J65" s="5" t="s">
        <v>405</v>
      </c>
      <c r="K65" s="59"/>
      <c r="L65" s="59">
        <f t="shared" si="0"/>
        <v>2320889.6200000006</v>
      </c>
    </row>
    <row r="66" spans="1:12" hidden="1" x14ac:dyDescent="0.3">
      <c r="A66" s="52"/>
      <c r="B66" s="53" t="s">
        <v>28</v>
      </c>
      <c r="C66" s="54">
        <v>46212</v>
      </c>
      <c r="D66" s="53" t="s">
        <v>1939</v>
      </c>
      <c r="E66" s="53" t="s">
        <v>797</v>
      </c>
      <c r="F66" s="53"/>
      <c r="G66" s="54">
        <v>46211</v>
      </c>
      <c r="H66" s="53" t="s">
        <v>1940</v>
      </c>
      <c r="I66" s="73">
        <v>4108</v>
      </c>
      <c r="J66" s="5" t="s">
        <v>405</v>
      </c>
      <c r="K66" s="59"/>
      <c r="L66" s="59">
        <f t="shared" si="0"/>
        <v>2324997.6200000006</v>
      </c>
    </row>
    <row r="67" spans="1:12" hidden="1" x14ac:dyDescent="0.3">
      <c r="A67" s="52"/>
      <c r="B67" s="53" t="s">
        <v>28</v>
      </c>
      <c r="C67" s="54">
        <v>46212</v>
      </c>
      <c r="D67" s="53" t="s">
        <v>1941</v>
      </c>
      <c r="E67" s="53" t="s">
        <v>797</v>
      </c>
      <c r="F67" s="53"/>
      <c r="G67" s="54">
        <v>46211</v>
      </c>
      <c r="H67" s="53" t="s">
        <v>1942</v>
      </c>
      <c r="I67" s="73">
        <v>15080</v>
      </c>
      <c r="J67" s="5" t="s">
        <v>405</v>
      </c>
      <c r="K67" s="59"/>
      <c r="L67" s="59">
        <f t="shared" si="0"/>
        <v>2340077.6200000006</v>
      </c>
    </row>
    <row r="68" spans="1:12" hidden="1" x14ac:dyDescent="0.3">
      <c r="A68" s="52"/>
      <c r="B68" s="53" t="s">
        <v>26</v>
      </c>
      <c r="C68" s="54">
        <v>46223</v>
      </c>
      <c r="D68" s="53" t="s">
        <v>1943</v>
      </c>
      <c r="E68" s="53"/>
      <c r="F68" s="53"/>
      <c r="G68" s="54"/>
      <c r="H68" s="53"/>
      <c r="I68" s="59">
        <v>2500</v>
      </c>
      <c r="J68" s="59"/>
      <c r="K68" s="59"/>
      <c r="L68" s="59">
        <f t="shared" si="0"/>
        <v>2342577.6200000006</v>
      </c>
    </row>
    <row r="69" spans="1:12" hidden="1" x14ac:dyDescent="0.3">
      <c r="A69" s="52"/>
      <c r="B69" s="53" t="s">
        <v>28</v>
      </c>
      <c r="C69" s="54">
        <v>46223</v>
      </c>
      <c r="D69" s="53" t="s">
        <v>1944</v>
      </c>
      <c r="E69" s="53" t="s">
        <v>1482</v>
      </c>
      <c r="F69" s="53"/>
      <c r="G69" s="54">
        <v>46223</v>
      </c>
      <c r="H69" s="53" t="s">
        <v>1502</v>
      </c>
      <c r="I69" s="59">
        <v>25155</v>
      </c>
      <c r="J69" s="59"/>
      <c r="K69" s="59"/>
      <c r="L69" s="59">
        <f t="shared" si="0"/>
        <v>2367732.6200000006</v>
      </c>
    </row>
    <row r="70" spans="1:12" hidden="1" x14ac:dyDescent="0.3">
      <c r="A70" s="52"/>
      <c r="B70" s="53" t="s">
        <v>28</v>
      </c>
      <c r="C70" s="54">
        <v>46224</v>
      </c>
      <c r="D70" s="53" t="s">
        <v>1945</v>
      </c>
      <c r="E70" s="53" t="s">
        <v>1526</v>
      </c>
      <c r="F70" s="53"/>
      <c r="G70" s="54">
        <v>46224</v>
      </c>
      <c r="H70" s="53" t="s">
        <v>1946</v>
      </c>
      <c r="I70" s="59">
        <v>32648.44</v>
      </c>
      <c r="J70" s="59"/>
      <c r="K70" s="59"/>
      <c r="L70" s="59">
        <f t="shared" si="0"/>
        <v>2400381.0600000005</v>
      </c>
    </row>
    <row r="71" spans="1:12" hidden="1" x14ac:dyDescent="0.3">
      <c r="A71" s="52"/>
      <c r="B71" s="53" t="s">
        <v>28</v>
      </c>
      <c r="C71" s="54">
        <v>46230</v>
      </c>
      <c r="D71" s="53" t="s">
        <v>1947</v>
      </c>
      <c r="E71" s="53" t="s">
        <v>60</v>
      </c>
      <c r="F71" s="53" t="s">
        <v>1948</v>
      </c>
      <c r="G71" s="54">
        <v>46227</v>
      </c>
      <c r="H71" s="53" t="s">
        <v>1949</v>
      </c>
      <c r="I71" s="59">
        <v>419.29</v>
      </c>
      <c r="J71" s="59"/>
      <c r="K71" s="59"/>
      <c r="L71" s="59">
        <f t="shared" si="0"/>
        <v>2400800.3500000006</v>
      </c>
    </row>
    <row r="72" spans="1:12" x14ac:dyDescent="0.3">
      <c r="A72" s="52"/>
      <c r="B72" s="53" t="s">
        <v>28</v>
      </c>
      <c r="C72" s="54">
        <v>46237</v>
      </c>
      <c r="D72" s="53" t="s">
        <v>1950</v>
      </c>
      <c r="E72" s="53" t="s">
        <v>1951</v>
      </c>
      <c r="F72" s="53" t="s">
        <v>2580</v>
      </c>
      <c r="G72" s="54">
        <v>46233</v>
      </c>
      <c r="H72" s="53" t="s">
        <v>808</v>
      </c>
      <c r="I72" s="73">
        <v>14040</v>
      </c>
      <c r="J72" s="5" t="s">
        <v>405</v>
      </c>
      <c r="K72" s="59"/>
      <c r="L72" s="59">
        <f t="shared" si="0"/>
        <v>2414840.3500000006</v>
      </c>
    </row>
    <row r="73" spans="1:12" x14ac:dyDescent="0.3">
      <c r="A73" s="52"/>
      <c r="B73" s="53" t="s">
        <v>28</v>
      </c>
      <c r="C73" s="54">
        <v>46237</v>
      </c>
      <c r="D73" s="53" t="s">
        <v>1952</v>
      </c>
      <c r="E73" s="53" t="s">
        <v>1951</v>
      </c>
      <c r="F73" s="53" t="s">
        <v>2578</v>
      </c>
      <c r="G73" s="54">
        <v>46232</v>
      </c>
      <c r="H73" s="53" t="s">
        <v>77</v>
      </c>
      <c r="I73" s="73">
        <v>6760</v>
      </c>
      <c r="J73" s="5" t="s">
        <v>405</v>
      </c>
      <c r="K73" s="59"/>
      <c r="L73" s="59">
        <f t="shared" si="0"/>
        <v>2421600.3500000006</v>
      </c>
    </row>
    <row r="74" spans="1:12" x14ac:dyDescent="0.3">
      <c r="A74" s="52"/>
      <c r="B74" s="53" t="s">
        <v>28</v>
      </c>
      <c r="C74" s="54">
        <v>46237</v>
      </c>
      <c r="D74" s="53" t="s">
        <v>1953</v>
      </c>
      <c r="E74" s="53" t="s">
        <v>1951</v>
      </c>
      <c r="F74" s="53" t="s">
        <v>2579</v>
      </c>
      <c r="G74" s="54">
        <v>46233</v>
      </c>
      <c r="H74" s="53" t="s">
        <v>74</v>
      </c>
      <c r="I74" s="73">
        <v>14560</v>
      </c>
      <c r="J74" s="5" t="s">
        <v>405</v>
      </c>
      <c r="K74" s="59"/>
      <c r="L74" s="59">
        <f t="shared" si="0"/>
        <v>2436160.3500000006</v>
      </c>
    </row>
    <row r="75" spans="1:12" hidden="1" x14ac:dyDescent="0.3">
      <c r="A75" s="52"/>
      <c r="B75" s="53" t="s">
        <v>28</v>
      </c>
      <c r="C75" s="54">
        <v>46237</v>
      </c>
      <c r="D75" s="53" t="s">
        <v>1954</v>
      </c>
      <c r="E75" s="53" t="s">
        <v>53</v>
      </c>
      <c r="F75" s="53"/>
      <c r="G75" s="54">
        <v>46237</v>
      </c>
      <c r="H75" s="53" t="s">
        <v>1955</v>
      </c>
      <c r="I75" s="59">
        <v>2080</v>
      </c>
      <c r="J75" s="59"/>
      <c r="K75" s="59"/>
      <c r="L75" s="59">
        <f t="shared" ref="L75:L79" si="1">L74+I75-K75</f>
        <v>2438240.3500000006</v>
      </c>
    </row>
    <row r="76" spans="1:12" x14ac:dyDescent="0.3">
      <c r="A76" s="52"/>
      <c r="B76" s="53" t="s">
        <v>28</v>
      </c>
      <c r="C76" s="54">
        <v>46237</v>
      </c>
      <c r="D76" s="53" t="s">
        <v>1956</v>
      </c>
      <c r="E76" s="53" t="s">
        <v>1951</v>
      </c>
      <c r="F76" s="53" t="s">
        <v>2577</v>
      </c>
      <c r="G76" s="54">
        <v>46232</v>
      </c>
      <c r="H76" s="53" t="s">
        <v>72</v>
      </c>
      <c r="I76" s="73">
        <v>7800</v>
      </c>
      <c r="J76" s="5" t="s">
        <v>405</v>
      </c>
      <c r="K76" s="59"/>
      <c r="L76" s="59">
        <f t="shared" si="1"/>
        <v>2446040.3500000006</v>
      </c>
    </row>
    <row r="77" spans="1:12" hidden="1" x14ac:dyDescent="0.3">
      <c r="A77" s="52"/>
      <c r="B77" s="53" t="s">
        <v>28</v>
      </c>
      <c r="C77" s="54">
        <v>46240</v>
      </c>
      <c r="D77" s="53" t="s">
        <v>1957</v>
      </c>
      <c r="E77" s="53" t="s">
        <v>792</v>
      </c>
      <c r="F77" s="53"/>
      <c r="G77" s="54">
        <v>46238</v>
      </c>
      <c r="H77" s="53" t="s">
        <v>1958</v>
      </c>
      <c r="I77" s="59">
        <v>6300</v>
      </c>
      <c r="J77" s="47" t="s">
        <v>1143</v>
      </c>
      <c r="K77" s="59"/>
      <c r="L77" s="59">
        <f t="shared" si="1"/>
        <v>2452340.3500000006</v>
      </c>
    </row>
    <row r="78" spans="1:12" hidden="1" x14ac:dyDescent="0.3">
      <c r="A78" s="52"/>
      <c r="B78" s="53" t="s">
        <v>28</v>
      </c>
      <c r="C78" s="54">
        <v>46241</v>
      </c>
      <c r="D78" s="53" t="s">
        <v>1959</v>
      </c>
      <c r="E78" s="53" t="s">
        <v>69</v>
      </c>
      <c r="F78" s="53"/>
      <c r="G78" s="54">
        <v>46240</v>
      </c>
      <c r="H78" s="53" t="s">
        <v>456</v>
      </c>
      <c r="I78" s="59">
        <v>8320</v>
      </c>
      <c r="J78" s="59"/>
      <c r="K78" s="59"/>
      <c r="L78" s="59">
        <f t="shared" si="1"/>
        <v>2460660.3500000006</v>
      </c>
    </row>
    <row r="79" spans="1:12" ht="30.6" x14ac:dyDescent="0.3">
      <c r="A79" s="52"/>
      <c r="B79" s="53" t="s">
        <v>28</v>
      </c>
      <c r="C79" s="54">
        <v>46258</v>
      </c>
      <c r="D79" s="53" t="s">
        <v>1960</v>
      </c>
      <c r="E79" s="53" t="s">
        <v>1961</v>
      </c>
      <c r="F79" s="66" t="s">
        <v>2581</v>
      </c>
      <c r="G79" s="54">
        <v>46234</v>
      </c>
      <c r="H79" s="53" t="s">
        <v>1962</v>
      </c>
      <c r="I79" s="73">
        <v>520</v>
      </c>
      <c r="J79" s="5" t="s">
        <v>405</v>
      </c>
      <c r="K79" s="59"/>
      <c r="L79" s="59">
        <f t="shared" si="1"/>
        <v>2461180.3500000006</v>
      </c>
    </row>
    <row r="80" spans="1:12" hidden="1" x14ac:dyDescent="0.3">
      <c r="A80" s="55" t="s">
        <v>78</v>
      </c>
      <c r="B80" s="56"/>
      <c r="C80" s="57"/>
      <c r="D80" s="56"/>
      <c r="E80" s="56"/>
      <c r="F80" s="56"/>
      <c r="G80" s="57"/>
      <c r="H80" s="56"/>
      <c r="I80" s="60">
        <f>SUM(I10:I79)</f>
        <v>1067828.9100000001</v>
      </c>
      <c r="J80" s="60"/>
      <c r="K80" s="60">
        <f>SUM(K10:K79)</f>
        <v>49853.440000000002</v>
      </c>
      <c r="L80" s="60">
        <f>L79</f>
        <v>2461180.3500000006</v>
      </c>
    </row>
    <row r="81" spans="1:12" hidden="1" x14ac:dyDescent="0.3">
      <c r="A81" s="58" t="s">
        <v>44</v>
      </c>
      <c r="B81" s="56"/>
      <c r="C81" s="57"/>
      <c r="D81" s="56"/>
      <c r="E81" s="56"/>
      <c r="F81" s="56"/>
      <c r="G81" s="57"/>
      <c r="H81" s="56"/>
      <c r="I81" s="60">
        <f>SUM(I9,I80)</f>
        <v>1067828.9100000001</v>
      </c>
      <c r="J81" s="60"/>
      <c r="K81" s="60">
        <f>SUM(K9,K80)</f>
        <v>49853.440000000002</v>
      </c>
      <c r="L81" s="60">
        <f>L9+L80</f>
        <v>2461180.3500000006</v>
      </c>
    </row>
    <row r="82" spans="1:12" hidden="1" x14ac:dyDescent="0.3">
      <c r="A82" s="56" t="s">
        <v>45</v>
      </c>
      <c r="B82" s="56"/>
      <c r="C82" s="57"/>
      <c r="D82" s="56"/>
      <c r="E82" s="56"/>
      <c r="F82" s="56"/>
      <c r="G82" s="57"/>
      <c r="H82" s="56"/>
      <c r="I82" s="60">
        <f>SUM(I8,I81)</f>
        <v>1067828.9100000001</v>
      </c>
      <c r="J82" s="60"/>
      <c r="K82" s="60">
        <f>SUM(K8,K81)</f>
        <v>49853.440000000002</v>
      </c>
      <c r="L82" s="60">
        <f>L8+L81</f>
        <v>2461180.3500000006</v>
      </c>
    </row>
  </sheetData>
  <autoFilter ref="A7:L82" xr:uid="{27215443-8DAF-4501-A9F6-F8FF385A1939}">
    <filterColumn colId="8">
      <colorFilter dxfId="1"/>
    </filterColumn>
  </autoFilter>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E148F-9B06-4DD6-B44F-E15B13C866CC}">
  <dimension ref="A1:M82"/>
  <sheetViews>
    <sheetView topLeftCell="A63" workbookViewId="0">
      <selection activeCell="E73" sqref="E73:F73"/>
    </sheetView>
  </sheetViews>
  <sheetFormatPr defaultRowHeight="14.4" x14ac:dyDescent="0.3"/>
  <cols>
    <col min="1" max="1" width="48" bestFit="1" customWidth="1"/>
    <col min="3" max="3" width="8.6640625" bestFit="1" customWidth="1"/>
    <col min="4" max="4" width="14.88671875" bestFit="1" customWidth="1"/>
    <col min="5" max="5" width="44.6640625" bestFit="1" customWidth="1"/>
    <col min="6" max="6" width="91.88671875" customWidth="1"/>
    <col min="7" max="7" width="15.5546875" bestFit="1" customWidth="1"/>
    <col min="8" max="8" width="14.6640625" bestFit="1" customWidth="1"/>
    <col min="9" max="9" width="9.5546875" bestFit="1" customWidth="1"/>
    <col min="10" max="10" width="11.88671875" bestFit="1" customWidth="1"/>
    <col min="11" max="11" width="26.88671875" bestFit="1" customWidth="1"/>
    <col min="12" max="12" width="8.109375" bestFit="1" customWidth="1"/>
    <col min="13" max="13" width="10.88671875" bestFit="1" customWidth="1"/>
    <col min="14" max="14" width="9.109375" bestFit="1" customWidth="1"/>
  </cols>
  <sheetData>
    <row r="1" spans="1:13" ht="15.6" x14ac:dyDescent="0.3">
      <c r="A1" s="50" t="s">
        <v>10</v>
      </c>
      <c r="B1" s="20"/>
      <c r="C1" s="20"/>
      <c r="D1" s="20"/>
      <c r="E1" s="20"/>
      <c r="F1" s="20"/>
      <c r="G1" s="20"/>
      <c r="H1" s="20"/>
      <c r="I1" s="20"/>
      <c r="J1" s="20"/>
      <c r="K1" s="20"/>
      <c r="L1" s="20"/>
      <c r="M1" s="20"/>
    </row>
    <row r="2" spans="1:13" ht="15.6" x14ac:dyDescent="0.3">
      <c r="A2" s="50" t="s">
        <v>11</v>
      </c>
      <c r="B2" s="20"/>
      <c r="C2" s="20"/>
      <c r="D2" s="20"/>
      <c r="E2" s="20"/>
      <c r="F2" s="20"/>
      <c r="G2" s="20"/>
      <c r="H2" s="20"/>
      <c r="I2" s="20"/>
      <c r="J2" s="20"/>
      <c r="K2" s="20"/>
      <c r="L2" s="20"/>
      <c r="M2" s="20"/>
    </row>
    <row r="3" spans="1:13" ht="17.399999999999999" x14ac:dyDescent="0.3">
      <c r="A3" s="51" t="s">
        <v>836</v>
      </c>
      <c r="B3" s="21"/>
      <c r="C3" s="21"/>
      <c r="D3" s="21"/>
      <c r="E3" s="21"/>
      <c r="F3" s="21"/>
      <c r="G3" s="21"/>
      <c r="H3" s="21"/>
      <c r="I3" s="21"/>
      <c r="J3" s="21"/>
      <c r="K3" s="21"/>
      <c r="L3" s="21"/>
      <c r="M3" s="21"/>
    </row>
    <row r="4" spans="1:13" ht="17.399999999999999" x14ac:dyDescent="0.3">
      <c r="A4" s="51" t="s">
        <v>1888</v>
      </c>
      <c r="B4" s="21"/>
      <c r="C4" s="21"/>
      <c r="D4" s="21"/>
      <c r="E4" s="21"/>
      <c r="F4" s="21"/>
      <c r="G4" s="21"/>
      <c r="H4" s="21"/>
      <c r="I4" s="21"/>
      <c r="J4" s="21"/>
      <c r="K4" s="21"/>
      <c r="L4" s="21"/>
      <c r="M4" s="21"/>
    </row>
    <row r="5" spans="1:13" ht="17.399999999999999" x14ac:dyDescent="0.3">
      <c r="A5" s="51" t="s">
        <v>12</v>
      </c>
      <c r="B5" s="21"/>
      <c r="C5" s="21"/>
      <c r="D5" s="21"/>
      <c r="E5" s="21"/>
      <c r="F5" s="21"/>
      <c r="G5" s="21"/>
      <c r="H5" s="21"/>
      <c r="I5" s="21"/>
      <c r="J5" s="21"/>
      <c r="K5" s="21"/>
      <c r="L5" s="21"/>
      <c r="M5" s="21"/>
    </row>
    <row r="6" spans="1:13" ht="17.399999999999999" x14ac:dyDescent="0.3">
      <c r="A6" s="51" t="s">
        <v>12</v>
      </c>
      <c r="B6" s="21"/>
      <c r="C6" s="21"/>
      <c r="D6" s="21"/>
      <c r="E6" s="21"/>
      <c r="F6" s="21"/>
      <c r="G6" s="21"/>
      <c r="H6" s="21"/>
      <c r="I6" s="21"/>
      <c r="J6" s="21"/>
      <c r="K6" s="21"/>
      <c r="L6" s="21"/>
      <c r="M6" s="21"/>
    </row>
    <row r="7" spans="1:13" x14ac:dyDescent="0.3">
      <c r="A7" s="22" t="s">
        <v>13</v>
      </c>
      <c r="B7" s="22" t="s">
        <v>14</v>
      </c>
      <c r="C7" s="22" t="s">
        <v>15</v>
      </c>
      <c r="D7" s="22" t="s">
        <v>16</v>
      </c>
      <c r="E7" s="22" t="s">
        <v>17</v>
      </c>
      <c r="F7" s="22" t="s">
        <v>18</v>
      </c>
      <c r="G7" s="22" t="s">
        <v>19</v>
      </c>
      <c r="H7" s="22" t="s">
        <v>20</v>
      </c>
      <c r="I7" s="23" t="s">
        <v>21</v>
      </c>
      <c r="J7" s="23" t="s">
        <v>46</v>
      </c>
      <c r="K7" s="23" t="s">
        <v>79</v>
      </c>
      <c r="L7" s="23" t="s">
        <v>22</v>
      </c>
      <c r="M7" s="23" t="s">
        <v>23</v>
      </c>
    </row>
    <row r="8" spans="1:13" x14ac:dyDescent="0.3">
      <c r="A8" s="24" t="s">
        <v>24</v>
      </c>
      <c r="B8" s="16"/>
      <c r="C8" s="17"/>
      <c r="D8" s="16"/>
      <c r="E8" s="16"/>
      <c r="F8" s="16"/>
      <c r="G8" s="17"/>
      <c r="H8" s="16"/>
      <c r="I8" s="18"/>
      <c r="J8" s="18"/>
      <c r="K8" s="18"/>
      <c r="L8" s="18"/>
      <c r="M8" s="18">
        <v>0</v>
      </c>
    </row>
    <row r="9" spans="1:13" x14ac:dyDescent="0.3">
      <c r="A9" s="25" t="s">
        <v>25</v>
      </c>
      <c r="B9" s="16"/>
      <c r="C9" s="17"/>
      <c r="D9" s="16"/>
      <c r="E9" s="16"/>
      <c r="F9" s="16"/>
      <c r="G9" s="17"/>
      <c r="H9" s="16"/>
      <c r="I9" s="18"/>
      <c r="J9" s="18"/>
      <c r="K9" s="18"/>
      <c r="L9" s="18"/>
      <c r="M9" s="18">
        <v>0</v>
      </c>
    </row>
    <row r="10" spans="1:13" x14ac:dyDescent="0.3">
      <c r="A10" s="26" t="s">
        <v>80</v>
      </c>
      <c r="B10" s="16"/>
      <c r="C10" s="17"/>
      <c r="D10" s="16"/>
      <c r="E10" s="16"/>
      <c r="F10" s="16"/>
      <c r="G10" s="17"/>
      <c r="H10" s="16"/>
      <c r="I10" s="18"/>
      <c r="J10" s="18"/>
      <c r="K10" s="18"/>
      <c r="L10" s="18"/>
      <c r="M10" s="18">
        <v>1091707.8600000001</v>
      </c>
    </row>
    <row r="11" spans="1:13" x14ac:dyDescent="0.3">
      <c r="A11" s="15"/>
      <c r="B11" s="16" t="s">
        <v>28</v>
      </c>
      <c r="C11" s="17">
        <v>46043</v>
      </c>
      <c r="D11" s="16" t="s">
        <v>81</v>
      </c>
      <c r="E11" s="16" t="s">
        <v>82</v>
      </c>
      <c r="F11" s="16" t="s">
        <v>83</v>
      </c>
      <c r="G11" s="17">
        <v>46031</v>
      </c>
      <c r="H11" s="16" t="s">
        <v>84</v>
      </c>
      <c r="I11" s="18">
        <v>2800</v>
      </c>
      <c r="J11" s="18"/>
      <c r="K11" s="18"/>
      <c r="L11" s="18"/>
      <c r="M11" s="18">
        <v>1094507.8600000001</v>
      </c>
    </row>
    <row r="12" spans="1:13" x14ac:dyDescent="0.3">
      <c r="A12" s="15"/>
      <c r="B12" s="16" t="s">
        <v>28</v>
      </c>
      <c r="C12" s="17">
        <v>46050</v>
      </c>
      <c r="D12" s="16" t="s">
        <v>85</v>
      </c>
      <c r="E12" s="16" t="s">
        <v>86</v>
      </c>
      <c r="F12" s="16" t="s">
        <v>87</v>
      </c>
      <c r="G12" s="17">
        <v>46043</v>
      </c>
      <c r="H12" s="16" t="s">
        <v>88</v>
      </c>
      <c r="I12" s="18">
        <v>279.95999999999998</v>
      </c>
      <c r="J12" s="18"/>
      <c r="K12" s="18"/>
      <c r="L12" s="18"/>
      <c r="M12" s="18">
        <v>1094787.82</v>
      </c>
    </row>
    <row r="13" spans="1:13" x14ac:dyDescent="0.3">
      <c r="A13" s="15"/>
      <c r="B13" s="16" t="s">
        <v>28</v>
      </c>
      <c r="C13" s="17">
        <v>46050</v>
      </c>
      <c r="D13" s="16" t="s">
        <v>89</v>
      </c>
      <c r="E13" s="16" t="s">
        <v>86</v>
      </c>
      <c r="F13" s="16" t="s">
        <v>90</v>
      </c>
      <c r="G13" s="17">
        <v>46043</v>
      </c>
      <c r="H13" s="16" t="s">
        <v>91</v>
      </c>
      <c r="I13" s="18">
        <v>286.98</v>
      </c>
      <c r="J13" s="18"/>
      <c r="K13" s="18"/>
      <c r="L13" s="18"/>
      <c r="M13" s="18">
        <v>1095074.8</v>
      </c>
    </row>
    <row r="14" spans="1:13" x14ac:dyDescent="0.3">
      <c r="A14" s="15"/>
      <c r="B14" s="16" t="s">
        <v>26</v>
      </c>
      <c r="C14" s="17">
        <v>46053</v>
      </c>
      <c r="D14" s="16" t="s">
        <v>92</v>
      </c>
      <c r="E14" s="16" t="s">
        <v>406</v>
      </c>
      <c r="F14" s="4" t="s">
        <v>408</v>
      </c>
      <c r="G14" s="17"/>
      <c r="H14" s="16"/>
      <c r="I14" s="18">
        <v>37500</v>
      </c>
      <c r="J14" s="18"/>
      <c r="K14" s="5"/>
      <c r="L14" s="18"/>
      <c r="M14" s="18">
        <v>1132574.8</v>
      </c>
    </row>
    <row r="15" spans="1:13" x14ac:dyDescent="0.3">
      <c r="A15" s="15"/>
      <c r="B15" s="16" t="s">
        <v>26</v>
      </c>
      <c r="C15" s="17">
        <v>46053</v>
      </c>
      <c r="D15" s="16" t="s">
        <v>93</v>
      </c>
      <c r="E15" s="16" t="s">
        <v>407</v>
      </c>
      <c r="F15" s="4"/>
      <c r="G15" s="17"/>
      <c r="H15" s="16"/>
      <c r="I15" s="18">
        <v>10000</v>
      </c>
      <c r="J15" s="18"/>
      <c r="K15" s="18"/>
      <c r="L15" s="18"/>
      <c r="M15" s="18">
        <v>1142574.8</v>
      </c>
    </row>
    <row r="16" spans="1:13" x14ac:dyDescent="0.3">
      <c r="A16" s="15"/>
      <c r="B16" s="16" t="s">
        <v>26</v>
      </c>
      <c r="C16" s="17">
        <v>46053</v>
      </c>
      <c r="D16" s="16" t="s">
        <v>94</v>
      </c>
      <c r="E16" s="16" t="s">
        <v>406</v>
      </c>
      <c r="F16" s="4" t="s">
        <v>408</v>
      </c>
      <c r="G16" s="17"/>
      <c r="H16" s="16"/>
      <c r="I16" s="18">
        <v>112500</v>
      </c>
      <c r="J16" s="18"/>
      <c r="K16" s="5" t="s">
        <v>409</v>
      </c>
      <c r="L16" s="18"/>
      <c r="M16" s="18">
        <v>1255074.8</v>
      </c>
    </row>
    <row r="17" spans="1:13" x14ac:dyDescent="0.3">
      <c r="A17" s="15"/>
      <c r="B17" s="16" t="s">
        <v>28</v>
      </c>
      <c r="C17" s="17">
        <v>46063</v>
      </c>
      <c r="D17" s="16" t="s">
        <v>95</v>
      </c>
      <c r="E17" s="16" t="s">
        <v>96</v>
      </c>
      <c r="F17" s="16"/>
      <c r="G17" s="17">
        <v>46059</v>
      </c>
      <c r="H17" s="16" t="s">
        <v>97</v>
      </c>
      <c r="I17" s="18">
        <v>1389.49</v>
      </c>
      <c r="J17" s="18"/>
      <c r="K17" s="18"/>
      <c r="L17" s="18"/>
      <c r="M17" s="18">
        <v>1256464.29</v>
      </c>
    </row>
    <row r="18" spans="1:13" x14ac:dyDescent="0.3">
      <c r="A18" s="15"/>
      <c r="B18" s="16" t="s">
        <v>28</v>
      </c>
      <c r="C18" s="17">
        <v>46078</v>
      </c>
      <c r="D18" s="16" t="s">
        <v>98</v>
      </c>
      <c r="E18" s="16" t="s">
        <v>99</v>
      </c>
      <c r="F18" s="16"/>
      <c r="G18" s="17">
        <v>46078</v>
      </c>
      <c r="H18" s="16" t="s">
        <v>72</v>
      </c>
      <c r="I18" s="18">
        <v>3500</v>
      </c>
      <c r="J18" s="18"/>
      <c r="K18" s="18"/>
      <c r="L18" s="18"/>
      <c r="M18" s="18">
        <v>1259964.29</v>
      </c>
    </row>
    <row r="19" spans="1:13" x14ac:dyDescent="0.3">
      <c r="A19" s="15"/>
      <c r="B19" s="16" t="s">
        <v>26</v>
      </c>
      <c r="C19" s="17">
        <v>46081</v>
      </c>
      <c r="D19" s="16" t="s">
        <v>43</v>
      </c>
      <c r="E19" s="16" t="s">
        <v>407</v>
      </c>
      <c r="F19" s="16"/>
      <c r="G19" s="17"/>
      <c r="H19" s="16"/>
      <c r="I19" s="18">
        <v>10200</v>
      </c>
      <c r="J19" s="18"/>
      <c r="K19" s="18"/>
      <c r="L19" s="18"/>
      <c r="M19" s="18">
        <v>1270164.29</v>
      </c>
    </row>
    <row r="20" spans="1:13" x14ac:dyDescent="0.3">
      <c r="A20" s="37"/>
      <c r="B20" s="4" t="s">
        <v>28</v>
      </c>
      <c r="C20" s="35">
        <v>46085</v>
      </c>
      <c r="D20" s="4" t="s">
        <v>457</v>
      </c>
      <c r="E20" s="4" t="s">
        <v>82</v>
      </c>
      <c r="F20" s="4" t="s">
        <v>458</v>
      </c>
      <c r="G20" s="35">
        <v>46083</v>
      </c>
      <c r="H20" s="4" t="s">
        <v>116</v>
      </c>
      <c r="I20" s="5">
        <v>5600</v>
      </c>
      <c r="L20" s="5"/>
      <c r="M20" s="5">
        <v>1275764.29</v>
      </c>
    </row>
    <row r="21" spans="1:13" x14ac:dyDescent="0.3">
      <c r="A21" s="37"/>
      <c r="B21" s="4" t="s">
        <v>28</v>
      </c>
      <c r="C21" s="35">
        <v>46099</v>
      </c>
      <c r="D21" s="4" t="s">
        <v>459</v>
      </c>
      <c r="E21" s="4" t="s">
        <v>460</v>
      </c>
      <c r="F21" s="4"/>
      <c r="G21" s="35">
        <v>46091</v>
      </c>
      <c r="H21" s="4" t="s">
        <v>461</v>
      </c>
      <c r="I21" s="5">
        <v>80</v>
      </c>
      <c r="L21" s="5"/>
      <c r="M21" s="5">
        <v>1275844.29</v>
      </c>
    </row>
    <row r="22" spans="1:13" x14ac:dyDescent="0.3">
      <c r="A22" s="37"/>
      <c r="B22" s="4" t="s">
        <v>28</v>
      </c>
      <c r="C22" s="35">
        <v>46099</v>
      </c>
      <c r="D22" s="4" t="s">
        <v>462</v>
      </c>
      <c r="E22" s="4" t="s">
        <v>463</v>
      </c>
      <c r="F22" s="40" t="s">
        <v>758</v>
      </c>
      <c r="G22" s="35">
        <v>46081</v>
      </c>
      <c r="H22" s="4" t="s">
        <v>464</v>
      </c>
      <c r="I22" s="5">
        <v>9920</v>
      </c>
      <c r="K22" t="s">
        <v>759</v>
      </c>
      <c r="L22" s="5"/>
      <c r="M22" s="5">
        <v>1285764.29</v>
      </c>
    </row>
    <row r="23" spans="1:13" x14ac:dyDescent="0.3">
      <c r="A23" s="37"/>
      <c r="B23" s="4" t="s">
        <v>28</v>
      </c>
      <c r="C23" s="35">
        <v>46100</v>
      </c>
      <c r="D23" s="4" t="s">
        <v>465</v>
      </c>
      <c r="E23" s="4" t="s">
        <v>466</v>
      </c>
      <c r="F23" s="4"/>
      <c r="G23" s="35">
        <v>46091</v>
      </c>
      <c r="H23" s="4" t="s">
        <v>212</v>
      </c>
      <c r="I23" s="5">
        <v>1575</v>
      </c>
      <c r="L23" s="5"/>
      <c r="M23" s="5">
        <v>1287339.29</v>
      </c>
    </row>
    <row r="24" spans="1:13" x14ac:dyDescent="0.3">
      <c r="A24" s="37"/>
      <c r="B24" s="4" t="s">
        <v>28</v>
      </c>
      <c r="C24" s="35">
        <v>46106</v>
      </c>
      <c r="D24" s="4" t="s">
        <v>467</v>
      </c>
      <c r="E24" s="4" t="s">
        <v>86</v>
      </c>
      <c r="F24" s="4" t="s">
        <v>468</v>
      </c>
      <c r="G24" s="35">
        <v>46104</v>
      </c>
      <c r="H24" s="4" t="s">
        <v>469</v>
      </c>
      <c r="I24" s="5">
        <v>50</v>
      </c>
      <c r="L24" s="5"/>
      <c r="M24" s="5">
        <v>1287389.29</v>
      </c>
    </row>
    <row r="25" spans="1:13" x14ac:dyDescent="0.3">
      <c r="A25" s="37"/>
      <c r="B25" s="4" t="s">
        <v>28</v>
      </c>
      <c r="C25" s="35">
        <v>46107</v>
      </c>
      <c r="D25" s="4" t="s">
        <v>470</v>
      </c>
      <c r="E25" s="4" t="s">
        <v>471</v>
      </c>
      <c r="F25" s="4"/>
      <c r="G25" s="35">
        <v>46104</v>
      </c>
      <c r="H25" s="4" t="s">
        <v>472</v>
      </c>
      <c r="I25" s="5">
        <v>800</v>
      </c>
      <c r="L25" s="5"/>
      <c r="M25" s="5">
        <v>1288189.29</v>
      </c>
    </row>
    <row r="26" spans="1:13" x14ac:dyDescent="0.3">
      <c r="A26" s="15"/>
      <c r="B26" s="16" t="s">
        <v>28</v>
      </c>
      <c r="C26" s="17">
        <v>46122</v>
      </c>
      <c r="D26" s="16" t="s">
        <v>816</v>
      </c>
      <c r="E26" s="16" t="s">
        <v>82</v>
      </c>
      <c r="F26" s="16" t="s">
        <v>817</v>
      </c>
      <c r="G26" s="17">
        <v>46120</v>
      </c>
      <c r="H26" s="16" t="s">
        <v>818</v>
      </c>
      <c r="I26" s="18">
        <v>2100</v>
      </c>
      <c r="L26" s="38"/>
      <c r="M26" s="18">
        <v>1290289.29</v>
      </c>
    </row>
    <row r="27" spans="1:13" x14ac:dyDescent="0.3">
      <c r="A27" s="15"/>
      <c r="B27" s="16" t="s">
        <v>28</v>
      </c>
      <c r="C27" s="17">
        <v>46122</v>
      </c>
      <c r="D27" s="16" t="s">
        <v>819</v>
      </c>
      <c r="E27" s="16" t="s">
        <v>82</v>
      </c>
      <c r="F27" s="16" t="s">
        <v>458</v>
      </c>
      <c r="G27" s="17">
        <v>46120</v>
      </c>
      <c r="H27" s="16" t="s">
        <v>445</v>
      </c>
      <c r="I27" s="18">
        <v>3900</v>
      </c>
      <c r="L27" s="38"/>
      <c r="M27" s="18">
        <v>1294189.29</v>
      </c>
    </row>
    <row r="28" spans="1:13" x14ac:dyDescent="0.3">
      <c r="A28" s="15"/>
      <c r="B28" s="16" t="s">
        <v>28</v>
      </c>
      <c r="C28" s="17">
        <v>46128</v>
      </c>
      <c r="D28" s="16" t="s">
        <v>820</v>
      </c>
      <c r="E28" s="16" t="s">
        <v>86</v>
      </c>
      <c r="F28" s="16" t="s">
        <v>821</v>
      </c>
      <c r="G28" s="17">
        <v>46127</v>
      </c>
      <c r="H28" s="16" t="s">
        <v>822</v>
      </c>
      <c r="I28" s="18">
        <v>286.98</v>
      </c>
      <c r="L28" s="38"/>
      <c r="M28" s="18">
        <v>1294476.27</v>
      </c>
    </row>
    <row r="29" spans="1:13" x14ac:dyDescent="0.3">
      <c r="A29" s="15"/>
      <c r="B29" s="16" t="s">
        <v>28</v>
      </c>
      <c r="C29" s="17">
        <v>46128</v>
      </c>
      <c r="D29" s="16" t="s">
        <v>823</v>
      </c>
      <c r="E29" s="16" t="s">
        <v>86</v>
      </c>
      <c r="F29" s="16" t="s">
        <v>824</v>
      </c>
      <c r="G29" s="17">
        <v>46127</v>
      </c>
      <c r="H29" s="16" t="s">
        <v>825</v>
      </c>
      <c r="I29" s="18">
        <v>279.95999999999998</v>
      </c>
      <c r="M29" s="18">
        <v>1294756.23</v>
      </c>
    </row>
    <row r="30" spans="1:13" x14ac:dyDescent="0.3">
      <c r="A30" s="15"/>
      <c r="B30" s="16" t="s">
        <v>28</v>
      </c>
      <c r="C30" s="17">
        <v>46129</v>
      </c>
      <c r="D30" s="4" t="s">
        <v>826</v>
      </c>
      <c r="E30" s="16" t="s">
        <v>407</v>
      </c>
      <c r="F30" s="16" t="s">
        <v>1136</v>
      </c>
      <c r="G30" s="17">
        <v>46128</v>
      </c>
      <c r="H30" s="16" t="s">
        <v>827</v>
      </c>
      <c r="I30" s="18">
        <v>10000</v>
      </c>
      <c r="M30" s="18">
        <v>1304756.23</v>
      </c>
    </row>
    <row r="31" spans="1:13" x14ac:dyDescent="0.3">
      <c r="A31" s="15"/>
      <c r="B31" s="16" t="s">
        <v>28</v>
      </c>
      <c r="C31" s="17">
        <v>46134</v>
      </c>
      <c r="D31" s="16" t="s">
        <v>828</v>
      </c>
      <c r="E31" s="16" t="s">
        <v>86</v>
      </c>
      <c r="F31" s="16" t="s">
        <v>829</v>
      </c>
      <c r="G31" s="17">
        <v>46132</v>
      </c>
      <c r="H31" s="16" t="s">
        <v>830</v>
      </c>
      <c r="I31" s="18">
        <v>200</v>
      </c>
      <c r="M31" s="18">
        <v>1304956.23</v>
      </c>
    </row>
    <row r="32" spans="1:13" x14ac:dyDescent="0.3">
      <c r="A32" s="15"/>
      <c r="B32" s="16" t="s">
        <v>28</v>
      </c>
      <c r="C32" s="17">
        <v>46139</v>
      </c>
      <c r="D32" s="16" t="s">
        <v>831</v>
      </c>
      <c r="E32" s="16" t="s">
        <v>99</v>
      </c>
      <c r="F32" s="16" t="s">
        <v>1137</v>
      </c>
      <c r="G32" s="17">
        <v>46136</v>
      </c>
      <c r="H32" s="16" t="s">
        <v>74</v>
      </c>
      <c r="I32" s="18">
        <v>3500</v>
      </c>
      <c r="M32" s="18">
        <v>1308456.23</v>
      </c>
    </row>
    <row r="33" spans="1:13" x14ac:dyDescent="0.3">
      <c r="A33" s="15"/>
      <c r="B33" s="16" t="s">
        <v>28</v>
      </c>
      <c r="C33" s="17">
        <v>46139</v>
      </c>
      <c r="D33" s="4" t="s">
        <v>832</v>
      </c>
      <c r="E33" s="16" t="s">
        <v>466</v>
      </c>
      <c r="F33" s="16" t="s">
        <v>1138</v>
      </c>
      <c r="G33" s="17">
        <v>46133</v>
      </c>
      <c r="H33" s="16" t="s">
        <v>51</v>
      </c>
      <c r="I33" s="18">
        <v>3150</v>
      </c>
      <c r="M33" s="18">
        <v>1311606.23</v>
      </c>
    </row>
    <row r="34" spans="1:13" x14ac:dyDescent="0.3">
      <c r="A34" s="15"/>
      <c r="B34" s="16" t="s">
        <v>28</v>
      </c>
      <c r="C34" s="17">
        <v>46140</v>
      </c>
      <c r="D34" s="4" t="s">
        <v>833</v>
      </c>
      <c r="E34" s="16" t="s">
        <v>471</v>
      </c>
      <c r="F34" s="4" t="s">
        <v>1139</v>
      </c>
      <c r="G34" s="17">
        <v>46135</v>
      </c>
      <c r="H34" s="16" t="s">
        <v>834</v>
      </c>
      <c r="I34" s="18">
        <v>800</v>
      </c>
      <c r="M34" s="18">
        <v>1312406.23</v>
      </c>
    </row>
    <row r="35" spans="1:13" ht="30.6" x14ac:dyDescent="0.3">
      <c r="A35" s="15"/>
      <c r="B35" s="16" t="s">
        <v>26</v>
      </c>
      <c r="C35" s="17">
        <v>46142</v>
      </c>
      <c r="D35" s="4" t="s">
        <v>835</v>
      </c>
      <c r="E35" s="4" t="s">
        <v>1140</v>
      </c>
      <c r="F35" s="39" t="s">
        <v>1141</v>
      </c>
      <c r="G35" s="17"/>
      <c r="H35" s="16"/>
      <c r="I35" s="18">
        <v>31250</v>
      </c>
      <c r="K35" s="5" t="s">
        <v>405</v>
      </c>
      <c r="M35" s="18">
        <v>1343656.23</v>
      </c>
    </row>
    <row r="36" spans="1:13" x14ac:dyDescent="0.3">
      <c r="A36" s="19"/>
      <c r="B36" s="4" t="s">
        <v>28</v>
      </c>
      <c r="C36" s="35">
        <v>46155</v>
      </c>
      <c r="D36" s="4" t="s">
        <v>1170</v>
      </c>
      <c r="E36" s="4" t="s">
        <v>82</v>
      </c>
      <c r="F36" s="4" t="s">
        <v>458</v>
      </c>
      <c r="G36" s="35">
        <v>46154</v>
      </c>
      <c r="H36" s="4" t="s">
        <v>332</v>
      </c>
      <c r="I36" s="5">
        <v>2600</v>
      </c>
      <c r="L36" s="43"/>
      <c r="M36" s="47">
        <v>1346256.23</v>
      </c>
    </row>
    <row r="37" spans="1:13" x14ac:dyDescent="0.3">
      <c r="A37" s="45"/>
      <c r="B37" s="4" t="s">
        <v>28</v>
      </c>
      <c r="C37" s="35">
        <v>46157</v>
      </c>
      <c r="D37" s="4" t="s">
        <v>1171</v>
      </c>
      <c r="E37" s="4" t="s">
        <v>86</v>
      </c>
      <c r="F37" s="4" t="s">
        <v>1173</v>
      </c>
      <c r="G37" s="35">
        <v>46155</v>
      </c>
      <c r="H37" s="4" t="s">
        <v>1174</v>
      </c>
      <c r="I37" s="5">
        <v>200</v>
      </c>
      <c r="L37" s="43"/>
      <c r="M37" s="47">
        <v>1346456.23</v>
      </c>
    </row>
    <row r="38" spans="1:13" x14ac:dyDescent="0.3">
      <c r="A38" s="44"/>
      <c r="B38" s="4" t="s">
        <v>28</v>
      </c>
      <c r="C38" s="35">
        <v>46169</v>
      </c>
      <c r="D38" s="4" t="s">
        <v>1172</v>
      </c>
      <c r="E38" s="4" t="s">
        <v>471</v>
      </c>
      <c r="F38" s="4"/>
      <c r="G38" s="35">
        <v>46167</v>
      </c>
      <c r="H38" s="4" t="s">
        <v>1175</v>
      </c>
      <c r="I38" s="5">
        <v>800</v>
      </c>
      <c r="L38" s="43"/>
      <c r="M38" s="47">
        <v>1347256.23</v>
      </c>
    </row>
    <row r="39" spans="1:13" x14ac:dyDescent="0.3">
      <c r="A39" s="37"/>
      <c r="B39" s="4" t="s">
        <v>26</v>
      </c>
      <c r="C39" s="35">
        <v>46173</v>
      </c>
      <c r="D39" s="4" t="s">
        <v>1470</v>
      </c>
      <c r="E39" s="4"/>
      <c r="F39" s="4"/>
      <c r="G39" s="35"/>
      <c r="H39" s="4"/>
      <c r="I39" s="5">
        <v>5000</v>
      </c>
      <c r="K39" s="5"/>
      <c r="L39" s="38"/>
      <c r="M39" s="47">
        <v>1352256.23</v>
      </c>
    </row>
    <row r="40" spans="1:13" x14ac:dyDescent="0.3">
      <c r="A40" s="37"/>
      <c r="B40" s="4" t="s">
        <v>28</v>
      </c>
      <c r="C40" s="35">
        <v>46176</v>
      </c>
      <c r="D40" s="4" t="s">
        <v>1545</v>
      </c>
      <c r="E40" s="4" t="s">
        <v>99</v>
      </c>
      <c r="F40" s="4"/>
      <c r="G40" s="35">
        <v>46174</v>
      </c>
      <c r="H40" s="4" t="s">
        <v>811</v>
      </c>
      <c r="I40" s="5">
        <v>3500</v>
      </c>
      <c r="K40" s="5"/>
      <c r="L40" s="38"/>
      <c r="M40" s="47">
        <v>1355756.23</v>
      </c>
    </row>
    <row r="41" spans="1:13" x14ac:dyDescent="0.3">
      <c r="A41" s="37"/>
      <c r="B41" s="4" t="s">
        <v>28</v>
      </c>
      <c r="C41" s="35">
        <v>46181</v>
      </c>
      <c r="D41" s="4" t="s">
        <v>1546</v>
      </c>
      <c r="E41" s="4" t="s">
        <v>82</v>
      </c>
      <c r="F41" s="4" t="s">
        <v>817</v>
      </c>
      <c r="G41" s="35">
        <v>46181</v>
      </c>
      <c r="H41" s="4" t="s">
        <v>1571</v>
      </c>
      <c r="I41" s="5">
        <v>800</v>
      </c>
      <c r="K41" s="5"/>
      <c r="L41" s="38"/>
      <c r="M41" s="47">
        <v>1356556.23</v>
      </c>
    </row>
    <row r="42" spans="1:13" x14ac:dyDescent="0.3">
      <c r="A42" s="37"/>
      <c r="B42" s="4" t="s">
        <v>28</v>
      </c>
      <c r="C42" s="35">
        <v>46181</v>
      </c>
      <c r="D42" s="4" t="s">
        <v>1547</v>
      </c>
      <c r="E42" s="4" t="s">
        <v>82</v>
      </c>
      <c r="F42" s="4" t="s">
        <v>458</v>
      </c>
      <c r="G42" s="35">
        <v>46181</v>
      </c>
      <c r="H42" s="4" t="s">
        <v>1572</v>
      </c>
      <c r="I42" s="5">
        <v>2900</v>
      </c>
      <c r="K42" s="5"/>
      <c r="M42" s="47">
        <v>1359456.23</v>
      </c>
    </row>
    <row r="43" spans="1:13" x14ac:dyDescent="0.3">
      <c r="A43" s="37"/>
      <c r="B43" s="4" t="s">
        <v>28</v>
      </c>
      <c r="C43" s="35">
        <v>46181</v>
      </c>
      <c r="D43" s="4" t="s">
        <v>1548</v>
      </c>
      <c r="E43" s="4" t="s">
        <v>466</v>
      </c>
      <c r="F43" s="4"/>
      <c r="G43" s="35">
        <v>46176</v>
      </c>
      <c r="H43" s="4" t="s">
        <v>1573</v>
      </c>
      <c r="I43" s="5">
        <v>3150</v>
      </c>
      <c r="K43" s="5"/>
      <c r="M43" s="47">
        <v>1362606.23</v>
      </c>
    </row>
    <row r="44" spans="1:13" x14ac:dyDescent="0.3">
      <c r="A44" s="37"/>
      <c r="B44" s="4" t="s">
        <v>28</v>
      </c>
      <c r="C44" s="35">
        <v>46183</v>
      </c>
      <c r="D44" s="4" t="s">
        <v>1549</v>
      </c>
      <c r="E44" s="4" t="s">
        <v>1550</v>
      </c>
      <c r="F44" s="4" t="s">
        <v>1879</v>
      </c>
      <c r="G44" s="35">
        <v>46182</v>
      </c>
      <c r="H44" s="4" t="s">
        <v>1574</v>
      </c>
      <c r="I44" s="5">
        <v>2838</v>
      </c>
      <c r="K44" s="5"/>
      <c r="M44" s="47">
        <v>1365444.23</v>
      </c>
    </row>
    <row r="45" spans="1:13" x14ac:dyDescent="0.3">
      <c r="A45" s="37"/>
      <c r="B45" s="4" t="s">
        <v>28</v>
      </c>
      <c r="C45" s="35">
        <v>46188</v>
      </c>
      <c r="D45" s="4" t="s">
        <v>1551</v>
      </c>
      <c r="E45" s="4" t="s">
        <v>466</v>
      </c>
      <c r="F45" s="4"/>
      <c r="G45" s="35">
        <v>46185</v>
      </c>
      <c r="H45" s="4" t="s">
        <v>1575</v>
      </c>
      <c r="I45" s="5">
        <v>3150</v>
      </c>
      <c r="K45" s="5"/>
      <c r="M45" s="47">
        <v>1368594.23</v>
      </c>
    </row>
    <row r="46" spans="1:13" x14ac:dyDescent="0.3">
      <c r="A46" s="37"/>
      <c r="B46" s="4" t="s">
        <v>28</v>
      </c>
      <c r="C46" s="35">
        <v>46189</v>
      </c>
      <c r="D46" s="4" t="s">
        <v>1552</v>
      </c>
      <c r="E46" s="4" t="s">
        <v>1553</v>
      </c>
      <c r="F46" s="4" t="s">
        <v>1570</v>
      </c>
      <c r="G46" s="35">
        <v>46184</v>
      </c>
      <c r="H46" s="4" t="s">
        <v>1576</v>
      </c>
      <c r="I46" s="5">
        <v>5450</v>
      </c>
      <c r="K46" s="5"/>
      <c r="M46" s="47">
        <v>1374044.23</v>
      </c>
    </row>
    <row r="47" spans="1:13" x14ac:dyDescent="0.3">
      <c r="A47" s="37"/>
      <c r="B47" s="4" t="s">
        <v>28</v>
      </c>
      <c r="C47" s="35">
        <v>46190</v>
      </c>
      <c r="D47" s="4" t="s">
        <v>1554</v>
      </c>
      <c r="E47" s="4" t="s">
        <v>1555</v>
      </c>
      <c r="F47" s="4"/>
      <c r="G47" s="35">
        <v>46188</v>
      </c>
      <c r="H47" s="4" t="s">
        <v>1577</v>
      </c>
      <c r="I47" s="5">
        <v>1252</v>
      </c>
      <c r="K47" s="5"/>
      <c r="M47" s="47">
        <v>1375296.23</v>
      </c>
    </row>
    <row r="48" spans="1:13" x14ac:dyDescent="0.3">
      <c r="A48" s="37"/>
      <c r="B48" s="4" t="s">
        <v>28</v>
      </c>
      <c r="C48" s="35">
        <v>46197</v>
      </c>
      <c r="D48" s="4" t="s">
        <v>1556</v>
      </c>
      <c r="E48" s="4" t="s">
        <v>99</v>
      </c>
      <c r="F48" s="4"/>
      <c r="G48" s="35">
        <v>46197</v>
      </c>
      <c r="H48" s="4" t="s">
        <v>809</v>
      </c>
      <c r="I48" s="5">
        <v>3500</v>
      </c>
      <c r="K48" s="5"/>
      <c r="M48" s="47">
        <v>1378796.23</v>
      </c>
    </row>
    <row r="49" spans="1:13" x14ac:dyDescent="0.3">
      <c r="A49" s="37"/>
      <c r="B49" s="4" t="s">
        <v>28</v>
      </c>
      <c r="C49" s="35">
        <v>46202</v>
      </c>
      <c r="D49" s="4" t="s">
        <v>1557</v>
      </c>
      <c r="E49" s="4" t="s">
        <v>1558</v>
      </c>
      <c r="F49" s="4" t="s">
        <v>1880</v>
      </c>
      <c r="G49" s="35">
        <v>46198</v>
      </c>
      <c r="H49" s="4" t="s">
        <v>1578</v>
      </c>
      <c r="I49" s="5">
        <v>11250</v>
      </c>
      <c r="K49" s="5" t="s">
        <v>405</v>
      </c>
      <c r="M49" s="47">
        <v>1390046.23</v>
      </c>
    </row>
    <row r="50" spans="1:13" x14ac:dyDescent="0.3">
      <c r="A50" s="37"/>
      <c r="B50" s="4" t="s">
        <v>28</v>
      </c>
      <c r="C50" s="35">
        <v>46202</v>
      </c>
      <c r="D50" s="4" t="s">
        <v>1559</v>
      </c>
      <c r="E50" s="4" t="s">
        <v>1560</v>
      </c>
      <c r="F50" s="4"/>
      <c r="G50" s="35">
        <v>46198</v>
      </c>
      <c r="H50" s="4" t="s">
        <v>1579</v>
      </c>
      <c r="I50" s="5">
        <v>200</v>
      </c>
      <c r="K50" s="5"/>
      <c r="M50" s="47">
        <v>1390246.23</v>
      </c>
    </row>
    <row r="51" spans="1:13" x14ac:dyDescent="0.3">
      <c r="A51" s="37"/>
      <c r="B51" s="4" t="s">
        <v>28</v>
      </c>
      <c r="C51" s="35">
        <v>46202</v>
      </c>
      <c r="D51" s="4" t="s">
        <v>1561</v>
      </c>
      <c r="E51" s="4" t="s">
        <v>471</v>
      </c>
      <c r="F51" s="4"/>
      <c r="G51" s="35">
        <v>46196</v>
      </c>
      <c r="H51" s="4" t="s">
        <v>1580</v>
      </c>
      <c r="I51" s="5">
        <v>800</v>
      </c>
      <c r="K51" s="5"/>
      <c r="M51" s="47">
        <v>1391046.23</v>
      </c>
    </row>
    <row r="52" spans="1:13" x14ac:dyDescent="0.3">
      <c r="A52" s="37"/>
      <c r="B52" s="4" t="s">
        <v>26</v>
      </c>
      <c r="C52" s="35">
        <v>46203</v>
      </c>
      <c r="D52" s="4" t="s">
        <v>1493</v>
      </c>
      <c r="E52" s="4"/>
      <c r="F52" s="4"/>
      <c r="G52" s="35"/>
      <c r="H52" s="4"/>
      <c r="I52" s="5">
        <v>8000</v>
      </c>
      <c r="K52" s="5"/>
      <c r="M52" s="47">
        <v>1399046.23</v>
      </c>
    </row>
    <row r="53" spans="1:13" x14ac:dyDescent="0.3">
      <c r="A53" s="37"/>
      <c r="B53" s="4" t="s">
        <v>28</v>
      </c>
      <c r="C53" s="35">
        <v>46203</v>
      </c>
      <c r="D53" s="4" t="s">
        <v>1562</v>
      </c>
      <c r="E53" s="4" t="s">
        <v>1563</v>
      </c>
      <c r="F53" t="s">
        <v>1883</v>
      </c>
      <c r="G53" s="35">
        <v>46195</v>
      </c>
      <c r="H53" s="4" t="s">
        <v>332</v>
      </c>
      <c r="I53" s="5">
        <v>4000</v>
      </c>
      <c r="K53" s="5"/>
      <c r="M53" s="47">
        <v>1403046.23</v>
      </c>
    </row>
    <row r="54" spans="1:13" x14ac:dyDescent="0.3">
      <c r="A54" s="37"/>
      <c r="B54" s="4" t="s">
        <v>28</v>
      </c>
      <c r="C54" s="35">
        <v>46203</v>
      </c>
      <c r="D54" s="4" t="s">
        <v>1564</v>
      </c>
      <c r="E54" s="4" t="s">
        <v>1565</v>
      </c>
      <c r="F54" s="4" t="s">
        <v>1882</v>
      </c>
      <c r="G54" s="35">
        <v>46188</v>
      </c>
      <c r="H54" s="4" t="s">
        <v>1581</v>
      </c>
      <c r="I54" s="5">
        <v>5800</v>
      </c>
      <c r="K54" s="5"/>
      <c r="M54" s="47">
        <v>1408846.23</v>
      </c>
    </row>
    <row r="55" spans="1:13" x14ac:dyDescent="0.3">
      <c r="A55" s="37"/>
      <c r="B55" s="4" t="s">
        <v>28</v>
      </c>
      <c r="C55" s="35">
        <v>46203</v>
      </c>
      <c r="D55" s="4" t="s">
        <v>1566</v>
      </c>
      <c r="E55" s="4" t="s">
        <v>1565</v>
      </c>
      <c r="F55" s="4"/>
      <c r="G55" s="35">
        <v>46195</v>
      </c>
      <c r="H55" s="4" t="s">
        <v>1582</v>
      </c>
      <c r="I55" s="5">
        <v>600</v>
      </c>
      <c r="K55" s="5"/>
      <c r="M55" s="47">
        <v>1409446.23</v>
      </c>
    </row>
    <row r="56" spans="1:13" x14ac:dyDescent="0.3">
      <c r="A56" s="37"/>
      <c r="B56" s="4" t="s">
        <v>28</v>
      </c>
      <c r="C56" s="35">
        <v>46203</v>
      </c>
      <c r="D56" s="4" t="s">
        <v>1567</v>
      </c>
      <c r="E56" s="4" t="s">
        <v>1568</v>
      </c>
      <c r="F56" t="s">
        <v>1884</v>
      </c>
      <c r="G56" s="35">
        <v>46202</v>
      </c>
      <c r="H56" s="4" t="s">
        <v>1583</v>
      </c>
      <c r="I56" s="5">
        <v>9828</v>
      </c>
      <c r="K56" s="5"/>
      <c r="M56" s="47">
        <v>1419274.23</v>
      </c>
    </row>
    <row r="57" spans="1:13" x14ac:dyDescent="0.3">
      <c r="A57" s="37"/>
      <c r="B57" s="4" t="s">
        <v>28</v>
      </c>
      <c r="C57" s="35">
        <v>46203</v>
      </c>
      <c r="D57" s="4" t="s">
        <v>1569</v>
      </c>
      <c r="E57" s="4" t="s">
        <v>1558</v>
      </c>
      <c r="F57" t="s">
        <v>1881</v>
      </c>
      <c r="G57" s="35">
        <v>46192</v>
      </c>
      <c r="H57" s="4" t="s">
        <v>1584</v>
      </c>
      <c r="I57" s="5">
        <v>20000</v>
      </c>
      <c r="K57" s="5" t="s">
        <v>405</v>
      </c>
      <c r="M57" s="47">
        <v>1439274.23</v>
      </c>
    </row>
    <row r="58" spans="1:13" x14ac:dyDescent="0.3">
      <c r="A58" s="37"/>
      <c r="B58" s="4" t="s">
        <v>26</v>
      </c>
      <c r="C58" s="35">
        <v>46203</v>
      </c>
      <c r="D58" s="4" t="s">
        <v>1490</v>
      </c>
      <c r="E58" s="4"/>
      <c r="F58" s="4"/>
      <c r="G58" s="35"/>
      <c r="H58" s="4"/>
      <c r="I58" s="5">
        <v>1980</v>
      </c>
      <c r="K58" s="5"/>
      <c r="M58" s="47">
        <v>1441254.23</v>
      </c>
    </row>
    <row r="59" spans="1:13" x14ac:dyDescent="0.3">
      <c r="A59" s="67"/>
      <c r="B59" s="53" t="s">
        <v>28</v>
      </c>
      <c r="C59" s="54">
        <v>46206</v>
      </c>
      <c r="D59" s="53" t="s">
        <v>1963</v>
      </c>
      <c r="E59" s="53" t="s">
        <v>1964</v>
      </c>
      <c r="F59" s="53" t="s">
        <v>1991</v>
      </c>
      <c r="G59" s="54">
        <v>46205</v>
      </c>
      <c r="H59" s="53" t="s">
        <v>1999</v>
      </c>
      <c r="I59" s="59">
        <v>335</v>
      </c>
      <c r="K59" s="38"/>
      <c r="M59" s="47">
        <v>1441589.23</v>
      </c>
    </row>
    <row r="60" spans="1:13" x14ac:dyDescent="0.3">
      <c r="A60" s="48"/>
      <c r="B60" s="53" t="s">
        <v>28</v>
      </c>
      <c r="C60" s="54">
        <v>46209</v>
      </c>
      <c r="D60" s="53" t="s">
        <v>1965</v>
      </c>
      <c r="E60" s="53" t="s">
        <v>1966</v>
      </c>
      <c r="F60" s="53"/>
      <c r="G60" s="54">
        <v>46206</v>
      </c>
      <c r="H60" s="53" t="s">
        <v>1575</v>
      </c>
      <c r="I60" s="59">
        <v>600</v>
      </c>
      <c r="K60" s="38"/>
      <c r="M60" s="47">
        <v>1442189.23</v>
      </c>
    </row>
    <row r="61" spans="1:13" x14ac:dyDescent="0.3">
      <c r="A61" s="49"/>
      <c r="B61" s="53" t="s">
        <v>28</v>
      </c>
      <c r="C61" s="54">
        <v>46209</v>
      </c>
      <c r="D61" s="53" t="s">
        <v>1967</v>
      </c>
      <c r="E61" s="53" t="s">
        <v>1968</v>
      </c>
      <c r="F61" s="53" t="s">
        <v>1992</v>
      </c>
      <c r="G61" s="54">
        <v>46206</v>
      </c>
      <c r="H61" s="53" t="s">
        <v>2000</v>
      </c>
      <c r="I61" s="59">
        <v>1485</v>
      </c>
      <c r="K61" s="38"/>
      <c r="M61" s="47">
        <v>1443674.23</v>
      </c>
    </row>
    <row r="62" spans="1:13" x14ac:dyDescent="0.3">
      <c r="B62" s="53" t="s">
        <v>28</v>
      </c>
      <c r="C62" s="54">
        <v>46212</v>
      </c>
      <c r="D62" s="53" t="s">
        <v>1969</v>
      </c>
      <c r="E62" s="53" t="s">
        <v>86</v>
      </c>
      <c r="F62" s="53" t="s">
        <v>1993</v>
      </c>
      <c r="G62" s="54">
        <v>46211</v>
      </c>
      <c r="H62" s="53" t="s">
        <v>2001</v>
      </c>
      <c r="I62" s="59">
        <v>286.98</v>
      </c>
      <c r="M62" s="47">
        <v>1443961.21</v>
      </c>
    </row>
    <row r="63" spans="1:13" x14ac:dyDescent="0.3">
      <c r="B63" s="53" t="s">
        <v>28</v>
      </c>
      <c r="C63" s="54">
        <v>46213</v>
      </c>
      <c r="D63" s="53" t="s">
        <v>1970</v>
      </c>
      <c r="E63" s="53" t="s">
        <v>86</v>
      </c>
      <c r="F63" s="53" t="s">
        <v>1994</v>
      </c>
      <c r="G63" s="54">
        <v>46211</v>
      </c>
      <c r="H63" s="53" t="s">
        <v>2002</v>
      </c>
      <c r="I63" s="59">
        <v>279.95999999999998</v>
      </c>
      <c r="M63" s="47">
        <v>1444241.17</v>
      </c>
    </row>
    <row r="64" spans="1:13" x14ac:dyDescent="0.3">
      <c r="B64" s="53" t="s">
        <v>28</v>
      </c>
      <c r="C64" s="54">
        <v>46217</v>
      </c>
      <c r="D64" s="53" t="s">
        <v>1971</v>
      </c>
      <c r="E64" s="53" t="s">
        <v>1563</v>
      </c>
      <c r="F64" s="53"/>
      <c r="G64" s="54">
        <v>46213</v>
      </c>
      <c r="H64" s="53" t="s">
        <v>1583</v>
      </c>
      <c r="I64" s="59">
        <v>4000</v>
      </c>
      <c r="M64" s="47">
        <v>1448241.17</v>
      </c>
    </row>
    <row r="65" spans="1:13" x14ac:dyDescent="0.3">
      <c r="B65" s="53" t="s">
        <v>28</v>
      </c>
      <c r="C65" s="54">
        <v>46223</v>
      </c>
      <c r="D65" s="53" t="s">
        <v>1972</v>
      </c>
      <c r="E65" s="53" t="s">
        <v>1973</v>
      </c>
      <c r="F65" s="53" t="s">
        <v>1995</v>
      </c>
      <c r="G65" s="54">
        <v>46219</v>
      </c>
      <c r="H65" s="53" t="s">
        <v>2003</v>
      </c>
      <c r="I65" s="59">
        <v>1650</v>
      </c>
      <c r="M65" s="47">
        <v>1449891.17</v>
      </c>
    </row>
    <row r="66" spans="1:13" x14ac:dyDescent="0.3">
      <c r="B66" s="53" t="s">
        <v>28</v>
      </c>
      <c r="C66" s="54">
        <v>46230</v>
      </c>
      <c r="D66" s="53" t="s">
        <v>1974</v>
      </c>
      <c r="E66" s="53" t="s">
        <v>1975</v>
      </c>
      <c r="F66" s="53"/>
      <c r="G66" s="54">
        <v>46227</v>
      </c>
      <c r="H66" s="53" t="s">
        <v>2004</v>
      </c>
      <c r="I66" s="59">
        <v>4434</v>
      </c>
      <c r="M66" s="47">
        <v>1454325.17</v>
      </c>
    </row>
    <row r="67" spans="1:13" x14ac:dyDescent="0.3">
      <c r="B67" s="53" t="s">
        <v>28</v>
      </c>
      <c r="C67" s="54">
        <v>46231</v>
      </c>
      <c r="D67" s="53" t="s">
        <v>1976</v>
      </c>
      <c r="E67" s="53" t="s">
        <v>471</v>
      </c>
      <c r="F67" s="53"/>
      <c r="G67" s="54">
        <v>46226</v>
      </c>
      <c r="H67" s="53" t="s">
        <v>2005</v>
      </c>
      <c r="I67" s="59">
        <v>800</v>
      </c>
      <c r="M67" s="47">
        <v>1455125.17</v>
      </c>
    </row>
    <row r="68" spans="1:13" x14ac:dyDescent="0.3">
      <c r="B68" s="53" t="s">
        <v>28</v>
      </c>
      <c r="C68" s="54">
        <v>46231</v>
      </c>
      <c r="D68" s="53" t="s">
        <v>1977</v>
      </c>
      <c r="E68" s="53" t="s">
        <v>82</v>
      </c>
      <c r="F68" s="53" t="s">
        <v>458</v>
      </c>
      <c r="G68" s="54">
        <v>46231</v>
      </c>
      <c r="H68" s="53" t="s">
        <v>501</v>
      </c>
      <c r="I68" s="59">
        <v>6000</v>
      </c>
      <c r="M68" s="47">
        <v>1461125.17</v>
      </c>
    </row>
    <row r="69" spans="1:13" x14ac:dyDescent="0.3">
      <c r="B69" s="53" t="s">
        <v>28</v>
      </c>
      <c r="C69" s="54">
        <v>46231</v>
      </c>
      <c r="D69" s="53" t="s">
        <v>1978</v>
      </c>
      <c r="E69" s="53" t="s">
        <v>82</v>
      </c>
      <c r="F69" s="53" t="s">
        <v>817</v>
      </c>
      <c r="G69" s="54">
        <v>46231</v>
      </c>
      <c r="H69" s="53" t="s">
        <v>2006</v>
      </c>
      <c r="I69" s="59">
        <v>500</v>
      </c>
      <c r="M69" s="47">
        <v>1461625.17</v>
      </c>
    </row>
    <row r="70" spans="1:13" x14ac:dyDescent="0.3">
      <c r="B70" s="53" t="s">
        <v>28</v>
      </c>
      <c r="C70" s="54">
        <v>46231</v>
      </c>
      <c r="D70" s="53" t="s">
        <v>1979</v>
      </c>
      <c r="E70" s="53" t="s">
        <v>82</v>
      </c>
      <c r="F70" s="53" t="s">
        <v>1996</v>
      </c>
      <c r="G70" s="54">
        <v>46231</v>
      </c>
      <c r="H70" s="53" t="s">
        <v>2007</v>
      </c>
      <c r="I70" s="59">
        <v>500</v>
      </c>
      <c r="M70" s="47">
        <v>1462125.17</v>
      </c>
    </row>
    <row r="71" spans="1:13" x14ac:dyDescent="0.3">
      <c r="B71" s="53" t="s">
        <v>28</v>
      </c>
      <c r="C71" s="54">
        <v>46233</v>
      </c>
      <c r="D71" s="53" t="s">
        <v>1980</v>
      </c>
      <c r="E71" s="53" t="s">
        <v>99</v>
      </c>
      <c r="F71" s="53"/>
      <c r="G71" s="54">
        <v>46233</v>
      </c>
      <c r="H71" s="53" t="s">
        <v>1935</v>
      </c>
      <c r="I71" s="59">
        <v>3500</v>
      </c>
      <c r="M71" s="47">
        <v>1465625.17</v>
      </c>
    </row>
    <row r="72" spans="1:13" x14ac:dyDescent="0.3">
      <c r="B72" s="53" t="s">
        <v>28</v>
      </c>
      <c r="C72" s="54">
        <v>46237</v>
      </c>
      <c r="D72" s="53" t="s">
        <v>1981</v>
      </c>
      <c r="E72" s="53" t="s">
        <v>1982</v>
      </c>
      <c r="F72" s="53" t="s">
        <v>1997</v>
      </c>
      <c r="G72" s="54">
        <v>46233</v>
      </c>
      <c r="H72" s="53" t="s">
        <v>2008</v>
      </c>
      <c r="I72" s="59">
        <v>8000</v>
      </c>
      <c r="M72" s="47">
        <v>1473625.17</v>
      </c>
    </row>
    <row r="73" spans="1:13" ht="40.799999999999997" x14ac:dyDescent="0.3">
      <c r="B73" s="53" t="s">
        <v>28</v>
      </c>
      <c r="C73" s="54">
        <v>46237</v>
      </c>
      <c r="D73" s="53" t="s">
        <v>1983</v>
      </c>
      <c r="E73" s="53" t="s">
        <v>1568</v>
      </c>
      <c r="F73" s="66" t="s">
        <v>2582</v>
      </c>
      <c r="G73" s="54">
        <v>46224</v>
      </c>
      <c r="H73" s="53" t="s">
        <v>1572</v>
      </c>
      <c r="I73" s="73">
        <v>9280</v>
      </c>
      <c r="K73" s="5" t="s">
        <v>405</v>
      </c>
      <c r="M73" s="47">
        <v>1482905.17</v>
      </c>
    </row>
    <row r="74" spans="1:13" x14ac:dyDescent="0.3">
      <c r="B74" s="53" t="s">
        <v>28</v>
      </c>
      <c r="C74" s="54">
        <v>46254</v>
      </c>
      <c r="D74" s="53" t="s">
        <v>1984</v>
      </c>
      <c r="E74" s="53" t="s">
        <v>86</v>
      </c>
      <c r="F74" s="53" t="s">
        <v>1998</v>
      </c>
      <c r="G74" s="54">
        <v>46240</v>
      </c>
      <c r="H74" s="53" t="s">
        <v>2009</v>
      </c>
      <c r="I74" s="59">
        <v>50</v>
      </c>
      <c r="M74" s="47">
        <v>1482955.17</v>
      </c>
    </row>
    <row r="75" spans="1:13" x14ac:dyDescent="0.3">
      <c r="B75" s="53" t="s">
        <v>28</v>
      </c>
      <c r="C75" s="54">
        <v>46258</v>
      </c>
      <c r="D75" s="53" t="s">
        <v>1985</v>
      </c>
      <c r="E75" s="53" t="s">
        <v>1563</v>
      </c>
      <c r="F75" s="53"/>
      <c r="G75" s="54">
        <v>46244</v>
      </c>
      <c r="H75" s="53" t="s">
        <v>1571</v>
      </c>
      <c r="I75" s="59">
        <v>4000</v>
      </c>
      <c r="M75" s="47">
        <v>1486955.17</v>
      </c>
    </row>
    <row r="76" spans="1:13" x14ac:dyDescent="0.3">
      <c r="B76" s="53" t="s">
        <v>28</v>
      </c>
      <c r="C76" s="54">
        <v>46259</v>
      </c>
      <c r="D76" s="53" t="s">
        <v>1986</v>
      </c>
      <c r="E76" s="53" t="s">
        <v>1987</v>
      </c>
      <c r="F76" s="53"/>
      <c r="G76" s="54">
        <v>46234</v>
      </c>
      <c r="H76" s="53" t="s">
        <v>2010</v>
      </c>
      <c r="I76" s="59">
        <v>750</v>
      </c>
      <c r="M76" s="47">
        <v>1487705.17</v>
      </c>
    </row>
    <row r="77" spans="1:13" x14ac:dyDescent="0.3">
      <c r="B77" s="53" t="s">
        <v>28</v>
      </c>
      <c r="C77" s="54">
        <v>46259</v>
      </c>
      <c r="D77" s="53" t="s">
        <v>1988</v>
      </c>
      <c r="E77" s="53" t="s">
        <v>1987</v>
      </c>
      <c r="F77" s="53"/>
      <c r="G77" s="54">
        <v>46234</v>
      </c>
      <c r="H77" s="53" t="s">
        <v>2011</v>
      </c>
      <c r="I77" s="59">
        <v>900</v>
      </c>
      <c r="M77" s="47">
        <v>1488605.17</v>
      </c>
    </row>
    <row r="78" spans="1:13" x14ac:dyDescent="0.3">
      <c r="B78" s="53" t="s">
        <v>28</v>
      </c>
      <c r="C78" s="54">
        <v>46259</v>
      </c>
      <c r="D78" s="53" t="s">
        <v>1989</v>
      </c>
      <c r="E78" s="53" t="s">
        <v>1560</v>
      </c>
      <c r="F78" s="53"/>
      <c r="G78" s="54">
        <v>46259</v>
      </c>
      <c r="H78" s="53" t="s">
        <v>2012</v>
      </c>
      <c r="I78" s="59">
        <v>1200</v>
      </c>
      <c r="M78" s="47">
        <v>1489805.17</v>
      </c>
    </row>
    <row r="79" spans="1:13" x14ac:dyDescent="0.3">
      <c r="B79" s="53" t="s">
        <v>28</v>
      </c>
      <c r="C79" s="54">
        <v>46260</v>
      </c>
      <c r="D79" s="53" t="s">
        <v>1990</v>
      </c>
      <c r="E79" s="53" t="s">
        <v>99</v>
      </c>
      <c r="F79" s="53"/>
      <c r="G79" s="54">
        <v>46260</v>
      </c>
      <c r="H79" s="53" t="s">
        <v>456</v>
      </c>
      <c r="I79" s="59">
        <v>3500</v>
      </c>
      <c r="M79" s="47">
        <v>1493305.17</v>
      </c>
    </row>
    <row r="80" spans="1:13" x14ac:dyDescent="0.3">
      <c r="A80" s="55" t="s">
        <v>100</v>
      </c>
      <c r="I80" s="60">
        <f>SUM(I10:I79)</f>
        <v>401597.31</v>
      </c>
      <c r="L80" s="60">
        <f>SUM(L10:L79)</f>
        <v>0</v>
      </c>
      <c r="M80" s="60">
        <v>1493305.17</v>
      </c>
    </row>
    <row r="81" spans="1:13" x14ac:dyDescent="0.3">
      <c r="A81" s="58" t="s">
        <v>44</v>
      </c>
      <c r="I81" s="60">
        <f>SUM(I9,I80)</f>
        <v>401597.31</v>
      </c>
      <c r="L81" s="60">
        <f>SUM(L9,L80)</f>
        <v>0</v>
      </c>
      <c r="M81" s="60">
        <v>1493305.17</v>
      </c>
    </row>
    <row r="82" spans="1:13" x14ac:dyDescent="0.3">
      <c r="A82" s="56" t="s">
        <v>45</v>
      </c>
      <c r="I82" s="60">
        <f>SUM(I8,I81)</f>
        <v>401597.31</v>
      </c>
      <c r="L82" s="60">
        <f>SUM(L8,L81)</f>
        <v>0</v>
      </c>
      <c r="M82" s="60">
        <v>1493305.17</v>
      </c>
    </row>
  </sheetData>
  <hyperlinks>
    <hyperlink ref="E15" r:id="rId1" display="https://9628427.app.netsuite.com/app/common/entity/entity.nl?id=17280" xr:uid="{E06F46F7-0105-45C9-859E-76B76FAB0265}"/>
    <hyperlink ref="E19" r:id="rId2" display="https://9628427.app.netsuite.com/app/common/entity/entity.nl?id=17280" xr:uid="{437BC86D-04C6-4CDF-9166-EE44E6EDF38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9B718-986F-42B0-9DE0-07E879D471DF}">
  <sheetPr filterMode="1"/>
  <dimension ref="A1:L125"/>
  <sheetViews>
    <sheetView tabSelected="1" topLeftCell="A4" zoomScaleNormal="100" workbookViewId="0">
      <selection activeCell="I112" sqref="I112:I121"/>
    </sheetView>
  </sheetViews>
  <sheetFormatPr defaultRowHeight="14.4" x14ac:dyDescent="0.3"/>
  <cols>
    <col min="1" max="1" width="45.44140625" bestFit="1" customWidth="1"/>
    <col min="3" max="3" width="8.6640625" bestFit="1" customWidth="1"/>
    <col min="4" max="4" width="15.109375" bestFit="1" customWidth="1"/>
    <col min="5" max="5" width="56" bestFit="1" customWidth="1"/>
    <col min="6" max="6" width="46.109375" customWidth="1"/>
    <col min="7" max="7" width="15.6640625" bestFit="1" customWidth="1"/>
    <col min="8" max="8" width="13.6640625" bestFit="1" customWidth="1"/>
    <col min="9" max="9" width="10.88671875" bestFit="1" customWidth="1"/>
    <col min="10" max="10" width="31" bestFit="1" customWidth="1"/>
    <col min="11" max="11" width="8.6640625" bestFit="1" customWidth="1"/>
    <col min="12" max="12" width="10.88671875" bestFit="1" customWidth="1"/>
  </cols>
  <sheetData>
    <row r="1" spans="1:12" ht="15.6" x14ac:dyDescent="0.3">
      <c r="A1" s="50" t="s">
        <v>10</v>
      </c>
      <c r="B1" s="50"/>
      <c r="C1" s="50"/>
      <c r="D1" s="50"/>
      <c r="E1" s="50"/>
      <c r="F1" s="50"/>
      <c r="G1" s="50"/>
      <c r="H1" s="50"/>
      <c r="I1" s="50"/>
      <c r="J1" s="50"/>
      <c r="K1" s="50"/>
      <c r="L1" s="50"/>
    </row>
    <row r="2" spans="1:12" ht="15.6" x14ac:dyDescent="0.3">
      <c r="A2" s="50" t="s">
        <v>11</v>
      </c>
      <c r="B2" s="50"/>
      <c r="C2" s="50"/>
      <c r="D2" s="50"/>
      <c r="E2" s="50"/>
      <c r="F2" s="50"/>
      <c r="G2" s="50"/>
      <c r="H2" s="50"/>
      <c r="I2" s="50"/>
      <c r="J2" s="50"/>
      <c r="K2" s="50"/>
      <c r="L2" s="50"/>
    </row>
    <row r="3" spans="1:12" ht="17.399999999999999" x14ac:dyDescent="0.3">
      <c r="A3" s="51" t="s">
        <v>836</v>
      </c>
      <c r="B3" s="51"/>
      <c r="C3" s="51"/>
      <c r="D3" s="51"/>
      <c r="E3" s="51"/>
      <c r="F3" s="51"/>
      <c r="G3" s="51"/>
      <c r="H3" s="51"/>
      <c r="I3" s="51"/>
      <c r="J3" s="51"/>
      <c r="K3" s="51"/>
      <c r="L3" s="51"/>
    </row>
    <row r="4" spans="1:12" ht="17.399999999999999" x14ac:dyDescent="0.3">
      <c r="A4" s="51" t="s">
        <v>1888</v>
      </c>
      <c r="B4" s="51"/>
      <c r="C4" s="51"/>
      <c r="D4" s="51"/>
      <c r="E4" s="51"/>
      <c r="F4" s="51"/>
      <c r="G4" s="51"/>
      <c r="H4" s="51"/>
      <c r="I4" s="51"/>
      <c r="J4" s="51"/>
      <c r="K4" s="51"/>
      <c r="L4" s="51"/>
    </row>
    <row r="5" spans="1:12" ht="17.399999999999999" x14ac:dyDescent="0.3">
      <c r="A5" s="51" t="s">
        <v>12</v>
      </c>
      <c r="B5" s="51"/>
      <c r="C5" s="51"/>
      <c r="D5" s="51"/>
      <c r="E5" s="51"/>
      <c r="F5" s="51"/>
      <c r="G5" s="51"/>
      <c r="H5" s="51"/>
      <c r="I5" s="51"/>
      <c r="J5" s="51"/>
      <c r="K5" s="51"/>
      <c r="L5" s="51"/>
    </row>
    <row r="6" spans="1:12" ht="17.399999999999999" x14ac:dyDescent="0.3">
      <c r="A6" s="51" t="s">
        <v>12</v>
      </c>
      <c r="B6" s="51"/>
      <c r="C6" s="51"/>
      <c r="D6" s="51"/>
      <c r="E6" s="51"/>
      <c r="F6" s="51"/>
      <c r="G6" s="51"/>
      <c r="H6" s="51"/>
      <c r="I6" s="51"/>
      <c r="J6" s="51"/>
      <c r="K6" s="51"/>
      <c r="L6" s="51"/>
    </row>
    <row r="7" spans="1:12" x14ac:dyDescent="0.3">
      <c r="A7" s="61" t="s">
        <v>13</v>
      </c>
      <c r="B7" s="61" t="s">
        <v>14</v>
      </c>
      <c r="C7" s="61" t="s">
        <v>15</v>
      </c>
      <c r="D7" s="61" t="s">
        <v>16</v>
      </c>
      <c r="E7" s="61" t="s">
        <v>17</v>
      </c>
      <c r="F7" s="61" t="s">
        <v>18</v>
      </c>
      <c r="G7" s="61" t="s">
        <v>19</v>
      </c>
      <c r="H7" s="61" t="s">
        <v>20</v>
      </c>
      <c r="I7" s="62" t="s">
        <v>21</v>
      </c>
      <c r="J7" s="62" t="s">
        <v>79</v>
      </c>
      <c r="K7" s="62" t="s">
        <v>22</v>
      </c>
      <c r="L7" s="62" t="s">
        <v>23</v>
      </c>
    </row>
    <row r="8" spans="1:12" hidden="1" x14ac:dyDescent="0.3">
      <c r="A8" s="63" t="s">
        <v>24</v>
      </c>
      <c r="B8" s="53"/>
      <c r="C8" s="54"/>
      <c r="D8" s="53"/>
      <c r="E8" s="53"/>
      <c r="F8" s="53"/>
      <c r="G8" s="54"/>
      <c r="H8" s="53"/>
      <c r="I8" s="59"/>
      <c r="J8" s="59"/>
      <c r="K8" s="59"/>
      <c r="L8" s="59">
        <v>0</v>
      </c>
    </row>
    <row r="9" spans="1:12" hidden="1" x14ac:dyDescent="0.3">
      <c r="A9" s="64" t="s">
        <v>101</v>
      </c>
      <c r="B9" s="53"/>
      <c r="C9" s="54"/>
      <c r="D9" s="53"/>
      <c r="E9" s="53"/>
      <c r="F9" s="53"/>
      <c r="G9" s="54"/>
      <c r="H9" s="53"/>
      <c r="I9" s="59"/>
      <c r="J9" s="59"/>
      <c r="K9" s="59"/>
      <c r="L9" s="59">
        <v>0</v>
      </c>
    </row>
    <row r="10" spans="1:12" hidden="1" x14ac:dyDescent="0.3">
      <c r="A10" s="65" t="s">
        <v>4</v>
      </c>
      <c r="B10" s="53"/>
      <c r="C10" s="54"/>
      <c r="D10" s="53"/>
      <c r="E10" s="53"/>
      <c r="F10" s="53"/>
      <c r="G10" s="54"/>
      <c r="H10" s="53"/>
      <c r="I10" s="59"/>
      <c r="J10" s="59"/>
      <c r="K10" s="59"/>
      <c r="L10" s="59">
        <v>5735855.0800000001</v>
      </c>
    </row>
    <row r="11" spans="1:12" hidden="1" x14ac:dyDescent="0.3">
      <c r="A11" s="52"/>
      <c r="B11" s="53" t="s">
        <v>28</v>
      </c>
      <c r="C11" s="54">
        <v>46044</v>
      </c>
      <c r="D11" s="53" t="s">
        <v>102</v>
      </c>
      <c r="E11" s="53" t="s">
        <v>103</v>
      </c>
      <c r="F11" s="53"/>
      <c r="G11" s="54">
        <v>46029</v>
      </c>
      <c r="H11" s="53" t="s">
        <v>104</v>
      </c>
      <c r="I11" s="59">
        <v>6000</v>
      </c>
      <c r="J11" s="59"/>
      <c r="K11" s="59"/>
      <c r="L11" s="59">
        <f t="shared" ref="L11:L74" si="0">L10+I11-K11</f>
        <v>5741855.0800000001</v>
      </c>
    </row>
    <row r="12" spans="1:12" hidden="1" x14ac:dyDescent="0.3">
      <c r="A12" s="52"/>
      <c r="B12" s="53" t="s">
        <v>28</v>
      </c>
      <c r="C12" s="54">
        <v>46048</v>
      </c>
      <c r="D12" s="53" t="s">
        <v>105</v>
      </c>
      <c r="E12" s="53" t="s">
        <v>106</v>
      </c>
      <c r="F12" s="53"/>
      <c r="G12" s="54">
        <v>46046</v>
      </c>
      <c r="H12" s="53" t="s">
        <v>104</v>
      </c>
      <c r="I12" s="59">
        <v>3122</v>
      </c>
      <c r="J12" s="59"/>
      <c r="K12" s="59"/>
      <c r="L12" s="59">
        <f t="shared" si="0"/>
        <v>5744977.0800000001</v>
      </c>
    </row>
    <row r="13" spans="1:12" hidden="1" x14ac:dyDescent="0.3">
      <c r="A13" s="52"/>
      <c r="B13" s="53" t="s">
        <v>28</v>
      </c>
      <c r="C13" s="54">
        <v>46048</v>
      </c>
      <c r="D13" s="53" t="s">
        <v>107</v>
      </c>
      <c r="E13" s="53" t="s">
        <v>108</v>
      </c>
      <c r="F13" s="53"/>
      <c r="G13" s="54">
        <v>46045</v>
      </c>
      <c r="H13" s="53" t="s">
        <v>109</v>
      </c>
      <c r="I13" s="59">
        <v>16200</v>
      </c>
      <c r="J13" s="29" t="s">
        <v>413</v>
      </c>
      <c r="K13" s="59"/>
      <c r="L13" s="59">
        <f t="shared" si="0"/>
        <v>5761177.0800000001</v>
      </c>
    </row>
    <row r="14" spans="1:12" hidden="1" x14ac:dyDescent="0.3">
      <c r="A14" s="52"/>
      <c r="B14" s="53" t="s">
        <v>28</v>
      </c>
      <c r="C14" s="54">
        <v>46048</v>
      </c>
      <c r="D14" s="53" t="s">
        <v>110</v>
      </c>
      <c r="E14" s="53" t="s">
        <v>99</v>
      </c>
      <c r="F14" s="53"/>
      <c r="G14" s="54">
        <v>46045</v>
      </c>
      <c r="H14" s="53" t="s">
        <v>36</v>
      </c>
      <c r="I14" s="59">
        <v>3500</v>
      </c>
      <c r="J14" s="59"/>
      <c r="K14" s="59"/>
      <c r="L14" s="59">
        <f t="shared" si="0"/>
        <v>5764677.0800000001</v>
      </c>
    </row>
    <row r="15" spans="1:12" hidden="1" x14ac:dyDescent="0.3">
      <c r="A15" s="52"/>
      <c r="B15" s="53" t="s">
        <v>26</v>
      </c>
      <c r="C15" s="54">
        <v>46053</v>
      </c>
      <c r="D15" s="53" t="s">
        <v>111</v>
      </c>
      <c r="E15" s="53"/>
      <c r="F15" s="53"/>
      <c r="G15" s="54"/>
      <c r="H15" s="53"/>
      <c r="I15" s="59">
        <v>2600</v>
      </c>
      <c r="J15" s="59"/>
      <c r="K15" s="59"/>
      <c r="L15" s="59">
        <f t="shared" si="0"/>
        <v>5767277.0800000001</v>
      </c>
    </row>
    <row r="16" spans="1:12" hidden="1" x14ac:dyDescent="0.3">
      <c r="A16" s="52"/>
      <c r="B16" s="53" t="s">
        <v>26</v>
      </c>
      <c r="C16" s="54">
        <v>46053</v>
      </c>
      <c r="D16" s="53" t="s">
        <v>422</v>
      </c>
      <c r="E16" s="4" t="s">
        <v>410</v>
      </c>
      <c r="F16" s="53"/>
      <c r="G16" s="54"/>
      <c r="H16" s="53"/>
      <c r="I16" s="59">
        <v>25812</v>
      </c>
      <c r="J16" s="29" t="s">
        <v>414</v>
      </c>
      <c r="K16" s="59"/>
      <c r="L16" s="59">
        <f t="shared" si="0"/>
        <v>5793089.0800000001</v>
      </c>
    </row>
    <row r="17" spans="1:12" hidden="1" x14ac:dyDescent="0.3">
      <c r="A17" s="52"/>
      <c r="B17" s="53" t="s">
        <v>26</v>
      </c>
      <c r="C17" s="54">
        <v>46053</v>
      </c>
      <c r="D17" s="53" t="s">
        <v>473</v>
      </c>
      <c r="E17" s="53"/>
      <c r="F17" s="53"/>
      <c r="G17" s="54"/>
      <c r="H17" s="53"/>
      <c r="I17" s="59">
        <v>3400</v>
      </c>
      <c r="J17" s="59"/>
      <c r="K17" s="59"/>
      <c r="L17" s="59">
        <f t="shared" si="0"/>
        <v>5796489.0800000001</v>
      </c>
    </row>
    <row r="18" spans="1:12" hidden="1" x14ac:dyDescent="0.3">
      <c r="A18" s="52"/>
      <c r="B18" s="53" t="s">
        <v>28</v>
      </c>
      <c r="C18" s="54">
        <v>46058</v>
      </c>
      <c r="D18" s="53" t="s">
        <v>112</v>
      </c>
      <c r="E18" s="53" t="s">
        <v>103</v>
      </c>
      <c r="F18" s="53"/>
      <c r="G18" s="54">
        <v>46056</v>
      </c>
      <c r="H18" s="53" t="s">
        <v>113</v>
      </c>
      <c r="I18" s="59">
        <v>6000</v>
      </c>
      <c r="J18" s="59"/>
      <c r="K18" s="59"/>
      <c r="L18" s="59">
        <f t="shared" si="0"/>
        <v>5802489.0800000001</v>
      </c>
    </row>
    <row r="19" spans="1:12" hidden="1" x14ac:dyDescent="0.3">
      <c r="A19" s="52"/>
      <c r="B19" s="53" t="s">
        <v>28</v>
      </c>
      <c r="C19" s="54">
        <v>46063</v>
      </c>
      <c r="D19" s="53" t="s">
        <v>114</v>
      </c>
      <c r="E19" s="53" t="s">
        <v>115</v>
      </c>
      <c r="F19" s="53"/>
      <c r="G19" s="54">
        <v>46049</v>
      </c>
      <c r="H19" s="53" t="s">
        <v>116</v>
      </c>
      <c r="I19" s="59">
        <v>900</v>
      </c>
      <c r="J19" s="4" t="s">
        <v>415</v>
      </c>
      <c r="K19" s="59"/>
      <c r="L19" s="59">
        <f t="shared" si="0"/>
        <v>5803389.0800000001</v>
      </c>
    </row>
    <row r="20" spans="1:12" hidden="1" x14ac:dyDescent="0.3">
      <c r="A20" s="52"/>
      <c r="B20" s="53" t="s">
        <v>28</v>
      </c>
      <c r="C20" s="54">
        <v>46063</v>
      </c>
      <c r="D20" s="53" t="s">
        <v>117</v>
      </c>
      <c r="E20" s="53" t="s">
        <v>118</v>
      </c>
      <c r="F20" s="53"/>
      <c r="G20" s="54">
        <v>46056</v>
      </c>
      <c r="H20" s="53" t="s">
        <v>119</v>
      </c>
      <c r="I20" s="59">
        <v>9360</v>
      </c>
      <c r="J20" s="4" t="s">
        <v>412</v>
      </c>
      <c r="K20" s="59"/>
      <c r="L20" s="59">
        <f t="shared" si="0"/>
        <v>5812749.0800000001</v>
      </c>
    </row>
    <row r="21" spans="1:12" hidden="1" x14ac:dyDescent="0.3">
      <c r="A21" s="52"/>
      <c r="B21" s="53" t="s">
        <v>28</v>
      </c>
      <c r="C21" s="54">
        <v>46078</v>
      </c>
      <c r="D21" s="53" t="s">
        <v>120</v>
      </c>
      <c r="E21" s="53" t="s">
        <v>106</v>
      </c>
      <c r="F21" s="53"/>
      <c r="G21" s="54">
        <v>46077</v>
      </c>
      <c r="H21" s="53" t="s">
        <v>113</v>
      </c>
      <c r="I21" s="59">
        <v>3122</v>
      </c>
      <c r="J21" s="59"/>
      <c r="K21" s="59"/>
      <c r="L21" s="59">
        <f t="shared" si="0"/>
        <v>5815871.0800000001</v>
      </c>
    </row>
    <row r="22" spans="1:12" ht="20.399999999999999" hidden="1" x14ac:dyDescent="0.3">
      <c r="A22" s="52"/>
      <c r="B22" s="53" t="s">
        <v>26</v>
      </c>
      <c r="C22" s="54">
        <v>46081</v>
      </c>
      <c r="D22" s="53" t="s">
        <v>428</v>
      </c>
      <c r="E22" s="4" t="s">
        <v>411</v>
      </c>
      <c r="F22" s="53"/>
      <c r="G22" s="54"/>
      <c r="H22" s="53"/>
      <c r="I22" s="59">
        <v>28500</v>
      </c>
      <c r="J22" s="30" t="s">
        <v>416</v>
      </c>
      <c r="K22" s="59"/>
      <c r="L22" s="59">
        <f t="shared" si="0"/>
        <v>5844371.0800000001</v>
      </c>
    </row>
    <row r="23" spans="1:12" hidden="1" x14ac:dyDescent="0.3">
      <c r="A23" s="52"/>
      <c r="B23" s="53" t="s">
        <v>26</v>
      </c>
      <c r="C23" s="54">
        <v>46081</v>
      </c>
      <c r="D23" s="53" t="s">
        <v>425</v>
      </c>
      <c r="E23" s="53"/>
      <c r="F23" s="53"/>
      <c r="G23" s="54"/>
      <c r="H23" s="53"/>
      <c r="I23" s="59">
        <v>223.8</v>
      </c>
      <c r="J23" s="59"/>
      <c r="K23" s="59"/>
      <c r="L23" s="59">
        <f t="shared" si="0"/>
        <v>5844594.8799999999</v>
      </c>
    </row>
    <row r="24" spans="1:12" hidden="1" x14ac:dyDescent="0.3">
      <c r="A24" s="52"/>
      <c r="B24" s="53" t="s">
        <v>26</v>
      </c>
      <c r="C24" s="54">
        <v>46081</v>
      </c>
      <c r="D24" s="53" t="s">
        <v>121</v>
      </c>
      <c r="E24" s="53"/>
      <c r="F24" s="53"/>
      <c r="G24" s="54"/>
      <c r="H24" s="53"/>
      <c r="I24" s="59">
        <v>3400</v>
      </c>
      <c r="J24" s="59"/>
      <c r="K24" s="59"/>
      <c r="L24" s="59">
        <f t="shared" si="0"/>
        <v>5847994.8799999999</v>
      </c>
    </row>
    <row r="25" spans="1:12" hidden="1" x14ac:dyDescent="0.3">
      <c r="A25" s="52"/>
      <c r="B25" s="53" t="s">
        <v>26</v>
      </c>
      <c r="C25" s="54">
        <v>46081</v>
      </c>
      <c r="D25" s="53" t="s">
        <v>427</v>
      </c>
      <c r="E25" s="53"/>
      <c r="F25" s="53"/>
      <c r="G25" s="54"/>
      <c r="H25" s="53"/>
      <c r="I25" s="59">
        <v>2600</v>
      </c>
      <c r="J25" s="59"/>
      <c r="K25" s="59"/>
      <c r="L25" s="59">
        <f t="shared" si="0"/>
        <v>5850594.8799999999</v>
      </c>
    </row>
    <row r="26" spans="1:12" hidden="1" x14ac:dyDescent="0.3">
      <c r="A26" s="52"/>
      <c r="B26" s="53" t="s">
        <v>26</v>
      </c>
      <c r="C26" s="54">
        <v>46081</v>
      </c>
      <c r="D26" s="53" t="s">
        <v>1196</v>
      </c>
      <c r="E26" s="53"/>
      <c r="F26" s="53"/>
      <c r="G26" s="54"/>
      <c r="H26" s="53"/>
      <c r="I26" s="59">
        <v>5595</v>
      </c>
      <c r="J26" s="59"/>
      <c r="K26" s="59"/>
      <c r="L26" s="59">
        <f t="shared" si="0"/>
        <v>5856189.8799999999</v>
      </c>
    </row>
    <row r="27" spans="1:12" hidden="1" x14ac:dyDescent="0.3">
      <c r="A27" s="52"/>
      <c r="B27" s="53" t="s">
        <v>28</v>
      </c>
      <c r="C27" s="54">
        <v>46083</v>
      </c>
      <c r="D27" s="53" t="s">
        <v>474</v>
      </c>
      <c r="E27" s="53" t="s">
        <v>475</v>
      </c>
      <c r="F27" s="53"/>
      <c r="G27" s="54">
        <v>46080</v>
      </c>
      <c r="H27" s="53" t="s">
        <v>476</v>
      </c>
      <c r="I27" s="59">
        <v>8000</v>
      </c>
      <c r="J27" s="59"/>
      <c r="K27" s="59"/>
      <c r="L27" s="59">
        <f t="shared" si="0"/>
        <v>5864189.8799999999</v>
      </c>
    </row>
    <row r="28" spans="1:12" hidden="1" x14ac:dyDescent="0.3">
      <c r="A28" s="52"/>
      <c r="B28" s="53" t="s">
        <v>28</v>
      </c>
      <c r="C28" s="54">
        <v>46084</v>
      </c>
      <c r="D28" s="53" t="s">
        <v>477</v>
      </c>
      <c r="E28" s="53" t="s">
        <v>478</v>
      </c>
      <c r="F28" s="53"/>
      <c r="G28" s="54">
        <v>46083</v>
      </c>
      <c r="H28" s="53" t="s">
        <v>36</v>
      </c>
      <c r="I28" s="59">
        <v>5200</v>
      </c>
      <c r="J28" s="59"/>
      <c r="K28" s="59"/>
      <c r="L28" s="59">
        <f t="shared" si="0"/>
        <v>5869389.8799999999</v>
      </c>
    </row>
    <row r="29" spans="1:12" hidden="1" x14ac:dyDescent="0.3">
      <c r="A29" s="52"/>
      <c r="B29" s="53" t="s">
        <v>28</v>
      </c>
      <c r="C29" s="54">
        <v>46091</v>
      </c>
      <c r="D29" s="53" t="s">
        <v>479</v>
      </c>
      <c r="E29" s="53" t="s">
        <v>49</v>
      </c>
      <c r="F29" s="53" t="s">
        <v>480</v>
      </c>
      <c r="G29" s="54">
        <v>46087</v>
      </c>
      <c r="H29" s="53" t="s">
        <v>481</v>
      </c>
      <c r="I29" s="59">
        <v>801.05</v>
      </c>
      <c r="J29" s="4" t="s">
        <v>412</v>
      </c>
      <c r="K29" s="59"/>
      <c r="L29" s="59">
        <f t="shared" si="0"/>
        <v>5870190.9299999997</v>
      </c>
    </row>
    <row r="30" spans="1:12" hidden="1" x14ac:dyDescent="0.3">
      <c r="A30" s="52"/>
      <c r="B30" s="53" t="s">
        <v>28</v>
      </c>
      <c r="C30" s="54">
        <v>46091</v>
      </c>
      <c r="D30" s="53" t="s">
        <v>482</v>
      </c>
      <c r="E30" s="53" t="s">
        <v>49</v>
      </c>
      <c r="F30" s="53" t="s">
        <v>483</v>
      </c>
      <c r="G30" s="54">
        <v>46087</v>
      </c>
      <c r="H30" s="53" t="s">
        <v>484</v>
      </c>
      <c r="I30" s="59">
        <v>801.05</v>
      </c>
      <c r="J30" s="4" t="s">
        <v>412</v>
      </c>
      <c r="K30" s="59"/>
      <c r="L30" s="59">
        <f t="shared" si="0"/>
        <v>5870991.9799999995</v>
      </c>
    </row>
    <row r="31" spans="1:12" hidden="1" x14ac:dyDescent="0.3">
      <c r="A31" s="52"/>
      <c r="B31" s="53" t="s">
        <v>28</v>
      </c>
      <c r="C31" s="54">
        <v>46091</v>
      </c>
      <c r="D31" s="53" t="s">
        <v>488</v>
      </c>
      <c r="E31" s="53" t="s">
        <v>49</v>
      </c>
      <c r="F31" s="53" t="s">
        <v>489</v>
      </c>
      <c r="G31" s="54">
        <v>46087</v>
      </c>
      <c r="H31" s="53" t="s">
        <v>490</v>
      </c>
      <c r="I31" s="59">
        <v>801.05</v>
      </c>
      <c r="J31" s="4" t="s">
        <v>412</v>
      </c>
      <c r="K31" s="59"/>
      <c r="L31" s="59">
        <f t="shared" si="0"/>
        <v>5871793.0299999993</v>
      </c>
    </row>
    <row r="32" spans="1:12" hidden="1" x14ac:dyDescent="0.3">
      <c r="A32" s="52"/>
      <c r="B32" s="53" t="s">
        <v>28</v>
      </c>
      <c r="C32" s="54">
        <v>46091</v>
      </c>
      <c r="D32" s="53" t="s">
        <v>491</v>
      </c>
      <c r="E32" s="53" t="s">
        <v>49</v>
      </c>
      <c r="F32" s="53" t="s">
        <v>492</v>
      </c>
      <c r="G32" s="54">
        <v>46087</v>
      </c>
      <c r="H32" s="53" t="s">
        <v>493</v>
      </c>
      <c r="I32" s="59">
        <v>824.71</v>
      </c>
      <c r="J32" s="4" t="s">
        <v>412</v>
      </c>
      <c r="K32" s="59"/>
      <c r="L32" s="59">
        <f t="shared" si="0"/>
        <v>5872617.7399999993</v>
      </c>
    </row>
    <row r="33" spans="1:12" hidden="1" x14ac:dyDescent="0.3">
      <c r="A33" s="52"/>
      <c r="B33" s="53" t="s">
        <v>28</v>
      </c>
      <c r="C33" s="54">
        <v>46091</v>
      </c>
      <c r="D33" s="53" t="s">
        <v>485</v>
      </c>
      <c r="E33" s="53" t="s">
        <v>49</v>
      </c>
      <c r="F33" s="53" t="s">
        <v>486</v>
      </c>
      <c r="G33" s="54">
        <v>46087</v>
      </c>
      <c r="H33" s="53" t="s">
        <v>487</v>
      </c>
      <c r="I33" s="59">
        <v>801.05</v>
      </c>
      <c r="J33" s="4" t="s">
        <v>412</v>
      </c>
      <c r="K33" s="59"/>
      <c r="L33" s="59">
        <f t="shared" si="0"/>
        <v>5873418.7899999991</v>
      </c>
    </row>
    <row r="34" spans="1:12" hidden="1" x14ac:dyDescent="0.3">
      <c r="A34" s="52"/>
      <c r="B34" s="53" t="s">
        <v>28</v>
      </c>
      <c r="C34" s="54">
        <v>46097</v>
      </c>
      <c r="D34" s="53" t="s">
        <v>496</v>
      </c>
      <c r="E34" s="53" t="s">
        <v>497</v>
      </c>
      <c r="F34" s="53"/>
      <c r="G34" s="54">
        <v>46080</v>
      </c>
      <c r="H34" s="53" t="s">
        <v>498</v>
      </c>
      <c r="I34" s="59">
        <v>4320</v>
      </c>
      <c r="J34" t="s">
        <v>414</v>
      </c>
      <c r="K34" s="59"/>
      <c r="L34" s="59">
        <f t="shared" si="0"/>
        <v>5877738.7899999991</v>
      </c>
    </row>
    <row r="35" spans="1:12" hidden="1" x14ac:dyDescent="0.3">
      <c r="A35" s="52"/>
      <c r="B35" s="53" t="s">
        <v>28</v>
      </c>
      <c r="C35" s="54">
        <v>46097</v>
      </c>
      <c r="D35" s="53" t="s">
        <v>494</v>
      </c>
      <c r="E35" s="53" t="s">
        <v>103</v>
      </c>
      <c r="F35" s="53"/>
      <c r="G35" s="54">
        <v>46090</v>
      </c>
      <c r="H35" s="53" t="s">
        <v>495</v>
      </c>
      <c r="I35" s="59">
        <v>6000</v>
      </c>
      <c r="J35" s="59"/>
      <c r="K35" s="59"/>
      <c r="L35" s="59">
        <f t="shared" si="0"/>
        <v>5883738.7899999991</v>
      </c>
    </row>
    <row r="36" spans="1:12" hidden="1" x14ac:dyDescent="0.3">
      <c r="A36" s="52"/>
      <c r="B36" s="53" t="s">
        <v>28</v>
      </c>
      <c r="C36" s="54">
        <v>46100</v>
      </c>
      <c r="D36" s="53" t="s">
        <v>499</v>
      </c>
      <c r="E36" s="53" t="s">
        <v>500</v>
      </c>
      <c r="F36" s="53"/>
      <c r="G36" s="54">
        <v>46094</v>
      </c>
      <c r="H36" s="53" t="s">
        <v>501</v>
      </c>
      <c r="I36" s="59">
        <v>2163</v>
      </c>
      <c r="J36" s="59"/>
      <c r="K36" s="59"/>
      <c r="L36" s="59">
        <f t="shared" si="0"/>
        <v>5885901.7899999991</v>
      </c>
    </row>
    <row r="37" spans="1:12" hidden="1" x14ac:dyDescent="0.3">
      <c r="A37" s="52"/>
      <c r="B37" s="53" t="s">
        <v>28</v>
      </c>
      <c r="C37" s="54">
        <v>46100</v>
      </c>
      <c r="D37" s="53" t="s">
        <v>502</v>
      </c>
      <c r="E37" s="53" t="s">
        <v>503</v>
      </c>
      <c r="F37" s="53"/>
      <c r="G37" s="54">
        <v>46085</v>
      </c>
      <c r="H37" s="53" t="s">
        <v>504</v>
      </c>
      <c r="I37" s="59">
        <v>75900</v>
      </c>
      <c r="J37" s="29" t="s">
        <v>754</v>
      </c>
      <c r="K37" s="59"/>
      <c r="L37" s="59">
        <f t="shared" si="0"/>
        <v>5961801.7899999991</v>
      </c>
    </row>
    <row r="38" spans="1:12" hidden="1" x14ac:dyDescent="0.3">
      <c r="A38" s="52"/>
      <c r="B38" s="53" t="s">
        <v>28</v>
      </c>
      <c r="C38" s="54">
        <v>46105</v>
      </c>
      <c r="D38" s="53" t="s">
        <v>505</v>
      </c>
      <c r="E38" s="53" t="s">
        <v>506</v>
      </c>
      <c r="F38" s="53"/>
      <c r="G38" s="54">
        <v>46101</v>
      </c>
      <c r="H38" s="53" t="s">
        <v>507</v>
      </c>
      <c r="I38" s="59">
        <v>15000</v>
      </c>
      <c r="J38" s="29" t="s">
        <v>754</v>
      </c>
      <c r="K38" s="59"/>
      <c r="L38" s="59">
        <f t="shared" si="0"/>
        <v>5976801.7899999991</v>
      </c>
    </row>
    <row r="39" spans="1:12" hidden="1" x14ac:dyDescent="0.3">
      <c r="A39" s="52"/>
      <c r="B39" s="53" t="s">
        <v>28</v>
      </c>
      <c r="C39" s="54">
        <v>46105</v>
      </c>
      <c r="D39" s="53" t="s">
        <v>508</v>
      </c>
      <c r="E39" s="53" t="s">
        <v>509</v>
      </c>
      <c r="F39" s="53" t="s">
        <v>510</v>
      </c>
      <c r="G39" s="54">
        <v>46100</v>
      </c>
      <c r="H39" s="53" t="s">
        <v>511</v>
      </c>
      <c r="I39" s="59">
        <v>22880</v>
      </c>
      <c r="J39" s="29" t="s">
        <v>755</v>
      </c>
      <c r="K39" s="59"/>
      <c r="L39" s="59">
        <f t="shared" si="0"/>
        <v>5999681.7899999991</v>
      </c>
    </row>
    <row r="40" spans="1:12" hidden="1" x14ac:dyDescent="0.3">
      <c r="A40" s="52"/>
      <c r="B40" s="53" t="s">
        <v>28</v>
      </c>
      <c r="C40" s="54">
        <v>46105</v>
      </c>
      <c r="D40" s="53" t="s">
        <v>512</v>
      </c>
      <c r="E40" s="53" t="s">
        <v>513</v>
      </c>
      <c r="F40" s="53" t="s">
        <v>514</v>
      </c>
      <c r="G40" s="54">
        <v>46099</v>
      </c>
      <c r="H40" s="53" t="s">
        <v>515</v>
      </c>
      <c r="I40" s="59">
        <v>7280</v>
      </c>
      <c r="J40" s="29" t="s">
        <v>755</v>
      </c>
      <c r="K40" s="59"/>
      <c r="L40" s="59">
        <f t="shared" si="0"/>
        <v>6006961.7899999991</v>
      </c>
    </row>
    <row r="41" spans="1:12" hidden="1" x14ac:dyDescent="0.3">
      <c r="A41" s="52"/>
      <c r="B41" s="53" t="s">
        <v>28</v>
      </c>
      <c r="C41" s="54">
        <v>46106</v>
      </c>
      <c r="D41" s="53" t="s">
        <v>520</v>
      </c>
      <c r="E41" s="53" t="s">
        <v>517</v>
      </c>
      <c r="F41" s="53" t="s">
        <v>521</v>
      </c>
      <c r="G41" s="54">
        <v>46104</v>
      </c>
      <c r="H41" s="53" t="s">
        <v>522</v>
      </c>
      <c r="I41" s="59">
        <v>1197.5999999999999</v>
      </c>
      <c r="J41" s="4" t="s">
        <v>412</v>
      </c>
      <c r="K41" s="59"/>
      <c r="L41" s="59">
        <f t="shared" si="0"/>
        <v>6008159.3899999987</v>
      </c>
    </row>
    <row r="42" spans="1:12" hidden="1" x14ac:dyDescent="0.3">
      <c r="A42" s="52"/>
      <c r="B42" s="53" t="s">
        <v>28</v>
      </c>
      <c r="C42" s="54">
        <v>46106</v>
      </c>
      <c r="D42" s="53" t="s">
        <v>523</v>
      </c>
      <c r="E42" s="53" t="s">
        <v>106</v>
      </c>
      <c r="F42" s="53"/>
      <c r="G42" s="54">
        <v>46105</v>
      </c>
      <c r="H42" s="53" t="s">
        <v>495</v>
      </c>
      <c r="I42" s="59">
        <v>3122</v>
      </c>
      <c r="J42" s="59"/>
      <c r="K42" s="59"/>
      <c r="L42" s="59">
        <f t="shared" si="0"/>
        <v>6011281.3899999987</v>
      </c>
    </row>
    <row r="43" spans="1:12" hidden="1" x14ac:dyDescent="0.3">
      <c r="A43" s="52"/>
      <c r="B43" s="53" t="s">
        <v>28</v>
      </c>
      <c r="C43" s="54">
        <v>46106</v>
      </c>
      <c r="D43" s="53" t="s">
        <v>516</v>
      </c>
      <c r="E43" s="53" t="s">
        <v>517</v>
      </c>
      <c r="F43" s="53" t="s">
        <v>518</v>
      </c>
      <c r="G43" s="54">
        <v>46104</v>
      </c>
      <c r="H43" s="53" t="s">
        <v>519</v>
      </c>
      <c r="I43" s="59">
        <v>1197.5999999999999</v>
      </c>
      <c r="J43" s="4" t="s">
        <v>412</v>
      </c>
      <c r="K43" s="59"/>
      <c r="L43" s="59">
        <f t="shared" si="0"/>
        <v>6012478.9899999984</v>
      </c>
    </row>
    <row r="44" spans="1:12" hidden="1" x14ac:dyDescent="0.3">
      <c r="A44" s="52"/>
      <c r="B44" s="53" t="s">
        <v>28</v>
      </c>
      <c r="C44" s="54">
        <v>46107</v>
      </c>
      <c r="D44" s="53" t="s">
        <v>524</v>
      </c>
      <c r="E44" s="53" t="s">
        <v>503</v>
      </c>
      <c r="F44" s="53"/>
      <c r="G44" s="54">
        <v>46106</v>
      </c>
      <c r="H44" s="53" t="s">
        <v>525</v>
      </c>
      <c r="I44" s="59">
        <v>29160</v>
      </c>
      <c r="J44" s="29" t="s">
        <v>755</v>
      </c>
      <c r="K44" s="59"/>
      <c r="L44" s="59">
        <f t="shared" si="0"/>
        <v>6041638.9899999984</v>
      </c>
    </row>
    <row r="45" spans="1:12" hidden="1" x14ac:dyDescent="0.3">
      <c r="A45" s="52"/>
      <c r="B45" s="53" t="s">
        <v>28</v>
      </c>
      <c r="C45" s="54">
        <v>46111</v>
      </c>
      <c r="D45" s="53" t="s">
        <v>526</v>
      </c>
      <c r="E45" s="53" t="s">
        <v>99</v>
      </c>
      <c r="F45" s="53"/>
      <c r="G45" s="54">
        <v>46111</v>
      </c>
      <c r="H45" s="53" t="s">
        <v>77</v>
      </c>
      <c r="I45" s="59">
        <v>3500</v>
      </c>
      <c r="J45" s="59"/>
      <c r="K45" s="59"/>
      <c r="L45" s="59">
        <f t="shared" si="0"/>
        <v>6045138.9899999984</v>
      </c>
    </row>
    <row r="46" spans="1:12" hidden="1" x14ac:dyDescent="0.3">
      <c r="A46" s="52"/>
      <c r="B46" s="53" t="s">
        <v>26</v>
      </c>
      <c r="C46" s="54">
        <v>46112</v>
      </c>
      <c r="D46" s="53" t="s">
        <v>1627</v>
      </c>
      <c r="E46" s="53"/>
      <c r="F46" s="53"/>
      <c r="G46" s="54"/>
      <c r="H46" s="53"/>
      <c r="I46" s="59">
        <v>5749.64</v>
      </c>
      <c r="J46" s="59"/>
      <c r="K46" s="59"/>
      <c r="L46" s="59">
        <f t="shared" si="0"/>
        <v>6050888.629999998</v>
      </c>
    </row>
    <row r="47" spans="1:12" hidden="1" x14ac:dyDescent="0.3">
      <c r="A47" s="52"/>
      <c r="B47" s="53" t="s">
        <v>28</v>
      </c>
      <c r="C47" s="54">
        <v>46114</v>
      </c>
      <c r="D47" s="53" t="s">
        <v>837</v>
      </c>
      <c r="E47" s="53" t="s">
        <v>475</v>
      </c>
      <c r="F47" s="53"/>
      <c r="G47" s="54">
        <v>46112</v>
      </c>
      <c r="H47" s="53" t="s">
        <v>838</v>
      </c>
      <c r="I47" s="59">
        <v>1850</v>
      </c>
      <c r="J47" s="59"/>
      <c r="K47" s="59"/>
      <c r="L47" s="59">
        <f t="shared" si="0"/>
        <v>6052738.629999998</v>
      </c>
    </row>
    <row r="48" spans="1:12" hidden="1" x14ac:dyDescent="0.3">
      <c r="A48" s="52"/>
      <c r="B48" s="53" t="s">
        <v>28</v>
      </c>
      <c r="C48" s="54">
        <v>46121</v>
      </c>
      <c r="D48" s="53" t="s">
        <v>839</v>
      </c>
      <c r="E48" s="53" t="s">
        <v>840</v>
      </c>
      <c r="F48" s="53"/>
      <c r="G48" s="54">
        <v>46111</v>
      </c>
      <c r="H48" s="53" t="s">
        <v>841</v>
      </c>
      <c r="I48" s="59">
        <v>2600</v>
      </c>
      <c r="J48" s="59"/>
      <c r="K48" s="59"/>
      <c r="L48" s="59">
        <f t="shared" si="0"/>
        <v>6055338.629999998</v>
      </c>
    </row>
    <row r="49" spans="1:12" hidden="1" x14ac:dyDescent="0.3">
      <c r="A49" s="52"/>
      <c r="B49" s="53" t="s">
        <v>28</v>
      </c>
      <c r="C49" s="54">
        <v>46126</v>
      </c>
      <c r="D49" s="53" t="s">
        <v>842</v>
      </c>
      <c r="E49" s="53" t="s">
        <v>108</v>
      </c>
      <c r="F49" s="53"/>
      <c r="G49" s="54">
        <v>46125</v>
      </c>
      <c r="H49" s="53" t="s">
        <v>843</v>
      </c>
      <c r="I49" s="59">
        <v>16200</v>
      </c>
      <c r="J49" s="29" t="s">
        <v>755</v>
      </c>
      <c r="K49" s="59"/>
      <c r="L49" s="59">
        <f t="shared" si="0"/>
        <v>6071538.629999998</v>
      </c>
    </row>
    <row r="50" spans="1:12" hidden="1" x14ac:dyDescent="0.3">
      <c r="A50" s="52"/>
      <c r="B50" s="53" t="s">
        <v>28</v>
      </c>
      <c r="C50" s="54">
        <v>46127</v>
      </c>
      <c r="D50" s="53" t="s">
        <v>844</v>
      </c>
      <c r="E50" s="53" t="s">
        <v>503</v>
      </c>
      <c r="F50" s="53"/>
      <c r="G50" s="54">
        <v>46122</v>
      </c>
      <c r="H50" s="53" t="s">
        <v>845</v>
      </c>
      <c r="I50" s="59">
        <v>177100</v>
      </c>
      <c r="J50" s="29" t="s">
        <v>755</v>
      </c>
      <c r="K50" s="59"/>
      <c r="L50" s="59">
        <f t="shared" si="0"/>
        <v>6248638.629999998</v>
      </c>
    </row>
    <row r="51" spans="1:12" hidden="1" x14ac:dyDescent="0.3">
      <c r="A51" s="52"/>
      <c r="B51" s="53" t="s">
        <v>28</v>
      </c>
      <c r="C51" s="54">
        <v>46132</v>
      </c>
      <c r="D51" s="53" t="s">
        <v>846</v>
      </c>
      <c r="E51" s="53" t="s">
        <v>103</v>
      </c>
      <c r="F51" s="53"/>
      <c r="G51" s="54">
        <v>46118</v>
      </c>
      <c r="H51" s="53" t="s">
        <v>841</v>
      </c>
      <c r="I51" s="59">
        <v>6000</v>
      </c>
      <c r="J51" s="59"/>
      <c r="K51" s="59"/>
      <c r="L51" s="59">
        <f t="shared" si="0"/>
        <v>6254638.629999998</v>
      </c>
    </row>
    <row r="52" spans="1:12" hidden="1" x14ac:dyDescent="0.3">
      <c r="A52" s="52"/>
      <c r="B52" s="53" t="s">
        <v>28</v>
      </c>
      <c r="C52" s="54">
        <v>46134</v>
      </c>
      <c r="D52" s="53" t="s">
        <v>847</v>
      </c>
      <c r="E52" s="53" t="s">
        <v>848</v>
      </c>
      <c r="F52" s="53" t="s">
        <v>849</v>
      </c>
      <c r="G52" s="54">
        <v>46121</v>
      </c>
      <c r="H52" s="53" t="s">
        <v>850</v>
      </c>
      <c r="I52" s="59">
        <v>12</v>
      </c>
      <c r="J52" s="29" t="s">
        <v>1145</v>
      </c>
      <c r="K52" s="59"/>
      <c r="L52" s="59">
        <f t="shared" si="0"/>
        <v>6254650.629999998</v>
      </c>
    </row>
    <row r="53" spans="1:12" hidden="1" x14ac:dyDescent="0.3">
      <c r="A53" s="52"/>
      <c r="B53" s="53" t="s">
        <v>28</v>
      </c>
      <c r="C53" s="54">
        <v>46139</v>
      </c>
      <c r="D53" s="53" t="s">
        <v>851</v>
      </c>
      <c r="E53" s="53" t="s">
        <v>106</v>
      </c>
      <c r="F53" s="53"/>
      <c r="G53" s="54">
        <v>46136</v>
      </c>
      <c r="H53" s="53" t="s">
        <v>841</v>
      </c>
      <c r="I53" s="59">
        <v>3122</v>
      </c>
      <c r="J53" s="59"/>
      <c r="K53" s="59"/>
      <c r="L53" s="59">
        <f t="shared" si="0"/>
        <v>6257772.629999998</v>
      </c>
    </row>
    <row r="54" spans="1:12" hidden="1" x14ac:dyDescent="0.3">
      <c r="A54" s="52"/>
      <c r="B54" s="53" t="s">
        <v>28</v>
      </c>
      <c r="C54" s="54">
        <v>46139</v>
      </c>
      <c r="D54" s="53" t="s">
        <v>852</v>
      </c>
      <c r="E54" s="53" t="s">
        <v>478</v>
      </c>
      <c r="F54" s="53" t="s">
        <v>853</v>
      </c>
      <c r="G54" s="54">
        <v>46137</v>
      </c>
      <c r="H54" s="53" t="s">
        <v>278</v>
      </c>
      <c r="I54" s="59">
        <v>3310.29</v>
      </c>
      <c r="J54" s="59"/>
      <c r="K54" s="59"/>
      <c r="L54" s="59">
        <f t="shared" si="0"/>
        <v>6261082.9199999981</v>
      </c>
    </row>
    <row r="55" spans="1:12" hidden="1" x14ac:dyDescent="0.3">
      <c r="A55" s="52"/>
      <c r="B55" s="53" t="s">
        <v>28</v>
      </c>
      <c r="C55" s="54">
        <v>46140</v>
      </c>
      <c r="D55" s="53" t="s">
        <v>854</v>
      </c>
      <c r="E55" s="53" t="s">
        <v>475</v>
      </c>
      <c r="F55" s="53"/>
      <c r="G55" s="54">
        <v>46139</v>
      </c>
      <c r="H55" s="53" t="s">
        <v>855</v>
      </c>
      <c r="I55" s="59">
        <v>8000</v>
      </c>
      <c r="J55" s="59"/>
      <c r="K55" s="59"/>
      <c r="L55" s="59">
        <f t="shared" si="0"/>
        <v>6269082.9199999981</v>
      </c>
    </row>
    <row r="56" spans="1:12" hidden="1" x14ac:dyDescent="0.3">
      <c r="A56" s="52"/>
      <c r="B56" s="53" t="s">
        <v>28</v>
      </c>
      <c r="C56" s="54">
        <v>46142</v>
      </c>
      <c r="D56" s="53" t="s">
        <v>856</v>
      </c>
      <c r="E56" s="53" t="s">
        <v>857</v>
      </c>
      <c r="F56" s="53"/>
      <c r="G56" s="54">
        <v>46140</v>
      </c>
      <c r="H56" s="53" t="s">
        <v>858</v>
      </c>
      <c r="I56" s="59">
        <v>44720</v>
      </c>
      <c r="J56" s="29" t="s">
        <v>1145</v>
      </c>
      <c r="K56" s="59"/>
      <c r="L56" s="59">
        <f t="shared" si="0"/>
        <v>6313802.9199999981</v>
      </c>
    </row>
    <row r="57" spans="1:12" hidden="1" x14ac:dyDescent="0.3">
      <c r="A57" s="52"/>
      <c r="B57" s="53" t="s">
        <v>28</v>
      </c>
      <c r="C57" s="54">
        <v>46147</v>
      </c>
      <c r="D57" s="53" t="s">
        <v>1176</v>
      </c>
      <c r="E57" s="53" t="s">
        <v>503</v>
      </c>
      <c r="F57" s="53"/>
      <c r="G57" s="54">
        <v>46147</v>
      </c>
      <c r="H57" s="53" t="s">
        <v>1188</v>
      </c>
      <c r="I57" s="59">
        <v>29160</v>
      </c>
      <c r="J57" s="29" t="s">
        <v>755</v>
      </c>
      <c r="K57" s="59"/>
      <c r="L57" s="59">
        <f t="shared" si="0"/>
        <v>6342962.9199999981</v>
      </c>
    </row>
    <row r="58" spans="1:12" hidden="1" x14ac:dyDescent="0.3">
      <c r="A58" s="52"/>
      <c r="B58" s="53" t="s">
        <v>75</v>
      </c>
      <c r="C58" s="54">
        <v>46147</v>
      </c>
      <c r="D58" s="53" t="s">
        <v>1177</v>
      </c>
      <c r="E58" s="53" t="s">
        <v>857</v>
      </c>
      <c r="F58" s="53"/>
      <c r="G58" s="54">
        <v>46146</v>
      </c>
      <c r="H58" s="53" t="s">
        <v>1189</v>
      </c>
      <c r="I58" s="59"/>
      <c r="J58" s="59"/>
      <c r="K58" s="59">
        <v>44720</v>
      </c>
      <c r="L58" s="59">
        <f t="shared" si="0"/>
        <v>6298242.9199999981</v>
      </c>
    </row>
    <row r="59" spans="1:12" hidden="1" x14ac:dyDescent="0.3">
      <c r="A59" s="52"/>
      <c r="B59" s="53" t="s">
        <v>28</v>
      </c>
      <c r="C59" s="54">
        <v>46148</v>
      </c>
      <c r="D59" s="53" t="s">
        <v>1178</v>
      </c>
      <c r="E59" s="53" t="s">
        <v>118</v>
      </c>
      <c r="F59" s="53" t="s">
        <v>1186</v>
      </c>
      <c r="G59" s="54">
        <v>46146</v>
      </c>
      <c r="H59" s="53" t="s">
        <v>84</v>
      </c>
      <c r="I59" s="59">
        <v>9360</v>
      </c>
      <c r="J59" s="59"/>
      <c r="K59" s="59"/>
      <c r="L59" s="59">
        <f t="shared" si="0"/>
        <v>6307602.9199999981</v>
      </c>
    </row>
    <row r="60" spans="1:12" hidden="1" x14ac:dyDescent="0.3">
      <c r="A60" s="52"/>
      <c r="B60" s="53" t="s">
        <v>28</v>
      </c>
      <c r="C60" s="54">
        <v>46161</v>
      </c>
      <c r="D60" s="53" t="s">
        <v>1179</v>
      </c>
      <c r="E60" s="53" t="s">
        <v>49</v>
      </c>
      <c r="F60" s="53" t="s">
        <v>1187</v>
      </c>
      <c r="G60" s="54">
        <v>46160</v>
      </c>
      <c r="H60" s="53" t="s">
        <v>1190</v>
      </c>
      <c r="I60" s="59">
        <v>4002.05</v>
      </c>
      <c r="J60" s="29" t="s">
        <v>1145</v>
      </c>
      <c r="K60" s="59"/>
      <c r="L60" s="59">
        <f t="shared" si="0"/>
        <v>6311604.9699999979</v>
      </c>
    </row>
    <row r="61" spans="1:12" hidden="1" x14ac:dyDescent="0.3">
      <c r="A61" s="52"/>
      <c r="B61" s="53" t="s">
        <v>28</v>
      </c>
      <c r="C61" s="54">
        <v>46163</v>
      </c>
      <c r="D61" s="53" t="s">
        <v>1180</v>
      </c>
      <c r="E61" s="53" t="s">
        <v>506</v>
      </c>
      <c r="F61" s="53"/>
      <c r="G61" s="54">
        <v>46157</v>
      </c>
      <c r="H61" s="53" t="s">
        <v>1191</v>
      </c>
      <c r="I61" s="59">
        <v>27000</v>
      </c>
      <c r="J61" s="29" t="s">
        <v>755</v>
      </c>
      <c r="K61" s="59"/>
      <c r="L61" s="59">
        <f t="shared" si="0"/>
        <v>6338604.9699999979</v>
      </c>
    </row>
    <row r="62" spans="1:12" hidden="1" x14ac:dyDescent="0.3">
      <c r="A62" s="52"/>
      <c r="B62" s="53" t="s">
        <v>28</v>
      </c>
      <c r="C62" s="54">
        <v>46164</v>
      </c>
      <c r="D62" s="53" t="s">
        <v>1181</v>
      </c>
      <c r="E62" s="53" t="s">
        <v>478</v>
      </c>
      <c r="F62" s="53" t="s">
        <v>853</v>
      </c>
      <c r="G62" s="54">
        <v>46164</v>
      </c>
      <c r="H62" s="53" t="s">
        <v>813</v>
      </c>
      <c r="I62" s="59">
        <v>5200</v>
      </c>
      <c r="J62" s="59"/>
      <c r="K62" s="59"/>
      <c r="L62" s="59">
        <f t="shared" si="0"/>
        <v>6343804.9699999979</v>
      </c>
    </row>
    <row r="63" spans="1:12" hidden="1" x14ac:dyDescent="0.3">
      <c r="A63" s="52"/>
      <c r="B63" s="53" t="s">
        <v>28</v>
      </c>
      <c r="C63" s="54">
        <v>46167</v>
      </c>
      <c r="D63" s="53" t="s">
        <v>1182</v>
      </c>
      <c r="E63" s="53" t="s">
        <v>503</v>
      </c>
      <c r="F63" s="53" t="s">
        <v>2013</v>
      </c>
      <c r="G63" s="54">
        <v>46161</v>
      </c>
      <c r="H63" s="53" t="s">
        <v>1192</v>
      </c>
      <c r="I63" s="59">
        <v>29330</v>
      </c>
      <c r="J63" s="29" t="s">
        <v>755</v>
      </c>
      <c r="K63" s="59"/>
      <c r="L63" s="59">
        <f t="shared" si="0"/>
        <v>6373134.9699999979</v>
      </c>
    </row>
    <row r="64" spans="1:12" hidden="1" x14ac:dyDescent="0.3">
      <c r="A64" s="52"/>
      <c r="B64" s="53" t="s">
        <v>28</v>
      </c>
      <c r="C64" s="54">
        <v>46167</v>
      </c>
      <c r="D64" s="53" t="s">
        <v>1183</v>
      </c>
      <c r="E64" s="53" t="s">
        <v>1185</v>
      </c>
      <c r="F64" s="53"/>
      <c r="G64" s="54">
        <v>46157</v>
      </c>
      <c r="H64" s="53" t="s">
        <v>1193</v>
      </c>
      <c r="I64" s="59">
        <v>45000</v>
      </c>
      <c r="J64" s="29" t="s">
        <v>755</v>
      </c>
      <c r="K64" s="59"/>
      <c r="L64" s="59">
        <f t="shared" si="0"/>
        <v>6418134.9699999979</v>
      </c>
    </row>
    <row r="65" spans="1:12" hidden="1" x14ac:dyDescent="0.3">
      <c r="A65" s="52"/>
      <c r="B65" s="53" t="s">
        <v>28</v>
      </c>
      <c r="C65" s="54">
        <v>46171</v>
      </c>
      <c r="D65" s="53" t="s">
        <v>1184</v>
      </c>
      <c r="E65" s="53" t="s">
        <v>475</v>
      </c>
      <c r="F65" s="53"/>
      <c r="G65" s="54">
        <v>46169</v>
      </c>
      <c r="H65" s="53" t="s">
        <v>1194</v>
      </c>
      <c r="I65" s="59">
        <v>4125</v>
      </c>
      <c r="J65" s="59"/>
      <c r="K65" s="59"/>
      <c r="L65" s="59">
        <f t="shared" si="0"/>
        <v>6422259.9699999979</v>
      </c>
    </row>
    <row r="66" spans="1:12" hidden="1" x14ac:dyDescent="0.3">
      <c r="A66" s="52"/>
      <c r="B66" s="53" t="s">
        <v>26</v>
      </c>
      <c r="C66" s="54">
        <v>46173</v>
      </c>
      <c r="D66" s="53" t="s">
        <v>1469</v>
      </c>
      <c r="E66" s="53"/>
      <c r="F66" s="53"/>
      <c r="G66" s="54"/>
      <c r="H66" s="53"/>
      <c r="I66" s="59">
        <v>6000</v>
      </c>
      <c r="J66" s="59"/>
      <c r="K66" s="59"/>
      <c r="L66" s="59">
        <f t="shared" si="0"/>
        <v>6428259.9699999979</v>
      </c>
    </row>
    <row r="67" spans="1:12" hidden="1" x14ac:dyDescent="0.3">
      <c r="A67" s="52"/>
      <c r="B67" s="53" t="s">
        <v>26</v>
      </c>
      <c r="C67" s="54">
        <v>46173</v>
      </c>
      <c r="D67" s="53" t="s">
        <v>1585</v>
      </c>
      <c r="E67" s="53"/>
      <c r="F67" s="53"/>
      <c r="G67" s="54"/>
      <c r="H67" s="53"/>
      <c r="I67" s="59">
        <v>60641.599999999999</v>
      </c>
      <c r="J67" s="29" t="s">
        <v>755</v>
      </c>
      <c r="K67" s="59"/>
      <c r="L67" s="59">
        <f t="shared" si="0"/>
        <v>6488901.5699999975</v>
      </c>
    </row>
    <row r="68" spans="1:12" hidden="1" x14ac:dyDescent="0.3">
      <c r="A68" s="52"/>
      <c r="B68" s="53" t="s">
        <v>26</v>
      </c>
      <c r="C68" s="54">
        <v>46173</v>
      </c>
      <c r="D68" s="53" t="s">
        <v>1464</v>
      </c>
      <c r="E68" s="53"/>
      <c r="F68" s="53"/>
      <c r="G68" s="54"/>
      <c r="H68" s="53"/>
      <c r="I68" s="59">
        <v>552</v>
      </c>
      <c r="J68" s="59"/>
      <c r="K68" s="59"/>
      <c r="L68" s="59">
        <f t="shared" si="0"/>
        <v>6489453.5699999975</v>
      </c>
    </row>
    <row r="69" spans="1:12" hidden="1" x14ac:dyDescent="0.3">
      <c r="A69" s="52"/>
      <c r="B69" s="53" t="s">
        <v>28</v>
      </c>
      <c r="C69" s="54">
        <v>46177</v>
      </c>
      <c r="D69" s="53" t="s">
        <v>1586</v>
      </c>
      <c r="E69" s="53" t="s">
        <v>103</v>
      </c>
      <c r="F69" s="53"/>
      <c r="G69" s="54">
        <v>46177</v>
      </c>
      <c r="H69" s="53" t="s">
        <v>39</v>
      </c>
      <c r="I69" s="59">
        <v>6000</v>
      </c>
      <c r="J69" s="59"/>
      <c r="K69" s="59"/>
      <c r="L69" s="59">
        <f t="shared" si="0"/>
        <v>6495453.5699999975</v>
      </c>
    </row>
    <row r="70" spans="1:12" hidden="1" x14ac:dyDescent="0.3">
      <c r="A70" s="52"/>
      <c r="B70" s="53" t="s">
        <v>28</v>
      </c>
      <c r="C70" s="54">
        <v>46177</v>
      </c>
      <c r="D70" s="53" t="s">
        <v>1587</v>
      </c>
      <c r="E70" s="53" t="s">
        <v>513</v>
      </c>
      <c r="F70" s="53" t="s">
        <v>1606</v>
      </c>
      <c r="G70" s="54">
        <v>46176</v>
      </c>
      <c r="H70" s="53" t="s">
        <v>1615</v>
      </c>
      <c r="I70" s="59">
        <v>12558</v>
      </c>
      <c r="J70" s="29" t="s">
        <v>755</v>
      </c>
      <c r="K70" s="59"/>
      <c r="L70" s="59">
        <f t="shared" si="0"/>
        <v>6508011.5699999975</v>
      </c>
    </row>
    <row r="71" spans="1:12" hidden="1" x14ac:dyDescent="0.3">
      <c r="A71" s="52"/>
      <c r="B71" s="53" t="s">
        <v>28</v>
      </c>
      <c r="C71" s="54">
        <v>46182</v>
      </c>
      <c r="D71" s="53" t="s">
        <v>1588</v>
      </c>
      <c r="E71" s="53" t="s">
        <v>49</v>
      </c>
      <c r="F71" s="53" t="s">
        <v>1607</v>
      </c>
      <c r="G71" s="54">
        <v>46182</v>
      </c>
      <c r="H71" s="53" t="s">
        <v>1616</v>
      </c>
      <c r="I71" s="59">
        <v>149.85</v>
      </c>
      <c r="J71" s="29" t="s">
        <v>1145</v>
      </c>
      <c r="K71" s="59"/>
      <c r="L71" s="59">
        <f t="shared" si="0"/>
        <v>6508161.4199999971</v>
      </c>
    </row>
    <row r="72" spans="1:12" hidden="1" x14ac:dyDescent="0.3">
      <c r="A72" s="52"/>
      <c r="B72" s="53" t="s">
        <v>28</v>
      </c>
      <c r="C72" s="54">
        <v>46184</v>
      </c>
      <c r="D72" s="53" t="s">
        <v>1589</v>
      </c>
      <c r="E72" s="53" t="s">
        <v>436</v>
      </c>
      <c r="F72" s="53" t="s">
        <v>1608</v>
      </c>
      <c r="G72" s="54">
        <v>46184</v>
      </c>
      <c r="H72" s="53" t="s">
        <v>1617</v>
      </c>
      <c r="I72" s="59">
        <v>4680</v>
      </c>
      <c r="J72" s="59"/>
      <c r="K72" s="59"/>
      <c r="L72" s="59">
        <f t="shared" si="0"/>
        <v>6512841.4199999971</v>
      </c>
    </row>
    <row r="73" spans="1:12" hidden="1" x14ac:dyDescent="0.3">
      <c r="A73" s="52"/>
      <c r="B73" s="53" t="s">
        <v>28</v>
      </c>
      <c r="C73" s="54">
        <v>46184</v>
      </c>
      <c r="D73" s="53" t="s">
        <v>1590</v>
      </c>
      <c r="E73" s="53" t="s">
        <v>115</v>
      </c>
      <c r="F73" s="53"/>
      <c r="G73" s="54">
        <v>46183</v>
      </c>
      <c r="H73" s="53" t="s">
        <v>1618</v>
      </c>
      <c r="I73" s="59">
        <v>1400</v>
      </c>
      <c r="J73" s="59"/>
      <c r="K73" s="59"/>
      <c r="L73" s="59">
        <f t="shared" si="0"/>
        <v>6514241.4199999971</v>
      </c>
    </row>
    <row r="74" spans="1:12" hidden="1" x14ac:dyDescent="0.3">
      <c r="A74" s="52"/>
      <c r="B74" s="53" t="s">
        <v>28</v>
      </c>
      <c r="C74" s="54">
        <v>46189</v>
      </c>
      <c r="D74" s="53" t="s">
        <v>1591</v>
      </c>
      <c r="E74" s="53" t="s">
        <v>49</v>
      </c>
      <c r="F74" s="53" t="s">
        <v>1609</v>
      </c>
      <c r="G74" s="54">
        <v>46185</v>
      </c>
      <c r="H74" s="53" t="s">
        <v>1619</v>
      </c>
      <c r="I74" s="59">
        <v>2478.75</v>
      </c>
      <c r="J74" s="29" t="s">
        <v>1145</v>
      </c>
      <c r="K74" s="59"/>
      <c r="L74" s="59">
        <f t="shared" si="0"/>
        <v>6516720.1699999971</v>
      </c>
    </row>
    <row r="75" spans="1:12" hidden="1" x14ac:dyDescent="0.3">
      <c r="A75" s="52"/>
      <c r="B75" s="53" t="s">
        <v>28</v>
      </c>
      <c r="C75" s="54">
        <v>46189</v>
      </c>
      <c r="D75" s="53" t="s">
        <v>1592</v>
      </c>
      <c r="E75" s="53" t="s">
        <v>49</v>
      </c>
      <c r="F75" s="53" t="s">
        <v>1610</v>
      </c>
      <c r="G75" s="54">
        <v>46185</v>
      </c>
      <c r="H75" s="53" t="s">
        <v>1620</v>
      </c>
      <c r="I75" s="59">
        <v>146.85</v>
      </c>
      <c r="J75" s="29" t="s">
        <v>1145</v>
      </c>
      <c r="K75" s="59"/>
      <c r="L75" s="59">
        <f t="shared" ref="L75:L122" si="1">L74+I75-K75</f>
        <v>6516867.0199999968</v>
      </c>
    </row>
    <row r="76" spans="1:12" hidden="1" x14ac:dyDescent="0.3">
      <c r="A76" s="52"/>
      <c r="B76" s="53" t="s">
        <v>28</v>
      </c>
      <c r="C76" s="54">
        <v>46192</v>
      </c>
      <c r="D76" s="53" t="s">
        <v>1593</v>
      </c>
      <c r="E76" s="53" t="s">
        <v>1594</v>
      </c>
      <c r="F76" s="53" t="s">
        <v>1611</v>
      </c>
      <c r="G76" s="54">
        <v>46191</v>
      </c>
      <c r="H76" s="53" t="s">
        <v>1621</v>
      </c>
      <c r="I76" s="59">
        <v>22048</v>
      </c>
      <c r="J76" s="29" t="s">
        <v>1145</v>
      </c>
      <c r="K76" s="59"/>
      <c r="L76" s="59">
        <f t="shared" si="1"/>
        <v>6538915.0199999968</v>
      </c>
    </row>
    <row r="77" spans="1:12" hidden="1" x14ac:dyDescent="0.3">
      <c r="A77" s="52"/>
      <c r="B77" s="53" t="s">
        <v>28</v>
      </c>
      <c r="C77" s="54">
        <v>46195</v>
      </c>
      <c r="D77" s="53" t="s">
        <v>1595</v>
      </c>
      <c r="E77" s="53" t="s">
        <v>1596</v>
      </c>
      <c r="F77" s="53"/>
      <c r="G77" s="54">
        <v>46195</v>
      </c>
      <c r="H77" s="53" t="s">
        <v>704</v>
      </c>
      <c r="I77" s="59">
        <v>1040</v>
      </c>
      <c r="J77" s="59"/>
      <c r="K77" s="59"/>
      <c r="L77" s="59">
        <f t="shared" si="1"/>
        <v>6539955.0199999968</v>
      </c>
    </row>
    <row r="78" spans="1:12" hidden="1" x14ac:dyDescent="0.3">
      <c r="A78" s="52"/>
      <c r="B78" s="53" t="s">
        <v>28</v>
      </c>
      <c r="C78" s="54">
        <v>46196</v>
      </c>
      <c r="D78" s="53" t="s">
        <v>1597</v>
      </c>
      <c r="E78" s="53" t="s">
        <v>49</v>
      </c>
      <c r="F78" s="53" t="s">
        <v>1612</v>
      </c>
      <c r="G78" s="54">
        <v>46195</v>
      </c>
      <c r="H78" s="53" t="s">
        <v>1622</v>
      </c>
      <c r="I78" s="59">
        <v>2473.09</v>
      </c>
      <c r="J78" s="29" t="s">
        <v>1145</v>
      </c>
      <c r="K78" s="59"/>
      <c r="L78" s="59">
        <f t="shared" si="1"/>
        <v>6542428.1099999966</v>
      </c>
    </row>
    <row r="79" spans="1:12" hidden="1" x14ac:dyDescent="0.3">
      <c r="A79" s="52"/>
      <c r="B79" s="53" t="s">
        <v>28</v>
      </c>
      <c r="C79" s="54">
        <v>46197</v>
      </c>
      <c r="D79" s="53" t="s">
        <v>1598</v>
      </c>
      <c r="E79" s="53" t="s">
        <v>106</v>
      </c>
      <c r="F79" s="53"/>
      <c r="G79" s="54">
        <v>46197</v>
      </c>
      <c r="H79" s="53" t="s">
        <v>119</v>
      </c>
      <c r="I79" s="59">
        <v>3122</v>
      </c>
      <c r="J79" s="59"/>
      <c r="K79" s="59"/>
      <c r="L79" s="59">
        <f t="shared" si="1"/>
        <v>6545550.1099999966</v>
      </c>
    </row>
    <row r="80" spans="1:12" hidden="1" x14ac:dyDescent="0.3">
      <c r="A80" s="52"/>
      <c r="B80" s="53" t="s">
        <v>28</v>
      </c>
      <c r="C80" s="54">
        <v>46197</v>
      </c>
      <c r="D80" s="53" t="s">
        <v>1599</v>
      </c>
      <c r="E80" s="53" t="s">
        <v>1600</v>
      </c>
      <c r="F80" s="53"/>
      <c r="G80" s="54">
        <v>46172</v>
      </c>
      <c r="H80" s="53" t="s">
        <v>1623</v>
      </c>
      <c r="I80" s="59">
        <v>2496</v>
      </c>
      <c r="J80" s="59"/>
      <c r="K80" s="59"/>
      <c r="L80" s="59">
        <f t="shared" si="1"/>
        <v>6548046.1099999966</v>
      </c>
    </row>
    <row r="81" spans="1:12" hidden="1" x14ac:dyDescent="0.3">
      <c r="A81" s="52"/>
      <c r="B81" s="53" t="s">
        <v>28</v>
      </c>
      <c r="C81" s="54">
        <v>46198</v>
      </c>
      <c r="D81" s="53" t="s">
        <v>1601</v>
      </c>
      <c r="E81" s="53" t="s">
        <v>513</v>
      </c>
      <c r="F81" s="53" t="s">
        <v>1613</v>
      </c>
      <c r="G81" s="54">
        <v>46198</v>
      </c>
      <c r="H81" s="53" t="s">
        <v>1624</v>
      </c>
      <c r="I81" s="59">
        <v>9568</v>
      </c>
      <c r="J81" t="s">
        <v>755</v>
      </c>
      <c r="K81" s="59"/>
      <c r="L81" s="59">
        <f t="shared" si="1"/>
        <v>6557614.1099999966</v>
      </c>
    </row>
    <row r="82" spans="1:12" hidden="1" x14ac:dyDescent="0.3">
      <c r="A82" s="52"/>
      <c r="B82" s="53" t="s">
        <v>28</v>
      </c>
      <c r="C82" s="54">
        <v>46199</v>
      </c>
      <c r="D82" s="53" t="s">
        <v>1602</v>
      </c>
      <c r="E82" s="53" t="s">
        <v>1603</v>
      </c>
      <c r="F82" s="53" t="s">
        <v>2014</v>
      </c>
      <c r="G82" s="54">
        <v>46199</v>
      </c>
      <c r="H82" s="53" t="s">
        <v>495</v>
      </c>
      <c r="I82" s="59">
        <v>50000</v>
      </c>
      <c r="J82" t="s">
        <v>755</v>
      </c>
      <c r="K82" s="59"/>
      <c r="L82" s="59">
        <f t="shared" si="1"/>
        <v>6607614.1099999966</v>
      </c>
    </row>
    <row r="83" spans="1:12" hidden="1" x14ac:dyDescent="0.3">
      <c r="A83" s="52"/>
      <c r="B83" s="53" t="s">
        <v>26</v>
      </c>
      <c r="C83" s="54">
        <v>46203</v>
      </c>
      <c r="D83" s="53" t="s">
        <v>1490</v>
      </c>
      <c r="E83" s="53"/>
      <c r="F83" s="53"/>
      <c r="G83" s="54"/>
      <c r="H83" s="53"/>
      <c r="I83" s="59">
        <v>43600</v>
      </c>
      <c r="J83" t="s">
        <v>755</v>
      </c>
      <c r="K83" s="59"/>
      <c r="L83" s="59">
        <f t="shared" si="1"/>
        <v>6651214.1099999966</v>
      </c>
    </row>
    <row r="84" spans="1:12" hidden="1" x14ac:dyDescent="0.3">
      <c r="A84" s="52"/>
      <c r="B84" s="53" t="s">
        <v>26</v>
      </c>
      <c r="C84" s="54">
        <v>46203</v>
      </c>
      <c r="D84" s="53" t="s">
        <v>1496</v>
      </c>
      <c r="E84" s="53"/>
      <c r="F84" s="53"/>
      <c r="G84" s="54"/>
      <c r="H84" s="53"/>
      <c r="I84" s="59">
        <v>5800</v>
      </c>
      <c r="K84" s="59"/>
      <c r="L84" s="59">
        <f t="shared" si="1"/>
        <v>6657014.1099999966</v>
      </c>
    </row>
    <row r="85" spans="1:12" hidden="1" x14ac:dyDescent="0.3">
      <c r="A85" s="52"/>
      <c r="B85" s="53" t="s">
        <v>26</v>
      </c>
      <c r="C85" s="54">
        <v>46203</v>
      </c>
      <c r="D85" s="53" t="s">
        <v>1494</v>
      </c>
      <c r="E85" s="53" t="s">
        <v>1885</v>
      </c>
      <c r="F85" s="53"/>
      <c r="G85" s="54"/>
      <c r="H85" s="53"/>
      <c r="I85" s="59">
        <v>43600</v>
      </c>
      <c r="J85" t="s">
        <v>755</v>
      </c>
      <c r="K85" s="59"/>
      <c r="L85" s="59">
        <f t="shared" si="1"/>
        <v>6700614.1099999966</v>
      </c>
    </row>
    <row r="86" spans="1:12" hidden="1" x14ac:dyDescent="0.3">
      <c r="A86" s="52"/>
      <c r="B86" s="53" t="s">
        <v>26</v>
      </c>
      <c r="C86" s="54">
        <v>46203</v>
      </c>
      <c r="D86" s="53" t="s">
        <v>1497</v>
      </c>
      <c r="E86" s="53"/>
      <c r="F86" s="53"/>
      <c r="G86" s="54"/>
      <c r="H86" s="53"/>
      <c r="I86" s="59">
        <v>220</v>
      </c>
      <c r="J86" s="59"/>
      <c r="K86" s="59"/>
      <c r="L86" s="59">
        <f t="shared" si="1"/>
        <v>6700834.1099999966</v>
      </c>
    </row>
    <row r="87" spans="1:12" hidden="1" x14ac:dyDescent="0.3">
      <c r="A87" s="52"/>
      <c r="B87" s="53" t="s">
        <v>28</v>
      </c>
      <c r="C87" s="54">
        <v>46203</v>
      </c>
      <c r="D87" s="53" t="s">
        <v>1605</v>
      </c>
      <c r="E87" s="53" t="s">
        <v>115</v>
      </c>
      <c r="F87" s="53"/>
      <c r="G87" s="54">
        <v>46203</v>
      </c>
      <c r="H87" s="53" t="s">
        <v>1626</v>
      </c>
      <c r="I87" s="59">
        <v>1400</v>
      </c>
      <c r="J87" s="59"/>
      <c r="K87" s="59"/>
      <c r="L87" s="59">
        <f t="shared" si="1"/>
        <v>6702234.1099999966</v>
      </c>
    </row>
    <row r="88" spans="1:12" ht="20.399999999999999" hidden="1" x14ac:dyDescent="0.3">
      <c r="A88" s="52"/>
      <c r="B88" s="53" t="s">
        <v>28</v>
      </c>
      <c r="C88" s="54">
        <v>46203</v>
      </c>
      <c r="D88" s="53" t="s">
        <v>1604</v>
      </c>
      <c r="E88" s="53" t="s">
        <v>497</v>
      </c>
      <c r="F88" s="66" t="s">
        <v>2092</v>
      </c>
      <c r="G88" s="54">
        <v>46195</v>
      </c>
      <c r="H88" s="53" t="s">
        <v>1625</v>
      </c>
      <c r="I88" s="59">
        <v>5000</v>
      </c>
      <c r="J88" s="59"/>
      <c r="K88" s="59"/>
      <c r="L88" s="59">
        <f t="shared" si="1"/>
        <v>6707234.1099999966</v>
      </c>
    </row>
    <row r="89" spans="1:12" hidden="1" x14ac:dyDescent="0.3">
      <c r="A89" s="52"/>
      <c r="B89" s="53" t="s">
        <v>28</v>
      </c>
      <c r="C89" s="54">
        <v>46209</v>
      </c>
      <c r="D89" s="53" t="s">
        <v>2015</v>
      </c>
      <c r="E89" s="53" t="s">
        <v>103</v>
      </c>
      <c r="F89" s="53"/>
      <c r="G89" s="54">
        <v>46206</v>
      </c>
      <c r="H89" s="53" t="s">
        <v>119</v>
      </c>
      <c r="I89" s="59">
        <v>6000</v>
      </c>
      <c r="J89" s="59"/>
      <c r="K89" s="59"/>
      <c r="L89" s="59">
        <f t="shared" si="1"/>
        <v>6713234.1099999966</v>
      </c>
    </row>
    <row r="90" spans="1:12" hidden="1" x14ac:dyDescent="0.3">
      <c r="A90" s="52"/>
      <c r="B90" s="53" t="s">
        <v>28</v>
      </c>
      <c r="C90" s="54">
        <v>46209</v>
      </c>
      <c r="D90" s="53" t="s">
        <v>2016</v>
      </c>
      <c r="E90" s="53" t="s">
        <v>108</v>
      </c>
      <c r="F90" s="53"/>
      <c r="G90" s="54">
        <v>46206</v>
      </c>
      <c r="H90" s="53" t="s">
        <v>2017</v>
      </c>
      <c r="I90" s="73">
        <v>20450</v>
      </c>
      <c r="J90" s="59" t="s">
        <v>2583</v>
      </c>
      <c r="K90" s="59"/>
      <c r="L90" s="59">
        <f t="shared" si="1"/>
        <v>6733684.1099999966</v>
      </c>
    </row>
    <row r="91" spans="1:12" hidden="1" x14ac:dyDescent="0.3">
      <c r="A91" s="52"/>
      <c r="B91" s="53" t="s">
        <v>28</v>
      </c>
      <c r="C91" s="54">
        <v>46211</v>
      </c>
      <c r="D91" s="53" t="s">
        <v>2018</v>
      </c>
      <c r="E91" s="53" t="s">
        <v>1987</v>
      </c>
      <c r="F91" s="53"/>
      <c r="G91" s="54">
        <v>46203</v>
      </c>
      <c r="H91" s="53" t="s">
        <v>2019</v>
      </c>
      <c r="I91" s="59">
        <v>750</v>
      </c>
      <c r="J91" s="59"/>
      <c r="K91" s="59"/>
      <c r="L91" s="59">
        <f t="shared" si="1"/>
        <v>6734434.1099999966</v>
      </c>
    </row>
    <row r="92" spans="1:12" ht="30.6" hidden="1" x14ac:dyDescent="0.3">
      <c r="A92" s="52"/>
      <c r="B92" s="53" t="s">
        <v>28</v>
      </c>
      <c r="C92" s="54">
        <v>46213</v>
      </c>
      <c r="D92" s="53" t="s">
        <v>2020</v>
      </c>
      <c r="E92" s="53" t="s">
        <v>2021</v>
      </c>
      <c r="F92" s="66" t="s">
        <v>2584</v>
      </c>
      <c r="G92" s="54">
        <v>46211</v>
      </c>
      <c r="H92" s="53" t="s">
        <v>2022</v>
      </c>
      <c r="I92" s="73">
        <v>8320</v>
      </c>
      <c r="J92" s="59" t="s">
        <v>754</v>
      </c>
      <c r="K92" s="59"/>
      <c r="L92" s="59">
        <f t="shared" si="1"/>
        <v>6742754.1099999966</v>
      </c>
    </row>
    <row r="93" spans="1:12" hidden="1" x14ac:dyDescent="0.3">
      <c r="A93" s="52"/>
      <c r="B93" s="53" t="s">
        <v>28</v>
      </c>
      <c r="C93" s="54">
        <v>46216</v>
      </c>
      <c r="D93" s="53" t="s">
        <v>2023</v>
      </c>
      <c r="E93" s="53" t="s">
        <v>49</v>
      </c>
      <c r="F93" s="53" t="s">
        <v>2024</v>
      </c>
      <c r="G93" s="54">
        <v>46213</v>
      </c>
      <c r="H93" s="53" t="s">
        <v>2025</v>
      </c>
      <c r="I93" s="73">
        <v>146.85</v>
      </c>
      <c r="J93" s="59" t="s">
        <v>1145</v>
      </c>
      <c r="K93" s="59"/>
      <c r="L93" s="59">
        <f t="shared" si="1"/>
        <v>6742900.9599999962</v>
      </c>
    </row>
    <row r="94" spans="1:12" hidden="1" x14ac:dyDescent="0.3">
      <c r="A94" s="52"/>
      <c r="B94" s="53" t="s">
        <v>28</v>
      </c>
      <c r="C94" s="54">
        <v>46216</v>
      </c>
      <c r="D94" s="53" t="s">
        <v>2026</v>
      </c>
      <c r="E94" s="53" t="s">
        <v>49</v>
      </c>
      <c r="F94" s="53" t="s">
        <v>2027</v>
      </c>
      <c r="G94" s="54">
        <v>46213</v>
      </c>
      <c r="H94" s="53" t="s">
        <v>2028</v>
      </c>
      <c r="I94" s="73">
        <v>149.85</v>
      </c>
      <c r="J94" s="59" t="s">
        <v>1145</v>
      </c>
      <c r="K94" s="59"/>
      <c r="L94" s="59">
        <f t="shared" si="1"/>
        <v>6743050.8099999959</v>
      </c>
    </row>
    <row r="95" spans="1:12" hidden="1" x14ac:dyDescent="0.3">
      <c r="A95" s="52"/>
      <c r="B95" s="53" t="s">
        <v>28</v>
      </c>
      <c r="C95" s="54">
        <v>46223</v>
      </c>
      <c r="D95" s="53" t="s">
        <v>2029</v>
      </c>
      <c r="E95" s="53" t="s">
        <v>2030</v>
      </c>
      <c r="F95" s="53"/>
      <c r="G95" s="54">
        <v>46216</v>
      </c>
      <c r="H95" s="53" t="s">
        <v>2031</v>
      </c>
      <c r="I95" s="73">
        <v>9360</v>
      </c>
      <c r="J95" s="59" t="s">
        <v>1145</v>
      </c>
      <c r="K95" s="59"/>
      <c r="L95" s="59">
        <f t="shared" si="1"/>
        <v>6752410.8099999959</v>
      </c>
    </row>
    <row r="96" spans="1:12" hidden="1" x14ac:dyDescent="0.3">
      <c r="A96" s="52"/>
      <c r="B96" s="53" t="s">
        <v>28</v>
      </c>
      <c r="C96" s="54">
        <v>46223</v>
      </c>
      <c r="D96" s="53" t="s">
        <v>2032</v>
      </c>
      <c r="E96" s="53" t="s">
        <v>2033</v>
      </c>
      <c r="F96" s="53" t="s">
        <v>2034</v>
      </c>
      <c r="G96" s="54">
        <v>46216</v>
      </c>
      <c r="H96" s="53" t="s">
        <v>2035</v>
      </c>
      <c r="I96" s="73">
        <v>2450.39</v>
      </c>
      <c r="J96" s="59" t="s">
        <v>1145</v>
      </c>
      <c r="K96" s="59"/>
      <c r="L96" s="59">
        <f t="shared" si="1"/>
        <v>6754861.1999999955</v>
      </c>
    </row>
    <row r="97" spans="1:12" hidden="1" x14ac:dyDescent="0.3">
      <c r="A97" s="52"/>
      <c r="B97" s="53" t="s">
        <v>28</v>
      </c>
      <c r="C97" s="54">
        <v>46225</v>
      </c>
      <c r="D97" s="53" t="s">
        <v>2036</v>
      </c>
      <c r="E97" s="53" t="s">
        <v>2037</v>
      </c>
      <c r="F97" s="53" t="s">
        <v>2038</v>
      </c>
      <c r="G97" s="54">
        <v>46223</v>
      </c>
      <c r="H97" s="53" t="s">
        <v>2039</v>
      </c>
      <c r="I97" s="59">
        <v>3838.46</v>
      </c>
      <c r="J97" s="59"/>
      <c r="K97" s="59"/>
      <c r="L97" s="59">
        <f t="shared" si="1"/>
        <v>6758699.6599999955</v>
      </c>
    </row>
    <row r="98" spans="1:12" hidden="1" x14ac:dyDescent="0.3">
      <c r="A98" s="52"/>
      <c r="B98" s="53" t="s">
        <v>28</v>
      </c>
      <c r="C98" s="54">
        <v>46225</v>
      </c>
      <c r="D98" s="53" t="s">
        <v>2040</v>
      </c>
      <c r="E98" s="53" t="s">
        <v>2037</v>
      </c>
      <c r="F98" s="53" t="s">
        <v>2041</v>
      </c>
      <c r="G98" s="54">
        <v>46223</v>
      </c>
      <c r="H98" s="53" t="s">
        <v>2042</v>
      </c>
      <c r="I98" s="59">
        <v>1581.87</v>
      </c>
      <c r="J98" s="59"/>
      <c r="K98" s="59"/>
      <c r="L98" s="59">
        <f t="shared" si="1"/>
        <v>6760281.5299999956</v>
      </c>
    </row>
    <row r="99" spans="1:12" hidden="1" x14ac:dyDescent="0.3">
      <c r="A99" s="52"/>
      <c r="B99" s="53" t="s">
        <v>28</v>
      </c>
      <c r="C99" s="54">
        <v>46225</v>
      </c>
      <c r="D99" s="53" t="s">
        <v>2043</v>
      </c>
      <c r="E99" s="53" t="s">
        <v>2037</v>
      </c>
      <c r="F99" s="53" t="s">
        <v>2044</v>
      </c>
      <c r="G99" s="54">
        <v>46223</v>
      </c>
      <c r="H99" s="53" t="s">
        <v>2045</v>
      </c>
      <c r="I99" s="59">
        <v>2954.35</v>
      </c>
      <c r="J99" s="59"/>
      <c r="K99" s="59"/>
      <c r="L99" s="59">
        <f t="shared" si="1"/>
        <v>6763235.8799999952</v>
      </c>
    </row>
    <row r="100" spans="1:12" hidden="1" x14ac:dyDescent="0.3">
      <c r="A100" s="52"/>
      <c r="B100" s="53" t="s">
        <v>28</v>
      </c>
      <c r="C100" s="54">
        <v>46227</v>
      </c>
      <c r="D100" s="53" t="s">
        <v>2046</v>
      </c>
      <c r="E100" s="53" t="s">
        <v>106</v>
      </c>
      <c r="F100" s="53"/>
      <c r="G100" s="54">
        <v>46227</v>
      </c>
      <c r="H100" s="53" t="s">
        <v>2047</v>
      </c>
      <c r="I100" s="59">
        <v>3122</v>
      </c>
      <c r="J100" s="59"/>
      <c r="K100" s="59"/>
      <c r="L100" s="59">
        <f t="shared" si="1"/>
        <v>6766357.8799999952</v>
      </c>
    </row>
    <row r="101" spans="1:12" hidden="1" x14ac:dyDescent="0.3">
      <c r="A101" s="52"/>
      <c r="B101" s="53" t="s">
        <v>28</v>
      </c>
      <c r="C101" s="54">
        <v>46227</v>
      </c>
      <c r="D101" s="4" t="s">
        <v>2048</v>
      </c>
      <c r="E101" s="53" t="s">
        <v>506</v>
      </c>
      <c r="F101" s="59" t="s">
        <v>2585</v>
      </c>
      <c r="G101" s="54">
        <v>46224</v>
      </c>
      <c r="H101" s="53" t="s">
        <v>2049</v>
      </c>
      <c r="I101" s="73">
        <v>37800</v>
      </c>
      <c r="J101" s="59" t="s">
        <v>2585</v>
      </c>
      <c r="K101" s="59"/>
      <c r="L101" s="59">
        <f t="shared" si="1"/>
        <v>6804157.8799999952</v>
      </c>
    </row>
    <row r="102" spans="1:12" hidden="1" x14ac:dyDescent="0.3">
      <c r="A102" s="52"/>
      <c r="B102" s="53" t="s">
        <v>26</v>
      </c>
      <c r="C102" s="54">
        <v>46230</v>
      </c>
      <c r="D102" s="53" t="s">
        <v>2050</v>
      </c>
      <c r="E102" s="53"/>
      <c r="F102" s="53"/>
      <c r="G102" s="54"/>
      <c r="H102" s="53"/>
      <c r="I102" s="59">
        <v>250</v>
      </c>
      <c r="J102" s="59"/>
      <c r="K102" s="59"/>
      <c r="L102" s="59">
        <f t="shared" si="1"/>
        <v>6804407.8799999952</v>
      </c>
    </row>
    <row r="103" spans="1:12" hidden="1" x14ac:dyDescent="0.3">
      <c r="A103" s="52"/>
      <c r="B103" s="53" t="s">
        <v>28</v>
      </c>
      <c r="C103" s="54">
        <v>46230</v>
      </c>
      <c r="D103" s="53" t="s">
        <v>2051</v>
      </c>
      <c r="E103" s="53" t="s">
        <v>475</v>
      </c>
      <c r="F103" s="53"/>
      <c r="G103" s="54">
        <v>46226</v>
      </c>
      <c r="H103" s="53" t="s">
        <v>2052</v>
      </c>
      <c r="I103" s="59">
        <v>8000</v>
      </c>
      <c r="J103" s="59"/>
      <c r="K103" s="59"/>
      <c r="L103" s="59">
        <f t="shared" si="1"/>
        <v>6812407.8799999952</v>
      </c>
    </row>
    <row r="104" spans="1:12" hidden="1" x14ac:dyDescent="0.3">
      <c r="A104" s="52"/>
      <c r="B104" s="53" t="s">
        <v>28</v>
      </c>
      <c r="C104" s="54">
        <v>46231</v>
      </c>
      <c r="D104" s="53" t="s">
        <v>2053</v>
      </c>
      <c r="E104" s="53" t="s">
        <v>1135</v>
      </c>
      <c r="F104" s="53"/>
      <c r="G104" s="54">
        <v>46230</v>
      </c>
      <c r="H104" s="53" t="s">
        <v>812</v>
      </c>
      <c r="I104" s="59">
        <v>16120</v>
      </c>
      <c r="J104" s="59"/>
      <c r="K104" s="59"/>
      <c r="L104" s="59">
        <f t="shared" si="1"/>
        <v>6828527.8799999952</v>
      </c>
    </row>
    <row r="105" spans="1:12" ht="20.399999999999999" hidden="1" x14ac:dyDescent="0.3">
      <c r="A105" s="52"/>
      <c r="B105" s="53" t="s">
        <v>28</v>
      </c>
      <c r="C105" s="54">
        <v>46234</v>
      </c>
      <c r="D105" s="53" t="s">
        <v>2054</v>
      </c>
      <c r="E105" s="53" t="s">
        <v>2055</v>
      </c>
      <c r="F105" s="68" t="s">
        <v>2586</v>
      </c>
      <c r="G105" s="54">
        <v>46230</v>
      </c>
      <c r="H105" s="53" t="s">
        <v>2056</v>
      </c>
      <c r="I105" s="73">
        <v>1872</v>
      </c>
      <c r="J105" t="s">
        <v>755</v>
      </c>
      <c r="K105" s="59"/>
      <c r="L105" s="59">
        <f t="shared" si="1"/>
        <v>6830399.8799999952</v>
      </c>
    </row>
    <row r="106" spans="1:12" hidden="1" x14ac:dyDescent="0.3">
      <c r="A106" s="52"/>
      <c r="B106" s="53" t="s">
        <v>28</v>
      </c>
      <c r="C106" s="54">
        <v>46234</v>
      </c>
      <c r="D106" s="53" t="s">
        <v>2057</v>
      </c>
      <c r="E106" s="53" t="s">
        <v>857</v>
      </c>
      <c r="F106" s="53"/>
      <c r="G106" s="54">
        <v>46231</v>
      </c>
      <c r="H106" s="53" t="s">
        <v>2058</v>
      </c>
      <c r="I106" s="59">
        <v>16770</v>
      </c>
      <c r="J106" s="59" t="s">
        <v>1145</v>
      </c>
      <c r="K106" s="59"/>
      <c r="L106" s="59">
        <f t="shared" si="1"/>
        <v>6847169.8799999952</v>
      </c>
    </row>
    <row r="107" spans="1:12" hidden="1" x14ac:dyDescent="0.3">
      <c r="A107" s="52"/>
      <c r="B107" s="53" t="s">
        <v>28</v>
      </c>
      <c r="C107" s="54">
        <v>46234</v>
      </c>
      <c r="D107" s="53" t="s">
        <v>2059</v>
      </c>
      <c r="E107" s="53" t="s">
        <v>2055</v>
      </c>
      <c r="F107" s="53" t="s">
        <v>2587</v>
      </c>
      <c r="G107" s="54">
        <v>46230</v>
      </c>
      <c r="H107" s="53" t="s">
        <v>2060</v>
      </c>
      <c r="I107" s="73">
        <v>624</v>
      </c>
      <c r="J107" t="s">
        <v>755</v>
      </c>
      <c r="K107" s="59"/>
      <c r="L107" s="59">
        <f t="shared" si="1"/>
        <v>6847793.8799999952</v>
      </c>
    </row>
    <row r="108" spans="1:12" hidden="1" x14ac:dyDescent="0.3">
      <c r="A108" s="52"/>
      <c r="B108" s="53" t="s">
        <v>28</v>
      </c>
      <c r="C108" s="54">
        <v>46236</v>
      </c>
      <c r="D108" s="53" t="s">
        <v>2061</v>
      </c>
      <c r="E108" s="53" t="s">
        <v>103</v>
      </c>
      <c r="F108" s="53"/>
      <c r="G108" s="54">
        <v>46236</v>
      </c>
      <c r="H108" s="53" t="s">
        <v>2047</v>
      </c>
      <c r="I108" s="59">
        <v>6000</v>
      </c>
      <c r="J108" s="59"/>
      <c r="K108" s="59"/>
      <c r="L108" s="59">
        <f t="shared" si="1"/>
        <v>6853793.8799999952</v>
      </c>
    </row>
    <row r="109" spans="1:12" hidden="1" x14ac:dyDescent="0.3">
      <c r="A109" s="52"/>
      <c r="B109" s="53" t="s">
        <v>28</v>
      </c>
      <c r="C109" s="54">
        <v>46237</v>
      </c>
      <c r="D109" s="53" t="s">
        <v>2062</v>
      </c>
      <c r="E109" s="53" t="s">
        <v>115</v>
      </c>
      <c r="F109" s="53"/>
      <c r="G109" s="54">
        <v>46234</v>
      </c>
      <c r="H109" s="53" t="s">
        <v>2063</v>
      </c>
      <c r="I109" s="59">
        <v>1400</v>
      </c>
      <c r="J109" s="59"/>
      <c r="K109" s="59"/>
      <c r="L109" s="59">
        <f t="shared" si="1"/>
        <v>6855193.8799999952</v>
      </c>
    </row>
    <row r="110" spans="1:12" hidden="1" x14ac:dyDescent="0.3">
      <c r="A110" s="52"/>
      <c r="B110" s="53" t="s">
        <v>28</v>
      </c>
      <c r="C110" s="54">
        <v>46238</v>
      </c>
      <c r="D110" s="53" t="s">
        <v>2064</v>
      </c>
      <c r="E110" s="53" t="s">
        <v>49</v>
      </c>
      <c r="F110" s="53" t="s">
        <v>2065</v>
      </c>
      <c r="G110" s="54">
        <v>46237</v>
      </c>
      <c r="H110" s="53" t="s">
        <v>2066</v>
      </c>
      <c r="I110" s="59">
        <v>6544.54</v>
      </c>
      <c r="J110" s="59" t="s">
        <v>1145</v>
      </c>
      <c r="K110" s="59"/>
      <c r="L110" s="59">
        <f t="shared" si="1"/>
        <v>6861738.4199999953</v>
      </c>
    </row>
    <row r="111" spans="1:12" hidden="1" x14ac:dyDescent="0.3">
      <c r="A111" s="52"/>
      <c r="B111" s="53" t="s">
        <v>28</v>
      </c>
      <c r="C111" s="54">
        <v>46238</v>
      </c>
      <c r="D111" s="53" t="s">
        <v>2067</v>
      </c>
      <c r="E111" s="53" t="s">
        <v>49</v>
      </c>
      <c r="F111" s="53" t="s">
        <v>2068</v>
      </c>
      <c r="G111" s="54">
        <v>46237</v>
      </c>
      <c r="H111" s="53" t="s">
        <v>2069</v>
      </c>
      <c r="I111" s="59">
        <v>3502.05</v>
      </c>
      <c r="J111" s="59" t="s">
        <v>1145</v>
      </c>
      <c r="K111" s="59"/>
      <c r="L111" s="59">
        <f t="shared" si="1"/>
        <v>6865240.4699999951</v>
      </c>
    </row>
    <row r="112" spans="1:12" x14ac:dyDescent="0.3">
      <c r="A112" s="52"/>
      <c r="B112" s="53" t="s">
        <v>28</v>
      </c>
      <c r="C112" s="54">
        <v>46239</v>
      </c>
      <c r="D112" s="53" t="s">
        <v>2070</v>
      </c>
      <c r="E112" s="53" t="s">
        <v>497</v>
      </c>
      <c r="F112" s="53" t="s">
        <v>2588</v>
      </c>
      <c r="G112" s="54">
        <v>46233</v>
      </c>
      <c r="H112" s="53" t="s">
        <v>2071</v>
      </c>
      <c r="I112" s="72">
        <v>59800</v>
      </c>
      <c r="J112" t="s">
        <v>755</v>
      </c>
      <c r="K112" s="59"/>
      <c r="L112" s="59">
        <f t="shared" si="1"/>
        <v>6925040.4699999951</v>
      </c>
    </row>
    <row r="113" spans="1:12" ht="72" x14ac:dyDescent="0.3">
      <c r="A113" s="52"/>
      <c r="B113" s="53" t="s">
        <v>28</v>
      </c>
      <c r="C113" s="54">
        <v>46239</v>
      </c>
      <c r="D113" s="53" t="s">
        <v>2072</v>
      </c>
      <c r="E113" s="53" t="s">
        <v>497</v>
      </c>
      <c r="F113" s="69" t="s">
        <v>2589</v>
      </c>
      <c r="G113" s="54">
        <v>46233</v>
      </c>
      <c r="H113" s="53" t="s">
        <v>2073</v>
      </c>
      <c r="I113" s="72">
        <v>47952</v>
      </c>
      <c r="J113" s="70" t="s">
        <v>755</v>
      </c>
      <c r="K113" s="59"/>
      <c r="L113" s="59">
        <f t="shared" si="1"/>
        <v>6972992.4699999951</v>
      </c>
    </row>
    <row r="114" spans="1:12" x14ac:dyDescent="0.3">
      <c r="A114" s="52"/>
      <c r="B114" s="53" t="s">
        <v>28</v>
      </c>
      <c r="C114" s="54">
        <v>46239</v>
      </c>
      <c r="D114" s="53" t="s">
        <v>2074</v>
      </c>
      <c r="E114" s="53" t="s">
        <v>497</v>
      </c>
      <c r="F114" s="53" t="s">
        <v>2590</v>
      </c>
      <c r="G114" s="54">
        <v>46233</v>
      </c>
      <c r="H114" s="53" t="s">
        <v>2075</v>
      </c>
      <c r="I114" s="72">
        <v>38120</v>
      </c>
      <c r="J114" s="70" t="s">
        <v>755</v>
      </c>
      <c r="K114" s="59"/>
      <c r="L114" s="59">
        <f t="shared" si="1"/>
        <v>7011112.4699999951</v>
      </c>
    </row>
    <row r="115" spans="1:12" hidden="1" x14ac:dyDescent="0.3">
      <c r="A115" s="52"/>
      <c r="B115" s="53" t="s">
        <v>28</v>
      </c>
      <c r="C115" s="54">
        <v>46239</v>
      </c>
      <c r="D115" s="53" t="s">
        <v>2076</v>
      </c>
      <c r="E115" s="53" t="s">
        <v>475</v>
      </c>
      <c r="F115" s="53"/>
      <c r="G115" s="54">
        <v>46234</v>
      </c>
      <c r="H115" s="53" t="s">
        <v>2077</v>
      </c>
      <c r="I115" s="59">
        <v>650</v>
      </c>
      <c r="J115" s="59"/>
      <c r="K115" s="59"/>
      <c r="L115" s="59">
        <f t="shared" si="1"/>
        <v>7011762.4699999951</v>
      </c>
    </row>
    <row r="116" spans="1:12" hidden="1" x14ac:dyDescent="0.3">
      <c r="A116" s="52"/>
      <c r="B116" s="53" t="s">
        <v>26</v>
      </c>
      <c r="C116" s="54">
        <v>46240</v>
      </c>
      <c r="D116" s="53" t="s">
        <v>2078</v>
      </c>
      <c r="E116" s="53"/>
      <c r="F116" s="53"/>
      <c r="G116" s="54"/>
      <c r="H116" s="53"/>
      <c r="I116" s="59">
        <v>250</v>
      </c>
      <c r="J116" s="59"/>
      <c r="K116" s="59"/>
      <c r="L116" s="59">
        <f t="shared" si="1"/>
        <v>7012012.4699999951</v>
      </c>
    </row>
    <row r="117" spans="1:12" hidden="1" x14ac:dyDescent="0.3">
      <c r="A117" s="52"/>
      <c r="B117" s="53" t="s">
        <v>28</v>
      </c>
      <c r="C117" s="54">
        <v>46240</v>
      </c>
      <c r="D117" s="53" t="s">
        <v>2079</v>
      </c>
      <c r="E117" s="53" t="s">
        <v>1600</v>
      </c>
      <c r="F117" s="53"/>
      <c r="G117" s="54">
        <v>46234</v>
      </c>
      <c r="H117" s="53" t="s">
        <v>2080</v>
      </c>
      <c r="I117" s="59">
        <v>2080</v>
      </c>
      <c r="J117" s="59"/>
      <c r="K117" s="59"/>
      <c r="L117" s="59">
        <f t="shared" si="1"/>
        <v>7014092.4699999951</v>
      </c>
    </row>
    <row r="118" spans="1:12" hidden="1" x14ac:dyDescent="0.3">
      <c r="A118" s="52"/>
      <c r="B118" s="53" t="s">
        <v>28</v>
      </c>
      <c r="C118" s="54">
        <v>46241</v>
      </c>
      <c r="D118" s="53" t="s">
        <v>2081</v>
      </c>
      <c r="E118" s="53" t="s">
        <v>49</v>
      </c>
      <c r="F118" s="53" t="s">
        <v>2082</v>
      </c>
      <c r="G118" s="54">
        <v>46239</v>
      </c>
      <c r="H118" s="53" t="s">
        <v>2083</v>
      </c>
      <c r="I118" s="59">
        <v>9493.64</v>
      </c>
      <c r="J118" s="59" t="s">
        <v>1145</v>
      </c>
      <c r="K118" s="59"/>
      <c r="L118" s="59">
        <f t="shared" si="1"/>
        <v>7023586.1099999947</v>
      </c>
    </row>
    <row r="119" spans="1:12" hidden="1" x14ac:dyDescent="0.3">
      <c r="A119" s="52"/>
      <c r="B119" s="53" t="s">
        <v>28</v>
      </c>
      <c r="C119" s="54">
        <v>46241</v>
      </c>
      <c r="D119" s="53" t="s">
        <v>2084</v>
      </c>
      <c r="E119" s="53" t="s">
        <v>49</v>
      </c>
      <c r="F119" s="53" t="s">
        <v>2085</v>
      </c>
      <c r="G119" s="54">
        <v>46239</v>
      </c>
      <c r="H119" s="53" t="s">
        <v>2086</v>
      </c>
      <c r="I119" s="59">
        <v>4561.05</v>
      </c>
      <c r="J119" s="59" t="s">
        <v>1145</v>
      </c>
      <c r="K119" s="59"/>
      <c r="L119" s="59">
        <f t="shared" si="1"/>
        <v>7028147.1599999946</v>
      </c>
    </row>
    <row r="120" spans="1:12" x14ac:dyDescent="0.3">
      <c r="A120" s="52"/>
      <c r="B120" s="53" t="s">
        <v>28</v>
      </c>
      <c r="C120" s="54">
        <v>46258</v>
      </c>
      <c r="D120" s="53" t="s">
        <v>2087</v>
      </c>
      <c r="E120" s="53" t="s">
        <v>2088</v>
      </c>
      <c r="F120" s="53"/>
      <c r="G120" s="54">
        <v>46238</v>
      </c>
      <c r="H120" s="53" t="s">
        <v>2089</v>
      </c>
      <c r="I120" s="72">
        <v>2000</v>
      </c>
      <c r="J120" t="s">
        <v>755</v>
      </c>
      <c r="K120" s="59"/>
      <c r="L120" s="59">
        <f t="shared" si="1"/>
        <v>7030147.1599999946</v>
      </c>
    </row>
    <row r="121" spans="1:12" x14ac:dyDescent="0.3">
      <c r="A121" s="52"/>
      <c r="B121" s="53" t="s">
        <v>26</v>
      </c>
      <c r="C121" s="54">
        <v>46265</v>
      </c>
      <c r="D121" s="53" t="s">
        <v>527</v>
      </c>
      <c r="E121" s="53"/>
      <c r="F121" s="53" t="s">
        <v>1614</v>
      </c>
      <c r="G121" s="54"/>
      <c r="H121" s="53"/>
      <c r="I121" s="72">
        <v>23500</v>
      </c>
      <c r="J121" t="s">
        <v>1886</v>
      </c>
      <c r="K121" s="59"/>
      <c r="L121" s="59">
        <f t="shared" si="1"/>
        <v>7053647.1599999946</v>
      </c>
    </row>
    <row r="122" spans="1:12" hidden="1" x14ac:dyDescent="0.3">
      <c r="A122" s="52"/>
      <c r="B122" s="53" t="s">
        <v>28</v>
      </c>
      <c r="C122" s="54">
        <v>46265</v>
      </c>
      <c r="D122" s="53" t="s">
        <v>2090</v>
      </c>
      <c r="E122" s="53" t="s">
        <v>115</v>
      </c>
      <c r="F122" s="53"/>
      <c r="G122" s="54">
        <v>46265</v>
      </c>
      <c r="H122" s="53" t="s">
        <v>2091</v>
      </c>
      <c r="I122" s="59">
        <v>1400</v>
      </c>
      <c r="J122" s="59"/>
      <c r="K122" s="59"/>
      <c r="L122" s="59">
        <f t="shared" si="1"/>
        <v>7055047.1599999946</v>
      </c>
    </row>
    <row r="123" spans="1:12" hidden="1" x14ac:dyDescent="0.3">
      <c r="A123" s="55" t="s">
        <v>122</v>
      </c>
      <c r="B123" s="56"/>
      <c r="C123" s="57"/>
      <c r="D123" s="56"/>
      <c r="E123" s="56"/>
      <c r="F123" s="56"/>
      <c r="G123" s="57"/>
      <c r="H123" s="56"/>
      <c r="I123" s="60">
        <f>SUM(I10:I122)</f>
        <v>1363912.08</v>
      </c>
      <c r="J123" s="60"/>
      <c r="K123" s="60">
        <f>SUM(K10:K122)</f>
        <v>44720</v>
      </c>
      <c r="L123" s="60">
        <f>L122</f>
        <v>7055047.1599999946</v>
      </c>
    </row>
    <row r="124" spans="1:12" hidden="1" x14ac:dyDescent="0.3">
      <c r="A124" s="58" t="s">
        <v>123</v>
      </c>
      <c r="B124" s="56"/>
      <c r="C124" s="57"/>
      <c r="D124" s="56"/>
      <c r="E124" s="56"/>
      <c r="F124" s="56"/>
      <c r="G124" s="57"/>
      <c r="H124" s="56"/>
      <c r="I124" s="60">
        <f>SUM(I9,I123)</f>
        <v>1363912.08</v>
      </c>
      <c r="J124" s="60"/>
      <c r="K124" s="60">
        <f>SUM(K9,K123)</f>
        <v>44720</v>
      </c>
      <c r="L124" s="60">
        <f>L9+L123</f>
        <v>7055047.1599999946</v>
      </c>
    </row>
    <row r="125" spans="1:12" hidden="1" x14ac:dyDescent="0.3">
      <c r="A125" s="56" t="s">
        <v>45</v>
      </c>
      <c r="B125" s="56"/>
      <c r="C125" s="57"/>
      <c r="D125" s="56"/>
      <c r="E125" s="56"/>
      <c r="F125" s="56"/>
      <c r="G125" s="57"/>
      <c r="H125" s="56"/>
      <c r="I125" s="60">
        <f>SUM(I8,I124)</f>
        <v>1363912.08</v>
      </c>
      <c r="J125" s="60"/>
      <c r="K125" s="60">
        <f>SUM(K8,K124)</f>
        <v>44720</v>
      </c>
      <c r="L125" s="60">
        <f>L8+L124</f>
        <v>7055047.1599999946</v>
      </c>
    </row>
  </sheetData>
  <autoFilter ref="A7:L125" xr:uid="{7159B718-986F-42B0-9DE0-07E879D471DF}">
    <filterColumn colId="8">
      <colorFilter dxfId="0"/>
    </filterColumn>
  </autoFilter>
  <hyperlinks>
    <hyperlink ref="E16" r:id="rId1" display="https://9628427.app.netsuite.com/app/common/entity/entity.nl?id=1929" xr:uid="{C4F5956D-B858-43FC-BF11-03D1234D0322}"/>
    <hyperlink ref="E22" r:id="rId2" display="https://9628427.app.netsuite.com/app/common/entity/entity.nl?id=17800" xr:uid="{B787A872-C982-4BE2-8AEC-8D7E73AD697B}"/>
  </hyperlinks>
  <pageMargins left="0.7" right="0.7" top="0.75" bottom="0.75" header="0.3" footer="0.3"/>
  <pageSetup paperSize="9" orientation="portrait" horizontalDpi="0" verticalDpi="0"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58BE7-F69A-4FE8-8A2C-FAB86288A9E6}">
  <dimension ref="A1:L1423"/>
  <sheetViews>
    <sheetView workbookViewId="0">
      <pane ySplit="7" topLeftCell="A1202" activePane="bottomLeft" state="frozen"/>
      <selection pane="bottomLeft" activeCell="I1211" sqref="I1211 I1223 I1244 I1271 I1351 I1354 I1395"/>
    </sheetView>
  </sheetViews>
  <sheetFormatPr defaultRowHeight="14.4" x14ac:dyDescent="0.3"/>
  <cols>
    <col min="1" max="1" width="45.44140625" bestFit="1" customWidth="1"/>
    <col min="3" max="3" width="8.6640625" bestFit="1" customWidth="1"/>
    <col min="4" max="4" width="14.88671875" bestFit="1" customWidth="1"/>
    <col min="5" max="6" width="12.109375" customWidth="1"/>
    <col min="7" max="7" width="11" customWidth="1"/>
    <col min="8" max="8" width="9.109375" customWidth="1"/>
    <col min="9" max="9" width="9.5546875" bestFit="1" customWidth="1"/>
    <col min="10" max="10" width="20.88671875" customWidth="1"/>
    <col min="11" max="11" width="7.88671875" bestFit="1" customWidth="1"/>
    <col min="12" max="12" width="9.5546875" bestFit="1" customWidth="1"/>
  </cols>
  <sheetData>
    <row r="1" spans="1:12" ht="15.6" x14ac:dyDescent="0.3">
      <c r="A1" s="50" t="s">
        <v>10</v>
      </c>
      <c r="B1" s="50"/>
      <c r="C1" s="50"/>
      <c r="D1" s="50"/>
      <c r="E1" s="50"/>
      <c r="F1" s="50"/>
      <c r="G1" s="50"/>
      <c r="H1" s="50"/>
      <c r="I1" s="50"/>
      <c r="J1" s="50"/>
      <c r="K1" s="50"/>
      <c r="L1" s="50"/>
    </row>
    <row r="2" spans="1:12" ht="15.6" x14ac:dyDescent="0.3">
      <c r="A2" s="50" t="s">
        <v>11</v>
      </c>
      <c r="B2" s="50"/>
      <c r="C2" s="50"/>
      <c r="D2" s="50"/>
      <c r="E2" s="50"/>
      <c r="F2" s="50"/>
      <c r="G2" s="50"/>
      <c r="H2" s="50"/>
      <c r="I2" s="50"/>
      <c r="J2" s="50"/>
      <c r="K2" s="50"/>
      <c r="L2" s="50"/>
    </row>
    <row r="3" spans="1:12" ht="17.399999999999999" x14ac:dyDescent="0.3">
      <c r="A3" s="51" t="s">
        <v>836</v>
      </c>
      <c r="B3" s="51"/>
      <c r="C3" s="51"/>
      <c r="D3" s="51"/>
      <c r="E3" s="51"/>
      <c r="F3" s="51"/>
      <c r="G3" s="51"/>
      <c r="H3" s="51"/>
      <c r="I3" s="51"/>
      <c r="J3" s="51"/>
      <c r="K3" s="51"/>
      <c r="L3" s="51"/>
    </row>
    <row r="4" spans="1:12" ht="17.399999999999999" x14ac:dyDescent="0.3">
      <c r="A4" s="51" t="s">
        <v>1888</v>
      </c>
      <c r="B4" s="51"/>
      <c r="C4" s="51"/>
      <c r="D4" s="51"/>
      <c r="E4" s="51"/>
      <c r="F4" s="51"/>
      <c r="G4" s="51"/>
      <c r="H4" s="51"/>
      <c r="I4" s="51"/>
      <c r="J4" s="51"/>
      <c r="K4" s="51"/>
      <c r="L4" s="51"/>
    </row>
    <row r="5" spans="1:12" ht="17.399999999999999" x14ac:dyDescent="0.3">
      <c r="A5" s="51" t="s">
        <v>12</v>
      </c>
      <c r="B5" s="51"/>
      <c r="C5" s="51"/>
      <c r="D5" s="51"/>
      <c r="E5" s="51"/>
      <c r="F5" s="51"/>
      <c r="G5" s="51"/>
      <c r="H5" s="51"/>
      <c r="I5" s="51"/>
      <c r="J5" s="51"/>
      <c r="K5" s="51"/>
      <c r="L5" s="51"/>
    </row>
    <row r="6" spans="1:12" ht="17.399999999999999" x14ac:dyDescent="0.3">
      <c r="A6" s="51" t="s">
        <v>12</v>
      </c>
      <c r="B6" s="51"/>
      <c r="C6" s="51"/>
      <c r="D6" s="51"/>
      <c r="E6" s="51"/>
      <c r="F6" s="51"/>
      <c r="G6" s="51"/>
      <c r="H6" s="51"/>
      <c r="I6" s="51"/>
      <c r="J6" s="51"/>
      <c r="K6" s="51"/>
      <c r="L6" s="51"/>
    </row>
    <row r="7" spans="1:12" x14ac:dyDescent="0.3">
      <c r="A7" s="61" t="s">
        <v>13</v>
      </c>
      <c r="B7" s="61" t="s">
        <v>14</v>
      </c>
      <c r="C7" s="61" t="s">
        <v>15</v>
      </c>
      <c r="D7" s="61" t="s">
        <v>16</v>
      </c>
      <c r="E7" s="61" t="s">
        <v>17</v>
      </c>
      <c r="F7" s="61" t="s">
        <v>18</v>
      </c>
      <c r="G7" s="61" t="s">
        <v>19</v>
      </c>
      <c r="H7" s="61" t="s">
        <v>20</v>
      </c>
      <c r="I7" s="62" t="s">
        <v>21</v>
      </c>
      <c r="J7" s="62" t="s">
        <v>79</v>
      </c>
      <c r="K7" s="62" t="s">
        <v>22</v>
      </c>
      <c r="L7" s="62" t="s">
        <v>23</v>
      </c>
    </row>
    <row r="8" spans="1:12" x14ac:dyDescent="0.3">
      <c r="A8" s="63" t="s">
        <v>24</v>
      </c>
      <c r="B8" s="53"/>
      <c r="C8" s="54"/>
      <c r="D8" s="53"/>
      <c r="E8" s="53"/>
      <c r="F8" s="53"/>
      <c r="G8" s="54"/>
      <c r="H8" s="53"/>
      <c r="I8" s="59"/>
      <c r="J8" s="59"/>
      <c r="K8" s="59"/>
      <c r="L8" s="59">
        <v>0</v>
      </c>
    </row>
    <row r="9" spans="1:12" x14ac:dyDescent="0.3">
      <c r="A9" s="64" t="s">
        <v>124</v>
      </c>
      <c r="B9" s="53"/>
      <c r="C9" s="54"/>
      <c r="D9" s="53"/>
      <c r="E9" s="53"/>
      <c r="F9" s="53"/>
      <c r="G9" s="54"/>
      <c r="H9" s="53"/>
      <c r="I9" s="59"/>
      <c r="J9" s="59"/>
      <c r="K9" s="59"/>
      <c r="L9" s="59">
        <v>0</v>
      </c>
    </row>
    <row r="10" spans="1:12" x14ac:dyDescent="0.3">
      <c r="A10" s="65" t="s">
        <v>9</v>
      </c>
      <c r="B10" s="53"/>
      <c r="C10" s="54"/>
      <c r="D10" s="53"/>
      <c r="E10" s="53"/>
      <c r="F10" s="53"/>
      <c r="G10" s="54"/>
      <c r="H10" s="53"/>
      <c r="I10" s="59"/>
      <c r="J10" s="59"/>
      <c r="K10" s="59"/>
      <c r="L10" s="59">
        <v>249262.19</v>
      </c>
    </row>
    <row r="11" spans="1:12" x14ac:dyDescent="0.3">
      <c r="A11" s="52"/>
      <c r="B11" s="53" t="s">
        <v>26</v>
      </c>
      <c r="C11" s="54">
        <v>46023</v>
      </c>
      <c r="D11" s="53" t="s">
        <v>125</v>
      </c>
      <c r="E11" s="53"/>
      <c r="F11" s="53"/>
      <c r="G11" s="54"/>
      <c r="H11" s="53"/>
      <c r="I11" s="59">
        <v>3</v>
      </c>
      <c r="J11" s="59"/>
      <c r="K11" s="59"/>
      <c r="L11" s="59">
        <f t="shared" ref="L11:L74" si="0">L10+I11-K11</f>
        <v>249265.19</v>
      </c>
    </row>
    <row r="12" spans="1:12" x14ac:dyDescent="0.3">
      <c r="A12" s="52"/>
      <c r="B12" s="53" t="s">
        <v>26</v>
      </c>
      <c r="C12" s="54">
        <v>46024</v>
      </c>
      <c r="D12" s="53" t="s">
        <v>127</v>
      </c>
      <c r="E12" s="53"/>
      <c r="F12" s="53"/>
      <c r="G12" s="54"/>
      <c r="H12" s="53"/>
      <c r="I12" s="59">
        <v>9.5</v>
      </c>
      <c r="J12" s="59"/>
      <c r="K12" s="59"/>
      <c r="L12" s="59">
        <f t="shared" si="0"/>
        <v>249274.69</v>
      </c>
    </row>
    <row r="13" spans="1:12" x14ac:dyDescent="0.3">
      <c r="A13" s="52"/>
      <c r="B13" s="53" t="s">
        <v>26</v>
      </c>
      <c r="C13" s="54">
        <v>46024</v>
      </c>
      <c r="D13" s="53" t="s">
        <v>126</v>
      </c>
      <c r="E13" s="53"/>
      <c r="F13" s="53"/>
      <c r="G13" s="54"/>
      <c r="H13" s="53"/>
      <c r="I13" s="59">
        <v>2.9</v>
      </c>
      <c r="J13" s="59"/>
      <c r="K13" s="59"/>
      <c r="L13" s="59">
        <f t="shared" si="0"/>
        <v>249277.59</v>
      </c>
    </row>
    <row r="14" spans="1:12" x14ac:dyDescent="0.3">
      <c r="A14" s="52"/>
      <c r="B14" s="53" t="s">
        <v>26</v>
      </c>
      <c r="C14" s="54">
        <v>46027</v>
      </c>
      <c r="D14" s="53" t="s">
        <v>128</v>
      </c>
      <c r="E14" s="53"/>
      <c r="F14" s="53"/>
      <c r="G14" s="54"/>
      <c r="H14" s="53"/>
      <c r="I14" s="59">
        <v>20.8</v>
      </c>
      <c r="J14" s="59"/>
      <c r="K14" s="59"/>
      <c r="L14" s="59">
        <f t="shared" si="0"/>
        <v>249298.38999999998</v>
      </c>
    </row>
    <row r="15" spans="1:12" x14ac:dyDescent="0.3">
      <c r="A15" s="52"/>
      <c r="B15" s="53" t="s">
        <v>26</v>
      </c>
      <c r="C15" s="54">
        <v>46029</v>
      </c>
      <c r="D15" s="53" t="s">
        <v>129</v>
      </c>
      <c r="E15" s="53"/>
      <c r="F15" s="53"/>
      <c r="G15" s="54"/>
      <c r="H15" s="53"/>
      <c r="I15" s="59">
        <v>12</v>
      </c>
      <c r="J15" s="59"/>
      <c r="K15" s="59"/>
      <c r="L15" s="59">
        <f t="shared" si="0"/>
        <v>249310.38999999998</v>
      </c>
    </row>
    <row r="16" spans="1:12" x14ac:dyDescent="0.3">
      <c r="A16" s="52"/>
      <c r="B16" s="53" t="s">
        <v>26</v>
      </c>
      <c r="C16" s="54">
        <v>46029</v>
      </c>
      <c r="D16" s="53" t="s">
        <v>131</v>
      </c>
      <c r="E16" s="53"/>
      <c r="F16" s="53"/>
      <c r="G16" s="54"/>
      <c r="H16" s="53"/>
      <c r="I16" s="59">
        <v>42</v>
      </c>
      <c r="J16" s="59"/>
      <c r="K16" s="59"/>
      <c r="L16" s="59">
        <f t="shared" si="0"/>
        <v>249352.38999999998</v>
      </c>
    </row>
    <row r="17" spans="1:12" x14ac:dyDescent="0.3">
      <c r="A17" s="52"/>
      <c r="B17" s="53" t="s">
        <v>26</v>
      </c>
      <c r="C17" s="54">
        <v>46029</v>
      </c>
      <c r="D17" s="53" t="s">
        <v>130</v>
      </c>
      <c r="E17" s="53"/>
      <c r="F17" s="53"/>
      <c r="G17" s="54"/>
      <c r="H17" s="53"/>
      <c r="I17" s="59">
        <v>2</v>
      </c>
      <c r="J17" s="59"/>
      <c r="K17" s="59"/>
      <c r="L17" s="59">
        <f t="shared" si="0"/>
        <v>249354.38999999998</v>
      </c>
    </row>
    <row r="18" spans="1:12" x14ac:dyDescent="0.3">
      <c r="A18" s="52"/>
      <c r="B18" s="53" t="s">
        <v>26</v>
      </c>
      <c r="C18" s="54">
        <v>46029</v>
      </c>
      <c r="D18" s="53" t="s">
        <v>132</v>
      </c>
      <c r="E18" s="53"/>
      <c r="F18" s="53"/>
      <c r="G18" s="54"/>
      <c r="H18" s="53"/>
      <c r="I18" s="59">
        <v>6</v>
      </c>
      <c r="J18" s="59"/>
      <c r="K18" s="59"/>
      <c r="L18" s="59">
        <f t="shared" si="0"/>
        <v>249360.38999999998</v>
      </c>
    </row>
    <row r="19" spans="1:12" x14ac:dyDescent="0.3">
      <c r="A19" s="52"/>
      <c r="B19" s="53" t="s">
        <v>26</v>
      </c>
      <c r="C19" s="54">
        <v>46030</v>
      </c>
      <c r="D19" s="53" t="s">
        <v>134</v>
      </c>
      <c r="E19" s="53"/>
      <c r="F19" s="53"/>
      <c r="G19" s="54"/>
      <c r="H19" s="53"/>
      <c r="I19" s="59">
        <v>2.2000000000000002</v>
      </c>
      <c r="J19" s="59"/>
      <c r="K19" s="59"/>
      <c r="L19" s="59">
        <f t="shared" si="0"/>
        <v>249362.59</v>
      </c>
    </row>
    <row r="20" spans="1:12" x14ac:dyDescent="0.3">
      <c r="A20" s="52"/>
      <c r="B20" s="53" t="s">
        <v>26</v>
      </c>
      <c r="C20" s="54">
        <v>46030</v>
      </c>
      <c r="D20" s="53" t="s">
        <v>135</v>
      </c>
      <c r="E20" s="53"/>
      <c r="F20" s="53"/>
      <c r="G20" s="54"/>
      <c r="H20" s="53"/>
      <c r="I20" s="59">
        <v>13.9</v>
      </c>
      <c r="J20" s="59"/>
      <c r="K20" s="59"/>
      <c r="L20" s="59">
        <f t="shared" si="0"/>
        <v>249376.49</v>
      </c>
    </row>
    <row r="21" spans="1:12" x14ac:dyDescent="0.3">
      <c r="A21" s="52"/>
      <c r="B21" s="53" t="s">
        <v>26</v>
      </c>
      <c r="C21" s="54">
        <v>46030</v>
      </c>
      <c r="D21" s="53" t="s">
        <v>133</v>
      </c>
      <c r="E21" s="53"/>
      <c r="F21" s="53"/>
      <c r="G21" s="54"/>
      <c r="H21" s="53"/>
      <c r="I21" s="59">
        <v>4.0999999999999996</v>
      </c>
      <c r="J21" s="59"/>
      <c r="K21" s="59"/>
      <c r="L21" s="59">
        <f t="shared" si="0"/>
        <v>249380.59</v>
      </c>
    </row>
    <row r="22" spans="1:12" x14ac:dyDescent="0.3">
      <c r="A22" s="52"/>
      <c r="B22" s="53" t="s">
        <v>26</v>
      </c>
      <c r="C22" s="54">
        <v>46031</v>
      </c>
      <c r="D22" s="53" t="s">
        <v>136</v>
      </c>
      <c r="E22" s="53"/>
      <c r="F22" s="53"/>
      <c r="G22" s="54"/>
      <c r="H22" s="53"/>
      <c r="I22" s="59">
        <v>16.5</v>
      </c>
      <c r="J22" s="59"/>
      <c r="K22" s="59"/>
      <c r="L22" s="59">
        <f t="shared" si="0"/>
        <v>249397.09</v>
      </c>
    </row>
    <row r="23" spans="1:12" x14ac:dyDescent="0.3">
      <c r="A23" s="52"/>
      <c r="B23" s="53" t="s">
        <v>26</v>
      </c>
      <c r="C23" s="54">
        <v>46031</v>
      </c>
      <c r="D23" s="53" t="s">
        <v>137</v>
      </c>
      <c r="E23" s="53"/>
      <c r="F23" s="53"/>
      <c r="G23" s="54"/>
      <c r="H23" s="53"/>
      <c r="I23" s="59">
        <v>10.18</v>
      </c>
      <c r="J23" s="59"/>
      <c r="K23" s="59"/>
      <c r="L23" s="59">
        <f t="shared" si="0"/>
        <v>249407.27</v>
      </c>
    </row>
    <row r="24" spans="1:12" x14ac:dyDescent="0.3">
      <c r="A24" s="52"/>
      <c r="B24" s="53" t="s">
        <v>26</v>
      </c>
      <c r="C24" s="54">
        <v>46032</v>
      </c>
      <c r="D24" s="53" t="s">
        <v>138</v>
      </c>
      <c r="E24" s="53"/>
      <c r="F24" s="53"/>
      <c r="G24" s="54"/>
      <c r="H24" s="53"/>
      <c r="I24" s="59">
        <v>2</v>
      </c>
      <c r="J24" s="59"/>
      <c r="K24" s="59"/>
      <c r="L24" s="59">
        <f t="shared" si="0"/>
        <v>249409.27</v>
      </c>
    </row>
    <row r="25" spans="1:12" x14ac:dyDescent="0.3">
      <c r="A25" s="52"/>
      <c r="B25" s="53" t="s">
        <v>26</v>
      </c>
      <c r="C25" s="54">
        <v>46033</v>
      </c>
      <c r="D25" s="53" t="s">
        <v>139</v>
      </c>
      <c r="E25" s="53"/>
      <c r="F25" s="53"/>
      <c r="G25" s="54"/>
      <c r="H25" s="53"/>
      <c r="I25" s="59">
        <v>1.9</v>
      </c>
      <c r="J25" s="59"/>
      <c r="K25" s="59"/>
      <c r="L25" s="59">
        <f t="shared" si="0"/>
        <v>249411.16999999998</v>
      </c>
    </row>
    <row r="26" spans="1:12" x14ac:dyDescent="0.3">
      <c r="A26" s="52"/>
      <c r="B26" s="53" t="s">
        <v>26</v>
      </c>
      <c r="C26" s="54">
        <v>46034</v>
      </c>
      <c r="D26" s="53" t="s">
        <v>141</v>
      </c>
      <c r="E26" s="53"/>
      <c r="F26" s="53"/>
      <c r="G26" s="54"/>
      <c r="H26" s="53"/>
      <c r="I26" s="59">
        <v>12.4</v>
      </c>
      <c r="J26" s="59"/>
      <c r="K26" s="59"/>
      <c r="L26" s="59">
        <f t="shared" si="0"/>
        <v>249423.56999999998</v>
      </c>
    </row>
    <row r="27" spans="1:12" x14ac:dyDescent="0.3">
      <c r="A27" s="52"/>
      <c r="B27" s="53" t="s">
        <v>26</v>
      </c>
      <c r="C27" s="54">
        <v>46034</v>
      </c>
      <c r="D27" s="53" t="s">
        <v>142</v>
      </c>
      <c r="E27" s="53"/>
      <c r="F27" s="53"/>
      <c r="G27" s="54"/>
      <c r="H27" s="53"/>
      <c r="I27" s="59">
        <v>2</v>
      </c>
      <c r="J27" s="59"/>
      <c r="K27" s="59"/>
      <c r="L27" s="59">
        <f t="shared" si="0"/>
        <v>249425.56999999998</v>
      </c>
    </row>
    <row r="28" spans="1:12" x14ac:dyDescent="0.3">
      <c r="A28" s="52"/>
      <c r="B28" s="53" t="s">
        <v>26</v>
      </c>
      <c r="C28" s="54">
        <v>46034</v>
      </c>
      <c r="D28" s="53" t="s">
        <v>140</v>
      </c>
      <c r="E28" s="53"/>
      <c r="F28" s="53"/>
      <c r="G28" s="54"/>
      <c r="H28" s="53"/>
      <c r="I28" s="59">
        <v>7.71</v>
      </c>
      <c r="J28" s="59"/>
      <c r="K28" s="59"/>
      <c r="L28" s="59">
        <f t="shared" si="0"/>
        <v>249433.27999999997</v>
      </c>
    </row>
    <row r="29" spans="1:12" x14ac:dyDescent="0.3">
      <c r="A29" s="52"/>
      <c r="B29" s="53" t="s">
        <v>26</v>
      </c>
      <c r="C29" s="54">
        <v>46035</v>
      </c>
      <c r="D29" s="53" t="s">
        <v>144</v>
      </c>
      <c r="E29" s="53"/>
      <c r="F29" s="53"/>
      <c r="G29" s="54"/>
      <c r="H29" s="53"/>
      <c r="I29" s="59">
        <v>26</v>
      </c>
      <c r="J29" s="59"/>
      <c r="K29" s="59"/>
      <c r="L29" s="59">
        <f t="shared" si="0"/>
        <v>249459.27999999997</v>
      </c>
    </row>
    <row r="30" spans="1:12" x14ac:dyDescent="0.3">
      <c r="A30" s="52"/>
      <c r="B30" s="53" t="s">
        <v>26</v>
      </c>
      <c r="C30" s="54">
        <v>46035</v>
      </c>
      <c r="D30" s="53" t="s">
        <v>148</v>
      </c>
      <c r="E30" s="53"/>
      <c r="F30" s="53"/>
      <c r="G30" s="54"/>
      <c r="H30" s="53"/>
      <c r="I30" s="59">
        <v>9</v>
      </c>
      <c r="J30" s="59"/>
      <c r="K30" s="59"/>
      <c r="L30" s="59">
        <f t="shared" si="0"/>
        <v>249468.27999999997</v>
      </c>
    </row>
    <row r="31" spans="1:12" x14ac:dyDescent="0.3">
      <c r="A31" s="52"/>
      <c r="B31" s="53" t="s">
        <v>26</v>
      </c>
      <c r="C31" s="54">
        <v>46035</v>
      </c>
      <c r="D31" s="53" t="s">
        <v>147</v>
      </c>
      <c r="E31" s="53"/>
      <c r="F31" s="53"/>
      <c r="G31" s="54"/>
      <c r="H31" s="53"/>
      <c r="I31" s="59">
        <v>4</v>
      </c>
      <c r="J31" s="59"/>
      <c r="K31" s="59"/>
      <c r="L31" s="59">
        <f t="shared" si="0"/>
        <v>249472.27999999997</v>
      </c>
    </row>
    <row r="32" spans="1:12" x14ac:dyDescent="0.3">
      <c r="A32" s="52"/>
      <c r="B32" s="53" t="s">
        <v>26</v>
      </c>
      <c r="C32" s="54">
        <v>46035</v>
      </c>
      <c r="D32" s="53" t="s">
        <v>143</v>
      </c>
      <c r="E32" s="53"/>
      <c r="F32" s="53"/>
      <c r="G32" s="54"/>
      <c r="H32" s="53"/>
      <c r="I32" s="59">
        <v>5.0999999999999996</v>
      </c>
      <c r="J32" s="59"/>
      <c r="K32" s="59"/>
      <c r="L32" s="59">
        <f t="shared" si="0"/>
        <v>249477.37999999998</v>
      </c>
    </row>
    <row r="33" spans="1:12" x14ac:dyDescent="0.3">
      <c r="A33" s="52"/>
      <c r="B33" s="53" t="s">
        <v>26</v>
      </c>
      <c r="C33" s="54">
        <v>46035</v>
      </c>
      <c r="D33" s="53" t="s">
        <v>146</v>
      </c>
      <c r="E33" s="53"/>
      <c r="F33" s="53"/>
      <c r="G33" s="54"/>
      <c r="H33" s="53"/>
      <c r="I33" s="59">
        <v>198.35</v>
      </c>
      <c r="J33" s="59"/>
      <c r="K33" s="59"/>
      <c r="L33" s="59">
        <f t="shared" si="0"/>
        <v>249675.72999999998</v>
      </c>
    </row>
    <row r="34" spans="1:12" x14ac:dyDescent="0.3">
      <c r="A34" s="52"/>
      <c r="B34" s="53" t="s">
        <v>26</v>
      </c>
      <c r="C34" s="54">
        <v>46035</v>
      </c>
      <c r="D34" s="53" t="s">
        <v>145</v>
      </c>
      <c r="E34" s="53"/>
      <c r="F34" s="53"/>
      <c r="G34" s="54"/>
      <c r="H34" s="53"/>
      <c r="I34" s="59">
        <v>40</v>
      </c>
      <c r="J34" s="59"/>
      <c r="K34" s="59"/>
      <c r="L34" s="59">
        <f t="shared" si="0"/>
        <v>249715.72999999998</v>
      </c>
    </row>
    <row r="35" spans="1:12" x14ac:dyDescent="0.3">
      <c r="A35" s="52"/>
      <c r="B35" s="53" t="s">
        <v>26</v>
      </c>
      <c r="C35" s="54">
        <v>46036</v>
      </c>
      <c r="D35" s="53" t="s">
        <v>153</v>
      </c>
      <c r="E35" s="53"/>
      <c r="F35" s="53"/>
      <c r="G35" s="54"/>
      <c r="H35" s="53"/>
      <c r="I35" s="59">
        <v>8.23</v>
      </c>
      <c r="J35" s="59"/>
      <c r="K35" s="59"/>
      <c r="L35" s="59">
        <f t="shared" si="0"/>
        <v>249723.96</v>
      </c>
    </row>
    <row r="36" spans="1:12" x14ac:dyDescent="0.3">
      <c r="A36" s="52"/>
      <c r="B36" s="53" t="s">
        <v>26</v>
      </c>
      <c r="C36" s="54">
        <v>46036</v>
      </c>
      <c r="D36" s="53" t="s">
        <v>149</v>
      </c>
      <c r="E36" s="53"/>
      <c r="F36" s="53"/>
      <c r="G36" s="54"/>
      <c r="H36" s="53"/>
      <c r="I36" s="59">
        <v>43.9</v>
      </c>
      <c r="J36" s="59"/>
      <c r="K36" s="59"/>
      <c r="L36" s="59">
        <f t="shared" si="0"/>
        <v>249767.86</v>
      </c>
    </row>
    <row r="37" spans="1:12" x14ac:dyDescent="0.3">
      <c r="A37" s="52"/>
      <c r="B37" s="53" t="s">
        <v>26</v>
      </c>
      <c r="C37" s="54">
        <v>46036</v>
      </c>
      <c r="D37" s="53" t="s">
        <v>151</v>
      </c>
      <c r="E37" s="53"/>
      <c r="F37" s="53"/>
      <c r="G37" s="54"/>
      <c r="H37" s="53"/>
      <c r="I37" s="59">
        <v>36</v>
      </c>
      <c r="J37" s="59"/>
      <c r="K37" s="59"/>
      <c r="L37" s="59">
        <f t="shared" si="0"/>
        <v>249803.86</v>
      </c>
    </row>
    <row r="38" spans="1:12" x14ac:dyDescent="0.3">
      <c r="A38" s="52"/>
      <c r="B38" s="53" t="s">
        <v>26</v>
      </c>
      <c r="C38" s="54">
        <v>46036</v>
      </c>
      <c r="D38" s="53" t="s">
        <v>150</v>
      </c>
      <c r="E38" s="53"/>
      <c r="F38" s="53"/>
      <c r="G38" s="54"/>
      <c r="H38" s="53"/>
      <c r="I38" s="59">
        <v>2.2000000000000002</v>
      </c>
      <c r="J38" s="59"/>
      <c r="K38" s="59"/>
      <c r="L38" s="59">
        <f t="shared" si="0"/>
        <v>249806.06</v>
      </c>
    </row>
    <row r="39" spans="1:12" x14ac:dyDescent="0.3">
      <c r="A39" s="52"/>
      <c r="B39" s="53" t="s">
        <v>26</v>
      </c>
      <c r="C39" s="54">
        <v>46036</v>
      </c>
      <c r="D39" s="53" t="s">
        <v>152</v>
      </c>
      <c r="E39" s="53"/>
      <c r="F39" s="53"/>
      <c r="G39" s="54"/>
      <c r="H39" s="53"/>
      <c r="I39" s="59">
        <v>14.4</v>
      </c>
      <c r="J39" s="59"/>
      <c r="K39" s="59"/>
      <c r="L39" s="59">
        <f t="shared" si="0"/>
        <v>249820.46</v>
      </c>
    </row>
    <row r="40" spans="1:12" x14ac:dyDescent="0.3">
      <c r="A40" s="52"/>
      <c r="B40" s="53" t="s">
        <v>26</v>
      </c>
      <c r="C40" s="54">
        <v>46036</v>
      </c>
      <c r="D40" s="53" t="s">
        <v>154</v>
      </c>
      <c r="E40" s="53"/>
      <c r="F40" s="53"/>
      <c r="G40" s="54"/>
      <c r="H40" s="53"/>
      <c r="I40" s="59">
        <v>45</v>
      </c>
      <c r="J40" s="59"/>
      <c r="K40" s="59"/>
      <c r="L40" s="59">
        <f t="shared" si="0"/>
        <v>249865.46</v>
      </c>
    </row>
    <row r="41" spans="1:12" x14ac:dyDescent="0.3">
      <c r="A41" s="52"/>
      <c r="B41" s="53" t="s">
        <v>26</v>
      </c>
      <c r="C41" s="54">
        <v>46037</v>
      </c>
      <c r="D41" s="53" t="s">
        <v>158</v>
      </c>
      <c r="E41" s="53"/>
      <c r="F41" s="53"/>
      <c r="G41" s="54"/>
      <c r="H41" s="53"/>
      <c r="I41" s="59">
        <v>32.93</v>
      </c>
      <c r="J41" s="59"/>
      <c r="K41" s="59"/>
      <c r="L41" s="59">
        <f t="shared" si="0"/>
        <v>249898.38999999998</v>
      </c>
    </row>
    <row r="42" spans="1:12" x14ac:dyDescent="0.3">
      <c r="A42" s="52"/>
      <c r="B42" s="53" t="s">
        <v>26</v>
      </c>
      <c r="C42" s="54">
        <v>46037</v>
      </c>
      <c r="D42" s="53" t="s">
        <v>155</v>
      </c>
      <c r="E42" s="53"/>
      <c r="F42" s="53"/>
      <c r="G42" s="54"/>
      <c r="H42" s="53"/>
      <c r="I42" s="59">
        <v>56.2</v>
      </c>
      <c r="J42" s="59"/>
      <c r="K42" s="59"/>
      <c r="L42" s="59">
        <f t="shared" si="0"/>
        <v>249954.59</v>
      </c>
    </row>
    <row r="43" spans="1:12" x14ac:dyDescent="0.3">
      <c r="A43" s="52"/>
      <c r="B43" s="53" t="s">
        <v>26</v>
      </c>
      <c r="C43" s="54">
        <v>46037</v>
      </c>
      <c r="D43" s="53" t="s">
        <v>157</v>
      </c>
      <c r="E43" s="53"/>
      <c r="F43" s="53"/>
      <c r="G43" s="54"/>
      <c r="H43" s="53"/>
      <c r="I43" s="59">
        <v>39.9</v>
      </c>
      <c r="J43" s="59"/>
      <c r="K43" s="59"/>
      <c r="L43" s="59">
        <f t="shared" si="0"/>
        <v>249994.49</v>
      </c>
    </row>
    <row r="44" spans="1:12" x14ac:dyDescent="0.3">
      <c r="A44" s="52"/>
      <c r="B44" s="53" t="s">
        <v>26</v>
      </c>
      <c r="C44" s="54">
        <v>46037</v>
      </c>
      <c r="D44" s="53" t="s">
        <v>156</v>
      </c>
      <c r="E44" s="53"/>
      <c r="F44" s="53"/>
      <c r="G44" s="54"/>
      <c r="H44" s="53"/>
      <c r="I44" s="59">
        <v>74</v>
      </c>
      <c r="J44" s="59"/>
      <c r="K44" s="59"/>
      <c r="L44" s="59">
        <f t="shared" si="0"/>
        <v>250068.49</v>
      </c>
    </row>
    <row r="45" spans="1:12" x14ac:dyDescent="0.3">
      <c r="A45" s="52"/>
      <c r="B45" s="53" t="s">
        <v>26</v>
      </c>
      <c r="C45" s="54">
        <v>46038</v>
      </c>
      <c r="D45" s="53" t="s">
        <v>163</v>
      </c>
      <c r="E45" s="53"/>
      <c r="F45" s="53"/>
      <c r="G45" s="54"/>
      <c r="H45" s="53"/>
      <c r="I45" s="59">
        <v>35</v>
      </c>
      <c r="J45" s="59"/>
      <c r="K45" s="59"/>
      <c r="L45" s="59">
        <f t="shared" si="0"/>
        <v>250103.49</v>
      </c>
    </row>
    <row r="46" spans="1:12" x14ac:dyDescent="0.3">
      <c r="A46" s="52"/>
      <c r="B46" s="53" t="s">
        <v>26</v>
      </c>
      <c r="C46" s="54">
        <v>46038</v>
      </c>
      <c r="D46" s="53" t="s">
        <v>162</v>
      </c>
      <c r="E46" s="53"/>
      <c r="F46" s="53"/>
      <c r="G46" s="54"/>
      <c r="H46" s="53"/>
      <c r="I46" s="59">
        <v>93.7</v>
      </c>
      <c r="J46" s="59"/>
      <c r="K46" s="59"/>
      <c r="L46" s="59">
        <f t="shared" si="0"/>
        <v>250197.19</v>
      </c>
    </row>
    <row r="47" spans="1:12" x14ac:dyDescent="0.3">
      <c r="A47" s="52"/>
      <c r="B47" s="53" t="s">
        <v>26</v>
      </c>
      <c r="C47" s="54">
        <v>46038</v>
      </c>
      <c r="D47" s="53" t="s">
        <v>161</v>
      </c>
      <c r="E47" s="53"/>
      <c r="F47" s="53"/>
      <c r="G47" s="54"/>
      <c r="H47" s="53"/>
      <c r="I47" s="59">
        <v>6.78</v>
      </c>
      <c r="J47" s="59"/>
      <c r="K47" s="59"/>
      <c r="L47" s="59">
        <f t="shared" si="0"/>
        <v>250203.97</v>
      </c>
    </row>
    <row r="48" spans="1:12" x14ac:dyDescent="0.3">
      <c r="A48" s="52"/>
      <c r="B48" s="53" t="s">
        <v>26</v>
      </c>
      <c r="C48" s="54">
        <v>46038</v>
      </c>
      <c r="D48" s="53" t="s">
        <v>164</v>
      </c>
      <c r="E48" s="53"/>
      <c r="F48" s="53"/>
      <c r="G48" s="54"/>
      <c r="H48" s="53"/>
      <c r="I48" s="59">
        <v>7.2</v>
      </c>
      <c r="J48" s="59"/>
      <c r="K48" s="59"/>
      <c r="L48" s="59">
        <f t="shared" si="0"/>
        <v>250211.17</v>
      </c>
    </row>
    <row r="49" spans="1:12" x14ac:dyDescent="0.3">
      <c r="A49" s="52"/>
      <c r="B49" s="53" t="s">
        <v>26</v>
      </c>
      <c r="C49" s="54">
        <v>46038</v>
      </c>
      <c r="D49" s="53" t="s">
        <v>159</v>
      </c>
      <c r="E49" s="53"/>
      <c r="F49" s="53"/>
      <c r="G49" s="54"/>
      <c r="H49" s="53"/>
      <c r="I49" s="59">
        <v>4.9000000000000004</v>
      </c>
      <c r="J49" s="59"/>
      <c r="K49" s="59"/>
      <c r="L49" s="59">
        <f t="shared" si="0"/>
        <v>250216.07</v>
      </c>
    </row>
    <row r="50" spans="1:12" x14ac:dyDescent="0.3">
      <c r="A50" s="52"/>
      <c r="B50" s="53" t="s">
        <v>26</v>
      </c>
      <c r="C50" s="54">
        <v>46038</v>
      </c>
      <c r="D50" s="53" t="s">
        <v>160</v>
      </c>
      <c r="E50" s="4" t="s">
        <v>746</v>
      </c>
      <c r="F50" s="53"/>
      <c r="G50" s="54"/>
      <c r="H50" s="53"/>
      <c r="I50" s="59">
        <v>899</v>
      </c>
      <c r="J50" s="5" t="s">
        <v>747</v>
      </c>
      <c r="K50" s="59"/>
      <c r="L50" s="59">
        <f t="shared" si="0"/>
        <v>251115.07</v>
      </c>
    </row>
    <row r="51" spans="1:12" x14ac:dyDescent="0.3">
      <c r="A51" s="52"/>
      <c r="B51" s="53" t="s">
        <v>26</v>
      </c>
      <c r="C51" s="54">
        <v>46039</v>
      </c>
      <c r="D51" s="53" t="s">
        <v>165</v>
      </c>
      <c r="E51" s="53"/>
      <c r="F51" s="53"/>
      <c r="G51" s="54"/>
      <c r="H51" s="53"/>
      <c r="I51" s="59">
        <v>55</v>
      </c>
      <c r="J51" s="59"/>
      <c r="K51" s="59"/>
      <c r="L51" s="59">
        <f t="shared" si="0"/>
        <v>251170.07</v>
      </c>
    </row>
    <row r="52" spans="1:12" x14ac:dyDescent="0.3">
      <c r="A52" s="52"/>
      <c r="B52" s="53" t="s">
        <v>26</v>
      </c>
      <c r="C52" s="54">
        <v>46039</v>
      </c>
      <c r="D52" s="53" t="s">
        <v>166</v>
      </c>
      <c r="E52" s="53"/>
      <c r="F52" s="53"/>
      <c r="G52" s="54"/>
      <c r="H52" s="53"/>
      <c r="I52" s="59">
        <v>143.11000000000001</v>
      </c>
      <c r="J52" s="59"/>
      <c r="K52" s="59"/>
      <c r="L52" s="59">
        <f t="shared" si="0"/>
        <v>251313.18</v>
      </c>
    </row>
    <row r="53" spans="1:12" x14ac:dyDescent="0.3">
      <c r="A53" s="52"/>
      <c r="B53" s="53" t="s">
        <v>26</v>
      </c>
      <c r="C53" s="54">
        <v>46040</v>
      </c>
      <c r="D53" s="53" t="s">
        <v>167</v>
      </c>
      <c r="E53" s="53"/>
      <c r="F53" s="53"/>
      <c r="G53" s="54"/>
      <c r="H53" s="53"/>
      <c r="I53" s="59">
        <v>19.16</v>
      </c>
      <c r="J53" s="59"/>
      <c r="K53" s="59"/>
      <c r="L53" s="59">
        <f t="shared" si="0"/>
        <v>251332.34</v>
      </c>
    </row>
    <row r="54" spans="1:12" x14ac:dyDescent="0.3">
      <c r="A54" s="52"/>
      <c r="B54" s="53" t="s">
        <v>26</v>
      </c>
      <c r="C54" s="54">
        <v>46041</v>
      </c>
      <c r="D54" s="53" t="s">
        <v>168</v>
      </c>
      <c r="E54" s="53"/>
      <c r="F54" s="53"/>
      <c r="G54" s="54"/>
      <c r="H54" s="53"/>
      <c r="I54" s="59">
        <v>20.6</v>
      </c>
      <c r="J54" s="59"/>
      <c r="K54" s="59"/>
      <c r="L54" s="59">
        <f t="shared" si="0"/>
        <v>251352.94</v>
      </c>
    </row>
    <row r="55" spans="1:12" x14ac:dyDescent="0.3">
      <c r="A55" s="52"/>
      <c r="B55" s="53" t="s">
        <v>26</v>
      </c>
      <c r="C55" s="54">
        <v>46041</v>
      </c>
      <c r="D55" s="53" t="s">
        <v>172</v>
      </c>
      <c r="E55" s="53"/>
      <c r="F55" s="53"/>
      <c r="G55" s="54"/>
      <c r="H55" s="53"/>
      <c r="I55" s="59">
        <v>8</v>
      </c>
      <c r="J55" s="59"/>
      <c r="K55" s="59"/>
      <c r="L55" s="59">
        <f t="shared" si="0"/>
        <v>251360.94</v>
      </c>
    </row>
    <row r="56" spans="1:12" x14ac:dyDescent="0.3">
      <c r="A56" s="52"/>
      <c r="B56" s="53" t="s">
        <v>26</v>
      </c>
      <c r="C56" s="54">
        <v>46041</v>
      </c>
      <c r="D56" s="53" t="s">
        <v>171</v>
      </c>
      <c r="E56" s="53"/>
      <c r="F56" s="53"/>
      <c r="G56" s="54"/>
      <c r="H56" s="53"/>
      <c r="I56" s="59">
        <v>18.100000000000001</v>
      </c>
      <c r="J56" s="59"/>
      <c r="K56" s="59"/>
      <c r="L56" s="59">
        <f t="shared" si="0"/>
        <v>251379.04</v>
      </c>
    </row>
    <row r="57" spans="1:12" x14ac:dyDescent="0.3">
      <c r="A57" s="52"/>
      <c r="B57" s="53" t="s">
        <v>26</v>
      </c>
      <c r="C57" s="54">
        <v>46041</v>
      </c>
      <c r="D57" s="53" t="s">
        <v>173</v>
      </c>
      <c r="E57" s="53"/>
      <c r="F57" s="53"/>
      <c r="G57" s="54"/>
      <c r="H57" s="53"/>
      <c r="I57" s="59">
        <v>7</v>
      </c>
      <c r="J57" s="59"/>
      <c r="K57" s="59"/>
      <c r="L57" s="59">
        <f t="shared" si="0"/>
        <v>251386.04</v>
      </c>
    </row>
    <row r="58" spans="1:12" x14ac:dyDescent="0.3">
      <c r="A58" s="52"/>
      <c r="B58" s="53" t="s">
        <v>26</v>
      </c>
      <c r="C58" s="54">
        <v>46041</v>
      </c>
      <c r="D58" s="53" t="s">
        <v>170</v>
      </c>
      <c r="E58" s="53"/>
      <c r="F58" s="53"/>
      <c r="G58" s="54"/>
      <c r="H58" s="53"/>
      <c r="I58" s="59">
        <v>6.46</v>
      </c>
      <c r="J58" s="59"/>
      <c r="K58" s="59"/>
      <c r="L58" s="59">
        <f t="shared" si="0"/>
        <v>251392.5</v>
      </c>
    </row>
    <row r="59" spans="1:12" x14ac:dyDescent="0.3">
      <c r="A59" s="52"/>
      <c r="B59" s="53" t="s">
        <v>26</v>
      </c>
      <c r="C59" s="54">
        <v>46041</v>
      </c>
      <c r="D59" s="53" t="s">
        <v>169</v>
      </c>
      <c r="E59" s="53"/>
      <c r="F59" s="53"/>
      <c r="G59" s="54"/>
      <c r="H59" s="53"/>
      <c r="I59" s="59">
        <v>2.2000000000000002</v>
      </c>
      <c r="J59" s="59"/>
      <c r="K59" s="59"/>
      <c r="L59" s="59">
        <f t="shared" si="0"/>
        <v>251394.7</v>
      </c>
    </row>
    <row r="60" spans="1:12" x14ac:dyDescent="0.3">
      <c r="A60" s="52"/>
      <c r="B60" s="53" t="s">
        <v>26</v>
      </c>
      <c r="C60" s="54">
        <v>46042</v>
      </c>
      <c r="D60" s="53" t="s">
        <v>180</v>
      </c>
      <c r="E60" s="53"/>
      <c r="F60" s="53"/>
      <c r="G60" s="54"/>
      <c r="H60" s="53"/>
      <c r="I60" s="59">
        <v>32.26</v>
      </c>
      <c r="J60" s="59"/>
      <c r="K60" s="59"/>
      <c r="L60" s="59">
        <f t="shared" si="0"/>
        <v>251426.96000000002</v>
      </c>
    </row>
    <row r="61" spans="1:12" x14ac:dyDescent="0.3">
      <c r="A61" s="52"/>
      <c r="B61" s="53" t="s">
        <v>26</v>
      </c>
      <c r="C61" s="54">
        <v>46042</v>
      </c>
      <c r="D61" s="53" t="s">
        <v>177</v>
      </c>
      <c r="E61" s="53"/>
      <c r="F61" s="53"/>
      <c r="G61" s="54"/>
      <c r="H61" s="53"/>
      <c r="I61" s="59">
        <v>23.2</v>
      </c>
      <c r="J61" s="59"/>
      <c r="K61" s="59"/>
      <c r="L61" s="59">
        <f t="shared" si="0"/>
        <v>251450.16000000003</v>
      </c>
    </row>
    <row r="62" spans="1:12" x14ac:dyDescent="0.3">
      <c r="A62" s="52"/>
      <c r="B62" s="53" t="s">
        <v>26</v>
      </c>
      <c r="C62" s="54">
        <v>46042</v>
      </c>
      <c r="D62" s="53" t="s">
        <v>179</v>
      </c>
      <c r="E62" s="53"/>
      <c r="F62" s="53"/>
      <c r="G62" s="54"/>
      <c r="H62" s="53"/>
      <c r="I62" s="59">
        <v>4.4000000000000004</v>
      </c>
      <c r="J62" s="59"/>
      <c r="K62" s="59"/>
      <c r="L62" s="59">
        <f t="shared" si="0"/>
        <v>251454.56000000003</v>
      </c>
    </row>
    <row r="63" spans="1:12" x14ac:dyDescent="0.3">
      <c r="A63" s="52"/>
      <c r="B63" s="53" t="s">
        <v>26</v>
      </c>
      <c r="C63" s="54">
        <v>46042</v>
      </c>
      <c r="D63" s="53" t="s">
        <v>178</v>
      </c>
      <c r="E63" s="53"/>
      <c r="F63" s="53"/>
      <c r="G63" s="54"/>
      <c r="H63" s="53"/>
      <c r="I63" s="59">
        <v>23.2</v>
      </c>
      <c r="J63" s="59"/>
      <c r="K63" s="59"/>
      <c r="L63" s="59">
        <f t="shared" si="0"/>
        <v>251477.76000000004</v>
      </c>
    </row>
    <row r="64" spans="1:12" x14ac:dyDescent="0.3">
      <c r="A64" s="52"/>
      <c r="B64" s="53" t="s">
        <v>26</v>
      </c>
      <c r="C64" s="54">
        <v>46042</v>
      </c>
      <c r="D64" s="53" t="s">
        <v>174</v>
      </c>
      <c r="E64" s="53"/>
      <c r="F64" s="53"/>
      <c r="G64" s="54"/>
      <c r="H64" s="53"/>
      <c r="I64" s="59">
        <v>11.91</v>
      </c>
      <c r="J64" s="59"/>
      <c r="K64" s="59"/>
      <c r="L64" s="59">
        <f t="shared" si="0"/>
        <v>251489.67000000004</v>
      </c>
    </row>
    <row r="65" spans="1:12" x14ac:dyDescent="0.3">
      <c r="A65" s="52"/>
      <c r="B65" s="53" t="s">
        <v>26</v>
      </c>
      <c r="C65" s="54">
        <v>46042</v>
      </c>
      <c r="D65" s="53" t="s">
        <v>175</v>
      </c>
      <c r="E65" s="53"/>
      <c r="F65" s="53"/>
      <c r="G65" s="54"/>
      <c r="H65" s="53"/>
      <c r="I65" s="59">
        <v>2.99</v>
      </c>
      <c r="J65" s="59"/>
      <c r="K65" s="59"/>
      <c r="L65" s="59">
        <f t="shared" si="0"/>
        <v>251492.66000000003</v>
      </c>
    </row>
    <row r="66" spans="1:12" x14ac:dyDescent="0.3">
      <c r="A66" s="52"/>
      <c r="B66" s="53" t="s">
        <v>26</v>
      </c>
      <c r="C66" s="54">
        <v>46042</v>
      </c>
      <c r="D66" s="53" t="s">
        <v>176</v>
      </c>
      <c r="E66" s="53"/>
      <c r="F66" s="53"/>
      <c r="G66" s="54"/>
      <c r="H66" s="53"/>
      <c r="I66" s="59">
        <v>9</v>
      </c>
      <c r="J66" s="59"/>
      <c r="K66" s="59"/>
      <c r="L66" s="59">
        <f t="shared" si="0"/>
        <v>251501.66000000003</v>
      </c>
    </row>
    <row r="67" spans="1:12" x14ac:dyDescent="0.3">
      <c r="A67" s="52"/>
      <c r="B67" s="53" t="s">
        <v>26</v>
      </c>
      <c r="C67" s="54">
        <v>46043</v>
      </c>
      <c r="D67" s="53" t="s">
        <v>192</v>
      </c>
      <c r="E67" s="53"/>
      <c r="F67" s="53"/>
      <c r="G67" s="54"/>
      <c r="H67" s="53"/>
      <c r="I67" s="59">
        <v>9.66</v>
      </c>
      <c r="J67" s="59"/>
      <c r="K67" s="59"/>
      <c r="L67" s="59">
        <f t="shared" si="0"/>
        <v>251511.32000000004</v>
      </c>
    </row>
    <row r="68" spans="1:12" x14ac:dyDescent="0.3">
      <c r="A68" s="52"/>
      <c r="B68" s="53" t="s">
        <v>28</v>
      </c>
      <c r="C68" s="54">
        <v>46043</v>
      </c>
      <c r="D68" s="53" t="s">
        <v>202</v>
      </c>
      <c r="E68" s="53" t="s">
        <v>186</v>
      </c>
      <c r="F68" s="53"/>
      <c r="G68" s="54">
        <v>46041</v>
      </c>
      <c r="H68" s="53" t="s">
        <v>203</v>
      </c>
      <c r="I68" s="59">
        <v>126</v>
      </c>
      <c r="J68" s="59"/>
      <c r="K68" s="59"/>
      <c r="L68" s="59">
        <f t="shared" si="0"/>
        <v>251637.32000000004</v>
      </c>
    </row>
    <row r="69" spans="1:12" x14ac:dyDescent="0.3">
      <c r="A69" s="52"/>
      <c r="B69" s="53" t="s">
        <v>26</v>
      </c>
      <c r="C69" s="54">
        <v>46043</v>
      </c>
      <c r="D69" s="53" t="s">
        <v>209</v>
      </c>
      <c r="E69" s="53"/>
      <c r="F69" s="53"/>
      <c r="G69" s="54"/>
      <c r="H69" s="53"/>
      <c r="I69" s="59">
        <v>40</v>
      </c>
      <c r="J69" s="59"/>
      <c r="K69" s="59"/>
      <c r="L69" s="59">
        <f t="shared" si="0"/>
        <v>251677.32000000004</v>
      </c>
    </row>
    <row r="70" spans="1:12" x14ac:dyDescent="0.3">
      <c r="A70" s="52"/>
      <c r="B70" s="53" t="s">
        <v>28</v>
      </c>
      <c r="C70" s="54">
        <v>46043</v>
      </c>
      <c r="D70" s="53" t="s">
        <v>196</v>
      </c>
      <c r="E70" s="53" t="s">
        <v>197</v>
      </c>
      <c r="F70" s="53" t="s">
        <v>198</v>
      </c>
      <c r="G70" s="54">
        <v>46036</v>
      </c>
      <c r="H70" s="53" t="s">
        <v>199</v>
      </c>
      <c r="I70" s="59">
        <v>112.19</v>
      </c>
      <c r="J70" s="59"/>
      <c r="K70" s="59"/>
      <c r="L70" s="59">
        <f t="shared" si="0"/>
        <v>251789.51000000004</v>
      </c>
    </row>
    <row r="71" spans="1:12" x14ac:dyDescent="0.3">
      <c r="A71" s="52"/>
      <c r="B71" s="53" t="s">
        <v>26</v>
      </c>
      <c r="C71" s="54">
        <v>46043</v>
      </c>
      <c r="D71" s="53" t="s">
        <v>220</v>
      </c>
      <c r="E71" s="53"/>
      <c r="F71" s="53"/>
      <c r="G71" s="54"/>
      <c r="H71" s="53"/>
      <c r="I71" s="59">
        <v>5.4</v>
      </c>
      <c r="J71" s="59"/>
      <c r="K71" s="59"/>
      <c r="L71" s="59">
        <f t="shared" si="0"/>
        <v>251794.91000000003</v>
      </c>
    </row>
    <row r="72" spans="1:12" x14ac:dyDescent="0.3">
      <c r="A72" s="52"/>
      <c r="B72" s="53" t="s">
        <v>75</v>
      </c>
      <c r="C72" s="54">
        <v>46043</v>
      </c>
      <c r="D72" s="53" t="s">
        <v>204</v>
      </c>
      <c r="E72" s="53" t="s">
        <v>186</v>
      </c>
      <c r="F72" s="53"/>
      <c r="G72" s="54">
        <v>46035</v>
      </c>
      <c r="H72" s="53" t="s">
        <v>205</v>
      </c>
      <c r="I72" s="59"/>
      <c r="J72" s="59"/>
      <c r="K72" s="59">
        <v>77</v>
      </c>
      <c r="L72" s="59">
        <f t="shared" si="0"/>
        <v>251717.91000000003</v>
      </c>
    </row>
    <row r="73" spans="1:12" x14ac:dyDescent="0.3">
      <c r="A73" s="52"/>
      <c r="B73" s="53" t="s">
        <v>28</v>
      </c>
      <c r="C73" s="54">
        <v>46043</v>
      </c>
      <c r="D73" s="53" t="s">
        <v>206</v>
      </c>
      <c r="E73" s="53" t="s">
        <v>207</v>
      </c>
      <c r="F73" s="53"/>
      <c r="G73" s="54">
        <v>46034</v>
      </c>
      <c r="H73" s="53" t="s">
        <v>208</v>
      </c>
      <c r="I73" s="59">
        <v>51.2</v>
      </c>
      <c r="J73" s="59"/>
      <c r="K73" s="59"/>
      <c r="L73" s="59">
        <f t="shared" si="0"/>
        <v>251769.11000000004</v>
      </c>
    </row>
    <row r="74" spans="1:12" x14ac:dyDescent="0.3">
      <c r="A74" s="52"/>
      <c r="B74" s="53" t="s">
        <v>26</v>
      </c>
      <c r="C74" s="54">
        <v>46043</v>
      </c>
      <c r="D74" s="53" t="s">
        <v>201</v>
      </c>
      <c r="E74" s="53"/>
      <c r="F74" s="53"/>
      <c r="G74" s="54"/>
      <c r="H74" s="53"/>
      <c r="I74" s="59">
        <v>125.1</v>
      </c>
      <c r="J74" s="59"/>
      <c r="K74" s="59"/>
      <c r="L74" s="59">
        <f t="shared" si="0"/>
        <v>251894.21000000005</v>
      </c>
    </row>
    <row r="75" spans="1:12" x14ac:dyDescent="0.3">
      <c r="A75" s="52"/>
      <c r="B75" s="53" t="s">
        <v>26</v>
      </c>
      <c r="C75" s="54">
        <v>46043</v>
      </c>
      <c r="D75" s="53" t="s">
        <v>200</v>
      </c>
      <c r="E75" s="53"/>
      <c r="F75" s="53"/>
      <c r="G75" s="54"/>
      <c r="H75" s="53"/>
      <c r="I75" s="59">
        <v>12</v>
      </c>
      <c r="J75" s="59"/>
      <c r="K75" s="59"/>
      <c r="L75" s="59">
        <f t="shared" ref="L75:L138" si="1">L74+I75-K75</f>
        <v>251906.21000000005</v>
      </c>
    </row>
    <row r="76" spans="1:12" x14ac:dyDescent="0.3">
      <c r="A76" s="52"/>
      <c r="B76" s="53" t="s">
        <v>26</v>
      </c>
      <c r="C76" s="54">
        <v>46043</v>
      </c>
      <c r="D76" s="53" t="s">
        <v>182</v>
      </c>
      <c r="E76" s="53"/>
      <c r="F76" s="53"/>
      <c r="G76" s="54"/>
      <c r="H76" s="53"/>
      <c r="I76" s="59">
        <v>40.6</v>
      </c>
      <c r="J76" s="59"/>
      <c r="K76" s="59"/>
      <c r="L76" s="59">
        <f t="shared" si="1"/>
        <v>251946.81000000006</v>
      </c>
    </row>
    <row r="77" spans="1:12" x14ac:dyDescent="0.3">
      <c r="A77" s="52"/>
      <c r="B77" s="53" t="s">
        <v>28</v>
      </c>
      <c r="C77" s="54">
        <v>46043</v>
      </c>
      <c r="D77" s="53" t="s">
        <v>221</v>
      </c>
      <c r="E77" s="53" t="s">
        <v>186</v>
      </c>
      <c r="F77" s="53"/>
      <c r="G77" s="54">
        <v>46035</v>
      </c>
      <c r="H77" s="53" t="s">
        <v>222</v>
      </c>
      <c r="I77" s="59">
        <v>86</v>
      </c>
      <c r="J77" s="59"/>
      <c r="K77" s="59"/>
      <c r="L77" s="59">
        <f t="shared" si="1"/>
        <v>252032.81000000006</v>
      </c>
    </row>
    <row r="78" spans="1:12" x14ac:dyDescent="0.3">
      <c r="A78" s="52"/>
      <c r="B78" s="53" t="s">
        <v>28</v>
      </c>
      <c r="C78" s="54">
        <v>46043</v>
      </c>
      <c r="D78" s="53" t="s">
        <v>217</v>
      </c>
      <c r="E78" s="53" t="s">
        <v>197</v>
      </c>
      <c r="F78" s="53" t="s">
        <v>218</v>
      </c>
      <c r="G78" s="54">
        <v>46035</v>
      </c>
      <c r="H78" s="53" t="s">
        <v>219</v>
      </c>
      <c r="I78" s="59">
        <v>163.56</v>
      </c>
      <c r="J78" s="59"/>
      <c r="K78" s="59"/>
      <c r="L78" s="59">
        <f t="shared" si="1"/>
        <v>252196.37000000005</v>
      </c>
    </row>
    <row r="79" spans="1:12" x14ac:dyDescent="0.3">
      <c r="A79" s="52"/>
      <c r="B79" s="53" t="s">
        <v>28</v>
      </c>
      <c r="C79" s="54">
        <v>46043</v>
      </c>
      <c r="D79" s="53" t="s">
        <v>185</v>
      </c>
      <c r="E79" s="53" t="s">
        <v>186</v>
      </c>
      <c r="F79" s="53"/>
      <c r="G79" s="54">
        <v>46035</v>
      </c>
      <c r="H79" s="53" t="s">
        <v>187</v>
      </c>
      <c r="I79" s="59">
        <v>86</v>
      </c>
      <c r="J79" s="59"/>
      <c r="K79" s="59"/>
      <c r="L79" s="59">
        <f t="shared" si="1"/>
        <v>252282.37000000005</v>
      </c>
    </row>
    <row r="80" spans="1:12" x14ac:dyDescent="0.3">
      <c r="A80" s="52"/>
      <c r="B80" s="53" t="s">
        <v>28</v>
      </c>
      <c r="C80" s="54">
        <v>46043</v>
      </c>
      <c r="D80" s="53" t="s">
        <v>188</v>
      </c>
      <c r="E80" s="53" t="s">
        <v>189</v>
      </c>
      <c r="F80" s="53" t="s">
        <v>190</v>
      </c>
      <c r="G80" s="54">
        <v>46038</v>
      </c>
      <c r="H80" s="53" t="s">
        <v>191</v>
      </c>
      <c r="I80" s="59">
        <v>4</v>
      </c>
      <c r="J80" s="59"/>
      <c r="K80" s="59"/>
      <c r="L80" s="59">
        <f t="shared" si="1"/>
        <v>252286.37000000005</v>
      </c>
    </row>
    <row r="81" spans="1:12" x14ac:dyDescent="0.3">
      <c r="A81" s="52"/>
      <c r="B81" s="53" t="s">
        <v>28</v>
      </c>
      <c r="C81" s="54">
        <v>46043</v>
      </c>
      <c r="D81" s="53" t="s">
        <v>223</v>
      </c>
      <c r="E81" s="53" t="s">
        <v>224</v>
      </c>
      <c r="F81" s="53" t="s">
        <v>225</v>
      </c>
      <c r="G81" s="54">
        <v>46029</v>
      </c>
      <c r="H81" s="53" t="s">
        <v>226</v>
      </c>
      <c r="I81" s="59">
        <v>0.64</v>
      </c>
      <c r="J81" s="59"/>
      <c r="K81" s="59"/>
      <c r="L81" s="59">
        <f t="shared" si="1"/>
        <v>252287.01000000007</v>
      </c>
    </row>
    <row r="82" spans="1:12" x14ac:dyDescent="0.3">
      <c r="A82" s="52"/>
      <c r="B82" s="53" t="s">
        <v>26</v>
      </c>
      <c r="C82" s="54">
        <v>46043</v>
      </c>
      <c r="D82" s="53" t="s">
        <v>183</v>
      </c>
      <c r="E82" s="53"/>
      <c r="F82" s="53"/>
      <c r="G82" s="54"/>
      <c r="H82" s="53"/>
      <c r="I82" s="59">
        <v>8.5</v>
      </c>
      <c r="J82" s="59"/>
      <c r="K82" s="59"/>
      <c r="L82" s="59">
        <f t="shared" si="1"/>
        <v>252295.51000000007</v>
      </c>
    </row>
    <row r="83" spans="1:12" x14ac:dyDescent="0.3">
      <c r="A83" s="52"/>
      <c r="B83" s="53" t="s">
        <v>26</v>
      </c>
      <c r="C83" s="54">
        <v>46043</v>
      </c>
      <c r="D83" s="53" t="s">
        <v>181</v>
      </c>
      <c r="E83" s="53"/>
      <c r="F83" s="53"/>
      <c r="G83" s="54"/>
      <c r="H83" s="53"/>
      <c r="I83" s="59">
        <v>74.8</v>
      </c>
      <c r="J83" s="59"/>
      <c r="K83" s="59"/>
      <c r="L83" s="59">
        <f t="shared" si="1"/>
        <v>252370.31000000006</v>
      </c>
    </row>
    <row r="84" spans="1:12" x14ac:dyDescent="0.3">
      <c r="A84" s="52"/>
      <c r="B84" s="53" t="s">
        <v>26</v>
      </c>
      <c r="C84" s="54">
        <v>46043</v>
      </c>
      <c r="D84" s="53" t="s">
        <v>184</v>
      </c>
      <c r="E84" s="53"/>
      <c r="F84" s="53"/>
      <c r="G84" s="54"/>
      <c r="H84" s="53"/>
      <c r="I84" s="59">
        <v>2.4</v>
      </c>
      <c r="J84" s="59"/>
      <c r="K84" s="59"/>
      <c r="L84" s="59">
        <f t="shared" si="1"/>
        <v>252372.71000000005</v>
      </c>
    </row>
    <row r="85" spans="1:12" x14ac:dyDescent="0.3">
      <c r="A85" s="52"/>
      <c r="B85" s="53" t="s">
        <v>75</v>
      </c>
      <c r="C85" s="54">
        <v>46043</v>
      </c>
      <c r="D85" s="53" t="s">
        <v>213</v>
      </c>
      <c r="E85" s="53" t="s">
        <v>186</v>
      </c>
      <c r="F85" s="53"/>
      <c r="G85" s="54">
        <v>46035</v>
      </c>
      <c r="H85" s="53" t="s">
        <v>214</v>
      </c>
      <c r="I85" s="59"/>
      <c r="J85" s="59"/>
      <c r="K85" s="59">
        <v>86</v>
      </c>
      <c r="L85" s="59">
        <f t="shared" si="1"/>
        <v>252286.71000000005</v>
      </c>
    </row>
    <row r="86" spans="1:12" x14ac:dyDescent="0.3">
      <c r="A86" s="52"/>
      <c r="B86" s="53" t="s">
        <v>28</v>
      </c>
      <c r="C86" s="54">
        <v>46043</v>
      </c>
      <c r="D86" s="53" t="s">
        <v>193</v>
      </c>
      <c r="E86" s="53" t="s">
        <v>194</v>
      </c>
      <c r="F86" s="53"/>
      <c r="G86" s="54">
        <v>46038</v>
      </c>
      <c r="H86" s="53" t="s">
        <v>195</v>
      </c>
      <c r="I86" s="59">
        <v>2048.1799999999998</v>
      </c>
      <c r="J86" s="59"/>
      <c r="K86" s="59"/>
      <c r="L86" s="59">
        <f t="shared" si="1"/>
        <v>254334.89000000004</v>
      </c>
    </row>
    <row r="87" spans="1:12" x14ac:dyDescent="0.3">
      <c r="A87" s="52"/>
      <c r="B87" s="53" t="s">
        <v>28</v>
      </c>
      <c r="C87" s="54">
        <v>46043</v>
      </c>
      <c r="D87" s="53" t="s">
        <v>210</v>
      </c>
      <c r="E87" s="53" t="s">
        <v>211</v>
      </c>
      <c r="F87" s="53"/>
      <c r="G87" s="54">
        <v>46031</v>
      </c>
      <c r="H87" s="53" t="s">
        <v>212</v>
      </c>
      <c r="I87" s="59">
        <v>46.54</v>
      </c>
      <c r="J87" s="59"/>
      <c r="K87" s="59"/>
      <c r="L87" s="59">
        <f t="shared" si="1"/>
        <v>254381.43000000005</v>
      </c>
    </row>
    <row r="88" spans="1:12" x14ac:dyDescent="0.3">
      <c r="A88" s="52"/>
      <c r="B88" s="53" t="s">
        <v>28</v>
      </c>
      <c r="C88" s="54">
        <v>46043</v>
      </c>
      <c r="D88" s="53" t="s">
        <v>215</v>
      </c>
      <c r="E88" s="53" t="s">
        <v>186</v>
      </c>
      <c r="F88" s="53"/>
      <c r="G88" s="54">
        <v>46034</v>
      </c>
      <c r="H88" s="53" t="s">
        <v>216</v>
      </c>
      <c r="I88" s="59">
        <v>147</v>
      </c>
      <c r="J88" s="59"/>
      <c r="K88" s="59"/>
      <c r="L88" s="59">
        <f t="shared" si="1"/>
        <v>254528.43000000005</v>
      </c>
    </row>
    <row r="89" spans="1:12" x14ac:dyDescent="0.3">
      <c r="A89" s="52"/>
      <c r="B89" s="53" t="s">
        <v>28</v>
      </c>
      <c r="C89" s="54">
        <v>46044</v>
      </c>
      <c r="D89" s="53" t="s">
        <v>229</v>
      </c>
      <c r="E89" s="53" t="s">
        <v>230</v>
      </c>
      <c r="F89" s="53" t="s">
        <v>231</v>
      </c>
      <c r="G89" s="54">
        <v>46042</v>
      </c>
      <c r="H89" s="53" t="s">
        <v>113</v>
      </c>
      <c r="I89" s="59">
        <v>102</v>
      </c>
      <c r="J89" s="59"/>
      <c r="K89" s="59"/>
      <c r="L89" s="59">
        <f t="shared" si="1"/>
        <v>254630.43000000005</v>
      </c>
    </row>
    <row r="90" spans="1:12" x14ac:dyDescent="0.3">
      <c r="A90" s="52"/>
      <c r="B90" s="53" t="s">
        <v>26</v>
      </c>
      <c r="C90" s="54">
        <v>46044</v>
      </c>
      <c r="D90" s="53" t="s">
        <v>232</v>
      </c>
      <c r="E90" s="53"/>
      <c r="F90" s="53"/>
      <c r="G90" s="54"/>
      <c r="H90" s="53"/>
      <c r="I90" s="59">
        <v>3</v>
      </c>
      <c r="J90" s="59"/>
      <c r="K90" s="59"/>
      <c r="L90" s="59">
        <f t="shared" si="1"/>
        <v>254633.43000000005</v>
      </c>
    </row>
    <row r="91" spans="1:12" x14ac:dyDescent="0.3">
      <c r="A91" s="52"/>
      <c r="B91" s="53" t="s">
        <v>26</v>
      </c>
      <c r="C91" s="54">
        <v>46044</v>
      </c>
      <c r="D91" s="53" t="s">
        <v>228</v>
      </c>
      <c r="E91" s="53"/>
      <c r="F91" s="53"/>
      <c r="G91" s="54"/>
      <c r="H91" s="53"/>
      <c r="I91" s="59">
        <v>2.5</v>
      </c>
      <c r="J91" s="59"/>
      <c r="K91" s="59"/>
      <c r="L91" s="59">
        <f t="shared" si="1"/>
        <v>254635.93000000005</v>
      </c>
    </row>
    <row r="92" spans="1:12" x14ac:dyDescent="0.3">
      <c r="A92" s="52"/>
      <c r="B92" s="53" t="s">
        <v>26</v>
      </c>
      <c r="C92" s="54">
        <v>46044</v>
      </c>
      <c r="D92" s="53" t="s">
        <v>227</v>
      </c>
      <c r="E92" s="53"/>
      <c r="F92" s="53"/>
      <c r="G92" s="54"/>
      <c r="H92" s="53"/>
      <c r="I92" s="59">
        <v>8.4</v>
      </c>
      <c r="J92" s="59"/>
      <c r="K92" s="59"/>
      <c r="L92" s="59">
        <f t="shared" si="1"/>
        <v>254644.33000000005</v>
      </c>
    </row>
    <row r="93" spans="1:12" x14ac:dyDescent="0.3">
      <c r="A93" s="52"/>
      <c r="B93" s="53" t="s">
        <v>26</v>
      </c>
      <c r="C93" s="54">
        <v>46044</v>
      </c>
      <c r="D93" s="53" t="s">
        <v>233</v>
      </c>
      <c r="E93" s="53"/>
      <c r="F93" s="53"/>
      <c r="G93" s="54"/>
      <c r="H93" s="53"/>
      <c r="I93" s="59">
        <v>3</v>
      </c>
      <c r="J93" s="59"/>
      <c r="K93" s="59"/>
      <c r="L93" s="59">
        <f t="shared" si="1"/>
        <v>254647.33000000005</v>
      </c>
    </row>
    <row r="94" spans="1:12" x14ac:dyDescent="0.3">
      <c r="A94" s="52"/>
      <c r="B94" s="53" t="s">
        <v>26</v>
      </c>
      <c r="C94" s="54">
        <v>46045</v>
      </c>
      <c r="D94" s="53" t="s">
        <v>259</v>
      </c>
      <c r="E94" s="53"/>
      <c r="F94" s="53"/>
      <c r="G94" s="54"/>
      <c r="H94" s="53"/>
      <c r="I94" s="59">
        <v>7.4</v>
      </c>
      <c r="J94" s="59"/>
      <c r="K94" s="59"/>
      <c r="L94" s="59">
        <f t="shared" si="1"/>
        <v>254654.73000000004</v>
      </c>
    </row>
    <row r="95" spans="1:12" x14ac:dyDescent="0.3">
      <c r="A95" s="52"/>
      <c r="B95" s="53" t="s">
        <v>28</v>
      </c>
      <c r="C95" s="54">
        <v>46045</v>
      </c>
      <c r="D95" s="53" t="s">
        <v>260</v>
      </c>
      <c r="E95" s="53" t="s">
        <v>261</v>
      </c>
      <c r="F95" s="53"/>
      <c r="G95" s="54">
        <v>46036</v>
      </c>
      <c r="H95" s="53" t="s">
        <v>262</v>
      </c>
      <c r="I95" s="59">
        <v>105.58</v>
      </c>
      <c r="J95" s="59"/>
      <c r="K95" s="59"/>
      <c r="L95" s="59">
        <f t="shared" si="1"/>
        <v>254760.31000000003</v>
      </c>
    </row>
    <row r="96" spans="1:12" x14ac:dyDescent="0.3">
      <c r="A96" s="52"/>
      <c r="B96" s="53" t="s">
        <v>26</v>
      </c>
      <c r="C96" s="54">
        <v>46045</v>
      </c>
      <c r="D96" s="53" t="s">
        <v>248</v>
      </c>
      <c r="E96" s="53"/>
      <c r="F96" s="53"/>
      <c r="G96" s="54"/>
      <c r="H96" s="53"/>
      <c r="I96" s="59">
        <v>343.61</v>
      </c>
      <c r="J96" s="59"/>
      <c r="K96" s="59"/>
      <c r="L96" s="59">
        <f t="shared" si="1"/>
        <v>255103.92</v>
      </c>
    </row>
    <row r="97" spans="1:12" x14ac:dyDescent="0.3">
      <c r="A97" s="52"/>
      <c r="B97" s="53" t="s">
        <v>28</v>
      </c>
      <c r="C97" s="54">
        <v>46045</v>
      </c>
      <c r="D97" s="53" t="s">
        <v>257</v>
      </c>
      <c r="E97" s="53" t="s">
        <v>240</v>
      </c>
      <c r="F97" s="53" t="s">
        <v>237</v>
      </c>
      <c r="G97" s="54">
        <v>46045</v>
      </c>
      <c r="H97" s="53" t="s">
        <v>258</v>
      </c>
      <c r="I97" s="59">
        <v>19.34</v>
      </c>
      <c r="J97" s="59"/>
      <c r="K97" s="59"/>
      <c r="L97" s="59">
        <f t="shared" si="1"/>
        <v>255123.26</v>
      </c>
    </row>
    <row r="98" spans="1:12" x14ac:dyDescent="0.3">
      <c r="A98" s="52"/>
      <c r="B98" s="53" t="s">
        <v>28</v>
      </c>
      <c r="C98" s="54">
        <v>46045</v>
      </c>
      <c r="D98" s="53" t="s">
        <v>242</v>
      </c>
      <c r="E98" s="53" t="s">
        <v>186</v>
      </c>
      <c r="F98" s="53"/>
      <c r="G98" s="54">
        <v>46042</v>
      </c>
      <c r="H98" s="53" t="s">
        <v>243</v>
      </c>
      <c r="I98" s="59">
        <v>217.8</v>
      </c>
      <c r="J98" s="59"/>
      <c r="K98" s="59"/>
      <c r="L98" s="59">
        <f t="shared" si="1"/>
        <v>255341.06</v>
      </c>
    </row>
    <row r="99" spans="1:12" x14ac:dyDescent="0.3">
      <c r="A99" s="52"/>
      <c r="B99" s="53" t="s">
        <v>28</v>
      </c>
      <c r="C99" s="54">
        <v>46045</v>
      </c>
      <c r="D99" s="53" t="s">
        <v>264</v>
      </c>
      <c r="E99" s="53" t="s">
        <v>265</v>
      </c>
      <c r="F99" s="53"/>
      <c r="G99" s="54">
        <v>46043</v>
      </c>
      <c r="H99" s="53" t="s">
        <v>266</v>
      </c>
      <c r="I99" s="59">
        <v>4.04</v>
      </c>
      <c r="J99" s="59"/>
      <c r="K99" s="59"/>
      <c r="L99" s="59">
        <f t="shared" si="1"/>
        <v>255345.1</v>
      </c>
    </row>
    <row r="100" spans="1:12" x14ac:dyDescent="0.3">
      <c r="A100" s="52"/>
      <c r="B100" s="53" t="s">
        <v>26</v>
      </c>
      <c r="C100" s="54">
        <v>46045</v>
      </c>
      <c r="D100" s="53" t="s">
        <v>263</v>
      </c>
      <c r="E100" s="53"/>
      <c r="F100" s="53"/>
      <c r="G100" s="54"/>
      <c r="H100" s="53"/>
      <c r="I100" s="59">
        <v>261.76</v>
      </c>
      <c r="J100" s="59"/>
      <c r="K100" s="59"/>
      <c r="L100" s="59">
        <f t="shared" si="1"/>
        <v>255606.86000000002</v>
      </c>
    </row>
    <row r="101" spans="1:12" x14ac:dyDescent="0.3">
      <c r="A101" s="52"/>
      <c r="B101" s="53" t="s">
        <v>28</v>
      </c>
      <c r="C101" s="54">
        <v>46045</v>
      </c>
      <c r="D101" s="53" t="s">
        <v>249</v>
      </c>
      <c r="E101" s="53" t="s">
        <v>250</v>
      </c>
      <c r="F101" s="53"/>
      <c r="G101" s="54">
        <v>46045</v>
      </c>
      <c r="H101" s="53" t="s">
        <v>251</v>
      </c>
      <c r="I101" s="59">
        <v>375.27</v>
      </c>
      <c r="J101" s="5" t="s">
        <v>748</v>
      </c>
      <c r="K101" s="59"/>
      <c r="L101" s="59">
        <f t="shared" si="1"/>
        <v>255982.13</v>
      </c>
    </row>
    <row r="102" spans="1:12" x14ac:dyDescent="0.3">
      <c r="A102" s="52"/>
      <c r="B102" s="53" t="s">
        <v>28</v>
      </c>
      <c r="C102" s="54">
        <v>46045</v>
      </c>
      <c r="D102" s="53" t="s">
        <v>244</v>
      </c>
      <c r="E102" s="53" t="s">
        <v>236</v>
      </c>
      <c r="F102" s="53" t="s">
        <v>237</v>
      </c>
      <c r="G102" s="54">
        <v>46045</v>
      </c>
      <c r="H102" s="53" t="s">
        <v>245</v>
      </c>
      <c r="I102" s="59">
        <v>4.6399999999999997</v>
      </c>
      <c r="J102" s="59"/>
      <c r="K102" s="59"/>
      <c r="L102" s="59">
        <f t="shared" si="1"/>
        <v>255986.77000000002</v>
      </c>
    </row>
    <row r="103" spans="1:12" x14ac:dyDescent="0.3">
      <c r="A103" s="52"/>
      <c r="B103" s="53" t="s">
        <v>28</v>
      </c>
      <c r="C103" s="54">
        <v>46045</v>
      </c>
      <c r="D103" s="53" t="s">
        <v>246</v>
      </c>
      <c r="E103" s="53" t="s">
        <v>240</v>
      </c>
      <c r="F103" s="53" t="s">
        <v>237</v>
      </c>
      <c r="G103" s="54">
        <v>46045</v>
      </c>
      <c r="H103" s="53" t="s">
        <v>247</v>
      </c>
      <c r="I103" s="59">
        <v>11.07</v>
      </c>
      <c r="J103" s="59"/>
      <c r="K103" s="59"/>
      <c r="L103" s="59">
        <f t="shared" si="1"/>
        <v>255997.84000000003</v>
      </c>
    </row>
    <row r="104" spans="1:12" x14ac:dyDescent="0.3">
      <c r="A104" s="52"/>
      <c r="B104" s="53" t="s">
        <v>28</v>
      </c>
      <c r="C104" s="54">
        <v>46045</v>
      </c>
      <c r="D104" s="53" t="s">
        <v>239</v>
      </c>
      <c r="E104" s="53" t="s">
        <v>240</v>
      </c>
      <c r="F104" s="53" t="s">
        <v>237</v>
      </c>
      <c r="G104" s="54">
        <v>46045</v>
      </c>
      <c r="H104" s="53" t="s">
        <v>241</v>
      </c>
      <c r="I104" s="59">
        <v>9.43</v>
      </c>
      <c r="J104" s="59"/>
      <c r="K104" s="59"/>
      <c r="L104" s="59">
        <f t="shared" si="1"/>
        <v>256007.27000000002</v>
      </c>
    </row>
    <row r="105" spans="1:12" x14ac:dyDescent="0.3">
      <c r="A105" s="52"/>
      <c r="B105" s="53" t="s">
        <v>26</v>
      </c>
      <c r="C105" s="54">
        <v>46045</v>
      </c>
      <c r="D105" s="53" t="s">
        <v>234</v>
      </c>
      <c r="E105" s="53"/>
      <c r="F105" s="53"/>
      <c r="G105" s="54"/>
      <c r="H105" s="53"/>
      <c r="I105" s="59">
        <v>26.8</v>
      </c>
      <c r="J105" s="59"/>
      <c r="K105" s="59"/>
      <c r="L105" s="59">
        <f t="shared" si="1"/>
        <v>256034.07</v>
      </c>
    </row>
    <row r="106" spans="1:12" x14ac:dyDescent="0.3">
      <c r="A106" s="52"/>
      <c r="B106" s="53" t="s">
        <v>26</v>
      </c>
      <c r="C106" s="54">
        <v>46045</v>
      </c>
      <c r="D106" s="53" t="s">
        <v>269</v>
      </c>
      <c r="E106" s="53"/>
      <c r="F106" s="53"/>
      <c r="G106" s="54"/>
      <c r="H106" s="53"/>
      <c r="I106" s="59">
        <v>6.55</v>
      </c>
      <c r="J106" s="59"/>
      <c r="K106" s="59"/>
      <c r="L106" s="59">
        <f t="shared" si="1"/>
        <v>256040.62</v>
      </c>
    </row>
    <row r="107" spans="1:12" x14ac:dyDescent="0.3">
      <c r="A107" s="52"/>
      <c r="B107" s="53" t="s">
        <v>28</v>
      </c>
      <c r="C107" s="54">
        <v>46045</v>
      </c>
      <c r="D107" s="53" t="s">
        <v>252</v>
      </c>
      <c r="E107" s="53" t="s">
        <v>250</v>
      </c>
      <c r="F107" s="53"/>
      <c r="G107" s="54">
        <v>46045</v>
      </c>
      <c r="H107" s="53" t="s">
        <v>253</v>
      </c>
      <c r="I107" s="59">
        <v>373.45</v>
      </c>
      <c r="J107" s="5" t="s">
        <v>749</v>
      </c>
      <c r="K107" s="59"/>
      <c r="L107" s="59">
        <f t="shared" si="1"/>
        <v>256414.07</v>
      </c>
    </row>
    <row r="108" spans="1:12" x14ac:dyDescent="0.3">
      <c r="A108" s="52"/>
      <c r="B108" s="53" t="s">
        <v>28</v>
      </c>
      <c r="C108" s="54">
        <v>46045</v>
      </c>
      <c r="D108" s="53" t="s">
        <v>267</v>
      </c>
      <c r="E108" s="53" t="s">
        <v>186</v>
      </c>
      <c r="F108" s="53"/>
      <c r="G108" s="54">
        <v>46042</v>
      </c>
      <c r="H108" s="53" t="s">
        <v>268</v>
      </c>
      <c r="I108" s="59">
        <v>221.8</v>
      </c>
      <c r="J108" s="59"/>
      <c r="K108" s="59"/>
      <c r="L108" s="59">
        <f t="shared" si="1"/>
        <v>256635.87</v>
      </c>
    </row>
    <row r="109" spans="1:12" x14ac:dyDescent="0.3">
      <c r="A109" s="52"/>
      <c r="B109" s="53" t="s">
        <v>28</v>
      </c>
      <c r="C109" s="54">
        <v>46045</v>
      </c>
      <c r="D109" s="53" t="s">
        <v>254</v>
      </c>
      <c r="E109" s="53" t="s">
        <v>255</v>
      </c>
      <c r="F109" s="53" t="s">
        <v>237</v>
      </c>
      <c r="G109" s="54">
        <v>46045</v>
      </c>
      <c r="H109" s="53" t="s">
        <v>256</v>
      </c>
      <c r="I109" s="59">
        <v>110.63</v>
      </c>
      <c r="J109" s="59"/>
      <c r="K109" s="59"/>
      <c r="L109" s="59">
        <f t="shared" si="1"/>
        <v>256746.5</v>
      </c>
    </row>
    <row r="110" spans="1:12" x14ac:dyDescent="0.3">
      <c r="A110" s="52"/>
      <c r="B110" s="53" t="s">
        <v>28</v>
      </c>
      <c r="C110" s="54">
        <v>46045</v>
      </c>
      <c r="D110" s="53" t="s">
        <v>235</v>
      </c>
      <c r="E110" s="53" t="s">
        <v>236</v>
      </c>
      <c r="F110" s="53" t="s">
        <v>237</v>
      </c>
      <c r="G110" s="54">
        <v>46045</v>
      </c>
      <c r="H110" s="53" t="s">
        <v>238</v>
      </c>
      <c r="I110" s="59">
        <v>16.7</v>
      </c>
      <c r="J110" s="59"/>
      <c r="K110" s="59"/>
      <c r="L110" s="59">
        <f t="shared" si="1"/>
        <v>256763.2</v>
      </c>
    </row>
    <row r="111" spans="1:12" x14ac:dyDescent="0.3">
      <c r="A111" s="52"/>
      <c r="B111" s="53" t="s">
        <v>26</v>
      </c>
      <c r="C111" s="54">
        <v>46046</v>
      </c>
      <c r="D111" s="53" t="s">
        <v>272</v>
      </c>
      <c r="E111" s="53"/>
      <c r="F111" s="53"/>
      <c r="G111" s="54"/>
      <c r="H111" s="53"/>
      <c r="I111" s="59">
        <v>15</v>
      </c>
      <c r="J111" s="59"/>
      <c r="K111" s="59"/>
      <c r="L111" s="59">
        <f t="shared" si="1"/>
        <v>256778.2</v>
      </c>
    </row>
    <row r="112" spans="1:12" x14ac:dyDescent="0.3">
      <c r="A112" s="52"/>
      <c r="B112" s="53" t="s">
        <v>26</v>
      </c>
      <c r="C112" s="54">
        <v>46046</v>
      </c>
      <c r="D112" s="53" t="s">
        <v>270</v>
      </c>
      <c r="E112" s="53"/>
      <c r="F112" s="53"/>
      <c r="G112" s="54"/>
      <c r="H112" s="53"/>
      <c r="I112" s="59">
        <v>4.4000000000000004</v>
      </c>
      <c r="J112" s="59"/>
      <c r="K112" s="59"/>
      <c r="L112" s="59">
        <f t="shared" si="1"/>
        <v>256782.6</v>
      </c>
    </row>
    <row r="113" spans="1:12" x14ac:dyDescent="0.3">
      <c r="A113" s="52"/>
      <c r="B113" s="53" t="s">
        <v>26</v>
      </c>
      <c r="C113" s="54">
        <v>46046</v>
      </c>
      <c r="D113" s="53" t="s">
        <v>271</v>
      </c>
      <c r="E113" s="53"/>
      <c r="F113" s="53"/>
      <c r="G113" s="54"/>
      <c r="H113" s="53"/>
      <c r="I113" s="59">
        <v>18</v>
      </c>
      <c r="J113" s="59"/>
      <c r="K113" s="59"/>
      <c r="L113" s="59">
        <f t="shared" si="1"/>
        <v>256800.6</v>
      </c>
    </row>
    <row r="114" spans="1:12" x14ac:dyDescent="0.3">
      <c r="A114" s="52"/>
      <c r="B114" s="53" t="s">
        <v>26</v>
      </c>
      <c r="C114" s="54">
        <v>46048</v>
      </c>
      <c r="D114" s="53" t="s">
        <v>280</v>
      </c>
      <c r="E114" s="53"/>
      <c r="F114" s="53"/>
      <c r="G114" s="54"/>
      <c r="H114" s="53"/>
      <c r="I114" s="59">
        <v>38</v>
      </c>
      <c r="J114" s="59"/>
      <c r="K114" s="59"/>
      <c r="L114" s="59">
        <f t="shared" si="1"/>
        <v>256838.6</v>
      </c>
    </row>
    <row r="115" spans="1:12" x14ac:dyDescent="0.3">
      <c r="A115" s="52"/>
      <c r="B115" s="53" t="s">
        <v>26</v>
      </c>
      <c r="C115" s="54">
        <v>46048</v>
      </c>
      <c r="D115" s="53" t="s">
        <v>283</v>
      </c>
      <c r="E115" s="53"/>
      <c r="F115" s="53"/>
      <c r="G115" s="54"/>
      <c r="H115" s="53"/>
      <c r="I115" s="59">
        <v>24.6</v>
      </c>
      <c r="J115" s="59"/>
      <c r="K115" s="59"/>
      <c r="L115" s="59">
        <f t="shared" si="1"/>
        <v>256863.2</v>
      </c>
    </row>
    <row r="116" spans="1:12" x14ac:dyDescent="0.3">
      <c r="A116" s="52"/>
      <c r="B116" s="53" t="s">
        <v>28</v>
      </c>
      <c r="C116" s="54">
        <v>46048</v>
      </c>
      <c r="D116" s="53" t="s">
        <v>275</v>
      </c>
      <c r="E116" s="53" t="s">
        <v>276</v>
      </c>
      <c r="F116" s="53" t="s">
        <v>277</v>
      </c>
      <c r="G116" s="54">
        <v>46037</v>
      </c>
      <c r="H116" s="53" t="s">
        <v>278</v>
      </c>
      <c r="I116" s="59">
        <v>100</v>
      </c>
      <c r="J116" s="59"/>
      <c r="K116" s="59"/>
      <c r="L116" s="59">
        <f t="shared" si="1"/>
        <v>256963.20000000001</v>
      </c>
    </row>
    <row r="117" spans="1:12" x14ac:dyDescent="0.3">
      <c r="A117" s="52"/>
      <c r="B117" s="53" t="s">
        <v>26</v>
      </c>
      <c r="C117" s="54">
        <v>46048</v>
      </c>
      <c r="D117" s="53" t="s">
        <v>279</v>
      </c>
      <c r="E117" s="53"/>
      <c r="F117" s="53"/>
      <c r="G117" s="54"/>
      <c r="H117" s="53"/>
      <c r="I117" s="59">
        <v>12.4</v>
      </c>
      <c r="J117" s="59"/>
      <c r="K117" s="59"/>
      <c r="L117" s="59">
        <f t="shared" si="1"/>
        <v>256975.6</v>
      </c>
    </row>
    <row r="118" spans="1:12" x14ac:dyDescent="0.3">
      <c r="A118" s="52"/>
      <c r="B118" s="53" t="s">
        <v>26</v>
      </c>
      <c r="C118" s="54">
        <v>46048</v>
      </c>
      <c r="D118" s="53" t="s">
        <v>285</v>
      </c>
      <c r="E118" s="53"/>
      <c r="F118" s="53"/>
      <c r="G118" s="54"/>
      <c r="H118" s="53"/>
      <c r="I118" s="59">
        <v>7.02</v>
      </c>
      <c r="J118" s="59"/>
      <c r="K118" s="59"/>
      <c r="L118" s="59">
        <f t="shared" si="1"/>
        <v>256982.62</v>
      </c>
    </row>
    <row r="119" spans="1:12" x14ac:dyDescent="0.3">
      <c r="A119" s="52"/>
      <c r="B119" s="53" t="s">
        <v>26</v>
      </c>
      <c r="C119" s="54">
        <v>46048</v>
      </c>
      <c r="D119" s="53" t="s">
        <v>284</v>
      </c>
      <c r="E119" s="53"/>
      <c r="F119" s="53"/>
      <c r="G119" s="54"/>
      <c r="H119" s="53"/>
      <c r="I119" s="59">
        <v>2.2000000000000002</v>
      </c>
      <c r="J119" s="59"/>
      <c r="K119" s="59"/>
      <c r="L119" s="59">
        <f t="shared" si="1"/>
        <v>256984.82</v>
      </c>
    </row>
    <row r="120" spans="1:12" x14ac:dyDescent="0.3">
      <c r="A120" s="52"/>
      <c r="B120" s="53" t="s">
        <v>26</v>
      </c>
      <c r="C120" s="54">
        <v>46048</v>
      </c>
      <c r="D120" s="53" t="s">
        <v>273</v>
      </c>
      <c r="E120" s="53"/>
      <c r="F120" s="53"/>
      <c r="G120" s="54"/>
      <c r="H120" s="53"/>
      <c r="I120" s="59">
        <v>15.29</v>
      </c>
      <c r="J120" s="59"/>
      <c r="K120" s="59"/>
      <c r="L120" s="59">
        <f t="shared" si="1"/>
        <v>257000.11000000002</v>
      </c>
    </row>
    <row r="121" spans="1:12" x14ac:dyDescent="0.3">
      <c r="A121" s="52"/>
      <c r="B121" s="53" t="s">
        <v>28</v>
      </c>
      <c r="C121" s="54">
        <v>46048</v>
      </c>
      <c r="D121" s="53" t="s">
        <v>281</v>
      </c>
      <c r="E121" s="53" t="s">
        <v>186</v>
      </c>
      <c r="F121" s="53"/>
      <c r="G121" s="54">
        <v>46045</v>
      </c>
      <c r="H121" s="53" t="s">
        <v>282</v>
      </c>
      <c r="I121" s="59">
        <v>118</v>
      </c>
      <c r="J121" s="59"/>
      <c r="K121" s="59"/>
      <c r="L121" s="59">
        <f t="shared" si="1"/>
        <v>257118.11000000002</v>
      </c>
    </row>
    <row r="122" spans="1:12" x14ac:dyDescent="0.3">
      <c r="A122" s="52"/>
      <c r="B122" s="53" t="s">
        <v>26</v>
      </c>
      <c r="C122" s="54">
        <v>46048</v>
      </c>
      <c r="D122" s="53" t="s">
        <v>286</v>
      </c>
      <c r="E122" s="53"/>
      <c r="F122" s="53"/>
      <c r="G122" s="54"/>
      <c r="H122" s="53"/>
      <c r="I122" s="59">
        <v>0.86</v>
      </c>
      <c r="J122" s="59"/>
      <c r="K122" s="59"/>
      <c r="L122" s="59">
        <f t="shared" si="1"/>
        <v>257118.97</v>
      </c>
    </row>
    <row r="123" spans="1:12" x14ac:dyDescent="0.3">
      <c r="A123" s="52"/>
      <c r="B123" s="53" t="s">
        <v>26</v>
      </c>
      <c r="C123" s="54">
        <v>46048</v>
      </c>
      <c r="D123" s="53" t="s">
        <v>287</v>
      </c>
      <c r="E123" s="53"/>
      <c r="F123" s="53"/>
      <c r="G123" s="54"/>
      <c r="H123" s="53"/>
      <c r="I123" s="59">
        <v>8.3000000000000007</v>
      </c>
      <c r="J123" s="59"/>
      <c r="K123" s="59"/>
      <c r="L123" s="59">
        <f t="shared" si="1"/>
        <v>257127.27</v>
      </c>
    </row>
    <row r="124" spans="1:12" x14ac:dyDescent="0.3">
      <c r="A124" s="52"/>
      <c r="B124" s="53" t="s">
        <v>26</v>
      </c>
      <c r="C124" s="54">
        <v>46048</v>
      </c>
      <c r="D124" s="53" t="s">
        <v>274</v>
      </c>
      <c r="E124" s="53"/>
      <c r="F124" s="53"/>
      <c r="G124" s="54"/>
      <c r="H124" s="53"/>
      <c r="I124" s="59">
        <v>10.8</v>
      </c>
      <c r="J124" s="59"/>
      <c r="K124" s="59"/>
      <c r="L124" s="59">
        <f t="shared" si="1"/>
        <v>257138.06999999998</v>
      </c>
    </row>
    <row r="125" spans="1:12" x14ac:dyDescent="0.3">
      <c r="A125" s="52"/>
      <c r="B125" s="53" t="s">
        <v>28</v>
      </c>
      <c r="C125" s="54">
        <v>46048</v>
      </c>
      <c r="D125" s="53" t="s">
        <v>288</v>
      </c>
      <c r="E125" s="53" t="s">
        <v>289</v>
      </c>
      <c r="F125" s="53"/>
      <c r="G125" s="54">
        <v>46038</v>
      </c>
      <c r="H125" s="53" t="s">
        <v>290</v>
      </c>
      <c r="I125" s="59">
        <v>309.98</v>
      </c>
      <c r="J125" s="5" t="s">
        <v>750</v>
      </c>
      <c r="K125" s="59"/>
      <c r="L125" s="59">
        <f t="shared" si="1"/>
        <v>257448.05</v>
      </c>
    </row>
    <row r="126" spans="1:12" x14ac:dyDescent="0.3">
      <c r="A126" s="52"/>
      <c r="B126" s="53" t="s">
        <v>26</v>
      </c>
      <c r="C126" s="54">
        <v>46049</v>
      </c>
      <c r="D126" s="53" t="s">
        <v>298</v>
      </c>
      <c r="E126" s="53"/>
      <c r="F126" s="53"/>
      <c r="G126" s="54"/>
      <c r="H126" s="53"/>
      <c r="I126" s="59">
        <v>41.2</v>
      </c>
      <c r="J126" s="59"/>
      <c r="K126" s="59"/>
      <c r="L126" s="59">
        <f t="shared" si="1"/>
        <v>257489.25</v>
      </c>
    </row>
    <row r="127" spans="1:12" x14ac:dyDescent="0.3">
      <c r="A127" s="52"/>
      <c r="B127" s="53" t="s">
        <v>26</v>
      </c>
      <c r="C127" s="54">
        <v>46049</v>
      </c>
      <c r="D127" s="53" t="s">
        <v>296</v>
      </c>
      <c r="E127" s="53"/>
      <c r="F127" s="53"/>
      <c r="G127" s="54"/>
      <c r="H127" s="53"/>
      <c r="I127" s="59">
        <v>3.9</v>
      </c>
      <c r="J127" s="59"/>
      <c r="K127" s="59"/>
      <c r="L127" s="59">
        <f t="shared" si="1"/>
        <v>257493.15</v>
      </c>
    </row>
    <row r="128" spans="1:12" x14ac:dyDescent="0.3">
      <c r="A128" s="52"/>
      <c r="B128" s="53" t="s">
        <v>26</v>
      </c>
      <c r="C128" s="54">
        <v>46049</v>
      </c>
      <c r="D128" s="53" t="s">
        <v>297</v>
      </c>
      <c r="E128" s="53"/>
      <c r="F128" s="53"/>
      <c r="G128" s="54"/>
      <c r="H128" s="53"/>
      <c r="I128" s="59">
        <v>20</v>
      </c>
      <c r="J128" s="59"/>
      <c r="K128" s="59"/>
      <c r="L128" s="59">
        <f t="shared" si="1"/>
        <v>257513.15</v>
      </c>
    </row>
    <row r="129" spans="1:12" x14ac:dyDescent="0.3">
      <c r="A129" s="52"/>
      <c r="B129" s="53" t="s">
        <v>26</v>
      </c>
      <c r="C129" s="54">
        <v>46049</v>
      </c>
      <c r="D129" s="53" t="s">
        <v>299</v>
      </c>
      <c r="E129" s="53"/>
      <c r="F129" s="53"/>
      <c r="G129" s="54"/>
      <c r="H129" s="53"/>
      <c r="I129" s="59">
        <v>19.95</v>
      </c>
      <c r="J129" s="59"/>
      <c r="K129" s="59"/>
      <c r="L129" s="59">
        <f t="shared" si="1"/>
        <v>257533.1</v>
      </c>
    </row>
    <row r="130" spans="1:12" x14ac:dyDescent="0.3">
      <c r="A130" s="52"/>
      <c r="B130" s="53" t="s">
        <v>28</v>
      </c>
      <c r="C130" s="54">
        <v>46049</v>
      </c>
      <c r="D130" s="53" t="s">
        <v>291</v>
      </c>
      <c r="E130" s="53" t="s">
        <v>236</v>
      </c>
      <c r="F130" s="53" t="s">
        <v>292</v>
      </c>
      <c r="G130" s="54">
        <v>46045</v>
      </c>
      <c r="H130" s="53" t="s">
        <v>293</v>
      </c>
      <c r="I130" s="59">
        <v>1.86</v>
      </c>
      <c r="J130" s="59"/>
      <c r="K130" s="59"/>
      <c r="L130" s="59">
        <f t="shared" si="1"/>
        <v>257534.96</v>
      </c>
    </row>
    <row r="131" spans="1:12" x14ac:dyDescent="0.3">
      <c r="A131" s="52"/>
      <c r="B131" s="53" t="s">
        <v>28</v>
      </c>
      <c r="C131" s="54">
        <v>46049</v>
      </c>
      <c r="D131" s="53" t="s">
        <v>294</v>
      </c>
      <c r="E131" s="53" t="s">
        <v>255</v>
      </c>
      <c r="F131" s="53" t="s">
        <v>292</v>
      </c>
      <c r="G131" s="54">
        <v>46045</v>
      </c>
      <c r="H131" s="53" t="s">
        <v>295</v>
      </c>
      <c r="I131" s="59">
        <v>34.43</v>
      </c>
      <c r="J131" s="59"/>
      <c r="K131" s="59"/>
      <c r="L131" s="59">
        <f t="shared" si="1"/>
        <v>257569.38999999998</v>
      </c>
    </row>
    <row r="132" spans="1:12" x14ac:dyDescent="0.3">
      <c r="A132" s="52"/>
      <c r="B132" s="53" t="s">
        <v>26</v>
      </c>
      <c r="C132" s="54">
        <v>46050</v>
      </c>
      <c r="D132" s="53" t="s">
        <v>302</v>
      </c>
      <c r="E132" s="53"/>
      <c r="F132" s="53"/>
      <c r="G132" s="54"/>
      <c r="H132" s="53"/>
      <c r="I132" s="59">
        <v>10.9</v>
      </c>
      <c r="J132" s="59"/>
      <c r="K132" s="59"/>
      <c r="L132" s="59">
        <f t="shared" si="1"/>
        <v>257580.28999999998</v>
      </c>
    </row>
    <row r="133" spans="1:12" x14ac:dyDescent="0.3">
      <c r="A133" s="52"/>
      <c r="B133" s="53" t="s">
        <v>26</v>
      </c>
      <c r="C133" s="54">
        <v>46050</v>
      </c>
      <c r="D133" s="53" t="s">
        <v>306</v>
      </c>
      <c r="E133" s="53"/>
      <c r="F133" s="53"/>
      <c r="G133" s="54"/>
      <c r="H133" s="53"/>
      <c r="I133" s="59">
        <v>2.7</v>
      </c>
      <c r="J133" s="59"/>
      <c r="K133" s="59"/>
      <c r="L133" s="59">
        <f t="shared" si="1"/>
        <v>257582.99</v>
      </c>
    </row>
    <row r="134" spans="1:12" x14ac:dyDescent="0.3">
      <c r="A134" s="52"/>
      <c r="B134" s="53" t="s">
        <v>26</v>
      </c>
      <c r="C134" s="54">
        <v>46050</v>
      </c>
      <c r="D134" s="53" t="s">
        <v>307</v>
      </c>
      <c r="E134" s="53"/>
      <c r="F134" s="53"/>
      <c r="G134" s="54"/>
      <c r="H134" s="53"/>
      <c r="I134" s="59">
        <v>6.2</v>
      </c>
      <c r="J134" s="59"/>
      <c r="K134" s="59"/>
      <c r="L134" s="59">
        <f t="shared" si="1"/>
        <v>257589.19</v>
      </c>
    </row>
    <row r="135" spans="1:12" x14ac:dyDescent="0.3">
      <c r="A135" s="52"/>
      <c r="B135" s="53" t="s">
        <v>28</v>
      </c>
      <c r="C135" s="54">
        <v>46050</v>
      </c>
      <c r="D135" s="53" t="s">
        <v>303</v>
      </c>
      <c r="E135" s="53" t="s">
        <v>304</v>
      </c>
      <c r="F135" s="53"/>
      <c r="G135" s="54">
        <v>46050</v>
      </c>
      <c r="H135" s="53" t="s">
        <v>305</v>
      </c>
      <c r="I135" s="59">
        <v>148.85</v>
      </c>
      <c r="J135" s="59"/>
      <c r="K135" s="59"/>
      <c r="L135" s="59">
        <f t="shared" si="1"/>
        <v>257738.04</v>
      </c>
    </row>
    <row r="136" spans="1:12" x14ac:dyDescent="0.3">
      <c r="A136" s="52"/>
      <c r="B136" s="53" t="s">
        <v>26</v>
      </c>
      <c r="C136" s="54">
        <v>46050</v>
      </c>
      <c r="D136" s="53" t="s">
        <v>300</v>
      </c>
      <c r="E136" s="53"/>
      <c r="F136" s="53"/>
      <c r="G136" s="54"/>
      <c r="H136" s="53"/>
      <c r="I136" s="59">
        <v>26.8</v>
      </c>
      <c r="J136" s="59"/>
      <c r="K136" s="59"/>
      <c r="L136" s="59">
        <f t="shared" si="1"/>
        <v>257764.84</v>
      </c>
    </row>
    <row r="137" spans="1:12" x14ac:dyDescent="0.3">
      <c r="A137" s="52"/>
      <c r="B137" s="53" t="s">
        <v>26</v>
      </c>
      <c r="C137" s="54">
        <v>46050</v>
      </c>
      <c r="D137" s="53" t="s">
        <v>301</v>
      </c>
      <c r="E137" s="53"/>
      <c r="F137" s="53"/>
      <c r="G137" s="54"/>
      <c r="H137" s="53"/>
      <c r="I137" s="59">
        <v>10.19</v>
      </c>
      <c r="J137" s="59"/>
      <c r="K137" s="59"/>
      <c r="L137" s="59">
        <f t="shared" si="1"/>
        <v>257775.03</v>
      </c>
    </row>
    <row r="138" spans="1:12" x14ac:dyDescent="0.3">
      <c r="A138" s="52"/>
      <c r="B138" s="53" t="s">
        <v>26</v>
      </c>
      <c r="C138" s="54">
        <v>46051</v>
      </c>
      <c r="D138" s="53" t="s">
        <v>313</v>
      </c>
      <c r="E138" s="53"/>
      <c r="F138" s="53"/>
      <c r="G138" s="54"/>
      <c r="H138" s="53"/>
      <c r="I138" s="59">
        <v>12.29</v>
      </c>
      <c r="J138" s="59"/>
      <c r="K138" s="59"/>
      <c r="L138" s="59">
        <f t="shared" si="1"/>
        <v>257787.32</v>
      </c>
    </row>
    <row r="139" spans="1:12" x14ac:dyDescent="0.3">
      <c r="A139" s="52"/>
      <c r="B139" s="53" t="s">
        <v>26</v>
      </c>
      <c r="C139" s="54">
        <v>46051</v>
      </c>
      <c r="D139" s="53" t="s">
        <v>311</v>
      </c>
      <c r="E139" s="53"/>
      <c r="F139" s="53"/>
      <c r="G139" s="54"/>
      <c r="H139" s="53"/>
      <c r="I139" s="59">
        <v>4.5</v>
      </c>
      <c r="J139" s="59"/>
      <c r="K139" s="59"/>
      <c r="L139" s="59">
        <f t="shared" ref="L139:L202" si="2">L138+I139-K139</f>
        <v>257791.82</v>
      </c>
    </row>
    <row r="140" spans="1:12" x14ac:dyDescent="0.3">
      <c r="A140" s="52"/>
      <c r="B140" s="53" t="s">
        <v>26</v>
      </c>
      <c r="C140" s="54">
        <v>46051</v>
      </c>
      <c r="D140" s="53" t="s">
        <v>312</v>
      </c>
      <c r="E140" s="53"/>
      <c r="F140" s="53"/>
      <c r="G140" s="54"/>
      <c r="H140" s="53"/>
      <c r="I140" s="59">
        <v>0.62</v>
      </c>
      <c r="J140" s="59"/>
      <c r="K140" s="59"/>
      <c r="L140" s="59">
        <f t="shared" si="2"/>
        <v>257792.44</v>
      </c>
    </row>
    <row r="141" spans="1:12" x14ac:dyDescent="0.3">
      <c r="A141" s="52"/>
      <c r="B141" s="53" t="s">
        <v>28</v>
      </c>
      <c r="C141" s="54">
        <v>46051</v>
      </c>
      <c r="D141" s="53" t="s">
        <v>308</v>
      </c>
      <c r="E141" s="53" t="s">
        <v>211</v>
      </c>
      <c r="F141" s="53"/>
      <c r="G141" s="54">
        <v>46050</v>
      </c>
      <c r="H141" s="53" t="s">
        <v>309</v>
      </c>
      <c r="I141" s="59">
        <v>109.45</v>
      </c>
      <c r="J141" s="59"/>
      <c r="K141" s="59"/>
      <c r="L141" s="59">
        <f t="shared" si="2"/>
        <v>257901.89</v>
      </c>
    </row>
    <row r="142" spans="1:12" x14ac:dyDescent="0.3">
      <c r="A142" s="52"/>
      <c r="B142" s="53" t="s">
        <v>26</v>
      </c>
      <c r="C142" s="54">
        <v>46051</v>
      </c>
      <c r="D142" s="53" t="s">
        <v>310</v>
      </c>
      <c r="E142" s="53"/>
      <c r="F142" s="53"/>
      <c r="G142" s="54"/>
      <c r="H142" s="53"/>
      <c r="I142" s="59">
        <v>14</v>
      </c>
      <c r="J142" s="59"/>
      <c r="K142" s="59"/>
      <c r="L142" s="59">
        <f t="shared" si="2"/>
        <v>257915.89</v>
      </c>
    </row>
    <row r="143" spans="1:12" x14ac:dyDescent="0.3">
      <c r="A143" s="52"/>
      <c r="B143" s="53" t="s">
        <v>26</v>
      </c>
      <c r="C143" s="54">
        <v>46052</v>
      </c>
      <c r="D143" s="53" t="s">
        <v>315</v>
      </c>
      <c r="E143" s="53"/>
      <c r="F143" s="53"/>
      <c r="G143" s="54"/>
      <c r="H143" s="53"/>
      <c r="I143" s="59">
        <v>0.5</v>
      </c>
      <c r="J143" s="59"/>
      <c r="K143" s="59"/>
      <c r="L143" s="59">
        <f t="shared" si="2"/>
        <v>257916.39</v>
      </c>
    </row>
    <row r="144" spans="1:12" x14ac:dyDescent="0.3">
      <c r="A144" s="52"/>
      <c r="B144" s="53" t="s">
        <v>26</v>
      </c>
      <c r="C144" s="54">
        <v>46052</v>
      </c>
      <c r="D144" s="53" t="s">
        <v>316</v>
      </c>
      <c r="E144" s="53"/>
      <c r="F144" s="53"/>
      <c r="G144" s="54"/>
      <c r="H144" s="53"/>
      <c r="I144" s="59">
        <v>12.7</v>
      </c>
      <c r="J144" s="59"/>
      <c r="K144" s="59"/>
      <c r="L144" s="59">
        <f t="shared" si="2"/>
        <v>257929.09000000003</v>
      </c>
    </row>
    <row r="145" spans="1:12" x14ac:dyDescent="0.3">
      <c r="A145" s="52"/>
      <c r="B145" s="53" t="s">
        <v>26</v>
      </c>
      <c r="C145" s="54">
        <v>46052</v>
      </c>
      <c r="D145" s="53" t="s">
        <v>314</v>
      </c>
      <c r="E145" s="53"/>
      <c r="F145" s="53"/>
      <c r="G145" s="54"/>
      <c r="H145" s="53"/>
      <c r="I145" s="59">
        <v>2.7</v>
      </c>
      <c r="J145" s="59"/>
      <c r="K145" s="59"/>
      <c r="L145" s="59">
        <f t="shared" si="2"/>
        <v>257931.79000000004</v>
      </c>
    </row>
    <row r="146" spans="1:12" x14ac:dyDescent="0.3">
      <c r="A146" s="52"/>
      <c r="B146" s="53" t="s">
        <v>26</v>
      </c>
      <c r="C146" s="54">
        <v>46052</v>
      </c>
      <c r="D146" s="53" t="s">
        <v>528</v>
      </c>
      <c r="E146" s="53"/>
      <c r="F146" s="53"/>
      <c r="G146" s="54"/>
      <c r="H146" s="53"/>
      <c r="I146" s="59">
        <v>7.74</v>
      </c>
      <c r="J146" s="59"/>
      <c r="K146" s="59"/>
      <c r="L146" s="59">
        <f t="shared" si="2"/>
        <v>257939.53000000003</v>
      </c>
    </row>
    <row r="147" spans="1:12" x14ac:dyDescent="0.3">
      <c r="A147" s="52"/>
      <c r="B147" s="53" t="s">
        <v>26</v>
      </c>
      <c r="C147" s="54">
        <v>46052</v>
      </c>
      <c r="D147" s="53" t="s">
        <v>529</v>
      </c>
      <c r="E147" s="53"/>
      <c r="F147" s="53"/>
      <c r="G147" s="54"/>
      <c r="H147" s="53"/>
      <c r="I147" s="59">
        <v>3.8</v>
      </c>
      <c r="J147" s="59"/>
      <c r="K147" s="59"/>
      <c r="L147" s="59">
        <f t="shared" si="2"/>
        <v>257943.33000000002</v>
      </c>
    </row>
    <row r="148" spans="1:12" x14ac:dyDescent="0.3">
      <c r="A148" s="52"/>
      <c r="B148" s="53" t="s">
        <v>26</v>
      </c>
      <c r="C148" s="54">
        <v>46052</v>
      </c>
      <c r="D148" s="53" t="s">
        <v>530</v>
      </c>
      <c r="E148" s="53"/>
      <c r="F148" s="53"/>
      <c r="G148" s="54"/>
      <c r="H148" s="53"/>
      <c r="I148" s="59">
        <v>1.2</v>
      </c>
      <c r="J148" s="59"/>
      <c r="K148" s="59"/>
      <c r="L148" s="59">
        <f t="shared" si="2"/>
        <v>257944.53000000003</v>
      </c>
    </row>
    <row r="149" spans="1:12" x14ac:dyDescent="0.3">
      <c r="A149" s="52"/>
      <c r="B149" s="53" t="s">
        <v>26</v>
      </c>
      <c r="C149" s="54">
        <v>46052</v>
      </c>
      <c r="D149" s="53" t="s">
        <v>531</v>
      </c>
      <c r="E149" s="53"/>
      <c r="F149" s="53"/>
      <c r="G149" s="54"/>
      <c r="H149" s="53"/>
      <c r="I149" s="59">
        <v>57</v>
      </c>
      <c r="J149" s="59"/>
      <c r="K149" s="59"/>
      <c r="L149" s="59">
        <f t="shared" si="2"/>
        <v>258001.53000000003</v>
      </c>
    </row>
    <row r="150" spans="1:12" x14ac:dyDescent="0.3">
      <c r="A150" s="52"/>
      <c r="B150" s="53" t="s">
        <v>26</v>
      </c>
      <c r="C150" s="54">
        <v>46052</v>
      </c>
      <c r="D150" s="53" t="s">
        <v>317</v>
      </c>
      <c r="E150" s="53"/>
      <c r="F150" s="53"/>
      <c r="G150" s="54"/>
      <c r="H150" s="53"/>
      <c r="I150" s="59">
        <v>19.98</v>
      </c>
      <c r="J150" s="59"/>
      <c r="K150" s="59"/>
      <c r="L150" s="59">
        <f t="shared" si="2"/>
        <v>258021.51000000004</v>
      </c>
    </row>
    <row r="151" spans="1:12" x14ac:dyDescent="0.3">
      <c r="A151" s="52"/>
      <c r="B151" s="53" t="s">
        <v>26</v>
      </c>
      <c r="C151" s="54">
        <v>46053</v>
      </c>
      <c r="D151" s="53" t="s">
        <v>319</v>
      </c>
      <c r="E151" s="53"/>
      <c r="F151" s="53"/>
      <c r="G151" s="54"/>
      <c r="H151" s="53"/>
      <c r="I151" s="59">
        <v>1395.45</v>
      </c>
      <c r="J151" s="59"/>
      <c r="K151" s="59"/>
      <c r="L151" s="59">
        <f t="shared" si="2"/>
        <v>259416.96000000005</v>
      </c>
    </row>
    <row r="152" spans="1:12" x14ac:dyDescent="0.3">
      <c r="A152" s="52"/>
      <c r="B152" s="53" t="s">
        <v>26</v>
      </c>
      <c r="C152" s="54">
        <v>46053</v>
      </c>
      <c r="D152" s="53" t="s">
        <v>419</v>
      </c>
      <c r="E152" s="53"/>
      <c r="F152" s="53"/>
      <c r="G152" s="54"/>
      <c r="H152" s="53"/>
      <c r="I152" s="59">
        <v>19.2</v>
      </c>
      <c r="J152" s="59"/>
      <c r="K152" s="59"/>
      <c r="L152" s="59">
        <f t="shared" si="2"/>
        <v>259436.16000000006</v>
      </c>
    </row>
    <row r="153" spans="1:12" x14ac:dyDescent="0.3">
      <c r="A153" s="52"/>
      <c r="B153" s="53" t="s">
        <v>26</v>
      </c>
      <c r="C153" s="54">
        <v>46053</v>
      </c>
      <c r="D153" s="53" t="s">
        <v>1195</v>
      </c>
      <c r="E153" s="53"/>
      <c r="F153" s="53"/>
      <c r="G153" s="54"/>
      <c r="H153" s="53"/>
      <c r="I153" s="59">
        <v>2025.45</v>
      </c>
      <c r="J153" s="59"/>
      <c r="K153" s="59"/>
      <c r="L153" s="59">
        <f t="shared" si="2"/>
        <v>261461.61000000007</v>
      </c>
    </row>
    <row r="154" spans="1:12" x14ac:dyDescent="0.3">
      <c r="A154" s="52"/>
      <c r="B154" s="53" t="s">
        <v>26</v>
      </c>
      <c r="C154" s="54">
        <v>46053</v>
      </c>
      <c r="D154" s="53" t="s">
        <v>318</v>
      </c>
      <c r="E154" s="53"/>
      <c r="F154" s="53"/>
      <c r="G154" s="54"/>
      <c r="H154" s="53"/>
      <c r="I154" s="59">
        <v>37.270000000000003</v>
      </c>
      <c r="J154" s="59"/>
      <c r="K154" s="59"/>
      <c r="L154" s="59">
        <f t="shared" si="2"/>
        <v>261498.88000000006</v>
      </c>
    </row>
    <row r="155" spans="1:12" x14ac:dyDescent="0.3">
      <c r="A155" s="52"/>
      <c r="B155" s="53" t="s">
        <v>26</v>
      </c>
      <c r="C155" s="54">
        <v>46053</v>
      </c>
      <c r="D155" s="53" t="s">
        <v>532</v>
      </c>
      <c r="E155" s="53"/>
      <c r="F155" s="53"/>
      <c r="G155" s="54"/>
      <c r="H155" s="53"/>
      <c r="I155" s="59">
        <v>0.08</v>
      </c>
      <c r="J155" s="59"/>
      <c r="K155" s="59"/>
      <c r="L155" s="59">
        <f t="shared" si="2"/>
        <v>261498.96000000005</v>
      </c>
    </row>
    <row r="156" spans="1:12" x14ac:dyDescent="0.3">
      <c r="A156" s="52"/>
      <c r="B156" s="53" t="s">
        <v>26</v>
      </c>
      <c r="C156" s="54">
        <v>46053</v>
      </c>
      <c r="D156" s="53" t="s">
        <v>423</v>
      </c>
      <c r="E156" s="53"/>
      <c r="F156" s="53"/>
      <c r="G156" s="54"/>
      <c r="H156" s="53"/>
      <c r="I156" s="59">
        <v>581.82000000000005</v>
      </c>
      <c r="J156" s="59"/>
      <c r="K156" s="59"/>
      <c r="L156" s="59">
        <f t="shared" si="2"/>
        <v>262080.78000000006</v>
      </c>
    </row>
    <row r="157" spans="1:12" x14ac:dyDescent="0.3">
      <c r="A157" s="52"/>
      <c r="B157" s="53" t="s">
        <v>26</v>
      </c>
      <c r="C157" s="54">
        <v>46053</v>
      </c>
      <c r="D157" s="53" t="s">
        <v>533</v>
      </c>
      <c r="E157" s="53"/>
      <c r="F157" s="53"/>
      <c r="G157" s="54"/>
      <c r="H157" s="53"/>
      <c r="I157" s="59">
        <v>6.3</v>
      </c>
      <c r="J157" s="59"/>
      <c r="K157" s="59"/>
      <c r="L157" s="59">
        <f t="shared" si="2"/>
        <v>262087.08000000005</v>
      </c>
    </row>
    <row r="158" spans="1:12" x14ac:dyDescent="0.3">
      <c r="A158" s="52"/>
      <c r="B158" s="53" t="s">
        <v>26</v>
      </c>
      <c r="C158" s="54">
        <v>46053</v>
      </c>
      <c r="D158" s="53" t="s">
        <v>534</v>
      </c>
      <c r="E158" s="53"/>
      <c r="F158" s="53"/>
      <c r="G158" s="54"/>
      <c r="H158" s="53"/>
      <c r="I158" s="59">
        <v>445.45</v>
      </c>
      <c r="J158" s="59"/>
      <c r="K158" s="59"/>
      <c r="L158" s="59">
        <f t="shared" si="2"/>
        <v>262532.53000000003</v>
      </c>
    </row>
    <row r="159" spans="1:12" x14ac:dyDescent="0.3">
      <c r="A159" s="52"/>
      <c r="B159" s="53" t="s">
        <v>26</v>
      </c>
      <c r="C159" s="54">
        <v>46053</v>
      </c>
      <c r="D159" s="53" t="s">
        <v>473</v>
      </c>
      <c r="E159" s="53"/>
      <c r="F159" s="53"/>
      <c r="G159" s="54"/>
      <c r="H159" s="53"/>
      <c r="I159" s="59">
        <v>581.82000000000005</v>
      </c>
      <c r="J159" s="59"/>
      <c r="K159" s="59"/>
      <c r="L159" s="59">
        <f t="shared" si="2"/>
        <v>263114.35000000003</v>
      </c>
    </row>
    <row r="160" spans="1:12" x14ac:dyDescent="0.3">
      <c r="A160" s="52"/>
      <c r="B160" s="53" t="s">
        <v>26</v>
      </c>
      <c r="C160" s="54">
        <v>46055</v>
      </c>
      <c r="D160" s="53" t="s">
        <v>535</v>
      </c>
      <c r="E160" s="53"/>
      <c r="F160" s="53"/>
      <c r="G160" s="54"/>
      <c r="H160" s="53"/>
      <c r="I160" s="59">
        <v>7.83</v>
      </c>
      <c r="J160" s="59"/>
      <c r="K160" s="59"/>
      <c r="L160" s="59">
        <f t="shared" si="2"/>
        <v>263122.18000000005</v>
      </c>
    </row>
    <row r="161" spans="1:12" x14ac:dyDescent="0.3">
      <c r="A161" s="52"/>
      <c r="B161" s="53" t="s">
        <v>26</v>
      </c>
      <c r="C161" s="54">
        <v>46055</v>
      </c>
      <c r="D161" s="53" t="s">
        <v>536</v>
      </c>
      <c r="E161" s="53"/>
      <c r="F161" s="53"/>
      <c r="G161" s="54"/>
      <c r="H161" s="53"/>
      <c r="I161" s="59">
        <v>21.9</v>
      </c>
      <c r="J161" s="59"/>
      <c r="K161" s="59"/>
      <c r="L161" s="59">
        <f t="shared" si="2"/>
        <v>263144.08000000007</v>
      </c>
    </row>
    <row r="162" spans="1:12" x14ac:dyDescent="0.3">
      <c r="A162" s="52"/>
      <c r="B162" s="53" t="s">
        <v>28</v>
      </c>
      <c r="C162" s="54">
        <v>46055</v>
      </c>
      <c r="D162" s="53" t="s">
        <v>323</v>
      </c>
      <c r="E162" s="53" t="s">
        <v>197</v>
      </c>
      <c r="F162" s="53" t="s">
        <v>198</v>
      </c>
      <c r="G162" s="54">
        <v>46049</v>
      </c>
      <c r="H162" s="53" t="s">
        <v>324</v>
      </c>
      <c r="I162" s="59">
        <v>119.89</v>
      </c>
      <c r="J162" s="59"/>
      <c r="K162" s="59"/>
      <c r="L162" s="59">
        <f t="shared" si="2"/>
        <v>263263.97000000009</v>
      </c>
    </row>
    <row r="163" spans="1:12" x14ac:dyDescent="0.3">
      <c r="A163" s="52"/>
      <c r="B163" s="53" t="s">
        <v>26</v>
      </c>
      <c r="C163" s="54">
        <v>46055</v>
      </c>
      <c r="D163" s="53" t="s">
        <v>537</v>
      </c>
      <c r="E163" s="53"/>
      <c r="F163" s="53"/>
      <c r="G163" s="54"/>
      <c r="H163" s="53"/>
      <c r="I163" s="59">
        <v>16</v>
      </c>
      <c r="J163" s="59"/>
      <c r="K163" s="59"/>
      <c r="L163" s="59">
        <f t="shared" si="2"/>
        <v>263279.97000000009</v>
      </c>
    </row>
    <row r="164" spans="1:12" x14ac:dyDescent="0.3">
      <c r="A164" s="52"/>
      <c r="B164" s="53" t="s">
        <v>26</v>
      </c>
      <c r="C164" s="54">
        <v>46055</v>
      </c>
      <c r="D164" s="53" t="s">
        <v>538</v>
      </c>
      <c r="E164" s="53"/>
      <c r="F164" s="53"/>
      <c r="G164" s="54"/>
      <c r="H164" s="53"/>
      <c r="I164" s="59">
        <v>42.8</v>
      </c>
      <c r="J164" s="59"/>
      <c r="K164" s="59"/>
      <c r="L164" s="59">
        <f t="shared" si="2"/>
        <v>263322.77000000008</v>
      </c>
    </row>
    <row r="165" spans="1:12" x14ac:dyDescent="0.3">
      <c r="A165" s="52"/>
      <c r="B165" s="53" t="s">
        <v>28</v>
      </c>
      <c r="C165" s="54">
        <v>46055</v>
      </c>
      <c r="D165" s="53" t="s">
        <v>320</v>
      </c>
      <c r="E165" s="53" t="s">
        <v>197</v>
      </c>
      <c r="F165" s="53" t="s">
        <v>321</v>
      </c>
      <c r="G165" s="54">
        <v>46049</v>
      </c>
      <c r="H165" s="53" t="s">
        <v>322</v>
      </c>
      <c r="I165" s="59">
        <v>119.89</v>
      </c>
      <c r="J165" s="59"/>
      <c r="K165" s="59"/>
      <c r="L165" s="59">
        <f t="shared" si="2"/>
        <v>263442.66000000009</v>
      </c>
    </row>
    <row r="166" spans="1:12" x14ac:dyDescent="0.3">
      <c r="A166" s="52"/>
      <c r="B166" s="53" t="s">
        <v>26</v>
      </c>
      <c r="C166" s="54">
        <v>46056</v>
      </c>
      <c r="D166" s="53" t="s">
        <v>539</v>
      </c>
      <c r="E166" s="53"/>
      <c r="F166" s="53"/>
      <c r="G166" s="54"/>
      <c r="H166" s="53"/>
      <c r="I166" s="59">
        <v>9.57</v>
      </c>
      <c r="J166" s="59"/>
      <c r="K166" s="59"/>
      <c r="L166" s="59">
        <f t="shared" si="2"/>
        <v>263452.2300000001</v>
      </c>
    </row>
    <row r="167" spans="1:12" x14ac:dyDescent="0.3">
      <c r="A167" s="52"/>
      <c r="B167" s="53" t="s">
        <v>26</v>
      </c>
      <c r="C167" s="54">
        <v>46056</v>
      </c>
      <c r="D167" s="53" t="s">
        <v>540</v>
      </c>
      <c r="E167" s="53"/>
      <c r="F167" s="53"/>
      <c r="G167" s="54"/>
      <c r="H167" s="53"/>
      <c r="I167" s="59">
        <v>15</v>
      </c>
      <c r="J167" s="59"/>
      <c r="K167" s="59"/>
      <c r="L167" s="59">
        <f t="shared" si="2"/>
        <v>263467.2300000001</v>
      </c>
    </row>
    <row r="168" spans="1:12" x14ac:dyDescent="0.3">
      <c r="A168" s="52"/>
      <c r="B168" s="53" t="s">
        <v>26</v>
      </c>
      <c r="C168" s="54">
        <v>46056</v>
      </c>
      <c r="D168" s="53" t="s">
        <v>541</v>
      </c>
      <c r="E168" s="53"/>
      <c r="F168" s="53"/>
      <c r="G168" s="54"/>
      <c r="H168" s="53"/>
      <c r="I168" s="59">
        <v>6.3</v>
      </c>
      <c r="J168" s="59"/>
      <c r="K168" s="59"/>
      <c r="L168" s="59">
        <f t="shared" si="2"/>
        <v>263473.53000000009</v>
      </c>
    </row>
    <row r="169" spans="1:12" x14ac:dyDescent="0.3">
      <c r="A169" s="52"/>
      <c r="B169" s="53" t="s">
        <v>26</v>
      </c>
      <c r="C169" s="54">
        <v>46056</v>
      </c>
      <c r="D169" s="53" t="s">
        <v>542</v>
      </c>
      <c r="E169" s="53"/>
      <c r="F169" s="53"/>
      <c r="G169" s="54"/>
      <c r="H169" s="53"/>
      <c r="I169" s="59">
        <v>40.5</v>
      </c>
      <c r="J169" s="59"/>
      <c r="K169" s="59"/>
      <c r="L169" s="59">
        <f t="shared" si="2"/>
        <v>263514.03000000009</v>
      </c>
    </row>
    <row r="170" spans="1:12" x14ac:dyDescent="0.3">
      <c r="A170" s="52"/>
      <c r="B170" s="53" t="s">
        <v>26</v>
      </c>
      <c r="C170" s="54">
        <v>46056</v>
      </c>
      <c r="D170" s="53" t="s">
        <v>543</v>
      </c>
      <c r="E170" s="53"/>
      <c r="F170" s="53"/>
      <c r="G170" s="54"/>
      <c r="H170" s="53"/>
      <c r="I170" s="59">
        <v>493.8</v>
      </c>
      <c r="J170" s="59"/>
      <c r="K170" s="59"/>
      <c r="L170" s="59">
        <f t="shared" si="2"/>
        <v>264007.83000000007</v>
      </c>
    </row>
    <row r="171" spans="1:12" x14ac:dyDescent="0.3">
      <c r="A171" s="52"/>
      <c r="B171" s="53" t="s">
        <v>28</v>
      </c>
      <c r="C171" s="54">
        <v>46056</v>
      </c>
      <c r="D171" s="53" t="s">
        <v>325</v>
      </c>
      <c r="E171" s="53" t="s">
        <v>194</v>
      </c>
      <c r="F171" s="53"/>
      <c r="G171" s="54">
        <v>46045</v>
      </c>
      <c r="H171" s="53" t="s">
        <v>326</v>
      </c>
      <c r="I171" s="59">
        <v>2487.1799999999998</v>
      </c>
      <c r="J171" s="59"/>
      <c r="K171" s="59"/>
      <c r="L171" s="59">
        <f t="shared" si="2"/>
        <v>266495.01000000007</v>
      </c>
    </row>
    <row r="172" spans="1:12" x14ac:dyDescent="0.3">
      <c r="A172" s="52"/>
      <c r="B172" s="53" t="s">
        <v>26</v>
      </c>
      <c r="C172" s="54">
        <v>46057</v>
      </c>
      <c r="D172" s="53" t="s">
        <v>544</v>
      </c>
      <c r="E172" s="53"/>
      <c r="F172" s="53"/>
      <c r="G172" s="54"/>
      <c r="H172" s="53"/>
      <c r="I172" s="59">
        <v>8.67</v>
      </c>
      <c r="J172" s="59"/>
      <c r="K172" s="59"/>
      <c r="L172" s="59">
        <f t="shared" si="2"/>
        <v>266503.68000000005</v>
      </c>
    </row>
    <row r="173" spans="1:12" x14ac:dyDescent="0.3">
      <c r="A173" s="52"/>
      <c r="B173" s="53" t="s">
        <v>26</v>
      </c>
      <c r="C173" s="54">
        <v>46057</v>
      </c>
      <c r="D173" s="53" t="s">
        <v>545</v>
      </c>
      <c r="E173" s="53"/>
      <c r="F173" s="53"/>
      <c r="G173" s="54"/>
      <c r="H173" s="53"/>
      <c r="I173" s="59">
        <v>15.4</v>
      </c>
      <c r="J173" s="59"/>
      <c r="K173" s="59"/>
      <c r="L173" s="59">
        <f t="shared" si="2"/>
        <v>266519.08000000007</v>
      </c>
    </row>
    <row r="174" spans="1:12" x14ac:dyDescent="0.3">
      <c r="A174" s="52"/>
      <c r="B174" s="53" t="s">
        <v>26</v>
      </c>
      <c r="C174" s="54">
        <v>46057</v>
      </c>
      <c r="D174" s="53" t="s">
        <v>546</v>
      </c>
      <c r="E174" s="53"/>
      <c r="F174" s="53"/>
      <c r="G174" s="54"/>
      <c r="H174" s="53"/>
      <c r="I174" s="59">
        <v>4.2</v>
      </c>
      <c r="J174" s="59"/>
      <c r="K174" s="59"/>
      <c r="L174" s="59">
        <f t="shared" si="2"/>
        <v>266523.28000000009</v>
      </c>
    </row>
    <row r="175" spans="1:12" x14ac:dyDescent="0.3">
      <c r="A175" s="52"/>
      <c r="B175" s="53" t="s">
        <v>26</v>
      </c>
      <c r="C175" s="54">
        <v>46057</v>
      </c>
      <c r="D175" s="53" t="s">
        <v>547</v>
      </c>
      <c r="E175" s="53"/>
      <c r="F175" s="53"/>
      <c r="G175" s="54"/>
      <c r="H175" s="53"/>
      <c r="I175" s="59">
        <v>20</v>
      </c>
      <c r="J175" s="59"/>
      <c r="K175" s="59"/>
      <c r="L175" s="59">
        <f t="shared" si="2"/>
        <v>266543.28000000009</v>
      </c>
    </row>
    <row r="176" spans="1:12" x14ac:dyDescent="0.3">
      <c r="A176" s="52"/>
      <c r="B176" s="53" t="s">
        <v>26</v>
      </c>
      <c r="C176" s="54">
        <v>46057</v>
      </c>
      <c r="D176" s="53" t="s">
        <v>548</v>
      </c>
      <c r="E176" s="53"/>
      <c r="F176" s="53"/>
      <c r="G176" s="54"/>
      <c r="H176" s="53"/>
      <c r="I176" s="59">
        <v>10.199999999999999</v>
      </c>
      <c r="J176" s="59"/>
      <c r="K176" s="59"/>
      <c r="L176" s="59">
        <f t="shared" si="2"/>
        <v>266553.4800000001</v>
      </c>
    </row>
    <row r="177" spans="1:12" x14ac:dyDescent="0.3">
      <c r="A177" s="52"/>
      <c r="B177" s="53" t="s">
        <v>26</v>
      </c>
      <c r="C177" s="54">
        <v>46057</v>
      </c>
      <c r="D177" s="53" t="s">
        <v>549</v>
      </c>
      <c r="E177" s="53"/>
      <c r="F177" s="53"/>
      <c r="G177" s="54"/>
      <c r="H177" s="53"/>
      <c r="I177" s="59">
        <v>4.4000000000000004</v>
      </c>
      <c r="J177" s="59"/>
      <c r="K177" s="59"/>
      <c r="L177" s="59">
        <f t="shared" si="2"/>
        <v>266557.88000000012</v>
      </c>
    </row>
    <row r="178" spans="1:12" x14ac:dyDescent="0.3">
      <c r="A178" s="52"/>
      <c r="B178" s="53" t="s">
        <v>26</v>
      </c>
      <c r="C178" s="54">
        <v>46057</v>
      </c>
      <c r="D178" s="53" t="s">
        <v>550</v>
      </c>
      <c r="E178" s="53"/>
      <c r="F178" s="53"/>
      <c r="G178" s="54"/>
      <c r="H178" s="53"/>
      <c r="I178" s="59">
        <v>1.5</v>
      </c>
      <c r="J178" s="59"/>
      <c r="K178" s="59"/>
      <c r="L178" s="59">
        <f t="shared" si="2"/>
        <v>266559.38000000012</v>
      </c>
    </row>
    <row r="179" spans="1:12" x14ac:dyDescent="0.3">
      <c r="A179" s="52"/>
      <c r="B179" s="53" t="s">
        <v>26</v>
      </c>
      <c r="C179" s="54">
        <v>46058</v>
      </c>
      <c r="D179" s="53" t="s">
        <v>551</v>
      </c>
      <c r="E179" s="53"/>
      <c r="F179" s="53"/>
      <c r="G179" s="54"/>
      <c r="H179" s="53"/>
      <c r="I179" s="59">
        <v>16.2</v>
      </c>
      <c r="J179" s="59"/>
      <c r="K179" s="59"/>
      <c r="L179" s="59">
        <f t="shared" si="2"/>
        <v>266575.58000000013</v>
      </c>
    </row>
    <row r="180" spans="1:12" x14ac:dyDescent="0.3">
      <c r="A180" s="52"/>
      <c r="B180" s="53" t="s">
        <v>28</v>
      </c>
      <c r="C180" s="54">
        <v>46058</v>
      </c>
      <c r="D180" s="53" t="s">
        <v>329</v>
      </c>
      <c r="E180" s="53" t="s">
        <v>330</v>
      </c>
      <c r="F180" s="53" t="s">
        <v>331</v>
      </c>
      <c r="G180" s="54">
        <v>46057</v>
      </c>
      <c r="H180" s="53" t="s">
        <v>332</v>
      </c>
      <c r="I180" s="59">
        <v>63.64</v>
      </c>
      <c r="J180" s="59"/>
      <c r="K180" s="59"/>
      <c r="L180" s="59">
        <f t="shared" si="2"/>
        <v>266639.22000000015</v>
      </c>
    </row>
    <row r="181" spans="1:12" x14ac:dyDescent="0.3">
      <c r="A181" s="52"/>
      <c r="B181" s="53" t="s">
        <v>26</v>
      </c>
      <c r="C181" s="54">
        <v>46058</v>
      </c>
      <c r="D181" s="53" t="s">
        <v>552</v>
      </c>
      <c r="E181" s="53"/>
      <c r="F181" s="53"/>
      <c r="G181" s="54"/>
      <c r="H181" s="53"/>
      <c r="I181" s="59">
        <v>9.4</v>
      </c>
      <c r="J181" s="59"/>
      <c r="K181" s="59"/>
      <c r="L181" s="59">
        <f t="shared" si="2"/>
        <v>266648.62000000017</v>
      </c>
    </row>
    <row r="182" spans="1:12" x14ac:dyDescent="0.3">
      <c r="A182" s="52"/>
      <c r="B182" s="53" t="s">
        <v>28</v>
      </c>
      <c r="C182" s="54">
        <v>46058</v>
      </c>
      <c r="D182" s="53" t="s">
        <v>327</v>
      </c>
      <c r="E182" s="53" t="s">
        <v>186</v>
      </c>
      <c r="F182" s="53"/>
      <c r="G182" s="54">
        <v>46056</v>
      </c>
      <c r="H182" s="53" t="s">
        <v>328</v>
      </c>
      <c r="I182" s="59">
        <v>189.64</v>
      </c>
      <c r="J182" s="59"/>
      <c r="K182" s="59"/>
      <c r="L182" s="59">
        <f t="shared" si="2"/>
        <v>266838.26000000018</v>
      </c>
    </row>
    <row r="183" spans="1:12" x14ac:dyDescent="0.3">
      <c r="A183" s="52"/>
      <c r="B183" s="53" t="s">
        <v>26</v>
      </c>
      <c r="C183" s="54">
        <v>46058</v>
      </c>
      <c r="D183" s="53" t="s">
        <v>553</v>
      </c>
      <c r="E183" s="53"/>
      <c r="F183" s="53"/>
      <c r="G183" s="54"/>
      <c r="H183" s="53"/>
      <c r="I183" s="59">
        <v>4.66</v>
      </c>
      <c r="J183" s="59"/>
      <c r="K183" s="59"/>
      <c r="L183" s="59">
        <f t="shared" si="2"/>
        <v>266842.92000000016</v>
      </c>
    </row>
    <row r="184" spans="1:12" x14ac:dyDescent="0.3">
      <c r="A184" s="52"/>
      <c r="B184" s="53" t="s">
        <v>26</v>
      </c>
      <c r="C184" s="54">
        <v>46058</v>
      </c>
      <c r="D184" s="53" t="s">
        <v>554</v>
      </c>
      <c r="E184" s="53"/>
      <c r="F184" s="53"/>
      <c r="G184" s="54"/>
      <c r="H184" s="53"/>
      <c r="I184" s="59">
        <v>1.7</v>
      </c>
      <c r="J184" s="59"/>
      <c r="K184" s="59"/>
      <c r="L184" s="59">
        <f t="shared" si="2"/>
        <v>266844.62000000017</v>
      </c>
    </row>
    <row r="185" spans="1:12" x14ac:dyDescent="0.3">
      <c r="A185" s="52"/>
      <c r="B185" s="53" t="s">
        <v>26</v>
      </c>
      <c r="C185" s="54">
        <v>46058</v>
      </c>
      <c r="D185" s="53" t="s">
        <v>555</v>
      </c>
      <c r="E185" s="53"/>
      <c r="F185" s="53"/>
      <c r="G185" s="54"/>
      <c r="H185" s="53"/>
      <c r="I185" s="59">
        <v>17</v>
      </c>
      <c r="J185" s="59"/>
      <c r="K185" s="59"/>
      <c r="L185" s="59">
        <f t="shared" si="2"/>
        <v>266861.62000000017</v>
      </c>
    </row>
    <row r="186" spans="1:12" x14ac:dyDescent="0.3">
      <c r="A186" s="52"/>
      <c r="B186" s="53" t="s">
        <v>28</v>
      </c>
      <c r="C186" s="54">
        <v>46058</v>
      </c>
      <c r="D186" s="53" t="s">
        <v>333</v>
      </c>
      <c r="E186" s="53" t="s">
        <v>211</v>
      </c>
      <c r="F186" s="53"/>
      <c r="G186" s="54">
        <v>46057</v>
      </c>
      <c r="H186" s="53" t="s">
        <v>334</v>
      </c>
      <c r="I186" s="59">
        <v>106.72</v>
      </c>
      <c r="J186" s="59"/>
      <c r="K186" s="59"/>
      <c r="L186" s="59">
        <f t="shared" si="2"/>
        <v>266968.34000000014</v>
      </c>
    </row>
    <row r="187" spans="1:12" x14ac:dyDescent="0.3">
      <c r="A187" s="52"/>
      <c r="B187" s="53" t="s">
        <v>26</v>
      </c>
      <c r="C187" s="54">
        <v>46058</v>
      </c>
      <c r="D187" s="53" t="s">
        <v>556</v>
      </c>
      <c r="E187" s="53"/>
      <c r="F187" s="53"/>
      <c r="G187" s="54"/>
      <c r="H187" s="53"/>
      <c r="I187" s="59">
        <v>5.5</v>
      </c>
      <c r="J187" s="59"/>
      <c r="K187" s="59"/>
      <c r="L187" s="59">
        <f t="shared" si="2"/>
        <v>266973.84000000014</v>
      </c>
    </row>
    <row r="188" spans="1:12" x14ac:dyDescent="0.3">
      <c r="A188" s="52"/>
      <c r="B188" s="53" t="s">
        <v>26</v>
      </c>
      <c r="C188" s="54">
        <v>46059</v>
      </c>
      <c r="D188" s="53" t="s">
        <v>557</v>
      </c>
      <c r="E188" s="53"/>
      <c r="F188" s="53"/>
      <c r="G188" s="54"/>
      <c r="H188" s="53"/>
      <c r="I188" s="59">
        <v>11.9</v>
      </c>
      <c r="J188" s="59"/>
      <c r="K188" s="59"/>
      <c r="L188" s="59">
        <f t="shared" si="2"/>
        <v>266985.74000000017</v>
      </c>
    </row>
    <row r="189" spans="1:12" x14ac:dyDescent="0.3">
      <c r="A189" s="52"/>
      <c r="B189" s="53" t="s">
        <v>26</v>
      </c>
      <c r="C189" s="54">
        <v>46059</v>
      </c>
      <c r="D189" s="53" t="s">
        <v>558</v>
      </c>
      <c r="E189" s="53"/>
      <c r="F189" s="53"/>
      <c r="G189" s="54"/>
      <c r="H189" s="53"/>
      <c r="I189" s="59">
        <v>95</v>
      </c>
      <c r="J189" s="59"/>
      <c r="K189" s="59"/>
      <c r="L189" s="59">
        <f t="shared" si="2"/>
        <v>267080.74000000017</v>
      </c>
    </row>
    <row r="190" spans="1:12" x14ac:dyDescent="0.3">
      <c r="A190" s="52"/>
      <c r="B190" s="53" t="s">
        <v>26</v>
      </c>
      <c r="C190" s="54">
        <v>46059</v>
      </c>
      <c r="D190" s="53" t="s">
        <v>559</v>
      </c>
      <c r="E190" s="53"/>
      <c r="F190" s="53"/>
      <c r="G190" s="54"/>
      <c r="H190" s="53"/>
      <c r="I190" s="59">
        <v>13.6</v>
      </c>
      <c r="J190" s="59"/>
      <c r="K190" s="59"/>
      <c r="L190" s="59">
        <f t="shared" si="2"/>
        <v>267094.34000000014</v>
      </c>
    </row>
    <row r="191" spans="1:12" x14ac:dyDescent="0.3">
      <c r="A191" s="52"/>
      <c r="B191" s="53" t="s">
        <v>26</v>
      </c>
      <c r="C191" s="54">
        <v>46062</v>
      </c>
      <c r="D191" s="53" t="s">
        <v>560</v>
      </c>
      <c r="E191" s="53"/>
      <c r="F191" s="53"/>
      <c r="G191" s="54"/>
      <c r="H191" s="53"/>
      <c r="I191" s="59">
        <v>10.039999999999999</v>
      </c>
      <c r="J191" s="59"/>
      <c r="K191" s="59"/>
      <c r="L191" s="59">
        <f t="shared" si="2"/>
        <v>267104.38000000012</v>
      </c>
    </row>
    <row r="192" spans="1:12" x14ac:dyDescent="0.3">
      <c r="A192" s="52"/>
      <c r="B192" s="53" t="s">
        <v>26</v>
      </c>
      <c r="C192" s="54">
        <v>46062</v>
      </c>
      <c r="D192" s="53" t="s">
        <v>335</v>
      </c>
      <c r="E192" s="53"/>
      <c r="F192" s="53"/>
      <c r="G192" s="54"/>
      <c r="H192" s="53"/>
      <c r="I192" s="59">
        <v>8.1199999999999992</v>
      </c>
      <c r="J192" s="59"/>
      <c r="K192" s="59"/>
      <c r="L192" s="59">
        <f t="shared" si="2"/>
        <v>267112.50000000012</v>
      </c>
    </row>
    <row r="193" spans="1:12" x14ac:dyDescent="0.3">
      <c r="A193" s="52"/>
      <c r="B193" s="53" t="s">
        <v>28</v>
      </c>
      <c r="C193" s="54">
        <v>46062</v>
      </c>
      <c r="D193" s="53" t="s">
        <v>336</v>
      </c>
      <c r="E193" s="53" t="s">
        <v>211</v>
      </c>
      <c r="F193" s="53"/>
      <c r="G193" s="54">
        <v>46059</v>
      </c>
      <c r="H193" s="53" t="s">
        <v>337</v>
      </c>
      <c r="I193" s="59">
        <v>53.81</v>
      </c>
      <c r="J193" s="59"/>
      <c r="K193" s="59"/>
      <c r="L193" s="59">
        <f t="shared" si="2"/>
        <v>267166.31000000011</v>
      </c>
    </row>
    <row r="194" spans="1:12" x14ac:dyDescent="0.3">
      <c r="A194" s="52"/>
      <c r="B194" s="53" t="s">
        <v>26</v>
      </c>
      <c r="C194" s="54">
        <v>46062</v>
      </c>
      <c r="D194" s="53" t="s">
        <v>342</v>
      </c>
      <c r="E194" s="53"/>
      <c r="F194" s="53"/>
      <c r="G194" s="54"/>
      <c r="H194" s="53"/>
      <c r="I194" s="59">
        <v>1.5</v>
      </c>
      <c r="J194" s="59"/>
      <c r="K194" s="59"/>
      <c r="L194" s="59">
        <f t="shared" si="2"/>
        <v>267167.81000000011</v>
      </c>
    </row>
    <row r="195" spans="1:12" x14ac:dyDescent="0.3">
      <c r="A195" s="52"/>
      <c r="B195" s="53" t="s">
        <v>26</v>
      </c>
      <c r="C195" s="54">
        <v>46062</v>
      </c>
      <c r="D195" s="53" t="s">
        <v>561</v>
      </c>
      <c r="E195" s="53"/>
      <c r="F195" s="53"/>
      <c r="G195" s="54"/>
      <c r="H195" s="53"/>
      <c r="I195" s="59">
        <v>16.399999999999999</v>
      </c>
      <c r="J195" s="59"/>
      <c r="K195" s="59"/>
      <c r="L195" s="59">
        <f t="shared" si="2"/>
        <v>267184.21000000014</v>
      </c>
    </row>
    <row r="196" spans="1:12" x14ac:dyDescent="0.3">
      <c r="A196" s="52"/>
      <c r="B196" s="53" t="s">
        <v>26</v>
      </c>
      <c r="C196" s="54">
        <v>46062</v>
      </c>
      <c r="D196" s="53" t="s">
        <v>562</v>
      </c>
      <c r="E196" s="53"/>
      <c r="F196" s="53"/>
      <c r="G196" s="54"/>
      <c r="H196" s="53"/>
      <c r="I196" s="59">
        <v>93.5</v>
      </c>
      <c r="J196" s="59"/>
      <c r="K196" s="59"/>
      <c r="L196" s="59">
        <f t="shared" si="2"/>
        <v>267277.71000000014</v>
      </c>
    </row>
    <row r="197" spans="1:12" x14ac:dyDescent="0.3">
      <c r="A197" s="52"/>
      <c r="B197" s="53" t="s">
        <v>26</v>
      </c>
      <c r="C197" s="54">
        <v>46062</v>
      </c>
      <c r="D197" s="53" t="s">
        <v>563</v>
      </c>
      <c r="E197" s="53"/>
      <c r="F197" s="53"/>
      <c r="G197" s="54"/>
      <c r="H197" s="53"/>
      <c r="I197" s="59">
        <v>1.07</v>
      </c>
      <c r="J197" s="59"/>
      <c r="K197" s="59"/>
      <c r="L197" s="59">
        <f t="shared" si="2"/>
        <v>267278.78000000014</v>
      </c>
    </row>
    <row r="198" spans="1:12" x14ac:dyDescent="0.3">
      <c r="A198" s="52"/>
      <c r="B198" s="53" t="s">
        <v>28</v>
      </c>
      <c r="C198" s="54">
        <v>46062</v>
      </c>
      <c r="D198" s="53" t="s">
        <v>338</v>
      </c>
      <c r="E198" s="53" t="s">
        <v>186</v>
      </c>
      <c r="F198" s="53"/>
      <c r="G198" s="54">
        <v>46058</v>
      </c>
      <c r="H198" s="53" t="s">
        <v>339</v>
      </c>
      <c r="I198" s="59">
        <v>298.91000000000003</v>
      </c>
      <c r="J198" s="59"/>
      <c r="K198" s="59"/>
      <c r="L198" s="59">
        <f t="shared" si="2"/>
        <v>267577.69000000012</v>
      </c>
    </row>
    <row r="199" spans="1:12" x14ac:dyDescent="0.3">
      <c r="A199" s="52"/>
      <c r="B199" s="53" t="s">
        <v>26</v>
      </c>
      <c r="C199" s="54">
        <v>46062</v>
      </c>
      <c r="D199" s="53" t="s">
        <v>564</v>
      </c>
      <c r="E199" s="53"/>
      <c r="F199" s="53"/>
      <c r="G199" s="54"/>
      <c r="H199" s="53"/>
      <c r="I199" s="59">
        <v>47.8</v>
      </c>
      <c r="J199" s="59"/>
      <c r="K199" s="59"/>
      <c r="L199" s="59">
        <f t="shared" si="2"/>
        <v>267625.49000000011</v>
      </c>
    </row>
    <row r="200" spans="1:12" x14ac:dyDescent="0.3">
      <c r="A200" s="52"/>
      <c r="B200" s="53" t="s">
        <v>28</v>
      </c>
      <c r="C200" s="54">
        <v>46062</v>
      </c>
      <c r="D200" s="53" t="s">
        <v>340</v>
      </c>
      <c r="E200" s="53" t="s">
        <v>250</v>
      </c>
      <c r="F200" s="53"/>
      <c r="G200" s="54">
        <v>46059</v>
      </c>
      <c r="H200" s="53" t="s">
        <v>341</v>
      </c>
      <c r="I200" s="59">
        <v>290.55</v>
      </c>
      <c r="J200" s="5" t="s">
        <v>751</v>
      </c>
      <c r="K200" s="59"/>
      <c r="L200" s="59">
        <f t="shared" si="2"/>
        <v>267916.0400000001</v>
      </c>
    </row>
    <row r="201" spans="1:12" x14ac:dyDescent="0.3">
      <c r="A201" s="52"/>
      <c r="B201" s="53" t="s">
        <v>26</v>
      </c>
      <c r="C201" s="54">
        <v>46062</v>
      </c>
      <c r="D201" s="53" t="s">
        <v>565</v>
      </c>
      <c r="E201" s="53"/>
      <c r="F201" s="53"/>
      <c r="G201" s="54"/>
      <c r="H201" s="53"/>
      <c r="I201" s="59">
        <v>16.3</v>
      </c>
      <c r="J201" s="59"/>
      <c r="K201" s="59"/>
      <c r="L201" s="59">
        <f t="shared" si="2"/>
        <v>267932.34000000008</v>
      </c>
    </row>
    <row r="202" spans="1:12" x14ac:dyDescent="0.3">
      <c r="A202" s="52"/>
      <c r="B202" s="53" t="s">
        <v>26</v>
      </c>
      <c r="C202" s="54">
        <v>46063</v>
      </c>
      <c r="D202" s="53" t="s">
        <v>566</v>
      </c>
      <c r="E202" s="53"/>
      <c r="F202" s="53"/>
      <c r="G202" s="54"/>
      <c r="H202" s="53"/>
      <c r="I202" s="59">
        <v>1.87</v>
      </c>
      <c r="J202" s="59"/>
      <c r="K202" s="59"/>
      <c r="L202" s="59">
        <f t="shared" si="2"/>
        <v>267934.21000000008</v>
      </c>
    </row>
    <row r="203" spans="1:12" x14ac:dyDescent="0.3">
      <c r="A203" s="52"/>
      <c r="B203" s="53" t="s">
        <v>26</v>
      </c>
      <c r="C203" s="54">
        <v>46063</v>
      </c>
      <c r="D203" s="53" t="s">
        <v>567</v>
      </c>
      <c r="E203" s="53"/>
      <c r="F203" s="53"/>
      <c r="G203" s="54"/>
      <c r="H203" s="53"/>
      <c r="I203" s="59">
        <v>3</v>
      </c>
      <c r="J203" s="59"/>
      <c r="K203" s="59"/>
      <c r="L203" s="59">
        <f t="shared" ref="L203:L266" si="3">L202+I203-K203</f>
        <v>267937.21000000008</v>
      </c>
    </row>
    <row r="204" spans="1:12" x14ac:dyDescent="0.3">
      <c r="A204" s="52"/>
      <c r="B204" s="53" t="s">
        <v>26</v>
      </c>
      <c r="C204" s="54">
        <v>46063</v>
      </c>
      <c r="D204" s="53" t="s">
        <v>568</v>
      </c>
      <c r="E204" s="53"/>
      <c r="F204" s="53"/>
      <c r="G204" s="54"/>
      <c r="H204" s="53"/>
      <c r="I204" s="59">
        <v>10.9</v>
      </c>
      <c r="J204" s="59"/>
      <c r="K204" s="59"/>
      <c r="L204" s="59">
        <f t="shared" si="3"/>
        <v>267948.1100000001</v>
      </c>
    </row>
    <row r="205" spans="1:12" x14ac:dyDescent="0.3">
      <c r="A205" s="52"/>
      <c r="B205" s="53" t="s">
        <v>26</v>
      </c>
      <c r="C205" s="54">
        <v>46063</v>
      </c>
      <c r="D205" s="53" t="s">
        <v>569</v>
      </c>
      <c r="E205" s="53"/>
      <c r="F205" s="53"/>
      <c r="G205" s="54"/>
      <c r="H205" s="53"/>
      <c r="I205" s="59">
        <v>13.05</v>
      </c>
      <c r="J205" s="59"/>
      <c r="K205" s="59"/>
      <c r="L205" s="59">
        <f t="shared" si="3"/>
        <v>267961.16000000009</v>
      </c>
    </row>
    <row r="206" spans="1:12" x14ac:dyDescent="0.3">
      <c r="A206" s="52"/>
      <c r="B206" s="53" t="s">
        <v>26</v>
      </c>
      <c r="C206" s="54">
        <v>46064</v>
      </c>
      <c r="D206" s="53" t="s">
        <v>570</v>
      </c>
      <c r="E206" s="53"/>
      <c r="F206" s="53"/>
      <c r="G206" s="54"/>
      <c r="H206" s="53"/>
      <c r="I206" s="59">
        <v>9.67</v>
      </c>
      <c r="J206" s="59"/>
      <c r="K206" s="59"/>
      <c r="L206" s="59">
        <f t="shared" si="3"/>
        <v>267970.83000000007</v>
      </c>
    </row>
    <row r="207" spans="1:12" x14ac:dyDescent="0.3">
      <c r="A207" s="52"/>
      <c r="B207" s="53" t="s">
        <v>26</v>
      </c>
      <c r="C207" s="54">
        <v>46064</v>
      </c>
      <c r="D207" s="53" t="s">
        <v>571</v>
      </c>
      <c r="E207" s="53"/>
      <c r="F207" s="53"/>
      <c r="G207" s="54"/>
      <c r="H207" s="53"/>
      <c r="I207" s="59">
        <v>48</v>
      </c>
      <c r="J207" s="59"/>
      <c r="K207" s="59"/>
      <c r="L207" s="59">
        <f t="shared" si="3"/>
        <v>268018.83000000007</v>
      </c>
    </row>
    <row r="208" spans="1:12" x14ac:dyDescent="0.3">
      <c r="A208" s="52"/>
      <c r="B208" s="53" t="s">
        <v>26</v>
      </c>
      <c r="C208" s="54">
        <v>46064</v>
      </c>
      <c r="D208" s="53" t="s">
        <v>572</v>
      </c>
      <c r="E208" s="53"/>
      <c r="F208" s="53"/>
      <c r="G208" s="54"/>
      <c r="H208" s="53"/>
      <c r="I208" s="59">
        <v>13.2</v>
      </c>
      <c r="J208" s="59"/>
      <c r="K208" s="59"/>
      <c r="L208" s="59">
        <f t="shared" si="3"/>
        <v>268032.03000000009</v>
      </c>
    </row>
    <row r="209" spans="1:12" x14ac:dyDescent="0.3">
      <c r="A209" s="52"/>
      <c r="B209" s="53" t="s">
        <v>26</v>
      </c>
      <c r="C209" s="54">
        <v>46064</v>
      </c>
      <c r="D209" s="53" t="s">
        <v>573</v>
      </c>
      <c r="E209" s="53"/>
      <c r="F209" s="53"/>
      <c r="G209" s="54"/>
      <c r="H209" s="53"/>
      <c r="I209" s="59">
        <v>13</v>
      </c>
      <c r="J209" s="59"/>
      <c r="K209" s="59"/>
      <c r="L209" s="59">
        <f t="shared" si="3"/>
        <v>268045.03000000009</v>
      </c>
    </row>
    <row r="210" spans="1:12" x14ac:dyDescent="0.3">
      <c r="A210" s="52"/>
      <c r="B210" s="53" t="s">
        <v>26</v>
      </c>
      <c r="C210" s="54">
        <v>46065</v>
      </c>
      <c r="D210" s="53" t="s">
        <v>574</v>
      </c>
      <c r="E210" s="53"/>
      <c r="F210" s="53"/>
      <c r="G210" s="54"/>
      <c r="H210" s="53"/>
      <c r="I210" s="59">
        <v>5.5</v>
      </c>
      <c r="J210" s="59"/>
      <c r="K210" s="59"/>
      <c r="L210" s="59">
        <f t="shared" si="3"/>
        <v>268050.53000000009</v>
      </c>
    </row>
    <row r="211" spans="1:12" x14ac:dyDescent="0.3">
      <c r="A211" s="52"/>
      <c r="B211" s="53" t="s">
        <v>28</v>
      </c>
      <c r="C211" s="54">
        <v>46065</v>
      </c>
      <c r="D211" s="53" t="s">
        <v>343</v>
      </c>
      <c r="E211" s="53" t="s">
        <v>250</v>
      </c>
      <c r="F211" s="53"/>
      <c r="G211" s="54">
        <v>46064</v>
      </c>
      <c r="H211" s="53" t="s">
        <v>344</v>
      </c>
      <c r="I211" s="59">
        <v>373.45</v>
      </c>
      <c r="J211" s="5" t="s">
        <v>752</v>
      </c>
      <c r="K211" s="59"/>
      <c r="L211" s="59">
        <f t="shared" si="3"/>
        <v>268423.9800000001</v>
      </c>
    </row>
    <row r="212" spans="1:12" x14ac:dyDescent="0.3">
      <c r="A212" s="52"/>
      <c r="B212" s="53" t="s">
        <v>26</v>
      </c>
      <c r="C212" s="54">
        <v>46065</v>
      </c>
      <c r="D212" s="53" t="s">
        <v>575</v>
      </c>
      <c r="E212" s="53"/>
      <c r="F212" s="53"/>
      <c r="G212" s="54"/>
      <c r="H212" s="53"/>
      <c r="I212" s="59">
        <v>25</v>
      </c>
      <c r="J212" s="59"/>
      <c r="K212" s="59"/>
      <c r="L212" s="59">
        <f t="shared" si="3"/>
        <v>268448.9800000001</v>
      </c>
    </row>
    <row r="213" spans="1:12" x14ac:dyDescent="0.3">
      <c r="A213" s="52"/>
      <c r="B213" s="53" t="s">
        <v>26</v>
      </c>
      <c r="C213" s="54">
        <v>46065</v>
      </c>
      <c r="D213" s="53" t="s">
        <v>576</v>
      </c>
      <c r="E213" s="53"/>
      <c r="F213" s="53"/>
      <c r="G213" s="54"/>
      <c r="H213" s="53"/>
      <c r="I213" s="59">
        <v>28.5</v>
      </c>
      <c r="J213" s="59"/>
      <c r="K213" s="59"/>
      <c r="L213" s="59">
        <f t="shared" si="3"/>
        <v>268477.4800000001</v>
      </c>
    </row>
    <row r="214" spans="1:12" x14ac:dyDescent="0.3">
      <c r="A214" s="52"/>
      <c r="B214" s="53" t="s">
        <v>26</v>
      </c>
      <c r="C214" s="54">
        <v>46065</v>
      </c>
      <c r="D214" s="53" t="s">
        <v>578</v>
      </c>
      <c r="E214" s="53"/>
      <c r="F214" s="53"/>
      <c r="G214" s="54"/>
      <c r="H214" s="53"/>
      <c r="I214" s="59">
        <v>13.5</v>
      </c>
      <c r="J214" s="59"/>
      <c r="K214" s="59"/>
      <c r="L214" s="59">
        <f t="shared" si="3"/>
        <v>268490.9800000001</v>
      </c>
    </row>
    <row r="215" spans="1:12" x14ac:dyDescent="0.3">
      <c r="A215" s="52"/>
      <c r="B215" s="53" t="s">
        <v>26</v>
      </c>
      <c r="C215" s="54">
        <v>46065</v>
      </c>
      <c r="D215" s="53" t="s">
        <v>577</v>
      </c>
      <c r="E215" s="53"/>
      <c r="F215" s="53"/>
      <c r="G215" s="54"/>
      <c r="H215" s="53"/>
      <c r="I215" s="59">
        <v>8.7799999999999994</v>
      </c>
      <c r="J215" s="59"/>
      <c r="K215" s="59"/>
      <c r="L215" s="59">
        <f t="shared" si="3"/>
        <v>268499.76000000013</v>
      </c>
    </row>
    <row r="216" spans="1:12" x14ac:dyDescent="0.3">
      <c r="A216" s="52"/>
      <c r="B216" s="53" t="s">
        <v>26</v>
      </c>
      <c r="C216" s="54">
        <v>46065</v>
      </c>
      <c r="D216" s="53" t="s">
        <v>579</v>
      </c>
      <c r="E216" s="53"/>
      <c r="F216" s="53"/>
      <c r="G216" s="54"/>
      <c r="H216" s="53"/>
      <c r="I216" s="59">
        <v>25</v>
      </c>
      <c r="J216" s="59"/>
      <c r="K216" s="59"/>
      <c r="L216" s="59">
        <f t="shared" si="3"/>
        <v>268524.76000000013</v>
      </c>
    </row>
    <row r="217" spans="1:12" x14ac:dyDescent="0.3">
      <c r="A217" s="52"/>
      <c r="B217" s="53" t="s">
        <v>26</v>
      </c>
      <c r="C217" s="54">
        <v>46065</v>
      </c>
      <c r="D217" s="53" t="s">
        <v>580</v>
      </c>
      <c r="E217" s="53"/>
      <c r="F217" s="53"/>
      <c r="G217" s="54"/>
      <c r="H217" s="53"/>
      <c r="I217" s="59">
        <v>15.3</v>
      </c>
      <c r="J217" s="59"/>
      <c r="K217" s="59"/>
      <c r="L217" s="59">
        <f t="shared" si="3"/>
        <v>268540.06000000011</v>
      </c>
    </row>
    <row r="218" spans="1:12" x14ac:dyDescent="0.3">
      <c r="A218" s="52"/>
      <c r="B218" s="53" t="s">
        <v>26</v>
      </c>
      <c r="C218" s="54">
        <v>46065</v>
      </c>
      <c r="D218" s="53" t="s">
        <v>581</v>
      </c>
      <c r="E218" s="53"/>
      <c r="F218" s="53"/>
      <c r="G218" s="54"/>
      <c r="H218" s="53"/>
      <c r="I218" s="59">
        <v>54</v>
      </c>
      <c r="J218" s="59"/>
      <c r="K218" s="59"/>
      <c r="L218" s="59">
        <f t="shared" si="3"/>
        <v>268594.06000000011</v>
      </c>
    </row>
    <row r="219" spans="1:12" x14ac:dyDescent="0.3">
      <c r="A219" s="52"/>
      <c r="B219" s="53" t="s">
        <v>26</v>
      </c>
      <c r="C219" s="54">
        <v>46065</v>
      </c>
      <c r="D219" s="53" t="s">
        <v>582</v>
      </c>
      <c r="E219" s="53"/>
      <c r="F219" s="53"/>
      <c r="G219" s="54"/>
      <c r="H219" s="53"/>
      <c r="I219" s="59">
        <v>3.4</v>
      </c>
      <c r="J219" s="59"/>
      <c r="K219" s="59"/>
      <c r="L219" s="59">
        <f t="shared" si="3"/>
        <v>268597.46000000014</v>
      </c>
    </row>
    <row r="220" spans="1:12" x14ac:dyDescent="0.3">
      <c r="A220" s="52"/>
      <c r="B220" s="53" t="s">
        <v>26</v>
      </c>
      <c r="C220" s="54">
        <v>46065</v>
      </c>
      <c r="D220" s="53" t="s">
        <v>583</v>
      </c>
      <c r="E220" s="53"/>
      <c r="F220" s="53"/>
      <c r="G220" s="54"/>
      <c r="H220" s="53"/>
      <c r="I220" s="59">
        <v>3.3</v>
      </c>
      <c r="J220" s="59"/>
      <c r="K220" s="59"/>
      <c r="L220" s="59">
        <f t="shared" si="3"/>
        <v>268600.76000000013</v>
      </c>
    </row>
    <row r="221" spans="1:12" x14ac:dyDescent="0.3">
      <c r="A221" s="52"/>
      <c r="B221" s="53" t="s">
        <v>26</v>
      </c>
      <c r="C221" s="54">
        <v>46065</v>
      </c>
      <c r="D221" s="53" t="s">
        <v>584</v>
      </c>
      <c r="E221" s="53"/>
      <c r="F221" s="53"/>
      <c r="G221" s="54"/>
      <c r="H221" s="53"/>
      <c r="I221" s="59">
        <v>9.77</v>
      </c>
      <c r="J221" s="59"/>
      <c r="K221" s="59"/>
      <c r="L221" s="59">
        <f t="shared" si="3"/>
        <v>268610.53000000014</v>
      </c>
    </row>
    <row r="222" spans="1:12" x14ac:dyDescent="0.3">
      <c r="A222" s="52"/>
      <c r="B222" s="53" t="s">
        <v>26</v>
      </c>
      <c r="C222" s="54">
        <v>46065</v>
      </c>
      <c r="D222" s="53" t="s">
        <v>585</v>
      </c>
      <c r="E222" s="53"/>
      <c r="F222" s="53"/>
      <c r="G222" s="54"/>
      <c r="H222" s="53"/>
      <c r="I222" s="59">
        <v>8.99</v>
      </c>
      <c r="J222" s="59"/>
      <c r="K222" s="59"/>
      <c r="L222" s="59">
        <f t="shared" si="3"/>
        <v>268619.52000000014</v>
      </c>
    </row>
    <row r="223" spans="1:12" x14ac:dyDescent="0.3">
      <c r="A223" s="52"/>
      <c r="B223" s="53" t="s">
        <v>26</v>
      </c>
      <c r="C223" s="54">
        <v>46065</v>
      </c>
      <c r="D223" s="53" t="s">
        <v>586</v>
      </c>
      <c r="E223" s="53"/>
      <c r="F223" s="53"/>
      <c r="G223" s="54"/>
      <c r="H223" s="53"/>
      <c r="I223" s="59">
        <v>10</v>
      </c>
      <c r="J223" s="59"/>
      <c r="K223" s="59"/>
      <c r="L223" s="59">
        <f t="shared" si="3"/>
        <v>268629.52000000014</v>
      </c>
    </row>
    <row r="224" spans="1:12" x14ac:dyDescent="0.3">
      <c r="A224" s="52"/>
      <c r="B224" s="53" t="s">
        <v>26</v>
      </c>
      <c r="C224" s="54">
        <v>46066</v>
      </c>
      <c r="D224" s="53" t="s">
        <v>587</v>
      </c>
      <c r="E224" s="53"/>
      <c r="F224" s="53"/>
      <c r="G224" s="54"/>
      <c r="H224" s="53"/>
      <c r="I224" s="59">
        <v>58.5</v>
      </c>
      <c r="J224" s="59"/>
      <c r="K224" s="59"/>
      <c r="L224" s="59">
        <f t="shared" si="3"/>
        <v>268688.02000000014</v>
      </c>
    </row>
    <row r="225" spans="1:12" x14ac:dyDescent="0.3">
      <c r="A225" s="52"/>
      <c r="B225" s="53" t="s">
        <v>28</v>
      </c>
      <c r="C225" s="54">
        <v>46066</v>
      </c>
      <c r="D225" s="53" t="s">
        <v>345</v>
      </c>
      <c r="E225" s="53" t="s">
        <v>207</v>
      </c>
      <c r="F225" s="53"/>
      <c r="G225" s="54">
        <v>46065</v>
      </c>
      <c r="H225" s="53" t="s">
        <v>346</v>
      </c>
      <c r="I225" s="59">
        <v>51.2</v>
      </c>
      <c r="J225" s="59"/>
      <c r="K225" s="59"/>
      <c r="L225" s="59">
        <f t="shared" si="3"/>
        <v>268739.22000000015</v>
      </c>
    </row>
    <row r="226" spans="1:12" x14ac:dyDescent="0.3">
      <c r="A226" s="52"/>
      <c r="B226" s="53" t="s">
        <v>26</v>
      </c>
      <c r="C226" s="54">
        <v>46066</v>
      </c>
      <c r="D226" s="53" t="s">
        <v>588</v>
      </c>
      <c r="E226" s="53"/>
      <c r="F226" s="53"/>
      <c r="G226" s="54"/>
      <c r="H226" s="53"/>
      <c r="I226" s="59">
        <v>58.5</v>
      </c>
      <c r="J226" s="59"/>
      <c r="K226" s="59"/>
      <c r="L226" s="59">
        <f t="shared" si="3"/>
        <v>268797.72000000015</v>
      </c>
    </row>
    <row r="227" spans="1:12" x14ac:dyDescent="0.3">
      <c r="A227" s="52"/>
      <c r="B227" s="53" t="s">
        <v>26</v>
      </c>
      <c r="C227" s="54">
        <v>46066</v>
      </c>
      <c r="D227" s="53" t="s">
        <v>589</v>
      </c>
      <c r="E227" s="53"/>
      <c r="F227" s="53"/>
      <c r="G227" s="54"/>
      <c r="H227" s="53"/>
      <c r="I227" s="59">
        <v>8.5</v>
      </c>
      <c r="J227" s="59"/>
      <c r="K227" s="59"/>
      <c r="L227" s="59">
        <f t="shared" si="3"/>
        <v>268806.22000000015</v>
      </c>
    </row>
    <row r="228" spans="1:12" x14ac:dyDescent="0.3">
      <c r="A228" s="52"/>
      <c r="B228" s="53" t="s">
        <v>28</v>
      </c>
      <c r="C228" s="54">
        <v>46066</v>
      </c>
      <c r="D228" s="53" t="s">
        <v>347</v>
      </c>
      <c r="E228" s="53" t="s">
        <v>211</v>
      </c>
      <c r="F228" s="53"/>
      <c r="G228" s="54">
        <v>46064</v>
      </c>
      <c r="H228" s="53" t="s">
        <v>348</v>
      </c>
      <c r="I228" s="59">
        <v>86.72</v>
      </c>
      <c r="J228" s="59"/>
      <c r="K228" s="59"/>
      <c r="L228" s="59">
        <f t="shared" si="3"/>
        <v>268892.94000000012</v>
      </c>
    </row>
    <row r="229" spans="1:12" x14ac:dyDescent="0.3">
      <c r="A229" s="52"/>
      <c r="B229" s="53" t="s">
        <v>26</v>
      </c>
      <c r="C229" s="54">
        <v>46067</v>
      </c>
      <c r="D229" s="53" t="s">
        <v>590</v>
      </c>
      <c r="E229" s="53"/>
      <c r="F229" s="53"/>
      <c r="G229" s="54"/>
      <c r="H229" s="53"/>
      <c r="I229" s="59">
        <v>10</v>
      </c>
      <c r="J229" s="59"/>
      <c r="K229" s="59"/>
      <c r="L229" s="59">
        <f t="shared" si="3"/>
        <v>268902.94000000012</v>
      </c>
    </row>
    <row r="230" spans="1:12" x14ac:dyDescent="0.3">
      <c r="A230" s="52"/>
      <c r="B230" s="53" t="s">
        <v>26</v>
      </c>
      <c r="C230" s="54">
        <v>46068</v>
      </c>
      <c r="D230" s="53" t="s">
        <v>591</v>
      </c>
      <c r="E230" s="53"/>
      <c r="F230" s="53"/>
      <c r="G230" s="54"/>
      <c r="H230" s="53"/>
      <c r="I230" s="59">
        <v>12</v>
      </c>
      <c r="J230" s="59"/>
      <c r="K230" s="59"/>
      <c r="L230" s="59">
        <f t="shared" si="3"/>
        <v>268914.94000000012</v>
      </c>
    </row>
    <row r="231" spans="1:12" x14ac:dyDescent="0.3">
      <c r="A231" s="52"/>
      <c r="B231" s="53" t="s">
        <v>26</v>
      </c>
      <c r="C231" s="54">
        <v>46068</v>
      </c>
      <c r="D231" s="53" t="s">
        <v>592</v>
      </c>
      <c r="E231" s="53"/>
      <c r="F231" s="53"/>
      <c r="G231" s="54"/>
      <c r="H231" s="53"/>
      <c r="I231" s="59">
        <v>2.2000000000000002</v>
      </c>
      <c r="J231" s="59"/>
      <c r="K231" s="59"/>
      <c r="L231" s="59">
        <f t="shared" si="3"/>
        <v>268917.14000000013</v>
      </c>
    </row>
    <row r="232" spans="1:12" x14ac:dyDescent="0.3">
      <c r="A232" s="52"/>
      <c r="B232" s="53" t="s">
        <v>26</v>
      </c>
      <c r="C232" s="54">
        <v>46068</v>
      </c>
      <c r="D232" s="53" t="s">
        <v>593</v>
      </c>
      <c r="E232" s="53"/>
      <c r="F232" s="53"/>
      <c r="G232" s="54"/>
      <c r="H232" s="53"/>
      <c r="I232" s="59">
        <v>24.49</v>
      </c>
      <c r="J232" s="59"/>
      <c r="K232" s="59"/>
      <c r="L232" s="59">
        <f t="shared" si="3"/>
        <v>268941.63000000012</v>
      </c>
    </row>
    <row r="233" spans="1:12" x14ac:dyDescent="0.3">
      <c r="A233" s="52"/>
      <c r="B233" s="53" t="s">
        <v>26</v>
      </c>
      <c r="C233" s="54">
        <v>46069</v>
      </c>
      <c r="D233" s="53" t="s">
        <v>594</v>
      </c>
      <c r="E233" s="53"/>
      <c r="F233" s="53"/>
      <c r="G233" s="54"/>
      <c r="H233" s="53"/>
      <c r="I233" s="59">
        <v>4.5</v>
      </c>
      <c r="J233" s="59"/>
      <c r="K233" s="59"/>
      <c r="L233" s="59">
        <f t="shared" si="3"/>
        <v>268946.13000000012</v>
      </c>
    </row>
    <row r="234" spans="1:12" x14ac:dyDescent="0.3">
      <c r="A234" s="52"/>
      <c r="B234" s="53" t="s">
        <v>26</v>
      </c>
      <c r="C234" s="54">
        <v>46069</v>
      </c>
      <c r="D234" s="53" t="s">
        <v>595</v>
      </c>
      <c r="E234" s="53"/>
      <c r="F234" s="53"/>
      <c r="G234" s="54"/>
      <c r="H234" s="53"/>
      <c r="I234" s="59">
        <v>2</v>
      </c>
      <c r="J234" s="59"/>
      <c r="K234" s="59"/>
      <c r="L234" s="59">
        <f t="shared" si="3"/>
        <v>268948.13000000012</v>
      </c>
    </row>
    <row r="235" spans="1:12" x14ac:dyDescent="0.3">
      <c r="A235" s="52"/>
      <c r="B235" s="53" t="s">
        <v>28</v>
      </c>
      <c r="C235" s="54">
        <v>46069</v>
      </c>
      <c r="D235" s="53" t="s">
        <v>349</v>
      </c>
      <c r="E235" s="53" t="s">
        <v>350</v>
      </c>
      <c r="F235" s="53" t="s">
        <v>351</v>
      </c>
      <c r="G235" s="54">
        <v>46056</v>
      </c>
      <c r="H235" s="53" t="s">
        <v>352</v>
      </c>
      <c r="I235" s="59">
        <v>40.57</v>
      </c>
      <c r="J235" s="59"/>
      <c r="K235" s="59"/>
      <c r="L235" s="59">
        <f t="shared" si="3"/>
        <v>268988.70000000013</v>
      </c>
    </row>
    <row r="236" spans="1:12" x14ac:dyDescent="0.3">
      <c r="A236" s="52"/>
      <c r="B236" s="53" t="s">
        <v>26</v>
      </c>
      <c r="C236" s="54">
        <v>46069</v>
      </c>
      <c r="D236" s="53" t="s">
        <v>596</v>
      </c>
      <c r="E236" s="53"/>
      <c r="F236" s="53"/>
      <c r="G236" s="54"/>
      <c r="H236" s="53"/>
      <c r="I236" s="59">
        <v>12</v>
      </c>
      <c r="J236" s="59"/>
      <c r="K236" s="59"/>
      <c r="L236" s="59">
        <f t="shared" si="3"/>
        <v>269000.70000000013</v>
      </c>
    </row>
    <row r="237" spans="1:12" x14ac:dyDescent="0.3">
      <c r="A237" s="52"/>
      <c r="B237" s="53" t="s">
        <v>26</v>
      </c>
      <c r="C237" s="54">
        <v>46069</v>
      </c>
      <c r="D237" s="53" t="s">
        <v>597</v>
      </c>
      <c r="E237" s="53"/>
      <c r="F237" s="53"/>
      <c r="G237" s="54"/>
      <c r="H237" s="53"/>
      <c r="I237" s="59">
        <v>11.5</v>
      </c>
      <c r="J237" s="59"/>
      <c r="K237" s="59"/>
      <c r="L237" s="59">
        <f t="shared" si="3"/>
        <v>269012.20000000013</v>
      </c>
    </row>
    <row r="238" spans="1:12" x14ac:dyDescent="0.3">
      <c r="A238" s="52"/>
      <c r="B238" s="53" t="s">
        <v>28</v>
      </c>
      <c r="C238" s="54">
        <v>46070</v>
      </c>
      <c r="D238" s="53" t="s">
        <v>353</v>
      </c>
      <c r="E238" s="53" t="s">
        <v>354</v>
      </c>
      <c r="F238" s="53"/>
      <c r="G238" s="54">
        <v>46062</v>
      </c>
      <c r="H238" s="53" t="s">
        <v>326</v>
      </c>
      <c r="I238" s="59">
        <v>649.96</v>
      </c>
      <c r="J238" s="5" t="s">
        <v>753</v>
      </c>
      <c r="K238" s="59"/>
      <c r="L238" s="59">
        <f t="shared" si="3"/>
        <v>269662.16000000015</v>
      </c>
    </row>
    <row r="239" spans="1:12" x14ac:dyDescent="0.3">
      <c r="A239" s="52"/>
      <c r="B239" s="53" t="s">
        <v>26</v>
      </c>
      <c r="C239" s="54">
        <v>46070</v>
      </c>
      <c r="D239" s="53" t="s">
        <v>598</v>
      </c>
      <c r="E239" s="53"/>
      <c r="F239" s="53"/>
      <c r="G239" s="54"/>
      <c r="H239" s="53"/>
      <c r="I239" s="59">
        <v>2.2000000000000002</v>
      </c>
      <c r="J239" s="59"/>
      <c r="K239" s="59"/>
      <c r="L239" s="59">
        <f t="shared" si="3"/>
        <v>269664.36000000016</v>
      </c>
    </row>
    <row r="240" spans="1:12" x14ac:dyDescent="0.3">
      <c r="A240" s="52"/>
      <c r="B240" s="53" t="s">
        <v>26</v>
      </c>
      <c r="C240" s="54">
        <v>46070</v>
      </c>
      <c r="D240" s="53" t="s">
        <v>599</v>
      </c>
      <c r="E240" s="53"/>
      <c r="F240" s="53"/>
      <c r="G240" s="54"/>
      <c r="H240" s="53"/>
      <c r="I240" s="59">
        <v>8.98</v>
      </c>
      <c r="J240" s="59"/>
      <c r="K240" s="59"/>
      <c r="L240" s="59">
        <f t="shared" si="3"/>
        <v>269673.34000000014</v>
      </c>
    </row>
    <row r="241" spans="1:12" x14ac:dyDescent="0.3">
      <c r="A241" s="52"/>
      <c r="B241" s="53" t="s">
        <v>26</v>
      </c>
      <c r="C241" s="54">
        <v>46070</v>
      </c>
      <c r="D241" s="53" t="s">
        <v>600</v>
      </c>
      <c r="E241" s="53"/>
      <c r="F241" s="53"/>
      <c r="G241" s="54"/>
      <c r="H241" s="53"/>
      <c r="I241" s="59">
        <v>4.2</v>
      </c>
      <c r="J241" s="59"/>
      <c r="K241" s="59"/>
      <c r="L241" s="59">
        <f t="shared" si="3"/>
        <v>269677.54000000015</v>
      </c>
    </row>
    <row r="242" spans="1:12" x14ac:dyDescent="0.3">
      <c r="A242" s="52"/>
      <c r="B242" s="53" t="s">
        <v>26</v>
      </c>
      <c r="C242" s="54">
        <v>46070</v>
      </c>
      <c r="D242" s="53" t="s">
        <v>601</v>
      </c>
      <c r="E242" s="53"/>
      <c r="F242" s="53"/>
      <c r="G242" s="54"/>
      <c r="H242" s="53"/>
      <c r="I242" s="59">
        <v>26.3</v>
      </c>
      <c r="J242" s="59"/>
      <c r="K242" s="59"/>
      <c r="L242" s="59">
        <f t="shared" si="3"/>
        <v>269703.84000000014</v>
      </c>
    </row>
    <row r="243" spans="1:12" x14ac:dyDescent="0.3">
      <c r="A243" s="52"/>
      <c r="B243" s="53" t="s">
        <v>28</v>
      </c>
      <c r="C243" s="54">
        <v>46070</v>
      </c>
      <c r="D243" s="53" t="s">
        <v>356</v>
      </c>
      <c r="E243" s="53" t="s">
        <v>186</v>
      </c>
      <c r="F243" s="53"/>
      <c r="G243" s="54">
        <v>46069</v>
      </c>
      <c r="H243" s="53" t="s">
        <v>357</v>
      </c>
      <c r="I243" s="59">
        <v>278</v>
      </c>
      <c r="J243" s="59"/>
      <c r="K243" s="59"/>
      <c r="L243" s="59">
        <f t="shared" si="3"/>
        <v>269981.84000000014</v>
      </c>
    </row>
    <row r="244" spans="1:12" x14ac:dyDescent="0.3">
      <c r="A244" s="52"/>
      <c r="B244" s="53" t="s">
        <v>26</v>
      </c>
      <c r="C244" s="54">
        <v>46070</v>
      </c>
      <c r="D244" s="53" t="s">
        <v>355</v>
      </c>
      <c r="E244" s="53"/>
      <c r="F244" s="53"/>
      <c r="G244" s="54"/>
      <c r="H244" s="53"/>
      <c r="I244" s="59">
        <v>4.8</v>
      </c>
      <c r="J244" s="59"/>
      <c r="K244" s="59"/>
      <c r="L244" s="59">
        <f t="shared" si="3"/>
        <v>269986.64000000013</v>
      </c>
    </row>
    <row r="245" spans="1:12" x14ac:dyDescent="0.3">
      <c r="A245" s="52"/>
      <c r="B245" s="53" t="s">
        <v>26</v>
      </c>
      <c r="C245" s="54">
        <v>46070</v>
      </c>
      <c r="D245" s="53" t="s">
        <v>602</v>
      </c>
      <c r="E245" s="53"/>
      <c r="F245" s="53"/>
      <c r="G245" s="54"/>
      <c r="H245" s="53"/>
      <c r="I245" s="59">
        <v>26</v>
      </c>
      <c r="J245" s="59"/>
      <c r="K245" s="59"/>
      <c r="L245" s="59">
        <f t="shared" si="3"/>
        <v>270012.64000000013</v>
      </c>
    </row>
    <row r="246" spans="1:12" x14ac:dyDescent="0.3">
      <c r="A246" s="52"/>
      <c r="B246" s="53" t="s">
        <v>26</v>
      </c>
      <c r="C246" s="54">
        <v>46070</v>
      </c>
      <c r="D246" s="53" t="s">
        <v>603</v>
      </c>
      <c r="E246" s="53"/>
      <c r="F246" s="53"/>
      <c r="G246" s="54"/>
      <c r="H246" s="53"/>
      <c r="I246" s="59">
        <v>3.2</v>
      </c>
      <c r="J246" s="59"/>
      <c r="K246" s="59"/>
      <c r="L246" s="59">
        <f t="shared" si="3"/>
        <v>270015.84000000014</v>
      </c>
    </row>
    <row r="247" spans="1:12" x14ac:dyDescent="0.3">
      <c r="A247" s="52"/>
      <c r="B247" s="53" t="s">
        <v>26</v>
      </c>
      <c r="C247" s="54">
        <v>46070</v>
      </c>
      <c r="D247" s="53" t="s">
        <v>358</v>
      </c>
      <c r="E247" s="53"/>
      <c r="F247" s="53"/>
      <c r="G247" s="54"/>
      <c r="H247" s="53"/>
      <c r="I247" s="59">
        <v>15.52</v>
      </c>
      <c r="J247" s="59"/>
      <c r="K247" s="59"/>
      <c r="L247" s="59">
        <f t="shared" si="3"/>
        <v>270031.36000000016</v>
      </c>
    </row>
    <row r="248" spans="1:12" x14ac:dyDescent="0.3">
      <c r="A248" s="52"/>
      <c r="B248" s="53" t="s">
        <v>26</v>
      </c>
      <c r="C248" s="54">
        <v>46071</v>
      </c>
      <c r="D248" s="53" t="s">
        <v>604</v>
      </c>
      <c r="E248" s="53"/>
      <c r="F248" s="53"/>
      <c r="G248" s="54"/>
      <c r="H248" s="53"/>
      <c r="I248" s="59">
        <v>19</v>
      </c>
      <c r="J248" s="59"/>
      <c r="K248" s="59"/>
      <c r="L248" s="59">
        <f t="shared" si="3"/>
        <v>270050.36000000016</v>
      </c>
    </row>
    <row r="249" spans="1:12" x14ac:dyDescent="0.3">
      <c r="A249" s="52"/>
      <c r="B249" s="53" t="s">
        <v>26</v>
      </c>
      <c r="C249" s="54">
        <v>46071</v>
      </c>
      <c r="D249" s="53" t="s">
        <v>605</v>
      </c>
      <c r="E249" s="53"/>
      <c r="F249" s="53"/>
      <c r="G249" s="54"/>
      <c r="H249" s="53"/>
      <c r="I249" s="59">
        <v>7.8</v>
      </c>
      <c r="J249" s="59"/>
      <c r="K249" s="59"/>
      <c r="L249" s="59">
        <f t="shared" si="3"/>
        <v>270058.16000000015</v>
      </c>
    </row>
    <row r="250" spans="1:12" x14ac:dyDescent="0.3">
      <c r="A250" s="52"/>
      <c r="B250" s="53" t="s">
        <v>26</v>
      </c>
      <c r="C250" s="54">
        <v>46071</v>
      </c>
      <c r="D250" s="53" t="s">
        <v>606</v>
      </c>
      <c r="E250" s="53"/>
      <c r="F250" s="53"/>
      <c r="G250" s="54"/>
      <c r="H250" s="53"/>
      <c r="I250" s="59">
        <v>10.62</v>
      </c>
      <c r="J250" s="59"/>
      <c r="K250" s="59"/>
      <c r="L250" s="59">
        <f t="shared" si="3"/>
        <v>270068.78000000014</v>
      </c>
    </row>
    <row r="251" spans="1:12" x14ac:dyDescent="0.3">
      <c r="A251" s="52"/>
      <c r="B251" s="53" t="s">
        <v>28</v>
      </c>
      <c r="C251" s="54">
        <v>46071</v>
      </c>
      <c r="D251" s="53" t="s">
        <v>363</v>
      </c>
      <c r="E251" s="53" t="s">
        <v>186</v>
      </c>
      <c r="F251" s="53"/>
      <c r="G251" s="54">
        <v>46070</v>
      </c>
      <c r="H251" s="53" t="s">
        <v>364</v>
      </c>
      <c r="I251" s="59">
        <v>139</v>
      </c>
      <c r="J251" s="59"/>
      <c r="K251" s="59"/>
      <c r="L251" s="59">
        <f t="shared" si="3"/>
        <v>270207.78000000014</v>
      </c>
    </row>
    <row r="252" spans="1:12" x14ac:dyDescent="0.3">
      <c r="A252" s="52"/>
      <c r="B252" s="53" t="s">
        <v>28</v>
      </c>
      <c r="C252" s="54">
        <v>46071</v>
      </c>
      <c r="D252" s="53" t="s">
        <v>359</v>
      </c>
      <c r="E252" s="53" t="s">
        <v>207</v>
      </c>
      <c r="F252" s="53"/>
      <c r="G252" s="54">
        <v>46070</v>
      </c>
      <c r="H252" s="53" t="s">
        <v>360</v>
      </c>
      <c r="I252" s="59">
        <v>102.4</v>
      </c>
      <c r="J252" s="59"/>
      <c r="K252" s="59"/>
      <c r="L252" s="59">
        <f t="shared" si="3"/>
        <v>270310.18000000017</v>
      </c>
    </row>
    <row r="253" spans="1:12" x14ac:dyDescent="0.3">
      <c r="A253" s="52"/>
      <c r="B253" s="53" t="s">
        <v>26</v>
      </c>
      <c r="C253" s="54">
        <v>46071</v>
      </c>
      <c r="D253" s="53" t="s">
        <v>607</v>
      </c>
      <c r="E253" s="53"/>
      <c r="F253" s="53"/>
      <c r="G253" s="54"/>
      <c r="H253" s="53"/>
      <c r="I253" s="59">
        <v>189</v>
      </c>
      <c r="J253" s="59"/>
      <c r="K253" s="59"/>
      <c r="L253" s="59">
        <f t="shared" si="3"/>
        <v>270499.18000000017</v>
      </c>
    </row>
    <row r="254" spans="1:12" x14ac:dyDescent="0.3">
      <c r="A254" s="52"/>
      <c r="B254" s="53" t="s">
        <v>26</v>
      </c>
      <c r="C254" s="54">
        <v>46071</v>
      </c>
      <c r="D254" s="53" t="s">
        <v>608</v>
      </c>
      <c r="E254" s="53"/>
      <c r="F254" s="53"/>
      <c r="G254" s="54"/>
      <c r="H254" s="53"/>
      <c r="I254" s="59">
        <v>8</v>
      </c>
      <c r="J254" s="59"/>
      <c r="K254" s="59"/>
      <c r="L254" s="59">
        <f t="shared" si="3"/>
        <v>270507.18000000017</v>
      </c>
    </row>
    <row r="255" spans="1:12" x14ac:dyDescent="0.3">
      <c r="A255" s="52"/>
      <c r="B255" s="53" t="s">
        <v>75</v>
      </c>
      <c r="C255" s="54">
        <v>46071</v>
      </c>
      <c r="D255" s="53" t="s">
        <v>361</v>
      </c>
      <c r="E255" s="53" t="s">
        <v>186</v>
      </c>
      <c r="F255" s="53"/>
      <c r="G255" s="54">
        <v>46070</v>
      </c>
      <c r="H255" s="53" t="s">
        <v>362</v>
      </c>
      <c r="I255" s="59"/>
      <c r="J255" s="59"/>
      <c r="K255" s="59">
        <v>139</v>
      </c>
      <c r="L255" s="59">
        <f t="shared" si="3"/>
        <v>270368.18000000017</v>
      </c>
    </row>
    <row r="256" spans="1:12" x14ac:dyDescent="0.3">
      <c r="A256" s="52"/>
      <c r="B256" s="53" t="s">
        <v>26</v>
      </c>
      <c r="C256" s="54">
        <v>46072</v>
      </c>
      <c r="D256" s="53" t="s">
        <v>609</v>
      </c>
      <c r="E256" s="53"/>
      <c r="F256" s="53"/>
      <c r="G256" s="54"/>
      <c r="H256" s="53"/>
      <c r="I256" s="59">
        <v>10</v>
      </c>
      <c r="J256" s="59"/>
      <c r="K256" s="59"/>
      <c r="L256" s="59">
        <f t="shared" si="3"/>
        <v>270378.18000000017</v>
      </c>
    </row>
    <row r="257" spans="1:12" x14ac:dyDescent="0.3">
      <c r="A257" s="52"/>
      <c r="B257" s="53" t="s">
        <v>26</v>
      </c>
      <c r="C257" s="54">
        <v>46072</v>
      </c>
      <c r="D257" s="53" t="s">
        <v>610</v>
      </c>
      <c r="E257" s="53"/>
      <c r="F257" s="53"/>
      <c r="G257" s="54"/>
      <c r="H257" s="53"/>
      <c r="I257" s="59">
        <v>20.99</v>
      </c>
      <c r="J257" s="59"/>
      <c r="K257" s="59"/>
      <c r="L257" s="59">
        <f t="shared" si="3"/>
        <v>270399.17000000016</v>
      </c>
    </row>
    <row r="258" spans="1:12" x14ac:dyDescent="0.3">
      <c r="A258" s="52"/>
      <c r="B258" s="53" t="s">
        <v>26</v>
      </c>
      <c r="C258" s="54">
        <v>46072</v>
      </c>
      <c r="D258" s="53" t="s">
        <v>611</v>
      </c>
      <c r="E258" s="53"/>
      <c r="F258" s="53"/>
      <c r="G258" s="54"/>
      <c r="H258" s="53"/>
      <c r="I258" s="59">
        <v>9</v>
      </c>
      <c r="J258" s="59"/>
      <c r="K258" s="59"/>
      <c r="L258" s="59">
        <f t="shared" si="3"/>
        <v>270408.17000000016</v>
      </c>
    </row>
    <row r="259" spans="1:12" x14ac:dyDescent="0.3">
      <c r="A259" s="52"/>
      <c r="B259" s="53" t="s">
        <v>26</v>
      </c>
      <c r="C259" s="54">
        <v>46072</v>
      </c>
      <c r="D259" s="53" t="s">
        <v>612</v>
      </c>
      <c r="E259" s="53"/>
      <c r="F259" s="53"/>
      <c r="G259" s="54"/>
      <c r="H259" s="53"/>
      <c r="I259" s="59">
        <v>14.2</v>
      </c>
      <c r="J259" s="59"/>
      <c r="K259" s="59"/>
      <c r="L259" s="59">
        <f t="shared" si="3"/>
        <v>270422.37000000017</v>
      </c>
    </row>
    <row r="260" spans="1:12" x14ac:dyDescent="0.3">
      <c r="A260" s="52"/>
      <c r="B260" s="53" t="s">
        <v>26</v>
      </c>
      <c r="C260" s="54">
        <v>46072</v>
      </c>
      <c r="D260" s="53" t="s">
        <v>613</v>
      </c>
      <c r="E260" s="53"/>
      <c r="F260" s="53"/>
      <c r="G260" s="54"/>
      <c r="H260" s="53"/>
      <c r="I260" s="59">
        <v>34.5</v>
      </c>
      <c r="J260" s="59"/>
      <c r="K260" s="59"/>
      <c r="L260" s="59">
        <f t="shared" si="3"/>
        <v>270456.87000000017</v>
      </c>
    </row>
    <row r="261" spans="1:12" x14ac:dyDescent="0.3">
      <c r="A261" s="52"/>
      <c r="B261" s="53" t="s">
        <v>26</v>
      </c>
      <c r="C261" s="54">
        <v>46072</v>
      </c>
      <c r="D261" s="53" t="s">
        <v>614</v>
      </c>
      <c r="E261" s="53"/>
      <c r="F261" s="53"/>
      <c r="G261" s="54"/>
      <c r="H261" s="53"/>
      <c r="I261" s="59">
        <v>3.6</v>
      </c>
      <c r="J261" s="59"/>
      <c r="K261" s="59"/>
      <c r="L261" s="59">
        <f t="shared" si="3"/>
        <v>270460.47000000015</v>
      </c>
    </row>
    <row r="262" spans="1:12" x14ac:dyDescent="0.3">
      <c r="A262" s="52"/>
      <c r="B262" s="53" t="s">
        <v>26</v>
      </c>
      <c r="C262" s="54">
        <v>46072</v>
      </c>
      <c r="D262" s="53" t="s">
        <v>615</v>
      </c>
      <c r="E262" s="53"/>
      <c r="F262" s="53"/>
      <c r="G262" s="54"/>
      <c r="H262" s="53"/>
      <c r="I262" s="59">
        <v>12.23</v>
      </c>
      <c r="J262" s="59"/>
      <c r="K262" s="59"/>
      <c r="L262" s="59">
        <f t="shared" si="3"/>
        <v>270472.70000000013</v>
      </c>
    </row>
    <row r="263" spans="1:12" x14ac:dyDescent="0.3">
      <c r="A263" s="52"/>
      <c r="B263" s="53" t="s">
        <v>26</v>
      </c>
      <c r="C263" s="54">
        <v>46072</v>
      </c>
      <c r="D263" s="53" t="s">
        <v>616</v>
      </c>
      <c r="E263" s="53"/>
      <c r="F263" s="53"/>
      <c r="G263" s="54"/>
      <c r="H263" s="53"/>
      <c r="I263" s="59">
        <v>7</v>
      </c>
      <c r="J263" s="59"/>
      <c r="K263" s="59"/>
      <c r="L263" s="59">
        <f t="shared" si="3"/>
        <v>270479.70000000013</v>
      </c>
    </row>
    <row r="264" spans="1:12" x14ac:dyDescent="0.3">
      <c r="A264" s="52"/>
      <c r="B264" s="53" t="s">
        <v>26</v>
      </c>
      <c r="C264" s="54">
        <v>46072</v>
      </c>
      <c r="D264" s="53" t="s">
        <v>617</v>
      </c>
      <c r="E264" s="53"/>
      <c r="F264" s="53"/>
      <c r="G264" s="54"/>
      <c r="H264" s="53"/>
      <c r="I264" s="59">
        <v>12.5</v>
      </c>
      <c r="J264" s="59"/>
      <c r="K264" s="59"/>
      <c r="L264" s="59">
        <f t="shared" si="3"/>
        <v>270492.20000000013</v>
      </c>
    </row>
    <row r="265" spans="1:12" x14ac:dyDescent="0.3">
      <c r="A265" s="52"/>
      <c r="B265" s="53" t="s">
        <v>28</v>
      </c>
      <c r="C265" s="54">
        <v>46072</v>
      </c>
      <c r="D265" s="53" t="s">
        <v>365</v>
      </c>
      <c r="E265" s="53" t="s">
        <v>186</v>
      </c>
      <c r="F265" s="53"/>
      <c r="G265" s="54">
        <v>46064</v>
      </c>
      <c r="H265" s="53" t="s">
        <v>366</v>
      </c>
      <c r="I265" s="59">
        <v>118</v>
      </c>
      <c r="J265" s="59"/>
      <c r="K265" s="59"/>
      <c r="L265" s="59">
        <f t="shared" si="3"/>
        <v>270610.20000000013</v>
      </c>
    </row>
    <row r="266" spans="1:12" x14ac:dyDescent="0.3">
      <c r="A266" s="52"/>
      <c r="B266" s="53" t="s">
        <v>26</v>
      </c>
      <c r="C266" s="54">
        <v>46072</v>
      </c>
      <c r="D266" s="53" t="s">
        <v>618</v>
      </c>
      <c r="E266" s="53"/>
      <c r="F266" s="53"/>
      <c r="G266" s="54"/>
      <c r="H266" s="53"/>
      <c r="I266" s="59">
        <v>4.05</v>
      </c>
      <c r="J266" s="59"/>
      <c r="K266" s="59"/>
      <c r="L266" s="59">
        <f t="shared" si="3"/>
        <v>270614.25000000012</v>
      </c>
    </row>
    <row r="267" spans="1:12" x14ac:dyDescent="0.3">
      <c r="A267" s="52"/>
      <c r="B267" s="53" t="s">
        <v>28</v>
      </c>
      <c r="C267" s="54">
        <v>46072</v>
      </c>
      <c r="D267" s="53" t="s">
        <v>367</v>
      </c>
      <c r="E267" s="53" t="s">
        <v>368</v>
      </c>
      <c r="F267" s="53"/>
      <c r="G267" s="54">
        <v>46071</v>
      </c>
      <c r="H267" s="53" t="s">
        <v>369</v>
      </c>
      <c r="I267" s="59">
        <v>709.09</v>
      </c>
      <c r="J267" s="5" t="s">
        <v>417</v>
      </c>
      <c r="K267" s="59"/>
      <c r="L267" s="59">
        <f t="shared" ref="L267:L330" si="4">L266+I267-K267</f>
        <v>271323.34000000014</v>
      </c>
    </row>
    <row r="268" spans="1:12" x14ac:dyDescent="0.3">
      <c r="A268" s="52"/>
      <c r="B268" s="53" t="s">
        <v>26</v>
      </c>
      <c r="C268" s="54">
        <v>46073</v>
      </c>
      <c r="D268" s="53" t="s">
        <v>2093</v>
      </c>
      <c r="E268" s="53"/>
      <c r="F268" s="53"/>
      <c r="G268" s="54"/>
      <c r="H268" s="53"/>
      <c r="I268" s="59">
        <v>21.8</v>
      </c>
      <c r="J268" s="59"/>
      <c r="K268" s="59"/>
      <c r="L268" s="59">
        <f t="shared" si="4"/>
        <v>271345.14000000013</v>
      </c>
    </row>
    <row r="269" spans="1:12" x14ac:dyDescent="0.3">
      <c r="A269" s="52"/>
      <c r="B269" s="53" t="s">
        <v>26</v>
      </c>
      <c r="C269" s="54">
        <v>46073</v>
      </c>
      <c r="D269" s="53" t="s">
        <v>620</v>
      </c>
      <c r="E269" s="53"/>
      <c r="F269" s="53"/>
      <c r="G269" s="54"/>
      <c r="H269" s="53"/>
      <c r="I269" s="59">
        <v>4</v>
      </c>
      <c r="J269" s="59"/>
      <c r="K269" s="59"/>
      <c r="L269" s="59">
        <f t="shared" si="4"/>
        <v>271349.14000000013</v>
      </c>
    </row>
    <row r="270" spans="1:12" x14ac:dyDescent="0.3">
      <c r="A270" s="52"/>
      <c r="B270" s="53" t="s">
        <v>26</v>
      </c>
      <c r="C270" s="54">
        <v>46073</v>
      </c>
      <c r="D270" s="53" t="s">
        <v>621</v>
      </c>
      <c r="E270" s="53"/>
      <c r="F270" s="53"/>
      <c r="G270" s="54"/>
      <c r="H270" s="53"/>
      <c r="I270" s="59">
        <v>8.5</v>
      </c>
      <c r="J270" s="59"/>
      <c r="K270" s="59"/>
      <c r="L270" s="59">
        <f t="shared" si="4"/>
        <v>271357.64000000013</v>
      </c>
    </row>
    <row r="271" spans="1:12" x14ac:dyDescent="0.3">
      <c r="A271" s="52"/>
      <c r="B271" s="53" t="s">
        <v>26</v>
      </c>
      <c r="C271" s="54">
        <v>46073</v>
      </c>
      <c r="D271" s="53" t="s">
        <v>622</v>
      </c>
      <c r="E271" s="53"/>
      <c r="F271" s="53"/>
      <c r="G271" s="54"/>
      <c r="H271" s="53"/>
      <c r="I271" s="59">
        <v>14.4</v>
      </c>
      <c r="J271" s="59"/>
      <c r="K271" s="59"/>
      <c r="L271" s="59">
        <f t="shared" si="4"/>
        <v>271372.04000000015</v>
      </c>
    </row>
    <row r="272" spans="1:12" x14ac:dyDescent="0.3">
      <c r="A272" s="52"/>
      <c r="B272" s="53" t="s">
        <v>26</v>
      </c>
      <c r="C272" s="54">
        <v>46073</v>
      </c>
      <c r="D272" s="53" t="s">
        <v>623</v>
      </c>
      <c r="E272" s="53"/>
      <c r="F272" s="53"/>
      <c r="G272" s="54"/>
      <c r="H272" s="53"/>
      <c r="I272" s="59">
        <v>22.02</v>
      </c>
      <c r="J272" s="59"/>
      <c r="K272" s="59"/>
      <c r="L272" s="59">
        <f t="shared" si="4"/>
        <v>271394.06000000017</v>
      </c>
    </row>
    <row r="273" spans="1:12" x14ac:dyDescent="0.3">
      <c r="A273" s="52"/>
      <c r="B273" s="53" t="s">
        <v>26</v>
      </c>
      <c r="C273" s="54">
        <v>46073</v>
      </c>
      <c r="D273" s="53" t="s">
        <v>619</v>
      </c>
      <c r="E273" s="53"/>
      <c r="F273" s="53"/>
      <c r="G273" s="54"/>
      <c r="H273" s="53"/>
      <c r="I273" s="59">
        <v>5.3</v>
      </c>
      <c r="J273" s="59"/>
      <c r="K273" s="59"/>
      <c r="L273" s="59">
        <f t="shared" si="4"/>
        <v>271399.36000000016</v>
      </c>
    </row>
    <row r="274" spans="1:12" x14ac:dyDescent="0.3">
      <c r="A274" s="52"/>
      <c r="B274" s="53" t="s">
        <v>26</v>
      </c>
      <c r="C274" s="54">
        <v>46074</v>
      </c>
      <c r="D274" s="53" t="s">
        <v>2094</v>
      </c>
      <c r="E274" s="53"/>
      <c r="F274" s="53"/>
      <c r="G274" s="54"/>
      <c r="H274" s="53"/>
      <c r="I274" s="59">
        <v>14</v>
      </c>
      <c r="J274" s="59"/>
      <c r="K274" s="59"/>
      <c r="L274" s="59">
        <f t="shared" si="4"/>
        <v>271413.36000000016</v>
      </c>
    </row>
    <row r="275" spans="1:12" x14ac:dyDescent="0.3">
      <c r="A275" s="52"/>
      <c r="B275" s="53" t="s">
        <v>28</v>
      </c>
      <c r="C275" s="54">
        <v>46075</v>
      </c>
      <c r="D275" s="53" t="s">
        <v>370</v>
      </c>
      <c r="E275" s="53" t="s">
        <v>371</v>
      </c>
      <c r="F275" s="53"/>
      <c r="G275" s="54">
        <v>46074</v>
      </c>
      <c r="H275" s="53" t="s">
        <v>372</v>
      </c>
      <c r="I275" s="59">
        <v>66.64</v>
      </c>
      <c r="J275" s="59"/>
      <c r="K275" s="59"/>
      <c r="L275" s="59">
        <f t="shared" si="4"/>
        <v>271480.00000000017</v>
      </c>
    </row>
    <row r="276" spans="1:12" x14ac:dyDescent="0.3">
      <c r="A276" s="52"/>
      <c r="B276" s="53" t="s">
        <v>28</v>
      </c>
      <c r="C276" s="54">
        <v>46076</v>
      </c>
      <c r="D276" s="53" t="s">
        <v>373</v>
      </c>
      <c r="E276" s="53" t="s">
        <v>374</v>
      </c>
      <c r="F276" s="53" t="s">
        <v>237</v>
      </c>
      <c r="G276" s="54">
        <v>46076</v>
      </c>
      <c r="H276" s="53" t="s">
        <v>375</v>
      </c>
      <c r="I276" s="59">
        <v>22.82</v>
      </c>
      <c r="J276" s="59"/>
      <c r="K276" s="59"/>
      <c r="L276" s="59">
        <f t="shared" si="4"/>
        <v>271502.82000000018</v>
      </c>
    </row>
    <row r="277" spans="1:12" x14ac:dyDescent="0.3">
      <c r="A277" s="52"/>
      <c r="B277" s="53" t="s">
        <v>26</v>
      </c>
      <c r="C277" s="54">
        <v>46076</v>
      </c>
      <c r="D277" s="53" t="s">
        <v>624</v>
      </c>
      <c r="E277" s="53"/>
      <c r="F277" s="53"/>
      <c r="G277" s="54"/>
      <c r="H277" s="53"/>
      <c r="I277" s="59">
        <v>5.9</v>
      </c>
      <c r="J277" s="59"/>
      <c r="K277" s="59"/>
      <c r="L277" s="59">
        <f t="shared" si="4"/>
        <v>271508.7200000002</v>
      </c>
    </row>
    <row r="278" spans="1:12" x14ac:dyDescent="0.3">
      <c r="A278" s="52"/>
      <c r="B278" s="53" t="s">
        <v>28</v>
      </c>
      <c r="C278" s="54">
        <v>46076</v>
      </c>
      <c r="D278" s="53" t="s">
        <v>386</v>
      </c>
      <c r="E278" s="53" t="s">
        <v>387</v>
      </c>
      <c r="F278" s="53" t="s">
        <v>237</v>
      </c>
      <c r="G278" s="54">
        <v>46076</v>
      </c>
      <c r="H278" s="53" t="s">
        <v>388</v>
      </c>
      <c r="I278" s="59">
        <v>80.19</v>
      </c>
      <c r="J278" s="59"/>
      <c r="K278" s="59"/>
      <c r="L278" s="59">
        <f t="shared" si="4"/>
        <v>271588.91000000021</v>
      </c>
    </row>
    <row r="279" spans="1:12" x14ac:dyDescent="0.3">
      <c r="A279" s="52"/>
      <c r="B279" s="53" t="s">
        <v>26</v>
      </c>
      <c r="C279" s="54">
        <v>46076</v>
      </c>
      <c r="D279" s="53" t="s">
        <v>378</v>
      </c>
      <c r="E279" s="53"/>
      <c r="F279" s="53"/>
      <c r="G279" s="54"/>
      <c r="H279" s="53"/>
      <c r="I279" s="59">
        <v>39.5</v>
      </c>
      <c r="J279" s="59"/>
      <c r="K279" s="59"/>
      <c r="L279" s="59">
        <f t="shared" si="4"/>
        <v>271628.41000000021</v>
      </c>
    </row>
    <row r="280" spans="1:12" x14ac:dyDescent="0.3">
      <c r="A280" s="52"/>
      <c r="B280" s="53" t="s">
        <v>28</v>
      </c>
      <c r="C280" s="54">
        <v>46076</v>
      </c>
      <c r="D280" s="53" t="s">
        <v>379</v>
      </c>
      <c r="E280" s="53" t="s">
        <v>186</v>
      </c>
      <c r="F280" s="53"/>
      <c r="G280" s="54">
        <v>46073</v>
      </c>
      <c r="H280" s="53" t="s">
        <v>380</v>
      </c>
      <c r="I280" s="59">
        <v>330</v>
      </c>
      <c r="J280" s="59"/>
      <c r="K280" s="59"/>
      <c r="L280" s="59">
        <f t="shared" si="4"/>
        <v>271958.41000000021</v>
      </c>
    </row>
    <row r="281" spans="1:12" x14ac:dyDescent="0.3">
      <c r="A281" s="52"/>
      <c r="B281" s="53" t="s">
        <v>26</v>
      </c>
      <c r="C281" s="54">
        <v>46076</v>
      </c>
      <c r="D281" s="53" t="s">
        <v>625</v>
      </c>
      <c r="E281" s="53"/>
      <c r="F281" s="53"/>
      <c r="G281" s="54"/>
      <c r="H281" s="53"/>
      <c r="I281" s="59">
        <v>116.1</v>
      </c>
      <c r="J281" s="59"/>
      <c r="K281" s="59"/>
      <c r="L281" s="59">
        <f t="shared" si="4"/>
        <v>272074.51000000018</v>
      </c>
    </row>
    <row r="282" spans="1:12" x14ac:dyDescent="0.3">
      <c r="A282" s="52"/>
      <c r="B282" s="53" t="s">
        <v>75</v>
      </c>
      <c r="C282" s="54">
        <v>46076</v>
      </c>
      <c r="D282" s="53" t="s">
        <v>381</v>
      </c>
      <c r="E282" s="53" t="s">
        <v>186</v>
      </c>
      <c r="F282" s="53"/>
      <c r="G282" s="54">
        <v>46076</v>
      </c>
      <c r="H282" s="53" t="s">
        <v>382</v>
      </c>
      <c r="I282" s="59"/>
      <c r="J282" s="59"/>
      <c r="K282" s="59">
        <v>59</v>
      </c>
      <c r="L282" s="59">
        <f t="shared" si="4"/>
        <v>272015.51000000018</v>
      </c>
    </row>
    <row r="283" spans="1:12" x14ac:dyDescent="0.3">
      <c r="A283" s="52"/>
      <c r="B283" s="53" t="s">
        <v>28</v>
      </c>
      <c r="C283" s="54">
        <v>46076</v>
      </c>
      <c r="D283" s="53" t="s">
        <v>389</v>
      </c>
      <c r="E283" s="53" t="s">
        <v>255</v>
      </c>
      <c r="F283" s="53" t="s">
        <v>237</v>
      </c>
      <c r="G283" s="54">
        <v>46076</v>
      </c>
      <c r="H283" s="53" t="s">
        <v>390</v>
      </c>
      <c r="I283" s="59">
        <v>280.68</v>
      </c>
      <c r="J283" s="59"/>
      <c r="K283" s="59"/>
      <c r="L283" s="59">
        <f t="shared" si="4"/>
        <v>272296.19000000018</v>
      </c>
    </row>
    <row r="284" spans="1:12" x14ac:dyDescent="0.3">
      <c r="A284" s="52"/>
      <c r="B284" s="53" t="s">
        <v>26</v>
      </c>
      <c r="C284" s="54">
        <v>46076</v>
      </c>
      <c r="D284" s="53" t="s">
        <v>626</v>
      </c>
      <c r="E284" s="53"/>
      <c r="F284" s="53"/>
      <c r="G284" s="54"/>
      <c r="H284" s="53"/>
      <c r="I284" s="59">
        <v>8.3000000000000007</v>
      </c>
      <c r="J284" s="59"/>
      <c r="K284" s="59"/>
      <c r="L284" s="59">
        <f t="shared" si="4"/>
        <v>272304.49000000017</v>
      </c>
    </row>
    <row r="285" spans="1:12" x14ac:dyDescent="0.3">
      <c r="A285" s="52"/>
      <c r="B285" s="53" t="s">
        <v>28</v>
      </c>
      <c r="C285" s="54">
        <v>46076</v>
      </c>
      <c r="D285" s="53" t="s">
        <v>376</v>
      </c>
      <c r="E285" s="53" t="s">
        <v>186</v>
      </c>
      <c r="F285" s="53"/>
      <c r="G285" s="54">
        <v>46076</v>
      </c>
      <c r="H285" s="53" t="s">
        <v>377</v>
      </c>
      <c r="I285" s="59">
        <v>59</v>
      </c>
      <c r="J285" s="59"/>
      <c r="K285" s="59"/>
      <c r="L285" s="59">
        <f t="shared" si="4"/>
        <v>272363.49000000017</v>
      </c>
    </row>
    <row r="286" spans="1:12" x14ac:dyDescent="0.3">
      <c r="A286" s="52"/>
      <c r="B286" s="53" t="s">
        <v>28</v>
      </c>
      <c r="C286" s="54">
        <v>46076</v>
      </c>
      <c r="D286" s="53" t="s">
        <v>383</v>
      </c>
      <c r="E286" s="53" t="s">
        <v>384</v>
      </c>
      <c r="F286" s="53" t="s">
        <v>237</v>
      </c>
      <c r="G286" s="54">
        <v>46076</v>
      </c>
      <c r="H286" s="53" t="s">
        <v>385</v>
      </c>
      <c r="I286" s="59">
        <v>13.11</v>
      </c>
      <c r="J286" s="59"/>
      <c r="K286" s="59"/>
      <c r="L286" s="59">
        <f t="shared" si="4"/>
        <v>272376.60000000015</v>
      </c>
    </row>
    <row r="287" spans="1:12" x14ac:dyDescent="0.3">
      <c r="A287" s="52"/>
      <c r="B287" s="53" t="s">
        <v>26</v>
      </c>
      <c r="C287" s="54">
        <v>46077</v>
      </c>
      <c r="D287" s="53" t="s">
        <v>391</v>
      </c>
      <c r="E287" s="53"/>
      <c r="F287" s="53"/>
      <c r="G287" s="54"/>
      <c r="H287" s="53"/>
      <c r="I287" s="59">
        <v>5.8</v>
      </c>
      <c r="J287" s="59"/>
      <c r="K287" s="59"/>
      <c r="L287" s="59">
        <f t="shared" si="4"/>
        <v>272382.40000000014</v>
      </c>
    </row>
    <row r="288" spans="1:12" x14ac:dyDescent="0.3">
      <c r="A288" s="52"/>
      <c r="B288" s="53" t="s">
        <v>26</v>
      </c>
      <c r="C288" s="54">
        <v>46077</v>
      </c>
      <c r="D288" s="53" t="s">
        <v>627</v>
      </c>
      <c r="E288" s="53"/>
      <c r="F288" s="53"/>
      <c r="G288" s="54"/>
      <c r="H288" s="53"/>
      <c r="I288" s="59">
        <v>10</v>
      </c>
      <c r="J288" s="59"/>
      <c r="K288" s="59"/>
      <c r="L288" s="59">
        <f t="shared" si="4"/>
        <v>272392.40000000014</v>
      </c>
    </row>
    <row r="289" spans="1:12" x14ac:dyDescent="0.3">
      <c r="A289" s="52"/>
      <c r="B289" s="53" t="s">
        <v>26</v>
      </c>
      <c r="C289" s="54">
        <v>46077</v>
      </c>
      <c r="D289" s="53" t="s">
        <v>628</v>
      </c>
      <c r="E289" s="53"/>
      <c r="F289" s="53"/>
      <c r="G289" s="54"/>
      <c r="H289" s="53"/>
      <c r="I289" s="59">
        <v>12.7</v>
      </c>
      <c r="J289" s="59"/>
      <c r="K289" s="59"/>
      <c r="L289" s="59">
        <f t="shared" si="4"/>
        <v>272405.10000000015</v>
      </c>
    </row>
    <row r="290" spans="1:12" x14ac:dyDescent="0.3">
      <c r="A290" s="52"/>
      <c r="B290" s="53" t="s">
        <v>26</v>
      </c>
      <c r="C290" s="54">
        <v>46077</v>
      </c>
      <c r="D290" s="53" t="s">
        <v>629</v>
      </c>
      <c r="E290" s="53"/>
      <c r="F290" s="53"/>
      <c r="G290" s="54"/>
      <c r="H290" s="53"/>
      <c r="I290" s="59">
        <v>12.3</v>
      </c>
      <c r="J290" s="59"/>
      <c r="K290" s="59"/>
      <c r="L290" s="59">
        <f t="shared" si="4"/>
        <v>272417.40000000014</v>
      </c>
    </row>
    <row r="291" spans="1:12" x14ac:dyDescent="0.3">
      <c r="A291" s="52"/>
      <c r="B291" s="53" t="s">
        <v>75</v>
      </c>
      <c r="C291" s="54">
        <v>46078</v>
      </c>
      <c r="D291" s="53" t="s">
        <v>392</v>
      </c>
      <c r="E291" s="53" t="s">
        <v>186</v>
      </c>
      <c r="F291" s="53"/>
      <c r="G291" s="54">
        <v>46078</v>
      </c>
      <c r="H291" s="53" t="s">
        <v>393</v>
      </c>
      <c r="I291" s="59"/>
      <c r="J291" s="59"/>
      <c r="K291" s="59">
        <v>181</v>
      </c>
      <c r="L291" s="59">
        <f t="shared" si="4"/>
        <v>272236.40000000014</v>
      </c>
    </row>
    <row r="292" spans="1:12" x14ac:dyDescent="0.3">
      <c r="A292" s="52"/>
      <c r="B292" s="53" t="s">
        <v>28</v>
      </c>
      <c r="C292" s="54">
        <v>46078</v>
      </c>
      <c r="D292" s="53" t="s">
        <v>394</v>
      </c>
      <c r="E292" s="53" t="s">
        <v>186</v>
      </c>
      <c r="F292" s="53"/>
      <c r="G292" s="54">
        <v>46078</v>
      </c>
      <c r="H292" s="53" t="s">
        <v>395</v>
      </c>
      <c r="I292" s="59">
        <v>152</v>
      </c>
      <c r="J292" s="59"/>
      <c r="K292" s="59"/>
      <c r="L292" s="59">
        <f t="shared" si="4"/>
        <v>272388.40000000014</v>
      </c>
    </row>
    <row r="293" spans="1:12" x14ac:dyDescent="0.3">
      <c r="A293" s="52"/>
      <c r="B293" s="53" t="s">
        <v>26</v>
      </c>
      <c r="C293" s="54">
        <v>46078</v>
      </c>
      <c r="D293" s="53" t="s">
        <v>630</v>
      </c>
      <c r="E293" s="53"/>
      <c r="F293" s="53"/>
      <c r="G293" s="54"/>
      <c r="H293" s="53"/>
      <c r="I293" s="59">
        <v>11.7</v>
      </c>
      <c r="J293" s="59"/>
      <c r="K293" s="59"/>
      <c r="L293" s="59">
        <f t="shared" si="4"/>
        <v>272400.10000000015</v>
      </c>
    </row>
    <row r="294" spans="1:12" x14ac:dyDescent="0.3">
      <c r="A294" s="52"/>
      <c r="B294" s="53" t="s">
        <v>26</v>
      </c>
      <c r="C294" s="54">
        <v>46078</v>
      </c>
      <c r="D294" s="53" t="s">
        <v>631</v>
      </c>
      <c r="E294" s="53"/>
      <c r="F294" s="53"/>
      <c r="G294" s="54"/>
      <c r="H294" s="53"/>
      <c r="I294" s="59">
        <v>5.5</v>
      </c>
      <c r="J294" s="59"/>
      <c r="K294" s="59"/>
      <c r="L294" s="59">
        <f t="shared" si="4"/>
        <v>272405.60000000015</v>
      </c>
    </row>
    <row r="295" spans="1:12" x14ac:dyDescent="0.3">
      <c r="A295" s="52"/>
      <c r="B295" s="53" t="s">
        <v>26</v>
      </c>
      <c r="C295" s="54">
        <v>46078</v>
      </c>
      <c r="D295" s="53" t="s">
        <v>632</v>
      </c>
      <c r="E295" s="53"/>
      <c r="F295" s="53"/>
      <c r="G295" s="54"/>
      <c r="H295" s="53"/>
      <c r="I295" s="59">
        <v>13.6</v>
      </c>
      <c r="J295" s="59"/>
      <c r="K295" s="59"/>
      <c r="L295" s="59">
        <f t="shared" si="4"/>
        <v>272419.20000000013</v>
      </c>
    </row>
    <row r="296" spans="1:12" x14ac:dyDescent="0.3">
      <c r="A296" s="52"/>
      <c r="B296" s="53" t="s">
        <v>26</v>
      </c>
      <c r="C296" s="54">
        <v>46078</v>
      </c>
      <c r="D296" s="53" t="s">
        <v>633</v>
      </c>
      <c r="E296" s="53"/>
      <c r="F296" s="53"/>
      <c r="G296" s="54"/>
      <c r="H296" s="53"/>
      <c r="I296" s="59">
        <v>16</v>
      </c>
      <c r="J296" s="59"/>
      <c r="K296" s="59"/>
      <c r="L296" s="59">
        <f t="shared" si="4"/>
        <v>272435.20000000013</v>
      </c>
    </row>
    <row r="297" spans="1:12" x14ac:dyDescent="0.3">
      <c r="A297" s="52"/>
      <c r="B297" s="53" t="s">
        <v>26</v>
      </c>
      <c r="C297" s="54">
        <v>46078</v>
      </c>
      <c r="D297" s="53" t="s">
        <v>634</v>
      </c>
      <c r="E297" s="53"/>
      <c r="F297" s="53"/>
      <c r="G297" s="54"/>
      <c r="H297" s="53"/>
      <c r="I297" s="59"/>
      <c r="J297" s="59"/>
      <c r="K297" s="59">
        <v>23.2</v>
      </c>
      <c r="L297" s="59">
        <f t="shared" si="4"/>
        <v>272412.00000000012</v>
      </c>
    </row>
    <row r="298" spans="1:12" x14ac:dyDescent="0.3">
      <c r="A298" s="52"/>
      <c r="B298" s="53" t="s">
        <v>26</v>
      </c>
      <c r="C298" s="54">
        <v>46078</v>
      </c>
      <c r="D298" s="53" t="s">
        <v>635</v>
      </c>
      <c r="E298" s="53"/>
      <c r="F298" s="53"/>
      <c r="G298" s="54"/>
      <c r="H298" s="53"/>
      <c r="I298" s="59">
        <v>20.100000000000001</v>
      </c>
      <c r="J298" s="59"/>
      <c r="K298" s="59"/>
      <c r="L298" s="59">
        <f t="shared" si="4"/>
        <v>272432.10000000009</v>
      </c>
    </row>
    <row r="299" spans="1:12" x14ac:dyDescent="0.3">
      <c r="A299" s="52"/>
      <c r="B299" s="53" t="s">
        <v>26</v>
      </c>
      <c r="C299" s="54">
        <v>46078</v>
      </c>
      <c r="D299" s="53" t="s">
        <v>636</v>
      </c>
      <c r="E299" s="53"/>
      <c r="F299" s="53"/>
      <c r="G299" s="54"/>
      <c r="H299" s="53"/>
      <c r="I299" s="59">
        <v>10.6</v>
      </c>
      <c r="J299" s="59"/>
      <c r="K299" s="59"/>
      <c r="L299" s="59">
        <f t="shared" si="4"/>
        <v>272442.70000000007</v>
      </c>
    </row>
    <row r="300" spans="1:12" x14ac:dyDescent="0.3">
      <c r="A300" s="52"/>
      <c r="B300" s="53" t="s">
        <v>26</v>
      </c>
      <c r="C300" s="54">
        <v>46079</v>
      </c>
      <c r="D300" s="53" t="s">
        <v>637</v>
      </c>
      <c r="E300" s="53"/>
      <c r="F300" s="53"/>
      <c r="G300" s="54"/>
      <c r="H300" s="53"/>
      <c r="I300" s="59">
        <v>30</v>
      </c>
      <c r="J300" s="59"/>
      <c r="K300" s="59"/>
      <c r="L300" s="59">
        <f t="shared" si="4"/>
        <v>272472.70000000007</v>
      </c>
    </row>
    <row r="301" spans="1:12" x14ac:dyDescent="0.3">
      <c r="A301" s="52"/>
      <c r="B301" s="53" t="s">
        <v>26</v>
      </c>
      <c r="C301" s="54">
        <v>46079</v>
      </c>
      <c r="D301" s="53" t="s">
        <v>638</v>
      </c>
      <c r="E301" s="53"/>
      <c r="F301" s="53"/>
      <c r="G301" s="54"/>
      <c r="H301" s="53"/>
      <c r="I301" s="59">
        <v>20</v>
      </c>
      <c r="J301" s="59"/>
      <c r="K301" s="59"/>
      <c r="L301" s="59">
        <f t="shared" si="4"/>
        <v>272492.70000000007</v>
      </c>
    </row>
    <row r="302" spans="1:12" x14ac:dyDescent="0.3">
      <c r="A302" s="52"/>
      <c r="B302" s="53" t="s">
        <v>26</v>
      </c>
      <c r="C302" s="54">
        <v>46079</v>
      </c>
      <c r="D302" s="53" t="s">
        <v>639</v>
      </c>
      <c r="E302" s="53"/>
      <c r="F302" s="53"/>
      <c r="G302" s="54"/>
      <c r="H302" s="53"/>
      <c r="I302" s="59">
        <v>45</v>
      </c>
      <c r="J302" s="59"/>
      <c r="K302" s="59"/>
      <c r="L302" s="59">
        <f t="shared" si="4"/>
        <v>272537.70000000007</v>
      </c>
    </row>
    <row r="303" spans="1:12" x14ac:dyDescent="0.3">
      <c r="A303" s="52"/>
      <c r="B303" s="53" t="s">
        <v>75</v>
      </c>
      <c r="C303" s="54">
        <v>46079</v>
      </c>
      <c r="D303" s="53" t="s">
        <v>400</v>
      </c>
      <c r="E303" s="53" t="s">
        <v>186</v>
      </c>
      <c r="F303" s="53"/>
      <c r="G303" s="54">
        <v>46078</v>
      </c>
      <c r="H303" s="53" t="s">
        <v>401</v>
      </c>
      <c r="I303" s="59"/>
      <c r="J303" s="59"/>
      <c r="K303" s="59">
        <v>59</v>
      </c>
      <c r="L303" s="59">
        <f t="shared" si="4"/>
        <v>272478.70000000007</v>
      </c>
    </row>
    <row r="304" spans="1:12" x14ac:dyDescent="0.3">
      <c r="A304" s="52"/>
      <c r="B304" s="53" t="s">
        <v>26</v>
      </c>
      <c r="C304" s="54">
        <v>46079</v>
      </c>
      <c r="D304" s="53" t="s">
        <v>640</v>
      </c>
      <c r="E304" s="53"/>
      <c r="F304" s="53"/>
      <c r="G304" s="54"/>
      <c r="H304" s="53"/>
      <c r="I304" s="59">
        <v>21</v>
      </c>
      <c r="J304" s="59"/>
      <c r="K304" s="59"/>
      <c r="L304" s="59">
        <f t="shared" si="4"/>
        <v>272499.70000000007</v>
      </c>
    </row>
    <row r="305" spans="1:12" x14ac:dyDescent="0.3">
      <c r="A305" s="52"/>
      <c r="B305" s="53" t="s">
        <v>28</v>
      </c>
      <c r="C305" s="54">
        <v>46079</v>
      </c>
      <c r="D305" s="53" t="s">
        <v>396</v>
      </c>
      <c r="E305" s="53" t="s">
        <v>255</v>
      </c>
      <c r="F305" s="53" t="s">
        <v>292</v>
      </c>
      <c r="G305" s="54">
        <v>46076</v>
      </c>
      <c r="H305" s="53" t="s">
        <v>397</v>
      </c>
      <c r="I305" s="59">
        <v>72.45</v>
      </c>
      <c r="J305" s="59"/>
      <c r="K305" s="59"/>
      <c r="L305" s="59">
        <f t="shared" si="4"/>
        <v>272572.15000000008</v>
      </c>
    </row>
    <row r="306" spans="1:12" x14ac:dyDescent="0.3">
      <c r="A306" s="52"/>
      <c r="B306" s="53" t="s">
        <v>26</v>
      </c>
      <c r="C306" s="54">
        <v>46079</v>
      </c>
      <c r="D306" s="53" t="s">
        <v>641</v>
      </c>
      <c r="E306" s="53"/>
      <c r="F306" s="53"/>
      <c r="G306" s="54"/>
      <c r="H306" s="53"/>
      <c r="I306" s="59">
        <v>14.9</v>
      </c>
      <c r="J306" s="59"/>
      <c r="K306" s="59"/>
      <c r="L306" s="59">
        <f t="shared" si="4"/>
        <v>272587.0500000001</v>
      </c>
    </row>
    <row r="307" spans="1:12" x14ac:dyDescent="0.3">
      <c r="A307" s="52"/>
      <c r="B307" s="53" t="s">
        <v>26</v>
      </c>
      <c r="C307" s="54">
        <v>46079</v>
      </c>
      <c r="D307" s="53" t="s">
        <v>642</v>
      </c>
      <c r="E307" s="53"/>
      <c r="F307" s="53"/>
      <c r="G307" s="54"/>
      <c r="H307" s="53"/>
      <c r="I307" s="59">
        <v>7.6</v>
      </c>
      <c r="J307" s="59"/>
      <c r="K307" s="59"/>
      <c r="L307" s="59">
        <f t="shared" si="4"/>
        <v>272594.65000000008</v>
      </c>
    </row>
    <row r="308" spans="1:12" x14ac:dyDescent="0.3">
      <c r="A308" s="52"/>
      <c r="B308" s="53" t="s">
        <v>28</v>
      </c>
      <c r="C308" s="54">
        <v>46079</v>
      </c>
      <c r="D308" s="53" t="s">
        <v>398</v>
      </c>
      <c r="E308" s="53" t="s">
        <v>186</v>
      </c>
      <c r="F308" s="53"/>
      <c r="G308" s="54">
        <v>46078</v>
      </c>
      <c r="H308" s="53" t="s">
        <v>399</v>
      </c>
      <c r="I308" s="59">
        <v>63</v>
      </c>
      <c r="J308" s="59"/>
      <c r="K308" s="59"/>
      <c r="L308" s="59">
        <f t="shared" si="4"/>
        <v>272657.65000000008</v>
      </c>
    </row>
    <row r="309" spans="1:12" x14ac:dyDescent="0.3">
      <c r="A309" s="52"/>
      <c r="B309" s="53" t="s">
        <v>26</v>
      </c>
      <c r="C309" s="54">
        <v>46079</v>
      </c>
      <c r="D309" s="53" t="s">
        <v>643</v>
      </c>
      <c r="E309" s="53"/>
      <c r="F309" s="53"/>
      <c r="G309" s="54"/>
      <c r="H309" s="53"/>
      <c r="I309" s="59">
        <v>48.5</v>
      </c>
      <c r="J309" s="59"/>
      <c r="K309" s="59"/>
      <c r="L309" s="59">
        <f t="shared" si="4"/>
        <v>272706.15000000008</v>
      </c>
    </row>
    <row r="310" spans="1:12" x14ac:dyDescent="0.3">
      <c r="A310" s="52"/>
      <c r="B310" s="53" t="s">
        <v>26</v>
      </c>
      <c r="C310" s="54">
        <v>46080</v>
      </c>
      <c r="D310" s="53" t="s">
        <v>859</v>
      </c>
      <c r="E310" s="53"/>
      <c r="F310" s="53"/>
      <c r="G310" s="54"/>
      <c r="H310" s="53"/>
      <c r="I310" s="59">
        <v>19.940000000000001</v>
      </c>
      <c r="J310" s="59"/>
      <c r="K310" s="59"/>
      <c r="L310" s="59">
        <f t="shared" si="4"/>
        <v>272726.09000000008</v>
      </c>
    </row>
    <row r="311" spans="1:12" x14ac:dyDescent="0.3">
      <c r="A311" s="52"/>
      <c r="B311" s="53" t="s">
        <v>26</v>
      </c>
      <c r="C311" s="54">
        <v>46080</v>
      </c>
      <c r="D311" s="53" t="s">
        <v>860</v>
      </c>
      <c r="E311" s="53"/>
      <c r="F311" s="53"/>
      <c r="G311" s="54"/>
      <c r="H311" s="53"/>
      <c r="I311" s="59">
        <v>12</v>
      </c>
      <c r="J311" s="59"/>
      <c r="K311" s="59"/>
      <c r="L311" s="59">
        <f t="shared" si="4"/>
        <v>272738.09000000008</v>
      </c>
    </row>
    <row r="312" spans="1:12" x14ac:dyDescent="0.3">
      <c r="A312" s="52"/>
      <c r="B312" s="53" t="s">
        <v>26</v>
      </c>
      <c r="C312" s="54">
        <v>46080</v>
      </c>
      <c r="D312" s="53" t="s">
        <v>861</v>
      </c>
      <c r="E312" s="53"/>
      <c r="F312" s="53"/>
      <c r="G312" s="54"/>
      <c r="H312" s="53"/>
      <c r="I312" s="59">
        <v>21.21</v>
      </c>
      <c r="J312" s="59"/>
      <c r="K312" s="59"/>
      <c r="L312" s="59">
        <f t="shared" si="4"/>
        <v>272759.3000000001</v>
      </c>
    </row>
    <row r="313" spans="1:12" x14ac:dyDescent="0.3">
      <c r="A313" s="52"/>
      <c r="B313" s="53" t="s">
        <v>26</v>
      </c>
      <c r="C313" s="54">
        <v>46081</v>
      </c>
      <c r="D313" s="53" t="s">
        <v>1196</v>
      </c>
      <c r="E313" s="53"/>
      <c r="F313" s="53"/>
      <c r="G313" s="54"/>
      <c r="H313" s="53"/>
      <c r="I313" s="59">
        <v>141.49</v>
      </c>
      <c r="J313" s="59"/>
      <c r="K313" s="59"/>
      <c r="L313" s="59">
        <f t="shared" si="4"/>
        <v>272900.7900000001</v>
      </c>
    </row>
    <row r="314" spans="1:12" x14ac:dyDescent="0.3">
      <c r="A314" s="52"/>
      <c r="B314" s="53" t="s">
        <v>26</v>
      </c>
      <c r="C314" s="54">
        <v>46081</v>
      </c>
      <c r="D314" s="53" t="s">
        <v>425</v>
      </c>
      <c r="E314" s="53"/>
      <c r="F314" s="53"/>
      <c r="G314" s="54"/>
      <c r="H314" s="53"/>
      <c r="I314" s="59">
        <v>653.64</v>
      </c>
      <c r="J314" s="59"/>
      <c r="K314" s="59"/>
      <c r="L314" s="59">
        <f t="shared" si="4"/>
        <v>273554.43000000011</v>
      </c>
    </row>
    <row r="315" spans="1:12" x14ac:dyDescent="0.3">
      <c r="A315" s="52"/>
      <c r="B315" s="53" t="s">
        <v>26</v>
      </c>
      <c r="C315" s="54">
        <v>46082</v>
      </c>
      <c r="D315" s="53" t="s">
        <v>862</v>
      </c>
      <c r="E315" s="53"/>
      <c r="F315" s="53"/>
      <c r="G315" s="54"/>
      <c r="H315" s="53"/>
      <c r="I315" s="59">
        <v>10</v>
      </c>
      <c r="J315" s="59"/>
      <c r="K315" s="59"/>
      <c r="L315" s="59">
        <f t="shared" si="4"/>
        <v>273564.43000000011</v>
      </c>
    </row>
    <row r="316" spans="1:12" x14ac:dyDescent="0.3">
      <c r="A316" s="52"/>
      <c r="B316" s="53" t="s">
        <v>26</v>
      </c>
      <c r="C316" s="54">
        <v>46082</v>
      </c>
      <c r="D316" s="53" t="s">
        <v>863</v>
      </c>
      <c r="E316" s="53"/>
      <c r="F316" s="53"/>
      <c r="G316" s="54"/>
      <c r="H316" s="53"/>
      <c r="I316" s="59">
        <v>17</v>
      </c>
      <c r="J316" s="59"/>
      <c r="K316" s="59"/>
      <c r="L316" s="59">
        <f t="shared" si="4"/>
        <v>273581.43000000011</v>
      </c>
    </row>
    <row r="317" spans="1:12" x14ac:dyDescent="0.3">
      <c r="A317" s="52"/>
      <c r="B317" s="53" t="s">
        <v>26</v>
      </c>
      <c r="C317" s="54">
        <v>46083</v>
      </c>
      <c r="D317" s="53" t="s">
        <v>864</v>
      </c>
      <c r="E317" s="53"/>
      <c r="F317" s="53"/>
      <c r="G317" s="54"/>
      <c r="H317" s="53"/>
      <c r="I317" s="59">
        <v>12.4</v>
      </c>
      <c r="J317" s="59"/>
      <c r="K317" s="59"/>
      <c r="L317" s="59">
        <f t="shared" si="4"/>
        <v>273593.83000000013</v>
      </c>
    </row>
    <row r="318" spans="1:12" x14ac:dyDescent="0.3">
      <c r="A318" s="52"/>
      <c r="B318" s="53" t="s">
        <v>28</v>
      </c>
      <c r="C318" s="54">
        <v>46083</v>
      </c>
      <c r="D318" s="53" t="s">
        <v>644</v>
      </c>
      <c r="E318" s="53" t="s">
        <v>645</v>
      </c>
      <c r="F318" s="53"/>
      <c r="G318" s="54">
        <v>46079</v>
      </c>
      <c r="H318" s="53" t="s">
        <v>646</v>
      </c>
      <c r="I318" s="59">
        <v>7.18</v>
      </c>
      <c r="J318" s="59"/>
      <c r="K318" s="59"/>
      <c r="L318" s="59">
        <f t="shared" si="4"/>
        <v>273601.01000000013</v>
      </c>
    </row>
    <row r="319" spans="1:12" x14ac:dyDescent="0.3">
      <c r="A319" s="52"/>
      <c r="B319" s="53" t="s">
        <v>26</v>
      </c>
      <c r="C319" s="54">
        <v>46083</v>
      </c>
      <c r="D319" s="53" t="s">
        <v>865</v>
      </c>
      <c r="E319" s="4" t="s">
        <v>1875</v>
      </c>
      <c r="F319" s="53"/>
      <c r="G319" s="54"/>
      <c r="H319" s="53"/>
      <c r="I319" s="59">
        <v>800</v>
      </c>
      <c r="J319" s="5" t="s">
        <v>747</v>
      </c>
      <c r="K319" s="59"/>
      <c r="L319" s="59">
        <f t="shared" si="4"/>
        <v>274401.01000000013</v>
      </c>
    </row>
    <row r="320" spans="1:12" x14ac:dyDescent="0.3">
      <c r="A320" s="52"/>
      <c r="B320" s="53" t="s">
        <v>28</v>
      </c>
      <c r="C320" s="54">
        <v>46084</v>
      </c>
      <c r="D320" s="53" t="s">
        <v>647</v>
      </c>
      <c r="E320" s="53" t="s">
        <v>194</v>
      </c>
      <c r="F320" s="53"/>
      <c r="G320" s="54">
        <v>46073</v>
      </c>
      <c r="H320" s="53" t="s">
        <v>648</v>
      </c>
      <c r="I320" s="59">
        <v>840</v>
      </c>
      <c r="J320" s="59"/>
      <c r="K320" s="59"/>
      <c r="L320" s="59">
        <f t="shared" si="4"/>
        <v>275241.01000000013</v>
      </c>
    </row>
    <row r="321" spans="1:12" x14ac:dyDescent="0.3">
      <c r="A321" s="52"/>
      <c r="B321" s="53" t="s">
        <v>26</v>
      </c>
      <c r="C321" s="54">
        <v>46084</v>
      </c>
      <c r="D321" s="53" t="s">
        <v>866</v>
      </c>
      <c r="E321" s="53"/>
      <c r="F321" s="53"/>
      <c r="G321" s="54"/>
      <c r="H321" s="53"/>
      <c r="I321" s="59">
        <v>2.4</v>
      </c>
      <c r="J321" s="59"/>
      <c r="K321" s="59"/>
      <c r="L321" s="59">
        <f t="shared" si="4"/>
        <v>275243.41000000015</v>
      </c>
    </row>
    <row r="322" spans="1:12" x14ac:dyDescent="0.3">
      <c r="A322" s="52"/>
      <c r="B322" s="53" t="s">
        <v>28</v>
      </c>
      <c r="C322" s="54">
        <v>46084</v>
      </c>
      <c r="D322" s="53" t="s">
        <v>649</v>
      </c>
      <c r="E322" s="53" t="s">
        <v>194</v>
      </c>
      <c r="F322" s="53"/>
      <c r="G322" s="54">
        <v>46077</v>
      </c>
      <c r="H322" s="53" t="s">
        <v>650</v>
      </c>
      <c r="I322" s="59">
        <v>210</v>
      </c>
      <c r="J322" s="59"/>
      <c r="K322" s="59"/>
      <c r="L322" s="59">
        <f t="shared" si="4"/>
        <v>275453.41000000015</v>
      </c>
    </row>
    <row r="323" spans="1:12" x14ac:dyDescent="0.3">
      <c r="A323" s="52"/>
      <c r="B323" s="53" t="s">
        <v>26</v>
      </c>
      <c r="C323" s="54">
        <v>46084</v>
      </c>
      <c r="D323" s="53" t="s">
        <v>867</v>
      </c>
      <c r="E323" s="53"/>
      <c r="F323" s="53"/>
      <c r="G323" s="54"/>
      <c r="H323" s="53"/>
      <c r="I323" s="59">
        <v>30.6</v>
      </c>
      <c r="J323" s="59"/>
      <c r="K323" s="59"/>
      <c r="L323" s="59">
        <f t="shared" si="4"/>
        <v>275484.01000000013</v>
      </c>
    </row>
    <row r="324" spans="1:12" x14ac:dyDescent="0.3">
      <c r="A324" s="52"/>
      <c r="B324" s="53" t="s">
        <v>26</v>
      </c>
      <c r="C324" s="54">
        <v>46084</v>
      </c>
      <c r="D324" s="53" t="s">
        <v>868</v>
      </c>
      <c r="E324" s="53"/>
      <c r="F324" s="53"/>
      <c r="G324" s="54"/>
      <c r="H324" s="53"/>
      <c r="I324" s="59">
        <v>2.6</v>
      </c>
      <c r="J324" s="59"/>
      <c r="K324" s="59"/>
      <c r="L324" s="59">
        <f t="shared" si="4"/>
        <v>275486.6100000001</v>
      </c>
    </row>
    <row r="325" spans="1:12" x14ac:dyDescent="0.3">
      <c r="A325" s="52"/>
      <c r="B325" s="53" t="s">
        <v>26</v>
      </c>
      <c r="C325" s="54">
        <v>46085</v>
      </c>
      <c r="D325" s="53" t="s">
        <v>869</v>
      </c>
      <c r="E325" s="53"/>
      <c r="F325" s="53"/>
      <c r="G325" s="54"/>
      <c r="H325" s="53"/>
      <c r="I325" s="59">
        <v>22.82</v>
      </c>
      <c r="J325" s="59"/>
      <c r="K325" s="59"/>
      <c r="L325" s="59">
        <f t="shared" si="4"/>
        <v>275509.43000000011</v>
      </c>
    </row>
    <row r="326" spans="1:12" x14ac:dyDescent="0.3">
      <c r="A326" s="52"/>
      <c r="B326" s="53" t="s">
        <v>26</v>
      </c>
      <c r="C326" s="54">
        <v>46085</v>
      </c>
      <c r="D326" s="53" t="s">
        <v>870</v>
      </c>
      <c r="E326" s="53"/>
      <c r="F326" s="53"/>
      <c r="G326" s="54"/>
      <c r="H326" s="53"/>
      <c r="I326" s="59">
        <v>50.5</v>
      </c>
      <c r="J326" s="59"/>
      <c r="K326" s="59"/>
      <c r="L326" s="59">
        <f t="shared" si="4"/>
        <v>275559.93000000011</v>
      </c>
    </row>
    <row r="327" spans="1:12" x14ac:dyDescent="0.3">
      <c r="A327" s="52"/>
      <c r="B327" s="53" t="s">
        <v>26</v>
      </c>
      <c r="C327" s="54">
        <v>46085</v>
      </c>
      <c r="D327" s="53" t="s">
        <v>871</v>
      </c>
      <c r="E327" s="53"/>
      <c r="F327" s="53"/>
      <c r="G327" s="54"/>
      <c r="H327" s="53"/>
      <c r="I327" s="59">
        <v>57.04</v>
      </c>
      <c r="J327" s="59"/>
      <c r="K327" s="59"/>
      <c r="L327" s="59">
        <f t="shared" si="4"/>
        <v>275616.97000000009</v>
      </c>
    </row>
    <row r="328" spans="1:12" x14ac:dyDescent="0.3">
      <c r="A328" s="52"/>
      <c r="B328" s="53" t="s">
        <v>26</v>
      </c>
      <c r="C328" s="54">
        <v>46085</v>
      </c>
      <c r="D328" s="53" t="s">
        <v>872</v>
      </c>
      <c r="E328" s="53"/>
      <c r="F328" s="53"/>
      <c r="G328" s="54"/>
      <c r="H328" s="53"/>
      <c r="I328" s="59">
        <v>5.7</v>
      </c>
      <c r="J328" s="59"/>
      <c r="K328" s="59"/>
      <c r="L328" s="59">
        <f t="shared" si="4"/>
        <v>275622.6700000001</v>
      </c>
    </row>
    <row r="329" spans="1:12" x14ac:dyDescent="0.3">
      <c r="A329" s="52"/>
      <c r="B329" s="53" t="s">
        <v>26</v>
      </c>
      <c r="C329" s="54">
        <v>46085</v>
      </c>
      <c r="D329" s="53" t="s">
        <v>873</v>
      </c>
      <c r="E329" s="53"/>
      <c r="F329" s="53"/>
      <c r="G329" s="54"/>
      <c r="H329" s="53"/>
      <c r="I329" s="59">
        <v>25</v>
      </c>
      <c r="J329" s="59"/>
      <c r="K329" s="59"/>
      <c r="L329" s="59">
        <f t="shared" si="4"/>
        <v>275647.6700000001</v>
      </c>
    </row>
    <row r="330" spans="1:12" x14ac:dyDescent="0.3">
      <c r="A330" s="52"/>
      <c r="B330" s="53" t="s">
        <v>26</v>
      </c>
      <c r="C330" s="54">
        <v>46085</v>
      </c>
      <c r="D330" s="53" t="s">
        <v>874</v>
      </c>
      <c r="E330" s="53"/>
      <c r="F330" s="53"/>
      <c r="G330" s="54"/>
      <c r="H330" s="53"/>
      <c r="I330" s="59">
        <v>4.5999999999999996</v>
      </c>
      <c r="J330" s="59"/>
      <c r="K330" s="59"/>
      <c r="L330" s="59">
        <f t="shared" si="4"/>
        <v>275652.27000000008</v>
      </c>
    </row>
    <row r="331" spans="1:12" x14ac:dyDescent="0.3">
      <c r="A331" s="52"/>
      <c r="B331" s="53" t="s">
        <v>26</v>
      </c>
      <c r="C331" s="54">
        <v>46085</v>
      </c>
      <c r="D331" s="53" t="s">
        <v>875</v>
      </c>
      <c r="E331" s="53"/>
      <c r="F331" s="53"/>
      <c r="G331" s="54"/>
      <c r="H331" s="53"/>
      <c r="I331" s="59">
        <v>3</v>
      </c>
      <c r="J331" s="59"/>
      <c r="K331" s="59"/>
      <c r="L331" s="59">
        <f t="shared" ref="L331:L394" si="5">L330+I331-K331</f>
        <v>275655.27000000008</v>
      </c>
    </row>
    <row r="332" spans="1:12" x14ac:dyDescent="0.3">
      <c r="A332" s="52"/>
      <c r="B332" s="53" t="s">
        <v>26</v>
      </c>
      <c r="C332" s="54">
        <v>46085</v>
      </c>
      <c r="D332" s="53" t="s">
        <v>876</v>
      </c>
      <c r="E332" s="53"/>
      <c r="F332" s="53"/>
      <c r="G332" s="54"/>
      <c r="H332" s="53"/>
      <c r="I332" s="59">
        <v>12.1</v>
      </c>
      <c r="J332" s="59"/>
      <c r="K332" s="59"/>
      <c r="L332" s="59">
        <f t="shared" si="5"/>
        <v>275667.37000000005</v>
      </c>
    </row>
    <row r="333" spans="1:12" x14ac:dyDescent="0.3">
      <c r="A333" s="52"/>
      <c r="B333" s="53" t="s">
        <v>26</v>
      </c>
      <c r="C333" s="54">
        <v>46085</v>
      </c>
      <c r="D333" s="53" t="s">
        <v>877</v>
      </c>
      <c r="E333" s="53"/>
      <c r="F333" s="53"/>
      <c r="G333" s="54"/>
      <c r="H333" s="53"/>
      <c r="I333" s="59">
        <v>15</v>
      </c>
      <c r="J333" s="59"/>
      <c r="K333" s="59"/>
      <c r="L333" s="59">
        <f t="shared" si="5"/>
        <v>275682.37000000005</v>
      </c>
    </row>
    <row r="334" spans="1:12" x14ac:dyDescent="0.3">
      <c r="A334" s="52"/>
      <c r="B334" s="53" t="s">
        <v>26</v>
      </c>
      <c r="C334" s="54">
        <v>46086</v>
      </c>
      <c r="D334" s="53" t="s">
        <v>651</v>
      </c>
      <c r="E334" s="53"/>
      <c r="F334" s="53"/>
      <c r="G334" s="54"/>
      <c r="H334" s="53"/>
      <c r="I334" s="59">
        <v>9</v>
      </c>
      <c r="J334" s="59"/>
      <c r="K334" s="59"/>
      <c r="L334" s="59">
        <f t="shared" si="5"/>
        <v>275691.37000000005</v>
      </c>
    </row>
    <row r="335" spans="1:12" x14ac:dyDescent="0.3">
      <c r="A335" s="52"/>
      <c r="B335" s="53" t="s">
        <v>26</v>
      </c>
      <c r="C335" s="54">
        <v>46086</v>
      </c>
      <c r="D335" s="53" t="s">
        <v>652</v>
      </c>
      <c r="E335" s="53"/>
      <c r="F335" s="53"/>
      <c r="G335" s="54"/>
      <c r="H335" s="53"/>
      <c r="I335" s="59">
        <v>1.5</v>
      </c>
      <c r="J335" s="59"/>
      <c r="K335" s="59"/>
      <c r="L335" s="59">
        <f t="shared" si="5"/>
        <v>275692.87000000005</v>
      </c>
    </row>
    <row r="336" spans="1:12" x14ac:dyDescent="0.3">
      <c r="A336" s="52"/>
      <c r="B336" s="53" t="s">
        <v>26</v>
      </c>
      <c r="C336" s="54">
        <v>46086</v>
      </c>
      <c r="D336" s="53" t="s">
        <v>878</v>
      </c>
      <c r="E336" s="53"/>
      <c r="F336" s="53"/>
      <c r="G336" s="54"/>
      <c r="H336" s="53"/>
      <c r="I336" s="59">
        <v>1.8</v>
      </c>
      <c r="J336" s="59"/>
      <c r="K336" s="59"/>
      <c r="L336" s="59">
        <f t="shared" si="5"/>
        <v>275694.67000000004</v>
      </c>
    </row>
    <row r="337" spans="1:12" x14ac:dyDescent="0.3">
      <c r="A337" s="52"/>
      <c r="B337" s="53" t="s">
        <v>26</v>
      </c>
      <c r="C337" s="54">
        <v>46086</v>
      </c>
      <c r="D337" s="53" t="s">
        <v>879</v>
      </c>
      <c r="E337" s="53"/>
      <c r="F337" s="53"/>
      <c r="G337" s="54"/>
      <c r="H337" s="53"/>
      <c r="I337" s="59">
        <v>3</v>
      </c>
      <c r="J337" s="59"/>
      <c r="K337" s="59"/>
      <c r="L337" s="59">
        <f t="shared" si="5"/>
        <v>275697.67000000004</v>
      </c>
    </row>
    <row r="338" spans="1:12" x14ac:dyDescent="0.3">
      <c r="A338" s="52"/>
      <c r="B338" s="53" t="s">
        <v>26</v>
      </c>
      <c r="C338" s="54">
        <v>46086</v>
      </c>
      <c r="D338" s="53" t="s">
        <v>880</v>
      </c>
      <c r="E338" s="53"/>
      <c r="F338" s="53"/>
      <c r="G338" s="54"/>
      <c r="H338" s="53"/>
      <c r="I338" s="59">
        <v>6.8</v>
      </c>
      <c r="J338" s="59"/>
      <c r="K338" s="59"/>
      <c r="L338" s="59">
        <f t="shared" si="5"/>
        <v>275704.47000000003</v>
      </c>
    </row>
    <row r="339" spans="1:12" x14ac:dyDescent="0.3">
      <c r="A339" s="52"/>
      <c r="B339" s="53" t="s">
        <v>26</v>
      </c>
      <c r="C339" s="54">
        <v>46086</v>
      </c>
      <c r="D339" s="53" t="s">
        <v>881</v>
      </c>
      <c r="E339" s="53"/>
      <c r="F339" s="53"/>
      <c r="G339" s="54"/>
      <c r="H339" s="53"/>
      <c r="I339" s="59">
        <v>9.9</v>
      </c>
      <c r="J339" s="59"/>
      <c r="K339" s="59"/>
      <c r="L339" s="59">
        <f t="shared" si="5"/>
        <v>275714.37000000005</v>
      </c>
    </row>
    <row r="340" spans="1:12" x14ac:dyDescent="0.3">
      <c r="A340" s="52"/>
      <c r="B340" s="53" t="s">
        <v>26</v>
      </c>
      <c r="C340" s="54">
        <v>46086</v>
      </c>
      <c r="D340" s="53" t="s">
        <v>882</v>
      </c>
      <c r="E340" s="53"/>
      <c r="F340" s="53"/>
      <c r="G340" s="54"/>
      <c r="H340" s="53"/>
      <c r="I340" s="59">
        <v>2.99</v>
      </c>
      <c r="J340" s="59"/>
      <c r="K340" s="59"/>
      <c r="L340" s="59">
        <f t="shared" si="5"/>
        <v>275717.36000000004</v>
      </c>
    </row>
    <row r="341" spans="1:12" x14ac:dyDescent="0.3">
      <c r="A341" s="52"/>
      <c r="B341" s="53" t="s">
        <v>26</v>
      </c>
      <c r="C341" s="54">
        <v>46086</v>
      </c>
      <c r="D341" s="53" t="s">
        <v>883</v>
      </c>
      <c r="E341" s="53"/>
      <c r="F341" s="53"/>
      <c r="G341" s="54"/>
      <c r="H341" s="53"/>
      <c r="I341" s="59">
        <v>129</v>
      </c>
      <c r="J341" s="59"/>
      <c r="K341" s="59"/>
      <c r="L341" s="59">
        <f t="shared" si="5"/>
        <v>275846.36000000004</v>
      </c>
    </row>
    <row r="342" spans="1:12" x14ac:dyDescent="0.3">
      <c r="A342" s="52"/>
      <c r="B342" s="53" t="s">
        <v>26</v>
      </c>
      <c r="C342" s="54">
        <v>46086</v>
      </c>
      <c r="D342" s="53" t="s">
        <v>884</v>
      </c>
      <c r="E342" s="53"/>
      <c r="F342" s="53"/>
      <c r="G342" s="54"/>
      <c r="H342" s="53"/>
      <c r="I342" s="59">
        <v>1.2</v>
      </c>
      <c r="J342" s="59"/>
      <c r="K342" s="59"/>
      <c r="L342" s="59">
        <f t="shared" si="5"/>
        <v>275847.56000000006</v>
      </c>
    </row>
    <row r="343" spans="1:12" x14ac:dyDescent="0.3">
      <c r="A343" s="52"/>
      <c r="B343" s="53" t="s">
        <v>28</v>
      </c>
      <c r="C343" s="54">
        <v>46086</v>
      </c>
      <c r="D343" s="53" t="s">
        <v>653</v>
      </c>
      <c r="E343" s="53" t="s">
        <v>654</v>
      </c>
      <c r="F343" s="53"/>
      <c r="G343" s="54">
        <v>46080</v>
      </c>
      <c r="H343" s="53" t="s">
        <v>655</v>
      </c>
      <c r="I343" s="59">
        <v>1481.82</v>
      </c>
      <c r="J343" s="59"/>
      <c r="K343" s="59"/>
      <c r="L343" s="59">
        <f t="shared" si="5"/>
        <v>277329.38000000006</v>
      </c>
    </row>
    <row r="344" spans="1:12" x14ac:dyDescent="0.3">
      <c r="A344" s="52"/>
      <c r="B344" s="53" t="s">
        <v>26</v>
      </c>
      <c r="C344" s="54">
        <v>46086</v>
      </c>
      <c r="D344" s="53" t="s">
        <v>885</v>
      </c>
      <c r="E344" s="53"/>
      <c r="F344" s="53"/>
      <c r="G344" s="54"/>
      <c r="H344" s="53"/>
      <c r="I344" s="59">
        <v>4.0999999999999996</v>
      </c>
      <c r="J344" s="59"/>
      <c r="K344" s="59"/>
      <c r="L344" s="59">
        <f t="shared" si="5"/>
        <v>277333.48000000004</v>
      </c>
    </row>
    <row r="345" spans="1:12" x14ac:dyDescent="0.3">
      <c r="A345" s="52"/>
      <c r="B345" s="53" t="s">
        <v>26</v>
      </c>
      <c r="C345" s="54">
        <v>46086</v>
      </c>
      <c r="D345" s="53" t="s">
        <v>886</v>
      </c>
      <c r="E345" s="53"/>
      <c r="F345" s="53"/>
      <c r="G345" s="54"/>
      <c r="H345" s="53"/>
      <c r="I345" s="59">
        <v>3</v>
      </c>
      <c r="J345" s="59"/>
      <c r="K345" s="59"/>
      <c r="L345" s="59">
        <f t="shared" si="5"/>
        <v>277336.48000000004</v>
      </c>
    </row>
    <row r="346" spans="1:12" x14ac:dyDescent="0.3">
      <c r="A346" s="52"/>
      <c r="B346" s="53" t="s">
        <v>26</v>
      </c>
      <c r="C346" s="54">
        <v>46087</v>
      </c>
      <c r="D346" s="53" t="s">
        <v>887</v>
      </c>
      <c r="E346" s="53"/>
      <c r="F346" s="53"/>
      <c r="G346" s="54"/>
      <c r="H346" s="53"/>
      <c r="I346" s="59">
        <v>30</v>
      </c>
      <c r="J346" s="59"/>
      <c r="K346" s="59"/>
      <c r="L346" s="59">
        <f t="shared" si="5"/>
        <v>277366.48000000004</v>
      </c>
    </row>
    <row r="347" spans="1:12" x14ac:dyDescent="0.3">
      <c r="A347" s="52"/>
      <c r="B347" s="53" t="s">
        <v>26</v>
      </c>
      <c r="C347" s="54">
        <v>46087</v>
      </c>
      <c r="D347" s="53" t="s">
        <v>888</v>
      </c>
      <c r="E347" s="53"/>
      <c r="F347" s="53"/>
      <c r="G347" s="54"/>
      <c r="H347" s="53"/>
      <c r="I347" s="59">
        <v>10.96</v>
      </c>
      <c r="J347" s="59"/>
      <c r="K347" s="59"/>
      <c r="L347" s="59">
        <f t="shared" si="5"/>
        <v>277377.44000000006</v>
      </c>
    </row>
    <row r="348" spans="1:12" x14ac:dyDescent="0.3">
      <c r="A348" s="52"/>
      <c r="B348" s="53" t="s">
        <v>26</v>
      </c>
      <c r="C348" s="54">
        <v>46087</v>
      </c>
      <c r="D348" s="53" t="s">
        <v>889</v>
      </c>
      <c r="E348" s="53"/>
      <c r="F348" s="53"/>
      <c r="G348" s="54"/>
      <c r="H348" s="53"/>
      <c r="I348" s="59">
        <v>2.2999999999999998</v>
      </c>
      <c r="J348" s="59"/>
      <c r="K348" s="59"/>
      <c r="L348" s="59">
        <f t="shared" si="5"/>
        <v>277379.74000000005</v>
      </c>
    </row>
    <row r="349" spans="1:12" x14ac:dyDescent="0.3">
      <c r="A349" s="52"/>
      <c r="B349" s="53" t="s">
        <v>26</v>
      </c>
      <c r="C349" s="54">
        <v>46088</v>
      </c>
      <c r="D349" s="53" t="s">
        <v>890</v>
      </c>
      <c r="E349" s="53"/>
      <c r="F349" s="53"/>
      <c r="G349" s="54"/>
      <c r="H349" s="53"/>
      <c r="I349" s="59">
        <v>10</v>
      </c>
      <c r="J349" s="59"/>
      <c r="K349" s="59"/>
      <c r="L349" s="59">
        <f t="shared" si="5"/>
        <v>277389.74000000005</v>
      </c>
    </row>
    <row r="350" spans="1:12" x14ac:dyDescent="0.3">
      <c r="A350" s="52"/>
      <c r="B350" s="53" t="s">
        <v>26</v>
      </c>
      <c r="C350" s="54">
        <v>46089</v>
      </c>
      <c r="D350" s="53" t="s">
        <v>891</v>
      </c>
      <c r="E350" s="53"/>
      <c r="F350" s="53"/>
      <c r="G350" s="54"/>
      <c r="H350" s="53"/>
      <c r="I350" s="59">
        <v>709.8</v>
      </c>
      <c r="J350" s="59"/>
      <c r="K350" s="59"/>
      <c r="L350" s="59">
        <f t="shared" si="5"/>
        <v>278099.54000000004</v>
      </c>
    </row>
    <row r="351" spans="1:12" x14ac:dyDescent="0.3">
      <c r="A351" s="52"/>
      <c r="B351" s="53" t="s">
        <v>26</v>
      </c>
      <c r="C351" s="54">
        <v>46089</v>
      </c>
      <c r="D351" s="53" t="s">
        <v>892</v>
      </c>
      <c r="E351" s="53"/>
      <c r="F351" s="53"/>
      <c r="G351" s="54"/>
      <c r="H351" s="53"/>
      <c r="I351" s="59">
        <v>26.14</v>
      </c>
      <c r="J351" s="59"/>
      <c r="K351" s="59"/>
      <c r="L351" s="59">
        <f t="shared" si="5"/>
        <v>278125.68000000005</v>
      </c>
    </row>
    <row r="352" spans="1:12" x14ac:dyDescent="0.3">
      <c r="A352" s="52"/>
      <c r="B352" s="53" t="s">
        <v>26</v>
      </c>
      <c r="C352" s="54">
        <v>46090</v>
      </c>
      <c r="D352" s="53" t="s">
        <v>893</v>
      </c>
      <c r="E352" s="53"/>
      <c r="F352" s="53"/>
      <c r="G352" s="54"/>
      <c r="H352" s="53"/>
      <c r="I352" s="59">
        <v>8.1999999999999993</v>
      </c>
      <c r="J352" s="59"/>
      <c r="K352" s="59"/>
      <c r="L352" s="59">
        <f t="shared" si="5"/>
        <v>278133.88000000006</v>
      </c>
    </row>
    <row r="353" spans="1:12" x14ac:dyDescent="0.3">
      <c r="A353" s="52"/>
      <c r="B353" s="53" t="s">
        <v>26</v>
      </c>
      <c r="C353" s="54">
        <v>46090</v>
      </c>
      <c r="D353" s="53" t="s">
        <v>894</v>
      </c>
      <c r="E353" s="53"/>
      <c r="F353" s="53"/>
      <c r="G353" s="54"/>
      <c r="H353" s="53"/>
      <c r="I353" s="59">
        <v>2.6</v>
      </c>
      <c r="J353" s="59"/>
      <c r="K353" s="59"/>
      <c r="L353" s="59">
        <f t="shared" si="5"/>
        <v>278136.48000000004</v>
      </c>
    </row>
    <row r="354" spans="1:12" x14ac:dyDescent="0.3">
      <c r="A354" s="52"/>
      <c r="B354" s="53" t="s">
        <v>26</v>
      </c>
      <c r="C354" s="54">
        <v>46090</v>
      </c>
      <c r="D354" s="53" t="s">
        <v>895</v>
      </c>
      <c r="E354" s="53"/>
      <c r="F354" s="53"/>
      <c r="G354" s="54"/>
      <c r="H354" s="53"/>
      <c r="I354" s="59">
        <v>580.1</v>
      </c>
      <c r="J354" s="59"/>
      <c r="K354" s="59"/>
      <c r="L354" s="59">
        <f t="shared" si="5"/>
        <v>278716.58</v>
      </c>
    </row>
    <row r="355" spans="1:12" x14ac:dyDescent="0.3">
      <c r="A355" s="52"/>
      <c r="B355" s="53" t="s">
        <v>26</v>
      </c>
      <c r="C355" s="54">
        <v>46090</v>
      </c>
      <c r="D355" s="53" t="s">
        <v>896</v>
      </c>
      <c r="E355" s="53"/>
      <c r="F355" s="53"/>
      <c r="G355" s="54"/>
      <c r="H355" s="53"/>
      <c r="I355" s="59">
        <v>7.5</v>
      </c>
      <c r="J355" s="59"/>
      <c r="K355" s="59"/>
      <c r="L355" s="59">
        <f t="shared" si="5"/>
        <v>278724.08</v>
      </c>
    </row>
    <row r="356" spans="1:12" x14ac:dyDescent="0.3">
      <c r="A356" s="52"/>
      <c r="B356" s="53" t="s">
        <v>26</v>
      </c>
      <c r="C356" s="54">
        <v>46090</v>
      </c>
      <c r="D356" s="53" t="s">
        <v>897</v>
      </c>
      <c r="E356" s="53"/>
      <c r="F356" s="53"/>
      <c r="G356" s="54"/>
      <c r="H356" s="53"/>
      <c r="I356" s="59">
        <v>110</v>
      </c>
      <c r="J356" s="59"/>
      <c r="K356" s="59"/>
      <c r="L356" s="59">
        <f t="shared" si="5"/>
        <v>278834.08</v>
      </c>
    </row>
    <row r="357" spans="1:12" x14ac:dyDescent="0.3">
      <c r="A357" s="52"/>
      <c r="B357" s="53" t="s">
        <v>26</v>
      </c>
      <c r="C357" s="54">
        <v>46090</v>
      </c>
      <c r="D357" s="53" t="s">
        <v>898</v>
      </c>
      <c r="E357" s="53"/>
      <c r="F357" s="53"/>
      <c r="G357" s="54"/>
      <c r="H357" s="53"/>
      <c r="I357" s="59">
        <v>6.8</v>
      </c>
      <c r="J357" s="59"/>
      <c r="K357" s="59"/>
      <c r="L357" s="59">
        <f t="shared" si="5"/>
        <v>278840.88</v>
      </c>
    </row>
    <row r="358" spans="1:12" x14ac:dyDescent="0.3">
      <c r="A358" s="52"/>
      <c r="B358" s="53" t="s">
        <v>26</v>
      </c>
      <c r="C358" s="54">
        <v>46090</v>
      </c>
      <c r="D358" s="53" t="s">
        <v>899</v>
      </c>
      <c r="E358" s="53"/>
      <c r="F358" s="53"/>
      <c r="G358" s="54"/>
      <c r="H358" s="53"/>
      <c r="I358" s="59">
        <v>9.6</v>
      </c>
      <c r="J358" s="59"/>
      <c r="K358" s="59"/>
      <c r="L358" s="59">
        <f t="shared" si="5"/>
        <v>278850.48</v>
      </c>
    </row>
    <row r="359" spans="1:12" x14ac:dyDescent="0.3">
      <c r="A359" s="52"/>
      <c r="B359" s="53" t="s">
        <v>26</v>
      </c>
      <c r="C359" s="54">
        <v>46091</v>
      </c>
      <c r="D359" s="53" t="s">
        <v>656</v>
      </c>
      <c r="E359" s="53"/>
      <c r="F359" s="53"/>
      <c r="G359" s="54"/>
      <c r="H359" s="53"/>
      <c r="I359" s="59">
        <v>83.86</v>
      </c>
      <c r="J359" s="59"/>
      <c r="K359" s="59"/>
      <c r="L359" s="59">
        <f t="shared" si="5"/>
        <v>278934.33999999997</v>
      </c>
    </row>
    <row r="360" spans="1:12" x14ac:dyDescent="0.3">
      <c r="A360" s="52"/>
      <c r="B360" s="53" t="s">
        <v>26</v>
      </c>
      <c r="C360" s="54">
        <v>46091</v>
      </c>
      <c r="D360" s="53" t="s">
        <v>900</v>
      </c>
      <c r="E360" s="53"/>
      <c r="F360" s="53"/>
      <c r="G360" s="54"/>
      <c r="H360" s="53"/>
      <c r="I360" s="59">
        <v>3.9</v>
      </c>
      <c r="J360" s="59"/>
      <c r="K360" s="59"/>
      <c r="L360" s="59">
        <f t="shared" si="5"/>
        <v>278938.23999999999</v>
      </c>
    </row>
    <row r="361" spans="1:12" x14ac:dyDescent="0.3">
      <c r="A361" s="52"/>
      <c r="B361" s="53" t="s">
        <v>26</v>
      </c>
      <c r="C361" s="54">
        <v>46091</v>
      </c>
      <c r="D361" s="53" t="s">
        <v>901</v>
      </c>
      <c r="E361" s="53"/>
      <c r="F361" s="53"/>
      <c r="G361" s="54"/>
      <c r="H361" s="53"/>
      <c r="I361" s="59">
        <v>38.85</v>
      </c>
      <c r="J361" s="59"/>
      <c r="K361" s="59"/>
      <c r="L361" s="59">
        <f t="shared" si="5"/>
        <v>278977.08999999997</v>
      </c>
    </row>
    <row r="362" spans="1:12" x14ac:dyDescent="0.3">
      <c r="A362" s="52"/>
      <c r="B362" s="53" t="s">
        <v>26</v>
      </c>
      <c r="C362" s="54">
        <v>46091</v>
      </c>
      <c r="D362" s="53" t="s">
        <v>657</v>
      </c>
      <c r="E362" s="53"/>
      <c r="F362" s="53"/>
      <c r="G362" s="54"/>
      <c r="H362" s="53"/>
      <c r="I362" s="59">
        <v>111.98</v>
      </c>
      <c r="J362" s="59"/>
      <c r="K362" s="59"/>
      <c r="L362" s="59">
        <f t="shared" si="5"/>
        <v>279089.06999999995</v>
      </c>
    </row>
    <row r="363" spans="1:12" x14ac:dyDescent="0.3">
      <c r="A363" s="52"/>
      <c r="B363" s="53" t="s">
        <v>26</v>
      </c>
      <c r="C363" s="54">
        <v>46091</v>
      </c>
      <c r="D363" s="53" t="s">
        <v>903</v>
      </c>
      <c r="E363" s="53"/>
      <c r="F363" s="53"/>
      <c r="G363" s="54"/>
      <c r="H363" s="53"/>
      <c r="I363" s="59">
        <v>0.7</v>
      </c>
      <c r="J363" s="59"/>
      <c r="K363" s="59"/>
      <c r="L363" s="59">
        <f t="shared" si="5"/>
        <v>279089.76999999996</v>
      </c>
    </row>
    <row r="364" spans="1:12" x14ac:dyDescent="0.3">
      <c r="A364" s="52"/>
      <c r="B364" s="53" t="s">
        <v>26</v>
      </c>
      <c r="C364" s="54">
        <v>46091</v>
      </c>
      <c r="D364" s="53" t="s">
        <v>902</v>
      </c>
      <c r="E364" s="53"/>
      <c r="F364" s="53"/>
      <c r="G364" s="54"/>
      <c r="H364" s="53"/>
      <c r="I364" s="59">
        <v>27.5</v>
      </c>
      <c r="J364" s="59"/>
      <c r="K364" s="59"/>
      <c r="L364" s="59">
        <f t="shared" si="5"/>
        <v>279117.26999999996</v>
      </c>
    </row>
    <row r="365" spans="1:12" x14ac:dyDescent="0.3">
      <c r="A365" s="52"/>
      <c r="B365" s="53" t="s">
        <v>26</v>
      </c>
      <c r="C365" s="54">
        <v>46091</v>
      </c>
      <c r="D365" s="53" t="s">
        <v>904</v>
      </c>
      <c r="E365" s="53"/>
      <c r="F365" s="53"/>
      <c r="G365" s="54"/>
      <c r="H365" s="53"/>
      <c r="I365" s="59">
        <v>107.42</v>
      </c>
      <c r="J365" s="59"/>
      <c r="K365" s="59"/>
      <c r="L365" s="59">
        <f t="shared" si="5"/>
        <v>279224.68999999994</v>
      </c>
    </row>
    <row r="366" spans="1:12" x14ac:dyDescent="0.3">
      <c r="A366" s="52"/>
      <c r="B366" s="53" t="s">
        <v>26</v>
      </c>
      <c r="C366" s="54">
        <v>46091</v>
      </c>
      <c r="D366" s="53" t="s">
        <v>905</v>
      </c>
      <c r="E366" s="53"/>
      <c r="F366" s="53"/>
      <c r="G366" s="54"/>
      <c r="H366" s="53"/>
      <c r="I366" s="59">
        <v>27.5</v>
      </c>
      <c r="J366" s="59"/>
      <c r="K366" s="59"/>
      <c r="L366" s="59">
        <f t="shared" si="5"/>
        <v>279252.18999999994</v>
      </c>
    </row>
    <row r="367" spans="1:12" x14ac:dyDescent="0.3">
      <c r="A367" s="52"/>
      <c r="B367" s="53" t="s">
        <v>26</v>
      </c>
      <c r="C367" s="54">
        <v>46091</v>
      </c>
      <c r="D367" s="53" t="s">
        <v>906</v>
      </c>
      <c r="E367" s="53"/>
      <c r="F367" s="53"/>
      <c r="G367" s="54"/>
      <c r="H367" s="53"/>
      <c r="I367" s="59">
        <v>1.3</v>
      </c>
      <c r="J367" s="59"/>
      <c r="K367" s="59"/>
      <c r="L367" s="59">
        <f t="shared" si="5"/>
        <v>279253.48999999993</v>
      </c>
    </row>
    <row r="368" spans="1:12" x14ac:dyDescent="0.3">
      <c r="A368" s="52"/>
      <c r="B368" s="53" t="s">
        <v>26</v>
      </c>
      <c r="C368" s="54">
        <v>46091</v>
      </c>
      <c r="D368" s="53" t="s">
        <v>907</v>
      </c>
      <c r="E368" s="53"/>
      <c r="F368" s="53"/>
      <c r="G368" s="54"/>
      <c r="H368" s="53"/>
      <c r="I368" s="59">
        <v>140</v>
      </c>
      <c r="J368" s="59"/>
      <c r="K368" s="59"/>
      <c r="L368" s="59">
        <f t="shared" si="5"/>
        <v>279393.48999999993</v>
      </c>
    </row>
    <row r="369" spans="1:12" x14ac:dyDescent="0.3">
      <c r="A369" s="52"/>
      <c r="B369" s="53" t="s">
        <v>26</v>
      </c>
      <c r="C369" s="54">
        <v>46091</v>
      </c>
      <c r="D369" s="53" t="s">
        <v>908</v>
      </c>
      <c r="E369" s="53"/>
      <c r="F369" s="53"/>
      <c r="G369" s="54"/>
      <c r="H369" s="53"/>
      <c r="I369" s="59">
        <v>46</v>
      </c>
      <c r="J369" s="59"/>
      <c r="K369" s="59"/>
      <c r="L369" s="59">
        <f t="shared" si="5"/>
        <v>279439.48999999993</v>
      </c>
    </row>
    <row r="370" spans="1:12" x14ac:dyDescent="0.3">
      <c r="A370" s="52"/>
      <c r="B370" s="53" t="s">
        <v>26</v>
      </c>
      <c r="C370" s="54">
        <v>46091</v>
      </c>
      <c r="D370" s="53" t="s">
        <v>909</v>
      </c>
      <c r="E370" s="53"/>
      <c r="F370" s="53"/>
      <c r="G370" s="54"/>
      <c r="H370" s="53"/>
      <c r="I370" s="59">
        <v>412</v>
      </c>
      <c r="J370" s="59"/>
      <c r="K370" s="59"/>
      <c r="L370" s="59">
        <f t="shared" si="5"/>
        <v>279851.48999999993</v>
      </c>
    </row>
    <row r="371" spans="1:12" x14ac:dyDescent="0.3">
      <c r="A371" s="52"/>
      <c r="B371" s="53" t="s">
        <v>26</v>
      </c>
      <c r="C371" s="54">
        <v>46092</v>
      </c>
      <c r="D371" s="53" t="s">
        <v>658</v>
      </c>
      <c r="E371" s="53"/>
      <c r="F371" s="53"/>
      <c r="G371" s="54"/>
      <c r="H371" s="53"/>
      <c r="I371" s="59">
        <v>2.6</v>
      </c>
      <c r="J371" s="59"/>
      <c r="K371" s="59"/>
      <c r="L371" s="59">
        <f t="shared" si="5"/>
        <v>279854.08999999991</v>
      </c>
    </row>
    <row r="372" spans="1:12" x14ac:dyDescent="0.3">
      <c r="A372" s="52"/>
      <c r="B372" s="53" t="s">
        <v>26</v>
      </c>
      <c r="C372" s="54">
        <v>46092</v>
      </c>
      <c r="D372" s="53" t="s">
        <v>910</v>
      </c>
      <c r="E372" s="53"/>
      <c r="F372" s="53"/>
      <c r="G372" s="54"/>
      <c r="H372" s="53"/>
      <c r="I372" s="59">
        <v>8.65</v>
      </c>
      <c r="J372" s="59"/>
      <c r="K372" s="59"/>
      <c r="L372" s="59">
        <f t="shared" si="5"/>
        <v>279862.73999999993</v>
      </c>
    </row>
    <row r="373" spans="1:12" x14ac:dyDescent="0.3">
      <c r="A373" s="52"/>
      <c r="B373" s="53" t="s">
        <v>26</v>
      </c>
      <c r="C373" s="54">
        <v>46092</v>
      </c>
      <c r="D373" s="53" t="s">
        <v>911</v>
      </c>
      <c r="E373" s="53"/>
      <c r="F373" s="53"/>
      <c r="G373" s="54"/>
      <c r="H373" s="53"/>
      <c r="I373" s="59">
        <v>109.88</v>
      </c>
      <c r="J373" s="59"/>
      <c r="K373" s="59"/>
      <c r="L373" s="59">
        <f t="shared" si="5"/>
        <v>279972.61999999994</v>
      </c>
    </row>
    <row r="374" spans="1:12" x14ac:dyDescent="0.3">
      <c r="A374" s="52"/>
      <c r="B374" s="53" t="s">
        <v>26</v>
      </c>
      <c r="C374" s="54">
        <v>46092</v>
      </c>
      <c r="D374" s="53" t="s">
        <v>912</v>
      </c>
      <c r="E374" s="53"/>
      <c r="F374" s="53"/>
      <c r="G374" s="54"/>
      <c r="H374" s="53"/>
      <c r="I374" s="59">
        <v>14.4</v>
      </c>
      <c r="J374" s="59"/>
      <c r="K374" s="59"/>
      <c r="L374" s="59">
        <f t="shared" si="5"/>
        <v>279987.01999999996</v>
      </c>
    </row>
    <row r="375" spans="1:12" x14ac:dyDescent="0.3">
      <c r="A375" s="52"/>
      <c r="B375" s="53" t="s">
        <v>26</v>
      </c>
      <c r="C375" s="54">
        <v>46092</v>
      </c>
      <c r="D375" s="53" t="s">
        <v>659</v>
      </c>
      <c r="E375" s="53"/>
      <c r="F375" s="53"/>
      <c r="G375" s="54"/>
      <c r="H375" s="53"/>
      <c r="I375" s="59">
        <v>4.0999999999999996</v>
      </c>
      <c r="J375" s="59"/>
      <c r="K375" s="59"/>
      <c r="L375" s="59">
        <f t="shared" si="5"/>
        <v>279991.11999999994</v>
      </c>
    </row>
    <row r="376" spans="1:12" x14ac:dyDescent="0.3">
      <c r="A376" s="52"/>
      <c r="B376" s="53" t="s">
        <v>26</v>
      </c>
      <c r="C376" s="54">
        <v>46092</v>
      </c>
      <c r="D376" s="53" t="s">
        <v>913</v>
      </c>
      <c r="E376" s="53"/>
      <c r="F376" s="53"/>
      <c r="G376" s="54"/>
      <c r="H376" s="53"/>
      <c r="I376" s="59">
        <v>6.5</v>
      </c>
      <c r="J376" s="59"/>
      <c r="K376" s="59"/>
      <c r="L376" s="59">
        <f t="shared" si="5"/>
        <v>279997.61999999994</v>
      </c>
    </row>
    <row r="377" spans="1:12" x14ac:dyDescent="0.3">
      <c r="A377" s="52"/>
      <c r="B377" s="53" t="s">
        <v>26</v>
      </c>
      <c r="C377" s="54">
        <v>46092</v>
      </c>
      <c r="D377" s="53" t="s">
        <v>914</v>
      </c>
      <c r="E377" s="53"/>
      <c r="F377" s="53"/>
      <c r="G377" s="54"/>
      <c r="H377" s="53"/>
      <c r="I377" s="59">
        <v>45.2</v>
      </c>
      <c r="J377" s="59"/>
      <c r="K377" s="59"/>
      <c r="L377" s="59">
        <f t="shared" si="5"/>
        <v>280042.81999999995</v>
      </c>
    </row>
    <row r="378" spans="1:12" x14ac:dyDescent="0.3">
      <c r="A378" s="52"/>
      <c r="B378" s="53" t="s">
        <v>26</v>
      </c>
      <c r="C378" s="54">
        <v>46092</v>
      </c>
      <c r="D378" s="53" t="s">
        <v>660</v>
      </c>
      <c r="E378" s="53"/>
      <c r="F378" s="53"/>
      <c r="G378" s="54"/>
      <c r="H378" s="53"/>
      <c r="I378" s="59">
        <v>10</v>
      </c>
      <c r="J378" s="59"/>
      <c r="K378" s="59"/>
      <c r="L378" s="59">
        <f t="shared" si="5"/>
        <v>280052.81999999995</v>
      </c>
    </row>
    <row r="379" spans="1:12" x14ac:dyDescent="0.3">
      <c r="A379" s="52"/>
      <c r="B379" s="53" t="s">
        <v>26</v>
      </c>
      <c r="C379" s="54">
        <v>46093</v>
      </c>
      <c r="D379" s="53" t="s">
        <v>915</v>
      </c>
      <c r="E379" s="53"/>
      <c r="F379" s="53"/>
      <c r="G379" s="54"/>
      <c r="H379" s="53"/>
      <c r="I379" s="59">
        <v>2.7</v>
      </c>
      <c r="J379" s="59"/>
      <c r="K379" s="59"/>
      <c r="L379" s="59">
        <f t="shared" si="5"/>
        <v>280055.51999999996</v>
      </c>
    </row>
    <row r="380" spans="1:12" x14ac:dyDescent="0.3">
      <c r="A380" s="52"/>
      <c r="B380" s="53" t="s">
        <v>26</v>
      </c>
      <c r="C380" s="54">
        <v>46093</v>
      </c>
      <c r="D380" s="53" t="s">
        <v>916</v>
      </c>
      <c r="E380" s="53"/>
      <c r="F380" s="53"/>
      <c r="G380" s="54"/>
      <c r="H380" s="53"/>
      <c r="I380" s="59">
        <v>10.47</v>
      </c>
      <c r="J380" s="59"/>
      <c r="K380" s="59"/>
      <c r="L380" s="59">
        <f t="shared" si="5"/>
        <v>280065.98999999993</v>
      </c>
    </row>
    <row r="381" spans="1:12" x14ac:dyDescent="0.3">
      <c r="A381" s="52"/>
      <c r="B381" s="53" t="s">
        <v>28</v>
      </c>
      <c r="C381" s="54">
        <v>46093</v>
      </c>
      <c r="D381" s="53" t="s">
        <v>662</v>
      </c>
      <c r="E381" s="53" t="s">
        <v>250</v>
      </c>
      <c r="F381" s="53"/>
      <c r="G381" s="54">
        <v>46092</v>
      </c>
      <c r="H381" s="53" t="s">
        <v>663</v>
      </c>
      <c r="I381" s="59">
        <v>138.36000000000001</v>
      </c>
      <c r="J381" t="s">
        <v>757</v>
      </c>
      <c r="K381" s="59"/>
      <c r="L381" s="59">
        <f t="shared" si="5"/>
        <v>280204.34999999992</v>
      </c>
    </row>
    <row r="382" spans="1:12" x14ac:dyDescent="0.3">
      <c r="A382" s="52"/>
      <c r="B382" s="53" t="s">
        <v>26</v>
      </c>
      <c r="C382" s="54">
        <v>46093</v>
      </c>
      <c r="D382" s="53" t="s">
        <v>917</v>
      </c>
      <c r="E382" s="53"/>
      <c r="F382" s="53"/>
      <c r="G382" s="54"/>
      <c r="H382" s="53"/>
      <c r="I382" s="59">
        <v>10.5</v>
      </c>
      <c r="J382" s="59"/>
      <c r="K382" s="59"/>
      <c r="L382" s="59">
        <f t="shared" si="5"/>
        <v>280214.84999999992</v>
      </c>
    </row>
    <row r="383" spans="1:12" x14ac:dyDescent="0.3">
      <c r="A383" s="52"/>
      <c r="B383" s="53" t="s">
        <v>26</v>
      </c>
      <c r="C383" s="54">
        <v>46093</v>
      </c>
      <c r="D383" s="53" t="s">
        <v>919</v>
      </c>
      <c r="E383" s="53"/>
      <c r="F383" s="53"/>
      <c r="G383" s="54"/>
      <c r="H383" s="53"/>
      <c r="I383" s="59">
        <v>8</v>
      </c>
      <c r="J383" s="59"/>
      <c r="K383" s="59"/>
      <c r="L383" s="59">
        <f t="shared" si="5"/>
        <v>280222.84999999992</v>
      </c>
    </row>
    <row r="384" spans="1:12" x14ac:dyDescent="0.3">
      <c r="A384" s="52"/>
      <c r="B384" s="53" t="s">
        <v>26</v>
      </c>
      <c r="C384" s="54">
        <v>46093</v>
      </c>
      <c r="D384" s="53" t="s">
        <v>918</v>
      </c>
      <c r="E384" s="53"/>
      <c r="F384" s="53"/>
      <c r="G384" s="54"/>
      <c r="H384" s="53"/>
      <c r="I384" s="59">
        <v>7</v>
      </c>
      <c r="J384" s="59"/>
      <c r="K384" s="59"/>
      <c r="L384" s="59">
        <f t="shared" si="5"/>
        <v>280229.84999999992</v>
      </c>
    </row>
    <row r="385" spans="1:12" x14ac:dyDescent="0.3">
      <c r="A385" s="52"/>
      <c r="B385" s="53" t="s">
        <v>26</v>
      </c>
      <c r="C385" s="54">
        <v>46093</v>
      </c>
      <c r="D385" s="53" t="s">
        <v>920</v>
      </c>
      <c r="E385" s="53"/>
      <c r="F385" s="53"/>
      <c r="G385" s="54"/>
      <c r="H385" s="53"/>
      <c r="I385" s="59">
        <v>9.8000000000000007</v>
      </c>
      <c r="J385" s="59"/>
      <c r="K385" s="59"/>
      <c r="L385" s="59">
        <f t="shared" si="5"/>
        <v>280239.64999999991</v>
      </c>
    </row>
    <row r="386" spans="1:12" x14ac:dyDescent="0.3">
      <c r="A386" s="52"/>
      <c r="B386" s="53" t="s">
        <v>26</v>
      </c>
      <c r="C386" s="54">
        <v>46093</v>
      </c>
      <c r="D386" s="53" t="s">
        <v>664</v>
      </c>
      <c r="E386" s="53"/>
      <c r="F386" s="53"/>
      <c r="G386" s="54"/>
      <c r="H386" s="53"/>
      <c r="I386" s="59">
        <v>13.3</v>
      </c>
      <c r="J386" s="59"/>
      <c r="K386" s="59"/>
      <c r="L386" s="59">
        <f t="shared" si="5"/>
        <v>280252.9499999999</v>
      </c>
    </row>
    <row r="387" spans="1:12" x14ac:dyDescent="0.3">
      <c r="A387" s="52"/>
      <c r="B387" s="53" t="s">
        <v>26</v>
      </c>
      <c r="C387" s="54">
        <v>46093</v>
      </c>
      <c r="D387" s="53" t="s">
        <v>921</v>
      </c>
      <c r="E387" s="53"/>
      <c r="F387" s="53"/>
      <c r="G387" s="54"/>
      <c r="H387" s="53"/>
      <c r="I387" s="59">
        <v>3.9</v>
      </c>
      <c r="J387" s="59"/>
      <c r="K387" s="59"/>
      <c r="L387" s="59">
        <f t="shared" si="5"/>
        <v>280256.84999999992</v>
      </c>
    </row>
    <row r="388" spans="1:12" x14ac:dyDescent="0.3">
      <c r="A388" s="52"/>
      <c r="B388" s="53" t="s">
        <v>26</v>
      </c>
      <c r="C388" s="54">
        <v>46093</v>
      </c>
      <c r="D388" s="53" t="s">
        <v>922</v>
      </c>
      <c r="E388" s="53"/>
      <c r="F388" s="53"/>
      <c r="G388" s="54"/>
      <c r="H388" s="53"/>
      <c r="I388" s="59">
        <v>6.1</v>
      </c>
      <c r="J388" s="59"/>
      <c r="K388" s="59"/>
      <c r="L388" s="59">
        <f t="shared" si="5"/>
        <v>280262.9499999999</v>
      </c>
    </row>
    <row r="389" spans="1:12" x14ac:dyDescent="0.3">
      <c r="A389" s="52"/>
      <c r="B389" s="53" t="s">
        <v>26</v>
      </c>
      <c r="C389" s="54">
        <v>46093</v>
      </c>
      <c r="D389" s="53" t="s">
        <v>661</v>
      </c>
      <c r="E389" s="53"/>
      <c r="F389" s="53"/>
      <c r="G389" s="54"/>
      <c r="H389" s="53"/>
      <c r="I389" s="59">
        <v>1</v>
      </c>
      <c r="J389" s="59"/>
      <c r="K389" s="59"/>
      <c r="L389" s="59">
        <f t="shared" si="5"/>
        <v>280263.9499999999</v>
      </c>
    </row>
    <row r="390" spans="1:12" x14ac:dyDescent="0.3">
      <c r="A390" s="52"/>
      <c r="B390" s="53" t="s">
        <v>26</v>
      </c>
      <c r="C390" s="54">
        <v>46094</v>
      </c>
      <c r="D390" s="53" t="s">
        <v>923</v>
      </c>
      <c r="E390" s="53"/>
      <c r="F390" s="53"/>
      <c r="G390" s="54"/>
      <c r="H390" s="53"/>
      <c r="I390" s="59">
        <v>23</v>
      </c>
      <c r="J390" s="59"/>
      <c r="K390" s="59"/>
      <c r="L390" s="59">
        <f t="shared" si="5"/>
        <v>280286.9499999999</v>
      </c>
    </row>
    <row r="391" spans="1:12" x14ac:dyDescent="0.3">
      <c r="A391" s="52"/>
      <c r="B391" s="53" t="s">
        <v>28</v>
      </c>
      <c r="C391" s="54">
        <v>46094</v>
      </c>
      <c r="D391" s="53" t="s">
        <v>667</v>
      </c>
      <c r="E391" s="53" t="s">
        <v>211</v>
      </c>
      <c r="F391" s="53"/>
      <c r="G391" s="54">
        <v>46093</v>
      </c>
      <c r="H391" s="53" t="s">
        <v>668</v>
      </c>
      <c r="I391" s="59">
        <v>86.72</v>
      </c>
      <c r="J391" s="59"/>
      <c r="K391" s="59"/>
      <c r="L391" s="59">
        <f t="shared" si="5"/>
        <v>280373.66999999987</v>
      </c>
    </row>
    <row r="392" spans="1:12" x14ac:dyDescent="0.3">
      <c r="A392" s="52"/>
      <c r="B392" s="53" t="s">
        <v>26</v>
      </c>
      <c r="C392" s="54">
        <v>46094</v>
      </c>
      <c r="D392" s="53" t="s">
        <v>924</v>
      </c>
      <c r="E392" s="53"/>
      <c r="F392" s="53"/>
      <c r="G392" s="54"/>
      <c r="H392" s="53"/>
      <c r="I392" s="59">
        <v>30.9</v>
      </c>
      <c r="J392" s="59"/>
      <c r="K392" s="59"/>
      <c r="L392" s="59">
        <f t="shared" si="5"/>
        <v>280404.56999999989</v>
      </c>
    </row>
    <row r="393" spans="1:12" x14ac:dyDescent="0.3">
      <c r="A393" s="52"/>
      <c r="B393" s="53" t="s">
        <v>28</v>
      </c>
      <c r="C393" s="54">
        <v>46094</v>
      </c>
      <c r="D393" s="53" t="s">
        <v>665</v>
      </c>
      <c r="E393" s="53" t="s">
        <v>194</v>
      </c>
      <c r="F393" s="53"/>
      <c r="G393" s="54">
        <v>46093</v>
      </c>
      <c r="H393" s="53" t="s">
        <v>666</v>
      </c>
      <c r="I393" s="59">
        <v>204.55</v>
      </c>
      <c r="J393" s="59"/>
      <c r="K393" s="59"/>
      <c r="L393" s="59">
        <f t="shared" si="5"/>
        <v>280609.11999999988</v>
      </c>
    </row>
    <row r="394" spans="1:12" x14ac:dyDescent="0.3">
      <c r="A394" s="52"/>
      <c r="B394" s="53" t="s">
        <v>26</v>
      </c>
      <c r="C394" s="54">
        <v>46095</v>
      </c>
      <c r="D394" s="53" t="s">
        <v>925</v>
      </c>
      <c r="E394" s="53"/>
      <c r="F394" s="53"/>
      <c r="G394" s="54"/>
      <c r="H394" s="53"/>
      <c r="I394" s="59">
        <v>3</v>
      </c>
      <c r="J394" s="59"/>
      <c r="K394" s="59"/>
      <c r="L394" s="59">
        <f t="shared" si="5"/>
        <v>280612.11999999988</v>
      </c>
    </row>
    <row r="395" spans="1:12" x14ac:dyDescent="0.3">
      <c r="A395" s="52"/>
      <c r="B395" s="53" t="s">
        <v>26</v>
      </c>
      <c r="C395" s="54">
        <v>46095</v>
      </c>
      <c r="D395" s="53" t="s">
        <v>926</v>
      </c>
      <c r="E395" s="53"/>
      <c r="F395" s="53"/>
      <c r="G395" s="54"/>
      <c r="H395" s="53"/>
      <c r="I395" s="59">
        <v>13</v>
      </c>
      <c r="J395" s="59"/>
      <c r="K395" s="59"/>
      <c r="L395" s="59">
        <f t="shared" ref="L395:L458" si="6">L394+I395-K395</f>
        <v>280625.11999999988</v>
      </c>
    </row>
    <row r="396" spans="1:12" x14ac:dyDescent="0.3">
      <c r="A396" s="52"/>
      <c r="B396" s="53" t="s">
        <v>26</v>
      </c>
      <c r="C396" s="54">
        <v>46096</v>
      </c>
      <c r="D396" s="53" t="s">
        <v>927</v>
      </c>
      <c r="E396" s="53"/>
      <c r="F396" s="53"/>
      <c r="G396" s="54"/>
      <c r="H396" s="53"/>
      <c r="I396" s="59">
        <v>42.15</v>
      </c>
      <c r="J396" s="59"/>
      <c r="K396" s="59"/>
      <c r="L396" s="59">
        <f t="shared" si="6"/>
        <v>280667.2699999999</v>
      </c>
    </row>
    <row r="397" spans="1:12" x14ac:dyDescent="0.3">
      <c r="A397" s="52"/>
      <c r="B397" s="53" t="s">
        <v>28</v>
      </c>
      <c r="C397" s="54">
        <v>46097</v>
      </c>
      <c r="D397" s="53" t="s">
        <v>669</v>
      </c>
      <c r="E397" s="53" t="s">
        <v>368</v>
      </c>
      <c r="F397" s="53"/>
      <c r="G397" s="54">
        <v>46087</v>
      </c>
      <c r="H397" s="53" t="s">
        <v>670</v>
      </c>
      <c r="I397" s="59">
        <v>8</v>
      </c>
      <c r="J397" s="59"/>
      <c r="K397" s="59"/>
      <c r="L397" s="59">
        <f t="shared" si="6"/>
        <v>280675.2699999999</v>
      </c>
    </row>
    <row r="398" spans="1:12" x14ac:dyDescent="0.3">
      <c r="A398" s="52"/>
      <c r="B398" s="53" t="s">
        <v>28</v>
      </c>
      <c r="C398" s="54">
        <v>46097</v>
      </c>
      <c r="D398" s="53" t="s">
        <v>671</v>
      </c>
      <c r="E398" s="53" t="s">
        <v>672</v>
      </c>
      <c r="F398" s="53"/>
      <c r="G398" s="54">
        <v>46081</v>
      </c>
      <c r="H398" s="53" t="s">
        <v>673</v>
      </c>
      <c r="I398" s="59">
        <v>560.36</v>
      </c>
      <c r="J398" s="41" t="s">
        <v>745</v>
      </c>
      <c r="K398" s="59"/>
      <c r="L398" s="59">
        <f t="shared" si="6"/>
        <v>281235.62999999989</v>
      </c>
    </row>
    <row r="399" spans="1:12" x14ac:dyDescent="0.3">
      <c r="A399" s="52"/>
      <c r="B399" s="53" t="s">
        <v>28</v>
      </c>
      <c r="C399" s="54">
        <v>46097</v>
      </c>
      <c r="D399" s="53" t="s">
        <v>674</v>
      </c>
      <c r="E399" s="53" t="s">
        <v>250</v>
      </c>
      <c r="F399" s="53"/>
      <c r="G399" s="54">
        <v>46090</v>
      </c>
      <c r="H399" s="53" t="s">
        <v>675</v>
      </c>
      <c r="I399" s="59">
        <v>115.64</v>
      </c>
      <c r="J399" t="s">
        <v>756</v>
      </c>
      <c r="K399" s="59"/>
      <c r="L399" s="59">
        <f t="shared" si="6"/>
        <v>281351.2699999999</v>
      </c>
    </row>
    <row r="400" spans="1:12" x14ac:dyDescent="0.3">
      <c r="A400" s="52"/>
      <c r="B400" s="53" t="s">
        <v>26</v>
      </c>
      <c r="C400" s="54">
        <v>46097</v>
      </c>
      <c r="D400" s="53" t="s">
        <v>928</v>
      </c>
      <c r="E400" s="53"/>
      <c r="F400" s="53"/>
      <c r="G400" s="54"/>
      <c r="H400" s="53"/>
      <c r="I400" s="59">
        <v>8</v>
      </c>
      <c r="J400" s="59"/>
      <c r="K400" s="59"/>
      <c r="L400" s="59">
        <f t="shared" si="6"/>
        <v>281359.2699999999</v>
      </c>
    </row>
    <row r="401" spans="1:12" x14ac:dyDescent="0.3">
      <c r="A401" s="52"/>
      <c r="B401" s="53" t="s">
        <v>26</v>
      </c>
      <c r="C401" s="54">
        <v>46097</v>
      </c>
      <c r="D401" s="53" t="s">
        <v>929</v>
      </c>
      <c r="E401" s="53"/>
      <c r="F401" s="53"/>
      <c r="G401" s="54"/>
      <c r="H401" s="53"/>
      <c r="I401" s="59">
        <v>8.66</v>
      </c>
      <c r="J401" s="59"/>
      <c r="K401" s="59"/>
      <c r="L401" s="59">
        <f t="shared" si="6"/>
        <v>281367.92999999988</v>
      </c>
    </row>
    <row r="402" spans="1:12" x14ac:dyDescent="0.3">
      <c r="A402" s="52"/>
      <c r="B402" s="53" t="s">
        <v>26</v>
      </c>
      <c r="C402" s="54">
        <v>46097</v>
      </c>
      <c r="D402" s="53" t="s">
        <v>930</v>
      </c>
      <c r="E402" s="53"/>
      <c r="F402" s="53"/>
      <c r="G402" s="54"/>
      <c r="H402" s="53"/>
      <c r="I402" s="59">
        <v>202.98</v>
      </c>
      <c r="J402" s="59"/>
      <c r="K402" s="59"/>
      <c r="L402" s="59">
        <f t="shared" si="6"/>
        <v>281570.90999999986</v>
      </c>
    </row>
    <row r="403" spans="1:12" x14ac:dyDescent="0.3">
      <c r="A403" s="52"/>
      <c r="B403" s="53" t="s">
        <v>26</v>
      </c>
      <c r="C403" s="54">
        <v>46097</v>
      </c>
      <c r="D403" s="53" t="s">
        <v>931</v>
      </c>
      <c r="E403" s="53"/>
      <c r="F403" s="53"/>
      <c r="G403" s="54"/>
      <c r="H403" s="53"/>
      <c r="I403" s="59">
        <v>12.5</v>
      </c>
      <c r="J403" s="59"/>
      <c r="K403" s="59"/>
      <c r="L403" s="59">
        <f t="shared" si="6"/>
        <v>281583.40999999986</v>
      </c>
    </row>
    <row r="404" spans="1:12" x14ac:dyDescent="0.3">
      <c r="A404" s="52"/>
      <c r="B404" s="53" t="s">
        <v>28</v>
      </c>
      <c r="C404" s="54">
        <v>46097</v>
      </c>
      <c r="D404" s="53" t="s">
        <v>676</v>
      </c>
      <c r="E404" s="53" t="s">
        <v>677</v>
      </c>
      <c r="F404" s="53"/>
      <c r="G404" s="54">
        <v>46081</v>
      </c>
      <c r="H404" s="53" t="s">
        <v>678</v>
      </c>
      <c r="I404" s="59">
        <v>0.14000000000000001</v>
      </c>
      <c r="J404" s="59"/>
      <c r="K404" s="59"/>
      <c r="L404" s="59">
        <f t="shared" si="6"/>
        <v>281583.54999999987</v>
      </c>
    </row>
    <row r="405" spans="1:12" x14ac:dyDescent="0.3">
      <c r="A405" s="52"/>
      <c r="B405" s="53" t="s">
        <v>26</v>
      </c>
      <c r="C405" s="54">
        <v>46097</v>
      </c>
      <c r="D405" s="53" t="s">
        <v>932</v>
      </c>
      <c r="E405" s="53"/>
      <c r="F405" s="53"/>
      <c r="G405" s="54"/>
      <c r="H405" s="53"/>
      <c r="I405" s="59">
        <v>4.5999999999999996</v>
      </c>
      <c r="J405" s="59"/>
      <c r="K405" s="59"/>
      <c r="L405" s="59">
        <f t="shared" si="6"/>
        <v>281588.14999999985</v>
      </c>
    </row>
    <row r="406" spans="1:12" x14ac:dyDescent="0.3">
      <c r="A406" s="52"/>
      <c r="B406" s="53" t="s">
        <v>28</v>
      </c>
      <c r="C406" s="54">
        <v>46097</v>
      </c>
      <c r="D406" s="53" t="s">
        <v>679</v>
      </c>
      <c r="E406" s="53" t="s">
        <v>368</v>
      </c>
      <c r="F406" s="53"/>
      <c r="G406" s="54">
        <v>46087</v>
      </c>
      <c r="H406" s="53" t="s">
        <v>680</v>
      </c>
      <c r="I406" s="59">
        <v>8</v>
      </c>
      <c r="J406" s="59"/>
      <c r="K406" s="59"/>
      <c r="L406" s="59">
        <f t="shared" si="6"/>
        <v>281596.14999999985</v>
      </c>
    </row>
    <row r="407" spans="1:12" x14ac:dyDescent="0.3">
      <c r="A407" s="52"/>
      <c r="B407" s="53" t="s">
        <v>26</v>
      </c>
      <c r="C407" s="54">
        <v>46098</v>
      </c>
      <c r="D407" s="53" t="s">
        <v>933</v>
      </c>
      <c r="E407" s="53"/>
      <c r="F407" s="53"/>
      <c r="G407" s="54"/>
      <c r="H407" s="53"/>
      <c r="I407" s="59">
        <v>21.2</v>
      </c>
      <c r="J407" s="59"/>
      <c r="K407" s="59"/>
      <c r="L407" s="59">
        <f t="shared" si="6"/>
        <v>281617.34999999986</v>
      </c>
    </row>
    <row r="408" spans="1:12" x14ac:dyDescent="0.3">
      <c r="A408" s="52"/>
      <c r="B408" s="53" t="s">
        <v>26</v>
      </c>
      <c r="C408" s="54">
        <v>46098</v>
      </c>
      <c r="D408" s="53" t="s">
        <v>934</v>
      </c>
      <c r="E408" s="53"/>
      <c r="F408" s="53"/>
      <c r="G408" s="54"/>
      <c r="H408" s="53"/>
      <c r="I408" s="59">
        <v>42.5</v>
      </c>
      <c r="J408" s="59"/>
      <c r="K408" s="59"/>
      <c r="L408" s="59">
        <f t="shared" si="6"/>
        <v>281659.84999999986</v>
      </c>
    </row>
    <row r="409" spans="1:12" x14ac:dyDescent="0.3">
      <c r="A409" s="52"/>
      <c r="B409" s="53" t="s">
        <v>28</v>
      </c>
      <c r="C409" s="54">
        <v>46098</v>
      </c>
      <c r="D409" s="53" t="s">
        <v>681</v>
      </c>
      <c r="E409" s="53" t="s">
        <v>207</v>
      </c>
      <c r="F409" s="53"/>
      <c r="G409" s="54">
        <v>46085</v>
      </c>
      <c r="H409" s="53" t="s">
        <v>682</v>
      </c>
      <c r="I409" s="59">
        <v>102.4</v>
      </c>
      <c r="J409" s="59"/>
      <c r="K409" s="59"/>
      <c r="L409" s="59">
        <f t="shared" si="6"/>
        <v>281762.24999999988</v>
      </c>
    </row>
    <row r="410" spans="1:12" x14ac:dyDescent="0.3">
      <c r="A410" s="52"/>
      <c r="B410" s="53" t="s">
        <v>26</v>
      </c>
      <c r="C410" s="54">
        <v>46098</v>
      </c>
      <c r="D410" s="53" t="s">
        <v>935</v>
      </c>
      <c r="E410" s="53"/>
      <c r="F410" s="53"/>
      <c r="G410" s="54"/>
      <c r="H410" s="53"/>
      <c r="I410" s="59">
        <v>23.5</v>
      </c>
      <c r="J410" s="59"/>
      <c r="K410" s="59"/>
      <c r="L410" s="59">
        <f t="shared" si="6"/>
        <v>281785.74999999988</v>
      </c>
    </row>
    <row r="411" spans="1:12" x14ac:dyDescent="0.3">
      <c r="A411" s="52"/>
      <c r="B411" s="53" t="s">
        <v>26</v>
      </c>
      <c r="C411" s="54">
        <v>46099</v>
      </c>
      <c r="D411" s="53" t="s">
        <v>936</v>
      </c>
      <c r="E411" s="53"/>
      <c r="F411" s="53"/>
      <c r="G411" s="54"/>
      <c r="H411" s="53"/>
      <c r="I411" s="59">
        <v>5.75</v>
      </c>
      <c r="J411" s="59"/>
      <c r="K411" s="59"/>
      <c r="L411" s="59">
        <f t="shared" si="6"/>
        <v>281791.49999999988</v>
      </c>
    </row>
    <row r="412" spans="1:12" x14ac:dyDescent="0.3">
      <c r="A412" s="52"/>
      <c r="B412" s="53" t="s">
        <v>26</v>
      </c>
      <c r="C412" s="54">
        <v>46099</v>
      </c>
      <c r="D412" s="53" t="s">
        <v>937</v>
      </c>
      <c r="E412" s="53"/>
      <c r="F412" s="53"/>
      <c r="G412" s="54"/>
      <c r="H412" s="53"/>
      <c r="I412" s="59">
        <v>19.2</v>
      </c>
      <c r="J412" s="59"/>
      <c r="K412" s="59"/>
      <c r="L412" s="59">
        <f t="shared" si="6"/>
        <v>281810.6999999999</v>
      </c>
    </row>
    <row r="413" spans="1:12" x14ac:dyDescent="0.3">
      <c r="A413" s="52"/>
      <c r="B413" s="53" t="s">
        <v>28</v>
      </c>
      <c r="C413" s="54">
        <v>46099</v>
      </c>
      <c r="D413" s="53" t="s">
        <v>685</v>
      </c>
      <c r="E413" s="53" t="s">
        <v>686</v>
      </c>
      <c r="F413" s="53" t="s">
        <v>687</v>
      </c>
      <c r="G413" s="54">
        <v>46099</v>
      </c>
      <c r="H413" s="53" t="s">
        <v>688</v>
      </c>
      <c r="I413" s="59">
        <v>90.91</v>
      </c>
      <c r="J413" s="59"/>
      <c r="K413" s="59"/>
      <c r="L413" s="59">
        <f t="shared" si="6"/>
        <v>281901.60999999987</v>
      </c>
    </row>
    <row r="414" spans="1:12" x14ac:dyDescent="0.3">
      <c r="A414" s="52"/>
      <c r="B414" s="53" t="s">
        <v>26</v>
      </c>
      <c r="C414" s="54">
        <v>46099</v>
      </c>
      <c r="D414" s="53" t="s">
        <v>938</v>
      </c>
      <c r="E414" s="53"/>
      <c r="F414" s="53"/>
      <c r="G414" s="54"/>
      <c r="H414" s="53"/>
      <c r="I414" s="59">
        <v>16.100000000000001</v>
      </c>
      <c r="J414" s="59"/>
      <c r="K414" s="59"/>
      <c r="L414" s="59">
        <f t="shared" si="6"/>
        <v>281917.70999999985</v>
      </c>
    </row>
    <row r="415" spans="1:12" x14ac:dyDescent="0.3">
      <c r="A415" s="52"/>
      <c r="B415" s="53" t="s">
        <v>28</v>
      </c>
      <c r="C415" s="54">
        <v>46099</v>
      </c>
      <c r="D415" s="53" t="s">
        <v>689</v>
      </c>
      <c r="E415" s="53" t="s">
        <v>690</v>
      </c>
      <c r="F415" s="53"/>
      <c r="G415" s="54">
        <v>46086</v>
      </c>
      <c r="H415" s="53" t="s">
        <v>691</v>
      </c>
      <c r="I415" s="59">
        <v>180.73</v>
      </c>
      <c r="J415" s="59"/>
      <c r="K415" s="59"/>
      <c r="L415" s="59">
        <f t="shared" si="6"/>
        <v>282098.43999999983</v>
      </c>
    </row>
    <row r="416" spans="1:12" x14ac:dyDescent="0.3">
      <c r="A416" s="52"/>
      <c r="B416" s="53" t="s">
        <v>28</v>
      </c>
      <c r="C416" s="54">
        <v>46099</v>
      </c>
      <c r="D416" s="53" t="s">
        <v>692</v>
      </c>
      <c r="E416" s="53" t="s">
        <v>207</v>
      </c>
      <c r="F416" s="53"/>
      <c r="G416" s="54">
        <v>46091</v>
      </c>
      <c r="H416" s="53" t="s">
        <v>693</v>
      </c>
      <c r="I416" s="59">
        <v>51.2</v>
      </c>
      <c r="J416" s="59"/>
      <c r="K416" s="59"/>
      <c r="L416" s="59">
        <f t="shared" si="6"/>
        <v>282149.63999999984</v>
      </c>
    </row>
    <row r="417" spans="1:12" x14ac:dyDescent="0.3">
      <c r="A417" s="52"/>
      <c r="B417" s="53" t="s">
        <v>28</v>
      </c>
      <c r="C417" s="54">
        <v>46099</v>
      </c>
      <c r="D417" s="53" t="s">
        <v>683</v>
      </c>
      <c r="E417" s="53" t="s">
        <v>211</v>
      </c>
      <c r="F417" s="53"/>
      <c r="G417" s="54">
        <v>46098</v>
      </c>
      <c r="H417" s="53" t="s">
        <v>684</v>
      </c>
      <c r="I417" s="59">
        <v>43.81</v>
      </c>
      <c r="J417" s="59"/>
      <c r="K417" s="59"/>
      <c r="L417" s="59">
        <f t="shared" si="6"/>
        <v>282193.44999999984</v>
      </c>
    </row>
    <row r="418" spans="1:12" x14ac:dyDescent="0.3">
      <c r="A418" s="52"/>
      <c r="B418" s="53" t="s">
        <v>26</v>
      </c>
      <c r="C418" s="54">
        <v>46099</v>
      </c>
      <c r="D418" s="53" t="s">
        <v>939</v>
      </c>
      <c r="E418" s="53"/>
      <c r="F418" s="53"/>
      <c r="G418" s="54"/>
      <c r="H418" s="53"/>
      <c r="I418" s="59">
        <v>11.9</v>
      </c>
      <c r="J418" s="59"/>
      <c r="K418" s="59"/>
      <c r="L418" s="59">
        <f t="shared" si="6"/>
        <v>282205.34999999986</v>
      </c>
    </row>
    <row r="419" spans="1:12" x14ac:dyDescent="0.3">
      <c r="A419" s="52"/>
      <c r="B419" s="53" t="s">
        <v>26</v>
      </c>
      <c r="C419" s="54">
        <v>46099</v>
      </c>
      <c r="D419" s="53" t="s">
        <v>940</v>
      </c>
      <c r="E419" s="53"/>
      <c r="F419" s="53"/>
      <c r="G419" s="54"/>
      <c r="H419" s="53"/>
      <c r="I419" s="59">
        <v>20</v>
      </c>
      <c r="J419" s="59"/>
      <c r="K419" s="59"/>
      <c r="L419" s="59">
        <f t="shared" si="6"/>
        <v>282225.34999999986</v>
      </c>
    </row>
    <row r="420" spans="1:12" x14ac:dyDescent="0.3">
      <c r="A420" s="52"/>
      <c r="B420" s="53" t="s">
        <v>26</v>
      </c>
      <c r="C420" s="54">
        <v>46099</v>
      </c>
      <c r="D420" s="53" t="s">
        <v>941</v>
      </c>
      <c r="E420" s="53"/>
      <c r="F420" s="53"/>
      <c r="G420" s="54"/>
      <c r="H420" s="53"/>
      <c r="I420" s="59">
        <v>5</v>
      </c>
      <c r="J420" s="59"/>
      <c r="K420" s="59"/>
      <c r="L420" s="59">
        <f t="shared" si="6"/>
        <v>282230.34999999986</v>
      </c>
    </row>
    <row r="421" spans="1:12" x14ac:dyDescent="0.3">
      <c r="A421" s="52"/>
      <c r="B421" s="53" t="s">
        <v>26</v>
      </c>
      <c r="C421" s="54">
        <v>46100</v>
      </c>
      <c r="D421" s="53" t="s">
        <v>942</v>
      </c>
      <c r="E421" s="53"/>
      <c r="F421" s="53"/>
      <c r="G421" s="54"/>
      <c r="H421" s="53"/>
      <c r="I421" s="59">
        <v>12.8</v>
      </c>
      <c r="J421" s="59"/>
      <c r="K421" s="59"/>
      <c r="L421" s="59">
        <f t="shared" si="6"/>
        <v>282243.14999999985</v>
      </c>
    </row>
    <row r="422" spans="1:12" x14ac:dyDescent="0.3">
      <c r="A422" s="52"/>
      <c r="B422" s="53" t="s">
        <v>26</v>
      </c>
      <c r="C422" s="54">
        <v>46100</v>
      </c>
      <c r="D422" s="53" t="s">
        <v>943</v>
      </c>
      <c r="E422" s="53"/>
      <c r="F422" s="53"/>
      <c r="G422" s="54"/>
      <c r="H422" s="53"/>
      <c r="I422" s="59">
        <v>50</v>
      </c>
      <c r="J422" s="59"/>
      <c r="K422" s="59"/>
      <c r="L422" s="59">
        <f t="shared" si="6"/>
        <v>282293.14999999985</v>
      </c>
    </row>
    <row r="423" spans="1:12" x14ac:dyDescent="0.3">
      <c r="A423" s="52"/>
      <c r="B423" s="53" t="s">
        <v>26</v>
      </c>
      <c r="C423" s="54">
        <v>46100</v>
      </c>
      <c r="D423" s="53" t="s">
        <v>944</v>
      </c>
      <c r="E423" s="53"/>
      <c r="F423" s="53"/>
      <c r="G423" s="54"/>
      <c r="H423" s="53"/>
      <c r="I423" s="59">
        <v>8.9700000000000006</v>
      </c>
      <c r="J423" s="59"/>
      <c r="K423" s="59"/>
      <c r="L423" s="59">
        <f t="shared" si="6"/>
        <v>282302.11999999982</v>
      </c>
    </row>
    <row r="424" spans="1:12" x14ac:dyDescent="0.3">
      <c r="A424" s="52"/>
      <c r="B424" s="53" t="s">
        <v>26</v>
      </c>
      <c r="C424" s="54">
        <v>46100</v>
      </c>
      <c r="D424" s="53" t="s">
        <v>945</v>
      </c>
      <c r="E424" s="53"/>
      <c r="F424" s="53"/>
      <c r="G424" s="54"/>
      <c r="H424" s="53"/>
      <c r="I424" s="59">
        <v>6.6</v>
      </c>
      <c r="J424" s="59"/>
      <c r="K424" s="59"/>
      <c r="L424" s="59">
        <f t="shared" si="6"/>
        <v>282308.7199999998</v>
      </c>
    </row>
    <row r="425" spans="1:12" x14ac:dyDescent="0.3">
      <c r="A425" s="52"/>
      <c r="B425" s="53" t="s">
        <v>26</v>
      </c>
      <c r="C425" s="54">
        <v>46100</v>
      </c>
      <c r="D425" s="53" t="s">
        <v>946</v>
      </c>
      <c r="E425" s="53"/>
      <c r="F425" s="53"/>
      <c r="G425" s="54"/>
      <c r="H425" s="53"/>
      <c r="I425" s="59">
        <v>78</v>
      </c>
      <c r="J425" s="59"/>
      <c r="K425" s="59"/>
      <c r="L425" s="59">
        <f t="shared" si="6"/>
        <v>282386.7199999998</v>
      </c>
    </row>
    <row r="426" spans="1:12" x14ac:dyDescent="0.3">
      <c r="A426" s="52"/>
      <c r="B426" s="53" t="s">
        <v>28</v>
      </c>
      <c r="C426" s="54">
        <v>46100</v>
      </c>
      <c r="D426" s="53" t="s">
        <v>697</v>
      </c>
      <c r="E426" s="53" t="s">
        <v>698</v>
      </c>
      <c r="F426" s="53"/>
      <c r="G426" s="54">
        <v>46091</v>
      </c>
      <c r="H426" s="53" t="s">
        <v>699</v>
      </c>
      <c r="I426" s="59">
        <v>375.64</v>
      </c>
      <c r="J426" s="59"/>
      <c r="K426" s="59"/>
      <c r="L426" s="59">
        <f t="shared" si="6"/>
        <v>282762.35999999981</v>
      </c>
    </row>
    <row r="427" spans="1:12" x14ac:dyDescent="0.3">
      <c r="A427" s="52"/>
      <c r="B427" s="53" t="s">
        <v>28</v>
      </c>
      <c r="C427" s="54">
        <v>46100</v>
      </c>
      <c r="D427" s="53" t="s">
        <v>700</v>
      </c>
      <c r="E427" s="53" t="s">
        <v>654</v>
      </c>
      <c r="F427" s="53"/>
      <c r="G427" s="54">
        <v>46087</v>
      </c>
      <c r="H427" s="53" t="s">
        <v>701</v>
      </c>
      <c r="I427" s="59">
        <v>1600</v>
      </c>
      <c r="J427" s="59"/>
      <c r="K427" s="59"/>
      <c r="L427" s="59">
        <f t="shared" si="6"/>
        <v>284362.35999999981</v>
      </c>
    </row>
    <row r="428" spans="1:12" x14ac:dyDescent="0.3">
      <c r="A428" s="52"/>
      <c r="B428" s="53" t="s">
        <v>28</v>
      </c>
      <c r="C428" s="54">
        <v>46100</v>
      </c>
      <c r="D428" s="53" t="s">
        <v>702</v>
      </c>
      <c r="E428" s="53" t="s">
        <v>703</v>
      </c>
      <c r="F428" s="53"/>
      <c r="G428" s="54">
        <v>46100</v>
      </c>
      <c r="H428" s="53" t="s">
        <v>704</v>
      </c>
      <c r="I428" s="59">
        <v>90.92</v>
      </c>
      <c r="J428" s="59"/>
      <c r="K428" s="59"/>
      <c r="L428" s="59">
        <f t="shared" si="6"/>
        <v>284453.2799999998</v>
      </c>
    </row>
    <row r="429" spans="1:12" x14ac:dyDescent="0.3">
      <c r="A429" s="52"/>
      <c r="B429" s="53" t="s">
        <v>26</v>
      </c>
      <c r="C429" s="54">
        <v>46100</v>
      </c>
      <c r="D429" s="53" t="s">
        <v>947</v>
      </c>
      <c r="E429" s="53"/>
      <c r="F429" s="53"/>
      <c r="G429" s="54"/>
      <c r="H429" s="53"/>
      <c r="I429" s="59">
        <v>42</v>
      </c>
      <c r="J429" s="59"/>
      <c r="K429" s="59"/>
      <c r="L429" s="59">
        <f t="shared" si="6"/>
        <v>284495.2799999998</v>
      </c>
    </row>
    <row r="430" spans="1:12" x14ac:dyDescent="0.3">
      <c r="A430" s="52"/>
      <c r="B430" s="53" t="s">
        <v>28</v>
      </c>
      <c r="C430" s="54">
        <v>46100</v>
      </c>
      <c r="D430" s="53" t="s">
        <v>694</v>
      </c>
      <c r="E430" s="53" t="s">
        <v>695</v>
      </c>
      <c r="F430" s="53"/>
      <c r="G430" s="54">
        <v>46092</v>
      </c>
      <c r="H430" s="53" t="s">
        <v>696</v>
      </c>
      <c r="I430" s="59">
        <v>68.36</v>
      </c>
      <c r="J430" s="59"/>
      <c r="K430" s="59"/>
      <c r="L430" s="59">
        <f t="shared" si="6"/>
        <v>284563.63999999978</v>
      </c>
    </row>
    <row r="431" spans="1:12" x14ac:dyDescent="0.3">
      <c r="A431" s="52"/>
      <c r="B431" s="53" t="s">
        <v>26</v>
      </c>
      <c r="C431" s="54">
        <v>46100</v>
      </c>
      <c r="D431" s="53" t="s">
        <v>948</v>
      </c>
      <c r="E431" s="53"/>
      <c r="F431" s="53"/>
      <c r="G431" s="54"/>
      <c r="H431" s="53"/>
      <c r="I431" s="59">
        <v>13</v>
      </c>
      <c r="J431" s="59"/>
      <c r="K431" s="59"/>
      <c r="L431" s="59">
        <f t="shared" si="6"/>
        <v>284576.63999999978</v>
      </c>
    </row>
    <row r="432" spans="1:12" x14ac:dyDescent="0.3">
      <c r="A432" s="52"/>
      <c r="B432" s="53" t="s">
        <v>26</v>
      </c>
      <c r="C432" s="54">
        <v>46101</v>
      </c>
      <c r="D432" s="53" t="s">
        <v>949</v>
      </c>
      <c r="E432" s="53"/>
      <c r="F432" s="53"/>
      <c r="G432" s="54"/>
      <c r="H432" s="53"/>
      <c r="I432" s="59">
        <v>1.6</v>
      </c>
      <c r="J432" s="59"/>
      <c r="K432" s="59"/>
      <c r="L432" s="59">
        <f t="shared" si="6"/>
        <v>284578.23999999976</v>
      </c>
    </row>
    <row r="433" spans="1:12" x14ac:dyDescent="0.3">
      <c r="A433" s="52"/>
      <c r="B433" s="53" t="s">
        <v>26</v>
      </c>
      <c r="C433" s="54">
        <v>46101</v>
      </c>
      <c r="D433" s="53" t="s">
        <v>950</v>
      </c>
      <c r="E433" s="53"/>
      <c r="F433" s="53"/>
      <c r="G433" s="54"/>
      <c r="H433" s="53"/>
      <c r="I433" s="59">
        <v>125.1</v>
      </c>
      <c r="J433" s="59"/>
      <c r="K433" s="59"/>
      <c r="L433" s="59">
        <f t="shared" si="6"/>
        <v>284703.33999999973</v>
      </c>
    </row>
    <row r="434" spans="1:12" x14ac:dyDescent="0.3">
      <c r="A434" s="52"/>
      <c r="B434" s="53" t="s">
        <v>26</v>
      </c>
      <c r="C434" s="54">
        <v>46101</v>
      </c>
      <c r="D434" s="53" t="s">
        <v>951</v>
      </c>
      <c r="E434" s="53"/>
      <c r="F434" s="53"/>
      <c r="G434" s="54"/>
      <c r="H434" s="53"/>
      <c r="I434" s="59">
        <v>1.8</v>
      </c>
      <c r="J434" s="59"/>
      <c r="K434" s="59"/>
      <c r="L434" s="59">
        <f t="shared" si="6"/>
        <v>284705.13999999972</v>
      </c>
    </row>
    <row r="435" spans="1:12" x14ac:dyDescent="0.3">
      <c r="A435" s="52"/>
      <c r="B435" s="53" t="s">
        <v>26</v>
      </c>
      <c r="C435" s="54">
        <v>46101</v>
      </c>
      <c r="D435" s="53" t="s">
        <v>952</v>
      </c>
      <c r="E435" s="53"/>
      <c r="F435" s="53"/>
      <c r="G435" s="54"/>
      <c r="H435" s="53"/>
      <c r="I435" s="59">
        <v>25.3</v>
      </c>
      <c r="J435" s="59"/>
      <c r="K435" s="59"/>
      <c r="L435" s="59">
        <f t="shared" si="6"/>
        <v>284730.43999999971</v>
      </c>
    </row>
    <row r="436" spans="1:12" x14ac:dyDescent="0.3">
      <c r="A436" s="52"/>
      <c r="B436" s="53" t="s">
        <v>26</v>
      </c>
      <c r="C436" s="54">
        <v>46101</v>
      </c>
      <c r="D436" s="53" t="s">
        <v>953</v>
      </c>
      <c r="E436" s="53"/>
      <c r="F436" s="53"/>
      <c r="G436" s="54"/>
      <c r="H436" s="53"/>
      <c r="I436" s="59">
        <v>19.39</v>
      </c>
      <c r="J436" s="59"/>
      <c r="K436" s="59"/>
      <c r="L436" s="59">
        <f t="shared" si="6"/>
        <v>284749.82999999973</v>
      </c>
    </row>
    <row r="437" spans="1:12" x14ac:dyDescent="0.3">
      <c r="A437" s="52"/>
      <c r="B437" s="53" t="s">
        <v>28</v>
      </c>
      <c r="C437" s="54">
        <v>46101</v>
      </c>
      <c r="D437" s="53" t="s">
        <v>705</v>
      </c>
      <c r="E437" s="53" t="s">
        <v>706</v>
      </c>
      <c r="F437" s="53"/>
      <c r="G437" s="54">
        <v>46100</v>
      </c>
      <c r="H437" s="53" t="s">
        <v>707</v>
      </c>
      <c r="I437" s="59">
        <v>16.7</v>
      </c>
      <c r="J437" s="59"/>
      <c r="K437" s="59"/>
      <c r="L437" s="59">
        <f t="shared" si="6"/>
        <v>284766.52999999974</v>
      </c>
    </row>
    <row r="438" spans="1:12" x14ac:dyDescent="0.3">
      <c r="A438" s="52"/>
      <c r="B438" s="53" t="s">
        <v>26</v>
      </c>
      <c r="C438" s="54">
        <v>46101</v>
      </c>
      <c r="D438" s="53" t="s">
        <v>954</v>
      </c>
      <c r="E438" s="53"/>
      <c r="F438" s="53"/>
      <c r="G438" s="54"/>
      <c r="H438" s="53"/>
      <c r="I438" s="59">
        <v>3.2</v>
      </c>
      <c r="J438" s="59"/>
      <c r="K438" s="59"/>
      <c r="L438" s="59">
        <f t="shared" si="6"/>
        <v>284769.72999999975</v>
      </c>
    </row>
    <row r="439" spans="1:12" x14ac:dyDescent="0.3">
      <c r="A439" s="52"/>
      <c r="B439" s="53" t="s">
        <v>26</v>
      </c>
      <c r="C439" s="54">
        <v>46101</v>
      </c>
      <c r="D439" s="53" t="s">
        <v>955</v>
      </c>
      <c r="E439" s="53"/>
      <c r="F439" s="53"/>
      <c r="G439" s="54"/>
      <c r="H439" s="53"/>
      <c r="I439" s="59">
        <v>10.7</v>
      </c>
      <c r="J439" s="59"/>
      <c r="K439" s="59"/>
      <c r="L439" s="59">
        <f t="shared" si="6"/>
        <v>284780.42999999976</v>
      </c>
    </row>
    <row r="440" spans="1:12" x14ac:dyDescent="0.3">
      <c r="A440" s="52"/>
      <c r="B440" s="53" t="s">
        <v>26</v>
      </c>
      <c r="C440" s="54">
        <v>46101</v>
      </c>
      <c r="D440" s="53" t="s">
        <v>956</v>
      </c>
      <c r="E440" s="53"/>
      <c r="F440" s="53"/>
      <c r="G440" s="54"/>
      <c r="H440" s="53"/>
      <c r="I440" s="59">
        <v>5</v>
      </c>
      <c r="J440" s="59"/>
      <c r="K440" s="59"/>
      <c r="L440" s="59">
        <f t="shared" si="6"/>
        <v>284785.42999999976</v>
      </c>
    </row>
    <row r="441" spans="1:12" x14ac:dyDescent="0.3">
      <c r="A441" s="52"/>
      <c r="B441" s="53" t="s">
        <v>26</v>
      </c>
      <c r="C441" s="54">
        <v>46101</v>
      </c>
      <c r="D441" s="53" t="s">
        <v>957</v>
      </c>
      <c r="E441" s="53"/>
      <c r="F441" s="53"/>
      <c r="G441" s="54"/>
      <c r="H441" s="53"/>
      <c r="I441" s="59">
        <v>125</v>
      </c>
      <c r="J441" s="59"/>
      <c r="K441" s="59"/>
      <c r="L441" s="59">
        <f t="shared" si="6"/>
        <v>284910.42999999976</v>
      </c>
    </row>
    <row r="442" spans="1:12" x14ac:dyDescent="0.3">
      <c r="A442" s="52"/>
      <c r="B442" s="53" t="s">
        <v>26</v>
      </c>
      <c r="C442" s="54">
        <v>46102</v>
      </c>
      <c r="D442" s="53" t="s">
        <v>958</v>
      </c>
      <c r="E442" s="53"/>
      <c r="F442" s="53"/>
      <c r="G442" s="54"/>
      <c r="H442" s="53"/>
      <c r="I442" s="59">
        <v>34</v>
      </c>
      <c r="J442" s="59"/>
      <c r="K442" s="59"/>
      <c r="L442" s="59">
        <f t="shared" si="6"/>
        <v>284944.42999999976</v>
      </c>
    </row>
    <row r="443" spans="1:12" x14ac:dyDescent="0.3">
      <c r="A443" s="52"/>
      <c r="B443" s="53" t="s">
        <v>26</v>
      </c>
      <c r="C443" s="54">
        <v>46102</v>
      </c>
      <c r="D443" s="53" t="s">
        <v>959</v>
      </c>
      <c r="E443" s="53"/>
      <c r="F443" s="53"/>
      <c r="G443" s="54"/>
      <c r="H443" s="53"/>
      <c r="I443" s="59">
        <v>37.9</v>
      </c>
      <c r="J443" s="59"/>
      <c r="K443" s="59"/>
      <c r="L443" s="59">
        <f t="shared" si="6"/>
        <v>284982.32999999978</v>
      </c>
    </row>
    <row r="444" spans="1:12" x14ac:dyDescent="0.3">
      <c r="A444" s="52"/>
      <c r="B444" s="53" t="s">
        <v>26</v>
      </c>
      <c r="C444" s="54">
        <v>46102</v>
      </c>
      <c r="D444" s="53" t="s">
        <v>960</v>
      </c>
      <c r="E444" s="53"/>
      <c r="F444" s="53"/>
      <c r="G444" s="54"/>
      <c r="H444" s="53"/>
      <c r="I444" s="59">
        <v>43.67</v>
      </c>
      <c r="J444" s="59"/>
      <c r="K444" s="59"/>
      <c r="L444" s="59">
        <f t="shared" si="6"/>
        <v>285025.99999999977</v>
      </c>
    </row>
    <row r="445" spans="1:12" x14ac:dyDescent="0.3">
      <c r="A445" s="52"/>
      <c r="B445" s="53" t="s">
        <v>26</v>
      </c>
      <c r="C445" s="54">
        <v>46102</v>
      </c>
      <c r="D445" s="53" t="s">
        <v>961</v>
      </c>
      <c r="E445" s="53"/>
      <c r="F445" s="53"/>
      <c r="G445" s="54"/>
      <c r="H445" s="53"/>
      <c r="I445" s="59">
        <v>3.61</v>
      </c>
      <c r="J445" s="59"/>
      <c r="K445" s="59"/>
      <c r="L445" s="59">
        <f t="shared" si="6"/>
        <v>285029.60999999975</v>
      </c>
    </row>
    <row r="446" spans="1:12" x14ac:dyDescent="0.3">
      <c r="A446" s="52"/>
      <c r="B446" s="53" t="s">
        <v>26</v>
      </c>
      <c r="C446" s="54">
        <v>46103</v>
      </c>
      <c r="D446" s="53" t="s">
        <v>962</v>
      </c>
      <c r="E446" s="53"/>
      <c r="F446" s="53"/>
      <c r="G446" s="54"/>
      <c r="H446" s="53"/>
      <c r="I446" s="59">
        <v>87.48</v>
      </c>
      <c r="J446" s="59"/>
      <c r="K446" s="59"/>
      <c r="L446" s="59">
        <f t="shared" si="6"/>
        <v>285117.08999999973</v>
      </c>
    </row>
    <row r="447" spans="1:12" x14ac:dyDescent="0.3">
      <c r="A447" s="52"/>
      <c r="B447" s="53" t="s">
        <v>28</v>
      </c>
      <c r="C447" s="54">
        <v>46104</v>
      </c>
      <c r="D447" s="53" t="s">
        <v>708</v>
      </c>
      <c r="E447" s="53" t="s">
        <v>255</v>
      </c>
      <c r="F447" s="53" t="s">
        <v>237</v>
      </c>
      <c r="G447" s="54">
        <v>46104</v>
      </c>
      <c r="H447" s="53" t="s">
        <v>709</v>
      </c>
      <c r="I447" s="59">
        <v>54.28</v>
      </c>
      <c r="J447" s="59"/>
      <c r="K447" s="59"/>
      <c r="L447" s="59">
        <f t="shared" si="6"/>
        <v>285171.36999999976</v>
      </c>
    </row>
    <row r="448" spans="1:12" x14ac:dyDescent="0.3">
      <c r="A448" s="52"/>
      <c r="B448" s="53" t="s">
        <v>28</v>
      </c>
      <c r="C448" s="54">
        <v>46104</v>
      </c>
      <c r="D448" s="53" t="s">
        <v>710</v>
      </c>
      <c r="E448" s="53" t="s">
        <v>236</v>
      </c>
      <c r="F448" s="53"/>
      <c r="G448" s="54">
        <v>46104</v>
      </c>
      <c r="H448" s="53" t="s">
        <v>711</v>
      </c>
      <c r="I448" s="59">
        <v>3.69</v>
      </c>
      <c r="J448" s="59"/>
      <c r="K448" s="59"/>
      <c r="L448" s="59">
        <f t="shared" si="6"/>
        <v>285175.05999999976</v>
      </c>
    </row>
    <row r="449" spans="1:12" x14ac:dyDescent="0.3">
      <c r="A449" s="52"/>
      <c r="B449" s="53" t="s">
        <v>28</v>
      </c>
      <c r="C449" s="54">
        <v>46104</v>
      </c>
      <c r="D449" s="53" t="s">
        <v>712</v>
      </c>
      <c r="E449" s="53" t="s">
        <v>236</v>
      </c>
      <c r="F449" s="53" t="s">
        <v>237</v>
      </c>
      <c r="G449" s="54">
        <v>46104</v>
      </c>
      <c r="H449" s="53" t="s">
        <v>713</v>
      </c>
      <c r="I449" s="59">
        <v>0.82</v>
      </c>
      <c r="J449" s="59"/>
      <c r="K449" s="59"/>
      <c r="L449" s="59">
        <f t="shared" si="6"/>
        <v>285175.87999999977</v>
      </c>
    </row>
    <row r="450" spans="1:12" x14ac:dyDescent="0.3">
      <c r="A450" s="52"/>
      <c r="B450" s="53" t="s">
        <v>26</v>
      </c>
      <c r="C450" s="54">
        <v>46104</v>
      </c>
      <c r="D450" s="53" t="s">
        <v>963</v>
      </c>
      <c r="E450" s="53"/>
      <c r="F450" s="53"/>
      <c r="G450" s="54"/>
      <c r="H450" s="53"/>
      <c r="I450" s="59">
        <v>12.5</v>
      </c>
      <c r="J450" s="59"/>
      <c r="K450" s="59"/>
      <c r="L450" s="59">
        <f t="shared" si="6"/>
        <v>285188.37999999977</v>
      </c>
    </row>
    <row r="451" spans="1:12" x14ac:dyDescent="0.3">
      <c r="A451" s="52"/>
      <c r="B451" s="53" t="s">
        <v>28</v>
      </c>
      <c r="C451" s="54">
        <v>46104</v>
      </c>
      <c r="D451" s="53" t="s">
        <v>714</v>
      </c>
      <c r="E451" s="53" t="s">
        <v>384</v>
      </c>
      <c r="F451" s="53"/>
      <c r="G451" s="54">
        <v>46104</v>
      </c>
      <c r="H451" s="53" t="s">
        <v>715</v>
      </c>
      <c r="I451" s="59">
        <v>1.39</v>
      </c>
      <c r="J451" s="59"/>
      <c r="K451" s="59"/>
      <c r="L451" s="59">
        <f t="shared" si="6"/>
        <v>285189.76999999979</v>
      </c>
    </row>
    <row r="452" spans="1:12" x14ac:dyDescent="0.3">
      <c r="A452" s="52"/>
      <c r="B452" s="53" t="s">
        <v>28</v>
      </c>
      <c r="C452" s="54">
        <v>46104</v>
      </c>
      <c r="D452" s="53" t="s">
        <v>716</v>
      </c>
      <c r="E452" s="53" t="s">
        <v>387</v>
      </c>
      <c r="F452" s="53"/>
      <c r="G452" s="54">
        <v>46104</v>
      </c>
      <c r="H452" s="53" t="s">
        <v>717</v>
      </c>
      <c r="I452" s="59">
        <v>40.1</v>
      </c>
      <c r="J452" s="59"/>
      <c r="K452" s="59"/>
      <c r="L452" s="59">
        <f t="shared" si="6"/>
        <v>285229.86999999976</v>
      </c>
    </row>
    <row r="453" spans="1:12" x14ac:dyDescent="0.3">
      <c r="A453" s="52"/>
      <c r="B453" s="53" t="s">
        <v>26</v>
      </c>
      <c r="C453" s="54">
        <v>46104</v>
      </c>
      <c r="D453" s="53" t="s">
        <v>964</v>
      </c>
      <c r="E453" s="53"/>
      <c r="F453" s="53"/>
      <c r="G453" s="54"/>
      <c r="H453" s="53"/>
      <c r="I453" s="59">
        <v>22.5</v>
      </c>
      <c r="J453" s="59"/>
      <c r="K453" s="59"/>
      <c r="L453" s="59">
        <f t="shared" si="6"/>
        <v>285252.36999999976</v>
      </c>
    </row>
    <row r="454" spans="1:12" x14ac:dyDescent="0.3">
      <c r="A454" s="52"/>
      <c r="B454" s="53" t="s">
        <v>28</v>
      </c>
      <c r="C454" s="54">
        <v>46104</v>
      </c>
      <c r="D454" s="53" t="s">
        <v>718</v>
      </c>
      <c r="E454" s="53" t="s">
        <v>719</v>
      </c>
      <c r="F454" s="53"/>
      <c r="G454" s="54">
        <v>46104</v>
      </c>
      <c r="H454" s="53" t="s">
        <v>720</v>
      </c>
      <c r="I454" s="59">
        <v>115.06</v>
      </c>
      <c r="J454" s="59"/>
      <c r="K454" s="59"/>
      <c r="L454" s="59">
        <f t="shared" si="6"/>
        <v>285367.42999999976</v>
      </c>
    </row>
    <row r="455" spans="1:12" x14ac:dyDescent="0.3">
      <c r="A455" s="52"/>
      <c r="B455" s="53" t="s">
        <v>28</v>
      </c>
      <c r="C455" s="54">
        <v>46104</v>
      </c>
      <c r="D455" s="53" t="s">
        <v>721</v>
      </c>
      <c r="E455" s="53" t="s">
        <v>240</v>
      </c>
      <c r="F455" s="53"/>
      <c r="G455" s="54">
        <v>46104</v>
      </c>
      <c r="H455" s="53" t="s">
        <v>722</v>
      </c>
      <c r="I455" s="59">
        <v>1.64</v>
      </c>
      <c r="J455" s="59"/>
      <c r="K455" s="59"/>
      <c r="L455" s="59">
        <f t="shared" si="6"/>
        <v>285369.06999999977</v>
      </c>
    </row>
    <row r="456" spans="1:12" x14ac:dyDescent="0.3">
      <c r="A456" s="52"/>
      <c r="B456" s="53" t="s">
        <v>28</v>
      </c>
      <c r="C456" s="54">
        <v>46104</v>
      </c>
      <c r="D456" s="53" t="s">
        <v>723</v>
      </c>
      <c r="E456" s="53" t="s">
        <v>724</v>
      </c>
      <c r="F456" s="53"/>
      <c r="G456" s="54">
        <v>46101</v>
      </c>
      <c r="H456" s="53" t="s">
        <v>725</v>
      </c>
      <c r="I456" s="59">
        <v>872.73</v>
      </c>
      <c r="J456" s="59"/>
      <c r="K456" s="59"/>
      <c r="L456" s="59">
        <f t="shared" si="6"/>
        <v>286241.79999999976</v>
      </c>
    </row>
    <row r="457" spans="1:12" x14ac:dyDescent="0.3">
      <c r="A457" s="52"/>
      <c r="B457" s="53" t="s">
        <v>26</v>
      </c>
      <c r="C457" s="54">
        <v>46104</v>
      </c>
      <c r="D457" s="53" t="s">
        <v>965</v>
      </c>
      <c r="E457" s="53"/>
      <c r="F457" s="53"/>
      <c r="G457" s="54"/>
      <c r="H457" s="53"/>
      <c r="I457" s="59">
        <v>159</v>
      </c>
      <c r="J457" s="59"/>
      <c r="K457" s="59"/>
      <c r="L457" s="59">
        <f t="shared" si="6"/>
        <v>286400.79999999976</v>
      </c>
    </row>
    <row r="458" spans="1:12" x14ac:dyDescent="0.3">
      <c r="A458" s="52"/>
      <c r="B458" s="53" t="s">
        <v>26</v>
      </c>
      <c r="C458" s="54">
        <v>46105</v>
      </c>
      <c r="D458" s="53" t="s">
        <v>966</v>
      </c>
      <c r="E458" s="53"/>
      <c r="F458" s="53"/>
      <c r="G458" s="54"/>
      <c r="H458" s="53"/>
      <c r="I458" s="59">
        <v>6.7</v>
      </c>
      <c r="J458" s="59"/>
      <c r="K458" s="59"/>
      <c r="L458" s="59">
        <f t="shared" si="6"/>
        <v>286407.49999999977</v>
      </c>
    </row>
    <row r="459" spans="1:12" x14ac:dyDescent="0.3">
      <c r="A459" s="52"/>
      <c r="B459" s="53" t="s">
        <v>26</v>
      </c>
      <c r="C459" s="54">
        <v>46105</v>
      </c>
      <c r="D459" s="53" t="s">
        <v>967</v>
      </c>
      <c r="E459" s="53"/>
      <c r="F459" s="53"/>
      <c r="G459" s="54"/>
      <c r="H459" s="53"/>
      <c r="I459" s="59">
        <v>46.9</v>
      </c>
      <c r="J459" s="59"/>
      <c r="K459" s="59"/>
      <c r="L459" s="59">
        <f t="shared" ref="L459:L522" si="7">L458+I459-K459</f>
        <v>286454.39999999979</v>
      </c>
    </row>
    <row r="460" spans="1:12" x14ac:dyDescent="0.3">
      <c r="A460" s="52"/>
      <c r="B460" s="53" t="s">
        <v>26</v>
      </c>
      <c r="C460" s="54">
        <v>46105</v>
      </c>
      <c r="D460" s="53" t="s">
        <v>968</v>
      </c>
      <c r="E460" s="53"/>
      <c r="F460" s="53"/>
      <c r="G460" s="54"/>
      <c r="H460" s="53"/>
      <c r="I460" s="59">
        <v>22</v>
      </c>
      <c r="J460" s="59"/>
      <c r="K460" s="59"/>
      <c r="L460" s="59">
        <f t="shared" si="7"/>
        <v>286476.39999999979</v>
      </c>
    </row>
    <row r="461" spans="1:12" x14ac:dyDescent="0.3">
      <c r="A461" s="52"/>
      <c r="B461" s="53" t="s">
        <v>26</v>
      </c>
      <c r="C461" s="54">
        <v>46105</v>
      </c>
      <c r="D461" s="53" t="s">
        <v>969</v>
      </c>
      <c r="E461" s="53"/>
      <c r="F461" s="53"/>
      <c r="G461" s="54"/>
      <c r="H461" s="53"/>
      <c r="I461" s="59">
        <v>160.4</v>
      </c>
      <c r="J461" s="59"/>
      <c r="K461" s="59"/>
      <c r="L461" s="59">
        <f t="shared" si="7"/>
        <v>286636.79999999981</v>
      </c>
    </row>
    <row r="462" spans="1:12" x14ac:dyDescent="0.3">
      <c r="A462" s="52"/>
      <c r="B462" s="53" t="s">
        <v>26</v>
      </c>
      <c r="C462" s="54">
        <v>46105</v>
      </c>
      <c r="D462" s="53" t="s">
        <v>970</v>
      </c>
      <c r="E462" s="53"/>
      <c r="F462" s="53"/>
      <c r="G462" s="54"/>
      <c r="H462" s="53"/>
      <c r="I462" s="59">
        <v>18</v>
      </c>
      <c r="J462" s="59"/>
      <c r="K462" s="59"/>
      <c r="L462" s="59">
        <f t="shared" si="7"/>
        <v>286654.79999999981</v>
      </c>
    </row>
    <row r="463" spans="1:12" x14ac:dyDescent="0.3">
      <c r="A463" s="52"/>
      <c r="B463" s="53" t="s">
        <v>26</v>
      </c>
      <c r="C463" s="54">
        <v>46105</v>
      </c>
      <c r="D463" s="53" t="s">
        <v>971</v>
      </c>
      <c r="E463" s="53"/>
      <c r="F463" s="53"/>
      <c r="G463" s="54"/>
      <c r="H463" s="53"/>
      <c r="I463" s="59">
        <v>36</v>
      </c>
      <c r="J463" s="59"/>
      <c r="K463" s="59"/>
      <c r="L463" s="59">
        <f t="shared" si="7"/>
        <v>286690.79999999981</v>
      </c>
    </row>
    <row r="464" spans="1:12" x14ac:dyDescent="0.3">
      <c r="A464" s="52"/>
      <c r="B464" s="53" t="s">
        <v>26</v>
      </c>
      <c r="C464" s="54">
        <v>46105</v>
      </c>
      <c r="D464" s="53" t="s">
        <v>972</v>
      </c>
      <c r="E464" s="53"/>
      <c r="F464" s="53"/>
      <c r="G464" s="54"/>
      <c r="H464" s="53"/>
      <c r="I464" s="59">
        <v>9.07</v>
      </c>
      <c r="J464" s="59"/>
      <c r="K464" s="59"/>
      <c r="L464" s="59">
        <f t="shared" si="7"/>
        <v>286699.86999999982</v>
      </c>
    </row>
    <row r="465" spans="1:12" x14ac:dyDescent="0.3">
      <c r="A465" s="52"/>
      <c r="B465" s="53" t="s">
        <v>26</v>
      </c>
      <c r="C465" s="54">
        <v>46106</v>
      </c>
      <c r="D465" s="53" t="s">
        <v>973</v>
      </c>
      <c r="E465" s="53"/>
      <c r="F465" s="53"/>
      <c r="G465" s="54"/>
      <c r="H465" s="53"/>
      <c r="I465" s="59">
        <v>1</v>
      </c>
      <c r="J465" s="59"/>
      <c r="K465" s="59"/>
      <c r="L465" s="59">
        <f t="shared" si="7"/>
        <v>286700.86999999982</v>
      </c>
    </row>
    <row r="466" spans="1:12" x14ac:dyDescent="0.3">
      <c r="A466" s="52"/>
      <c r="B466" s="53" t="s">
        <v>26</v>
      </c>
      <c r="C466" s="54">
        <v>46106</v>
      </c>
      <c r="D466" s="53" t="s">
        <v>974</v>
      </c>
      <c r="E466" s="53"/>
      <c r="F466" s="53"/>
      <c r="G466" s="54"/>
      <c r="H466" s="53"/>
      <c r="I466" s="59">
        <v>2.2000000000000002</v>
      </c>
      <c r="J466" s="59"/>
      <c r="K466" s="59"/>
      <c r="L466" s="59">
        <f t="shared" si="7"/>
        <v>286703.06999999983</v>
      </c>
    </row>
    <row r="467" spans="1:12" x14ac:dyDescent="0.3">
      <c r="A467" s="52"/>
      <c r="B467" s="53" t="s">
        <v>26</v>
      </c>
      <c r="C467" s="54">
        <v>46106</v>
      </c>
      <c r="D467" s="53" t="s">
        <v>975</v>
      </c>
      <c r="E467" s="53"/>
      <c r="F467" s="53"/>
      <c r="G467" s="54"/>
      <c r="H467" s="53"/>
      <c r="I467" s="59">
        <v>5.93</v>
      </c>
      <c r="J467" s="59"/>
      <c r="K467" s="59"/>
      <c r="L467" s="59">
        <f t="shared" si="7"/>
        <v>286708.99999999983</v>
      </c>
    </row>
    <row r="468" spans="1:12" x14ac:dyDescent="0.3">
      <c r="A468" s="52"/>
      <c r="B468" s="53" t="s">
        <v>26</v>
      </c>
      <c r="C468" s="54">
        <v>46106</v>
      </c>
      <c r="D468" s="53" t="s">
        <v>976</v>
      </c>
      <c r="E468" s="53"/>
      <c r="F468" s="53"/>
      <c r="G468" s="54"/>
      <c r="H468" s="53"/>
      <c r="I468" s="59">
        <v>8.07</v>
      </c>
      <c r="J468" s="59"/>
      <c r="K468" s="59"/>
      <c r="L468" s="59">
        <f t="shared" si="7"/>
        <v>286717.06999999983</v>
      </c>
    </row>
    <row r="469" spans="1:12" x14ac:dyDescent="0.3">
      <c r="A469" s="52"/>
      <c r="B469" s="53" t="s">
        <v>26</v>
      </c>
      <c r="C469" s="54">
        <v>46106</v>
      </c>
      <c r="D469" s="53" t="s">
        <v>977</v>
      </c>
      <c r="E469" s="53"/>
      <c r="F469" s="53"/>
      <c r="G469" s="54"/>
      <c r="H469" s="53"/>
      <c r="I469" s="59">
        <v>37</v>
      </c>
      <c r="J469" s="59"/>
      <c r="K469" s="59"/>
      <c r="L469" s="59">
        <f t="shared" si="7"/>
        <v>286754.06999999983</v>
      </c>
    </row>
    <row r="470" spans="1:12" x14ac:dyDescent="0.3">
      <c r="A470" s="52"/>
      <c r="B470" s="53" t="s">
        <v>26</v>
      </c>
      <c r="C470" s="54">
        <v>46106</v>
      </c>
      <c r="D470" s="53" t="s">
        <v>978</v>
      </c>
      <c r="E470" s="53"/>
      <c r="F470" s="53"/>
      <c r="G470" s="54"/>
      <c r="H470" s="53"/>
      <c r="I470" s="59">
        <v>8</v>
      </c>
      <c r="J470" s="59"/>
      <c r="K470" s="59"/>
      <c r="L470" s="59">
        <f t="shared" si="7"/>
        <v>286762.06999999983</v>
      </c>
    </row>
    <row r="471" spans="1:12" x14ac:dyDescent="0.3">
      <c r="A471" s="52"/>
      <c r="B471" s="53" t="s">
        <v>26</v>
      </c>
      <c r="C471" s="54">
        <v>46106</v>
      </c>
      <c r="D471" s="53" t="s">
        <v>979</v>
      </c>
      <c r="E471" s="53"/>
      <c r="F471" s="53"/>
      <c r="G471" s="54"/>
      <c r="H471" s="53"/>
      <c r="I471" s="59">
        <v>24</v>
      </c>
      <c r="J471" s="59"/>
      <c r="K471" s="59"/>
      <c r="L471" s="59">
        <f t="shared" si="7"/>
        <v>286786.06999999983</v>
      </c>
    </row>
    <row r="472" spans="1:12" x14ac:dyDescent="0.3">
      <c r="A472" s="52"/>
      <c r="B472" s="53" t="s">
        <v>26</v>
      </c>
      <c r="C472" s="54">
        <v>46107</v>
      </c>
      <c r="D472" s="53" t="s">
        <v>980</v>
      </c>
      <c r="E472" s="53"/>
      <c r="F472" s="53"/>
      <c r="G472" s="54"/>
      <c r="H472" s="53"/>
      <c r="I472" s="59">
        <v>36.4</v>
      </c>
      <c r="J472" s="59"/>
      <c r="K472" s="59"/>
      <c r="L472" s="59">
        <f t="shared" si="7"/>
        <v>286822.46999999986</v>
      </c>
    </row>
    <row r="473" spans="1:12" x14ac:dyDescent="0.3">
      <c r="A473" s="52"/>
      <c r="B473" s="53" t="s">
        <v>26</v>
      </c>
      <c r="C473" s="54">
        <v>46107</v>
      </c>
      <c r="D473" s="53" t="s">
        <v>981</v>
      </c>
      <c r="E473" s="53"/>
      <c r="F473" s="53"/>
      <c r="G473" s="54"/>
      <c r="H473" s="53"/>
      <c r="I473" s="59">
        <v>0.1</v>
      </c>
      <c r="J473" s="59"/>
      <c r="K473" s="59"/>
      <c r="L473" s="59">
        <f t="shared" si="7"/>
        <v>286822.56999999983</v>
      </c>
    </row>
    <row r="474" spans="1:12" x14ac:dyDescent="0.3">
      <c r="A474" s="52"/>
      <c r="B474" s="53" t="s">
        <v>26</v>
      </c>
      <c r="C474" s="54">
        <v>46107</v>
      </c>
      <c r="D474" s="53" t="s">
        <v>982</v>
      </c>
      <c r="E474" s="53"/>
      <c r="F474" s="53"/>
      <c r="G474" s="54"/>
      <c r="H474" s="53"/>
      <c r="I474" s="59">
        <v>4.9000000000000004</v>
      </c>
      <c r="J474" s="59"/>
      <c r="K474" s="59"/>
      <c r="L474" s="59">
        <f t="shared" si="7"/>
        <v>286827.46999999986</v>
      </c>
    </row>
    <row r="475" spans="1:12" x14ac:dyDescent="0.3">
      <c r="A475" s="52"/>
      <c r="B475" s="53" t="s">
        <v>26</v>
      </c>
      <c r="C475" s="54">
        <v>46107</v>
      </c>
      <c r="D475" s="53" t="s">
        <v>983</v>
      </c>
      <c r="E475" s="53"/>
      <c r="F475" s="53"/>
      <c r="G475" s="54"/>
      <c r="H475" s="53"/>
      <c r="I475" s="59">
        <v>8</v>
      </c>
      <c r="J475" s="59"/>
      <c r="K475" s="59"/>
      <c r="L475" s="59">
        <f t="shared" si="7"/>
        <v>286835.46999999986</v>
      </c>
    </row>
    <row r="476" spans="1:12" x14ac:dyDescent="0.3">
      <c r="A476" s="52"/>
      <c r="B476" s="53" t="s">
        <v>26</v>
      </c>
      <c r="C476" s="54">
        <v>46107</v>
      </c>
      <c r="D476" s="53" t="s">
        <v>984</v>
      </c>
      <c r="E476" s="53"/>
      <c r="F476" s="53"/>
      <c r="G476" s="54"/>
      <c r="H476" s="53"/>
      <c r="I476" s="59">
        <v>9.9</v>
      </c>
      <c r="J476" s="59"/>
      <c r="K476" s="59"/>
      <c r="L476" s="59">
        <f t="shared" si="7"/>
        <v>286845.36999999988</v>
      </c>
    </row>
    <row r="477" spans="1:12" x14ac:dyDescent="0.3">
      <c r="A477" s="52"/>
      <c r="B477" s="53" t="s">
        <v>26</v>
      </c>
      <c r="C477" s="54">
        <v>46107</v>
      </c>
      <c r="D477" s="53" t="s">
        <v>985</v>
      </c>
      <c r="E477" s="53"/>
      <c r="F477" s="53"/>
      <c r="G477" s="54"/>
      <c r="H477" s="53"/>
      <c r="I477" s="59">
        <v>5.8</v>
      </c>
      <c r="J477" s="59"/>
      <c r="K477" s="59"/>
      <c r="L477" s="59">
        <f t="shared" si="7"/>
        <v>286851.16999999987</v>
      </c>
    </row>
    <row r="478" spans="1:12" x14ac:dyDescent="0.3">
      <c r="A478" s="52"/>
      <c r="B478" s="53" t="s">
        <v>26</v>
      </c>
      <c r="C478" s="54">
        <v>46107</v>
      </c>
      <c r="D478" s="53" t="s">
        <v>986</v>
      </c>
      <c r="E478" s="53"/>
      <c r="F478" s="53"/>
      <c r="G478" s="54"/>
      <c r="H478" s="53"/>
      <c r="I478" s="59">
        <v>2.0499999999999998</v>
      </c>
      <c r="J478" s="59"/>
      <c r="K478" s="59"/>
      <c r="L478" s="59">
        <f t="shared" si="7"/>
        <v>286853.21999999986</v>
      </c>
    </row>
    <row r="479" spans="1:12" x14ac:dyDescent="0.3">
      <c r="A479" s="52"/>
      <c r="B479" s="53" t="s">
        <v>26</v>
      </c>
      <c r="C479" s="54">
        <v>46107</v>
      </c>
      <c r="D479" s="53" t="s">
        <v>988</v>
      </c>
      <c r="E479" s="53"/>
      <c r="F479" s="53"/>
      <c r="G479" s="54"/>
      <c r="H479" s="53"/>
      <c r="I479" s="59">
        <v>0.2</v>
      </c>
      <c r="J479" s="59"/>
      <c r="K479" s="59"/>
      <c r="L479" s="59">
        <f t="shared" si="7"/>
        <v>286853.41999999987</v>
      </c>
    </row>
    <row r="480" spans="1:12" x14ac:dyDescent="0.3">
      <c r="A480" s="52"/>
      <c r="B480" s="53" t="s">
        <v>26</v>
      </c>
      <c r="C480" s="54">
        <v>46107</v>
      </c>
      <c r="D480" s="53" t="s">
        <v>987</v>
      </c>
      <c r="E480" s="53"/>
      <c r="F480" s="53"/>
      <c r="G480" s="54"/>
      <c r="H480" s="53"/>
      <c r="I480" s="59">
        <v>48</v>
      </c>
      <c r="J480" s="59"/>
      <c r="K480" s="59"/>
      <c r="L480" s="59">
        <f t="shared" si="7"/>
        <v>286901.41999999987</v>
      </c>
    </row>
    <row r="481" spans="1:12" x14ac:dyDescent="0.3">
      <c r="A481" s="52"/>
      <c r="B481" s="53" t="s">
        <v>26</v>
      </c>
      <c r="C481" s="54">
        <v>46107</v>
      </c>
      <c r="D481" s="53" t="s">
        <v>989</v>
      </c>
      <c r="E481" s="53"/>
      <c r="F481" s="53"/>
      <c r="G481" s="54"/>
      <c r="H481" s="53"/>
      <c r="I481" s="59">
        <v>13</v>
      </c>
      <c r="J481" s="59"/>
      <c r="K481" s="59"/>
      <c r="L481" s="59">
        <f t="shared" si="7"/>
        <v>286914.41999999987</v>
      </c>
    </row>
    <row r="482" spans="1:12" x14ac:dyDescent="0.3">
      <c r="A482" s="52"/>
      <c r="B482" s="53" t="s">
        <v>26</v>
      </c>
      <c r="C482" s="54">
        <v>46108</v>
      </c>
      <c r="D482" s="53" t="s">
        <v>990</v>
      </c>
      <c r="E482" s="53"/>
      <c r="F482" s="53"/>
      <c r="G482" s="54"/>
      <c r="H482" s="53"/>
      <c r="I482" s="59">
        <v>0.55000000000000004</v>
      </c>
      <c r="J482" s="59"/>
      <c r="K482" s="59"/>
      <c r="L482" s="59">
        <f t="shared" si="7"/>
        <v>286914.96999999986</v>
      </c>
    </row>
    <row r="483" spans="1:12" x14ac:dyDescent="0.3">
      <c r="A483" s="52"/>
      <c r="B483" s="53" t="s">
        <v>26</v>
      </c>
      <c r="C483" s="54">
        <v>46108</v>
      </c>
      <c r="D483" s="53" t="s">
        <v>991</v>
      </c>
      <c r="E483" s="53"/>
      <c r="F483" s="53"/>
      <c r="G483" s="54"/>
      <c r="H483" s="53"/>
      <c r="I483" s="59">
        <v>29.6</v>
      </c>
      <c r="J483" s="59"/>
      <c r="K483" s="59"/>
      <c r="L483" s="59">
        <f t="shared" si="7"/>
        <v>286944.56999999983</v>
      </c>
    </row>
    <row r="484" spans="1:12" x14ac:dyDescent="0.3">
      <c r="A484" s="52"/>
      <c r="B484" s="53" t="s">
        <v>26</v>
      </c>
      <c r="C484" s="54">
        <v>46108</v>
      </c>
      <c r="D484" s="53" t="s">
        <v>992</v>
      </c>
      <c r="E484" s="53"/>
      <c r="F484" s="53"/>
      <c r="G484" s="54"/>
      <c r="H484" s="53"/>
      <c r="I484" s="59">
        <v>671.82</v>
      </c>
      <c r="J484" s="59"/>
      <c r="K484" s="59"/>
      <c r="L484" s="59">
        <f t="shared" si="7"/>
        <v>287616.38999999984</v>
      </c>
    </row>
    <row r="485" spans="1:12" x14ac:dyDescent="0.3">
      <c r="A485" s="52"/>
      <c r="B485" s="53" t="s">
        <v>28</v>
      </c>
      <c r="C485" s="54">
        <v>46108</v>
      </c>
      <c r="D485" s="53" t="s">
        <v>728</v>
      </c>
      <c r="E485" s="53" t="s">
        <v>724</v>
      </c>
      <c r="F485" s="53"/>
      <c r="G485" s="54">
        <v>46108</v>
      </c>
      <c r="H485" s="53" t="s">
        <v>501</v>
      </c>
      <c r="I485" s="59">
        <v>1163.6400000000001</v>
      </c>
      <c r="J485" s="59"/>
      <c r="K485" s="59"/>
      <c r="L485" s="59">
        <f t="shared" si="7"/>
        <v>288780.02999999985</v>
      </c>
    </row>
    <row r="486" spans="1:12" x14ac:dyDescent="0.3">
      <c r="A486" s="52"/>
      <c r="B486" s="53" t="s">
        <v>26</v>
      </c>
      <c r="C486" s="54">
        <v>46108</v>
      </c>
      <c r="D486" s="53" t="s">
        <v>993</v>
      </c>
      <c r="E486" s="53"/>
      <c r="F486" s="53"/>
      <c r="G486" s="54"/>
      <c r="H486" s="53"/>
      <c r="I486" s="59">
        <v>10.66</v>
      </c>
      <c r="J486" s="59"/>
      <c r="K486" s="59"/>
      <c r="L486" s="59">
        <f t="shared" si="7"/>
        <v>288790.68999999983</v>
      </c>
    </row>
    <row r="487" spans="1:12" x14ac:dyDescent="0.3">
      <c r="A487" s="52"/>
      <c r="B487" s="53" t="s">
        <v>26</v>
      </c>
      <c r="C487" s="54">
        <v>46108</v>
      </c>
      <c r="D487" s="53" t="s">
        <v>994</v>
      </c>
      <c r="E487" s="53"/>
      <c r="F487" s="53"/>
      <c r="G487" s="54"/>
      <c r="H487" s="53"/>
      <c r="I487" s="59">
        <v>4.4000000000000004</v>
      </c>
      <c r="J487" s="59"/>
      <c r="K487" s="59"/>
      <c r="L487" s="59">
        <f t="shared" si="7"/>
        <v>288795.08999999985</v>
      </c>
    </row>
    <row r="488" spans="1:12" x14ac:dyDescent="0.3">
      <c r="A488" s="52"/>
      <c r="B488" s="53" t="s">
        <v>26</v>
      </c>
      <c r="C488" s="54">
        <v>46108</v>
      </c>
      <c r="D488" s="53" t="s">
        <v>995</v>
      </c>
      <c r="E488" s="53"/>
      <c r="F488" s="53"/>
      <c r="G488" s="54"/>
      <c r="H488" s="53"/>
      <c r="I488" s="59">
        <v>6.2</v>
      </c>
      <c r="J488" s="59"/>
      <c r="K488" s="59"/>
      <c r="L488" s="59">
        <f t="shared" si="7"/>
        <v>288801.28999999986</v>
      </c>
    </row>
    <row r="489" spans="1:12" x14ac:dyDescent="0.3">
      <c r="A489" s="52"/>
      <c r="B489" s="53" t="s">
        <v>28</v>
      </c>
      <c r="C489" s="54">
        <v>46108</v>
      </c>
      <c r="D489" s="53" t="s">
        <v>726</v>
      </c>
      <c r="E489" s="53" t="s">
        <v>211</v>
      </c>
      <c r="F489" s="53"/>
      <c r="G489" s="54">
        <v>46107</v>
      </c>
      <c r="H489" s="53" t="s">
        <v>727</v>
      </c>
      <c r="I489" s="59">
        <v>113.08</v>
      </c>
      <c r="J489" s="59"/>
      <c r="K489" s="59"/>
      <c r="L489" s="59">
        <f t="shared" si="7"/>
        <v>288914.36999999988</v>
      </c>
    </row>
    <row r="490" spans="1:12" x14ac:dyDescent="0.3">
      <c r="A490" s="52"/>
      <c r="B490" s="53" t="s">
        <v>26</v>
      </c>
      <c r="C490" s="54">
        <v>46109</v>
      </c>
      <c r="D490" s="53" t="s">
        <v>996</v>
      </c>
      <c r="E490" s="53"/>
      <c r="F490" s="53"/>
      <c r="G490" s="54"/>
      <c r="H490" s="53"/>
      <c r="I490" s="59">
        <v>25</v>
      </c>
      <c r="J490" s="59"/>
      <c r="K490" s="59"/>
      <c r="L490" s="59">
        <f t="shared" si="7"/>
        <v>288939.36999999988</v>
      </c>
    </row>
    <row r="491" spans="1:12" x14ac:dyDescent="0.3">
      <c r="A491" s="52"/>
      <c r="B491" s="53" t="s">
        <v>26</v>
      </c>
      <c r="C491" s="54">
        <v>46109</v>
      </c>
      <c r="D491" s="53" t="s">
        <v>997</v>
      </c>
      <c r="E491" s="53"/>
      <c r="F491" s="53"/>
      <c r="G491" s="54"/>
      <c r="H491" s="53"/>
      <c r="I491" s="59">
        <v>9</v>
      </c>
      <c r="J491" s="59"/>
      <c r="K491" s="59"/>
      <c r="L491" s="59">
        <f t="shared" si="7"/>
        <v>288948.36999999988</v>
      </c>
    </row>
    <row r="492" spans="1:12" x14ac:dyDescent="0.3">
      <c r="A492" s="52"/>
      <c r="B492" s="53" t="s">
        <v>26</v>
      </c>
      <c r="C492" s="54">
        <v>46109</v>
      </c>
      <c r="D492" s="53" t="s">
        <v>998</v>
      </c>
      <c r="E492" s="53"/>
      <c r="F492" s="53"/>
      <c r="G492" s="54"/>
      <c r="H492" s="53"/>
      <c r="I492" s="59">
        <v>34.74</v>
      </c>
      <c r="J492" s="59"/>
      <c r="K492" s="59"/>
      <c r="L492" s="59">
        <f t="shared" si="7"/>
        <v>288983.10999999987</v>
      </c>
    </row>
    <row r="493" spans="1:12" x14ac:dyDescent="0.3">
      <c r="A493" s="52"/>
      <c r="B493" s="53" t="s">
        <v>26</v>
      </c>
      <c r="C493" s="54">
        <v>46109</v>
      </c>
      <c r="D493" s="53" t="s">
        <v>999</v>
      </c>
      <c r="E493" s="53"/>
      <c r="F493" s="53"/>
      <c r="G493" s="54"/>
      <c r="H493" s="53"/>
      <c r="I493" s="59">
        <v>10</v>
      </c>
      <c r="J493" s="59"/>
      <c r="K493" s="59"/>
      <c r="L493" s="59">
        <f t="shared" si="7"/>
        <v>288993.10999999987</v>
      </c>
    </row>
    <row r="494" spans="1:12" x14ac:dyDescent="0.3">
      <c r="A494" s="52"/>
      <c r="B494" s="53" t="s">
        <v>26</v>
      </c>
      <c r="C494" s="54">
        <v>46110</v>
      </c>
      <c r="D494" s="53" t="s">
        <v>1000</v>
      </c>
      <c r="E494" s="53"/>
      <c r="F494" s="53"/>
      <c r="G494" s="54"/>
      <c r="H494" s="53"/>
      <c r="I494" s="59">
        <v>44.5</v>
      </c>
      <c r="J494" s="59"/>
      <c r="K494" s="59"/>
      <c r="L494" s="59">
        <f t="shared" si="7"/>
        <v>289037.60999999987</v>
      </c>
    </row>
    <row r="495" spans="1:12" x14ac:dyDescent="0.3">
      <c r="A495" s="52"/>
      <c r="B495" s="53" t="s">
        <v>26</v>
      </c>
      <c r="C495" s="54">
        <v>46111</v>
      </c>
      <c r="D495" s="53" t="s">
        <v>729</v>
      </c>
      <c r="E495" s="53"/>
      <c r="F495" s="53"/>
      <c r="G495" s="54"/>
      <c r="H495" s="53"/>
      <c r="I495" s="59">
        <v>486</v>
      </c>
      <c r="J495" s="59"/>
      <c r="K495" s="59"/>
      <c r="L495" s="59">
        <f t="shared" si="7"/>
        <v>289523.60999999987</v>
      </c>
    </row>
    <row r="496" spans="1:12" x14ac:dyDescent="0.3">
      <c r="A496" s="52"/>
      <c r="B496" s="53" t="s">
        <v>26</v>
      </c>
      <c r="C496" s="54">
        <v>46111</v>
      </c>
      <c r="D496" s="53" t="s">
        <v>1001</v>
      </c>
      <c r="E496" s="53"/>
      <c r="F496" s="53"/>
      <c r="G496" s="54"/>
      <c r="H496" s="53"/>
      <c r="I496" s="59">
        <v>17.95</v>
      </c>
      <c r="J496" s="59"/>
      <c r="K496" s="59"/>
      <c r="L496" s="59">
        <f t="shared" si="7"/>
        <v>289541.55999999988</v>
      </c>
    </row>
    <row r="497" spans="1:12" x14ac:dyDescent="0.3">
      <c r="A497" s="52"/>
      <c r="B497" s="53" t="s">
        <v>26</v>
      </c>
      <c r="C497" s="54">
        <v>46111</v>
      </c>
      <c r="D497" s="53" t="s">
        <v>1197</v>
      </c>
      <c r="E497" s="53"/>
      <c r="F497" s="53"/>
      <c r="G497" s="54"/>
      <c r="H497" s="53"/>
      <c r="I497" s="59">
        <v>13</v>
      </c>
      <c r="J497" s="59"/>
      <c r="K497" s="59"/>
      <c r="L497" s="59">
        <f t="shared" si="7"/>
        <v>289554.55999999988</v>
      </c>
    </row>
    <row r="498" spans="1:12" x14ac:dyDescent="0.3">
      <c r="A498" s="52"/>
      <c r="B498" s="53" t="s">
        <v>26</v>
      </c>
      <c r="C498" s="54">
        <v>46111</v>
      </c>
      <c r="D498" s="53" t="s">
        <v>1198</v>
      </c>
      <c r="E498" s="53"/>
      <c r="F498" s="53"/>
      <c r="G498" s="54"/>
      <c r="H498" s="53"/>
      <c r="I498" s="59">
        <v>3.9</v>
      </c>
      <c r="J498" s="59"/>
      <c r="K498" s="59"/>
      <c r="L498" s="59">
        <f t="shared" si="7"/>
        <v>289558.4599999999</v>
      </c>
    </row>
    <row r="499" spans="1:12" x14ac:dyDescent="0.3">
      <c r="A499" s="52"/>
      <c r="B499" s="53" t="s">
        <v>26</v>
      </c>
      <c r="C499" s="54">
        <v>46111</v>
      </c>
      <c r="D499" s="53" t="s">
        <v>1199</v>
      </c>
      <c r="E499" s="53"/>
      <c r="F499" s="53"/>
      <c r="G499" s="54"/>
      <c r="H499" s="53"/>
      <c r="I499" s="59">
        <v>13.2</v>
      </c>
      <c r="J499" s="59"/>
      <c r="K499" s="59"/>
      <c r="L499" s="59">
        <f t="shared" si="7"/>
        <v>289571.65999999992</v>
      </c>
    </row>
    <row r="500" spans="1:12" x14ac:dyDescent="0.3">
      <c r="A500" s="52"/>
      <c r="B500" s="53" t="s">
        <v>28</v>
      </c>
      <c r="C500" s="54">
        <v>46111</v>
      </c>
      <c r="D500" s="53" t="s">
        <v>732</v>
      </c>
      <c r="E500" s="53" t="s">
        <v>733</v>
      </c>
      <c r="F500" s="53"/>
      <c r="G500" s="54">
        <v>46094</v>
      </c>
      <c r="H500" s="53" t="s">
        <v>734</v>
      </c>
      <c r="I500" s="59">
        <v>1163.6400000000001</v>
      </c>
      <c r="J500" s="59"/>
      <c r="K500" s="59"/>
      <c r="L500" s="59">
        <f t="shared" si="7"/>
        <v>290735.29999999993</v>
      </c>
    </row>
    <row r="501" spans="1:12" x14ac:dyDescent="0.3">
      <c r="A501" s="52"/>
      <c r="B501" s="53" t="s">
        <v>26</v>
      </c>
      <c r="C501" s="54">
        <v>46111</v>
      </c>
      <c r="D501" s="53" t="s">
        <v>1200</v>
      </c>
      <c r="E501" s="53"/>
      <c r="F501" s="53"/>
      <c r="G501" s="54"/>
      <c r="H501" s="53"/>
      <c r="I501" s="59">
        <v>5.5</v>
      </c>
      <c r="J501" s="59"/>
      <c r="K501" s="59"/>
      <c r="L501" s="59">
        <f t="shared" si="7"/>
        <v>290740.79999999993</v>
      </c>
    </row>
    <row r="502" spans="1:12" x14ac:dyDescent="0.3">
      <c r="A502" s="52"/>
      <c r="B502" s="53" t="s">
        <v>26</v>
      </c>
      <c r="C502" s="54">
        <v>46111</v>
      </c>
      <c r="D502" s="53" t="s">
        <v>1002</v>
      </c>
      <c r="E502" s="53"/>
      <c r="F502" s="53"/>
      <c r="G502" s="54"/>
      <c r="H502" s="53"/>
      <c r="I502" s="59">
        <v>10</v>
      </c>
      <c r="J502" s="59"/>
      <c r="K502" s="59"/>
      <c r="L502" s="59">
        <f t="shared" si="7"/>
        <v>290750.79999999993</v>
      </c>
    </row>
    <row r="503" spans="1:12" x14ac:dyDescent="0.3">
      <c r="A503" s="52"/>
      <c r="B503" s="53" t="s">
        <v>28</v>
      </c>
      <c r="C503" s="54">
        <v>46111</v>
      </c>
      <c r="D503" s="53" t="s">
        <v>730</v>
      </c>
      <c r="E503" s="53" t="s">
        <v>194</v>
      </c>
      <c r="F503" s="53"/>
      <c r="G503" s="54">
        <v>46101</v>
      </c>
      <c r="H503" s="53" t="s">
        <v>731</v>
      </c>
      <c r="I503" s="59">
        <v>136.36000000000001</v>
      </c>
      <c r="J503" s="59"/>
      <c r="K503" s="59"/>
      <c r="L503" s="59">
        <f t="shared" si="7"/>
        <v>290887.15999999992</v>
      </c>
    </row>
    <row r="504" spans="1:12" x14ac:dyDescent="0.3">
      <c r="A504" s="52"/>
      <c r="B504" s="53" t="s">
        <v>26</v>
      </c>
      <c r="C504" s="54">
        <v>46112</v>
      </c>
      <c r="D504" s="53" t="s">
        <v>1201</v>
      </c>
      <c r="E504" s="53"/>
      <c r="F504" s="53"/>
      <c r="G504" s="54"/>
      <c r="H504" s="53"/>
      <c r="I504" s="59"/>
      <c r="J504" s="59"/>
      <c r="K504" s="59">
        <v>0.03</v>
      </c>
      <c r="L504" s="59">
        <f t="shared" si="7"/>
        <v>290887.12999999989</v>
      </c>
    </row>
    <row r="505" spans="1:12" x14ac:dyDescent="0.3">
      <c r="A505" s="52"/>
      <c r="B505" s="53" t="s">
        <v>26</v>
      </c>
      <c r="C505" s="54">
        <v>46112</v>
      </c>
      <c r="D505" s="53" t="s">
        <v>1003</v>
      </c>
      <c r="E505" s="53"/>
      <c r="F505" s="53"/>
      <c r="G505" s="54"/>
      <c r="H505" s="53"/>
      <c r="I505" s="59">
        <v>2</v>
      </c>
      <c r="J505" s="59"/>
      <c r="K505" s="59"/>
      <c r="L505" s="59">
        <f t="shared" si="7"/>
        <v>290889.12999999989</v>
      </c>
    </row>
    <row r="506" spans="1:12" x14ac:dyDescent="0.3">
      <c r="A506" s="52"/>
      <c r="B506" s="53" t="s">
        <v>26</v>
      </c>
      <c r="C506" s="54">
        <v>46112</v>
      </c>
      <c r="D506" s="53" t="s">
        <v>1627</v>
      </c>
      <c r="E506" s="53"/>
      <c r="F506" s="53"/>
      <c r="G506" s="54"/>
      <c r="H506" s="53"/>
      <c r="I506" s="59">
        <v>341.67</v>
      </c>
      <c r="J506" s="59"/>
      <c r="K506" s="59"/>
      <c r="L506" s="59">
        <f t="shared" si="7"/>
        <v>291230.79999999987</v>
      </c>
    </row>
    <row r="507" spans="1:12" x14ac:dyDescent="0.3">
      <c r="A507" s="52"/>
      <c r="B507" s="53" t="s">
        <v>26</v>
      </c>
      <c r="C507" s="54">
        <v>46112</v>
      </c>
      <c r="D507" s="53" t="s">
        <v>1202</v>
      </c>
      <c r="E507" s="53"/>
      <c r="F507" s="53"/>
      <c r="G507" s="54"/>
      <c r="H507" s="53"/>
      <c r="I507" s="59">
        <v>278.75</v>
      </c>
      <c r="J507" s="59"/>
      <c r="K507" s="59"/>
      <c r="L507" s="59">
        <f t="shared" si="7"/>
        <v>291509.54999999987</v>
      </c>
    </row>
    <row r="508" spans="1:12" x14ac:dyDescent="0.3">
      <c r="A508" s="52"/>
      <c r="B508" s="53" t="s">
        <v>26</v>
      </c>
      <c r="C508" s="54">
        <v>46112</v>
      </c>
      <c r="D508" s="53" t="s">
        <v>1203</v>
      </c>
      <c r="E508" s="53"/>
      <c r="F508" s="53"/>
      <c r="G508" s="54"/>
      <c r="H508" s="53"/>
      <c r="I508" s="59">
        <v>19.95</v>
      </c>
      <c r="J508" s="59"/>
      <c r="K508" s="59"/>
      <c r="L508" s="59">
        <f t="shared" si="7"/>
        <v>291529.49999999988</v>
      </c>
    </row>
    <row r="509" spans="1:12" x14ac:dyDescent="0.3">
      <c r="A509" s="52"/>
      <c r="B509" s="53" t="s">
        <v>26</v>
      </c>
      <c r="C509" s="54">
        <v>46112</v>
      </c>
      <c r="D509" s="53" t="s">
        <v>1204</v>
      </c>
      <c r="E509" s="53"/>
      <c r="F509" s="53"/>
      <c r="G509" s="54"/>
      <c r="H509" s="53"/>
      <c r="I509" s="59">
        <v>12</v>
      </c>
      <c r="J509" s="59"/>
      <c r="K509" s="59"/>
      <c r="L509" s="59">
        <f t="shared" si="7"/>
        <v>291541.49999999988</v>
      </c>
    </row>
    <row r="510" spans="1:12" x14ac:dyDescent="0.3">
      <c r="A510" s="52"/>
      <c r="B510" s="53" t="s">
        <v>28</v>
      </c>
      <c r="C510" s="54">
        <v>46112</v>
      </c>
      <c r="D510" s="53" t="s">
        <v>744</v>
      </c>
      <c r="E510" s="53" t="s">
        <v>276</v>
      </c>
      <c r="F510" s="53" t="s">
        <v>740</v>
      </c>
      <c r="G510" s="54">
        <v>46111</v>
      </c>
      <c r="H510" s="53" t="s">
        <v>741</v>
      </c>
      <c r="I510" s="59">
        <v>110</v>
      </c>
      <c r="J510" s="59"/>
      <c r="K510" s="59"/>
      <c r="L510" s="59">
        <f t="shared" si="7"/>
        <v>291651.49999999988</v>
      </c>
    </row>
    <row r="511" spans="1:12" x14ac:dyDescent="0.3">
      <c r="A511" s="52"/>
      <c r="B511" s="53" t="s">
        <v>26</v>
      </c>
      <c r="C511" s="54">
        <v>46112</v>
      </c>
      <c r="D511" s="53" t="s">
        <v>1205</v>
      </c>
      <c r="E511" s="53"/>
      <c r="F511" s="53"/>
      <c r="G511" s="54"/>
      <c r="H511" s="53"/>
      <c r="I511" s="59">
        <v>7.1</v>
      </c>
      <c r="J511" s="59"/>
      <c r="K511" s="59"/>
      <c r="L511" s="59">
        <f t="shared" si="7"/>
        <v>291658.59999999986</v>
      </c>
    </row>
    <row r="512" spans="1:12" x14ac:dyDescent="0.3">
      <c r="A512" s="52"/>
      <c r="B512" s="53" t="s">
        <v>26</v>
      </c>
      <c r="C512" s="54">
        <v>46112</v>
      </c>
      <c r="D512" s="53" t="s">
        <v>1206</v>
      </c>
      <c r="E512" s="53"/>
      <c r="F512" s="53"/>
      <c r="G512" s="54"/>
      <c r="H512" s="53"/>
      <c r="I512" s="59">
        <v>150</v>
      </c>
      <c r="J512" s="59"/>
      <c r="K512" s="59"/>
      <c r="L512" s="59">
        <f t="shared" si="7"/>
        <v>291808.59999999986</v>
      </c>
    </row>
    <row r="513" spans="1:12" x14ac:dyDescent="0.3">
      <c r="A513" s="52"/>
      <c r="B513" s="53" t="s">
        <v>26</v>
      </c>
      <c r="C513" s="54">
        <v>46112</v>
      </c>
      <c r="D513" s="53" t="s">
        <v>1207</v>
      </c>
      <c r="E513" s="53"/>
      <c r="F513" s="53"/>
      <c r="G513" s="54"/>
      <c r="H513" s="53"/>
      <c r="I513" s="59">
        <v>16</v>
      </c>
      <c r="J513" s="59"/>
      <c r="K513" s="59"/>
      <c r="L513" s="59">
        <f t="shared" si="7"/>
        <v>291824.59999999986</v>
      </c>
    </row>
    <row r="514" spans="1:12" x14ac:dyDescent="0.3">
      <c r="A514" s="52"/>
      <c r="B514" s="53" t="s">
        <v>26</v>
      </c>
      <c r="C514" s="54">
        <v>46112</v>
      </c>
      <c r="D514" s="53" t="s">
        <v>1208</v>
      </c>
      <c r="E514" s="53"/>
      <c r="F514" s="53"/>
      <c r="G514" s="54"/>
      <c r="H514" s="53"/>
      <c r="I514" s="59">
        <v>18.5</v>
      </c>
      <c r="J514" s="59"/>
      <c r="K514" s="59"/>
      <c r="L514" s="59">
        <f t="shared" si="7"/>
        <v>291843.09999999986</v>
      </c>
    </row>
    <row r="515" spans="1:12" x14ac:dyDescent="0.3">
      <c r="A515" s="52"/>
      <c r="B515" s="53" t="s">
        <v>28</v>
      </c>
      <c r="C515" s="54">
        <v>46112</v>
      </c>
      <c r="D515" s="53" t="s">
        <v>742</v>
      </c>
      <c r="E515" s="53" t="s">
        <v>194</v>
      </c>
      <c r="F515" s="53"/>
      <c r="G515" s="54">
        <v>46112</v>
      </c>
      <c r="H515" s="53" t="s">
        <v>743</v>
      </c>
      <c r="I515" s="59">
        <v>190.91</v>
      </c>
      <c r="J515" s="59"/>
      <c r="K515" s="59"/>
      <c r="L515" s="59">
        <f t="shared" si="7"/>
        <v>292034.00999999983</v>
      </c>
    </row>
    <row r="516" spans="1:12" x14ac:dyDescent="0.3">
      <c r="A516" s="52"/>
      <c r="B516" s="53" t="s">
        <v>28</v>
      </c>
      <c r="C516" s="54">
        <v>46112</v>
      </c>
      <c r="D516" s="53" t="s">
        <v>739</v>
      </c>
      <c r="E516" s="53" t="s">
        <v>276</v>
      </c>
      <c r="F516" s="53" t="s">
        <v>740</v>
      </c>
      <c r="G516" s="54">
        <v>46111</v>
      </c>
      <c r="H516" s="53" t="s">
        <v>741</v>
      </c>
      <c r="I516" s="59">
        <v>110</v>
      </c>
      <c r="J516" s="59"/>
      <c r="K516" s="59"/>
      <c r="L516" s="59">
        <f t="shared" si="7"/>
        <v>292144.00999999983</v>
      </c>
    </row>
    <row r="517" spans="1:12" x14ac:dyDescent="0.3">
      <c r="A517" s="52"/>
      <c r="B517" s="53" t="s">
        <v>26</v>
      </c>
      <c r="C517" s="54">
        <v>46112</v>
      </c>
      <c r="D517" s="53" t="s">
        <v>1004</v>
      </c>
      <c r="E517" s="53"/>
      <c r="F517" s="53"/>
      <c r="G517" s="54"/>
      <c r="H517" s="53"/>
      <c r="I517" s="59">
        <v>305.20999999999998</v>
      </c>
      <c r="J517" s="59"/>
      <c r="K517" s="59"/>
      <c r="L517" s="59">
        <f t="shared" si="7"/>
        <v>292449.21999999986</v>
      </c>
    </row>
    <row r="518" spans="1:12" x14ac:dyDescent="0.3">
      <c r="A518" s="52"/>
      <c r="B518" s="53" t="s">
        <v>26</v>
      </c>
      <c r="C518" s="54">
        <v>46112</v>
      </c>
      <c r="D518" s="53" t="s">
        <v>1209</v>
      </c>
      <c r="E518" s="53"/>
      <c r="F518" s="53"/>
      <c r="G518" s="54"/>
      <c r="H518" s="53"/>
      <c r="I518" s="59">
        <v>0.03</v>
      </c>
      <c r="J518" s="59"/>
      <c r="K518" s="59"/>
      <c r="L518" s="59">
        <f t="shared" si="7"/>
        <v>292449.24999999988</v>
      </c>
    </row>
    <row r="519" spans="1:12" x14ac:dyDescent="0.3">
      <c r="A519" s="52"/>
      <c r="B519" s="53" t="s">
        <v>28</v>
      </c>
      <c r="C519" s="54">
        <v>46112</v>
      </c>
      <c r="D519" s="53" t="s">
        <v>735</v>
      </c>
      <c r="E519" s="53" t="s">
        <v>736</v>
      </c>
      <c r="F519" s="53" t="s">
        <v>737</v>
      </c>
      <c r="G519" s="54">
        <v>46112</v>
      </c>
      <c r="H519" s="53" t="s">
        <v>738</v>
      </c>
      <c r="I519" s="59">
        <v>80.59</v>
      </c>
      <c r="J519" s="59"/>
      <c r="K519" s="59"/>
      <c r="L519" s="59">
        <f t="shared" si="7"/>
        <v>292529.83999999991</v>
      </c>
    </row>
    <row r="520" spans="1:12" x14ac:dyDescent="0.3">
      <c r="A520" s="52"/>
      <c r="B520" s="53" t="s">
        <v>26</v>
      </c>
      <c r="C520" s="54">
        <v>46112</v>
      </c>
      <c r="D520" s="53" t="s">
        <v>1210</v>
      </c>
      <c r="E520" s="53"/>
      <c r="F520" s="53"/>
      <c r="G520" s="54"/>
      <c r="H520" s="53"/>
      <c r="I520" s="59">
        <v>2.8</v>
      </c>
      <c r="J520" s="59"/>
      <c r="K520" s="59"/>
      <c r="L520" s="59">
        <f t="shared" si="7"/>
        <v>292532.6399999999</v>
      </c>
    </row>
    <row r="521" spans="1:12" x14ac:dyDescent="0.3">
      <c r="A521" s="52"/>
      <c r="B521" s="53" t="s">
        <v>26</v>
      </c>
      <c r="C521" s="54">
        <v>46112</v>
      </c>
      <c r="D521" s="53" t="s">
        <v>1211</v>
      </c>
      <c r="E521" s="53"/>
      <c r="F521" s="53"/>
      <c r="G521" s="54"/>
      <c r="H521" s="53"/>
      <c r="I521" s="59">
        <v>114</v>
      </c>
      <c r="J521" s="59"/>
      <c r="K521" s="59"/>
      <c r="L521" s="59">
        <f t="shared" si="7"/>
        <v>292646.6399999999</v>
      </c>
    </row>
    <row r="522" spans="1:12" x14ac:dyDescent="0.3">
      <c r="A522" s="52"/>
      <c r="B522" s="53" t="s">
        <v>26</v>
      </c>
      <c r="C522" s="54">
        <v>46113</v>
      </c>
      <c r="D522" s="53" t="s">
        <v>1212</v>
      </c>
      <c r="E522" s="53"/>
      <c r="F522" s="53"/>
      <c r="G522" s="54"/>
      <c r="H522" s="53"/>
      <c r="I522" s="59">
        <v>10.6</v>
      </c>
      <c r="J522" s="59"/>
      <c r="K522" s="59"/>
      <c r="L522" s="59">
        <f t="shared" si="7"/>
        <v>292657.23999999987</v>
      </c>
    </row>
    <row r="523" spans="1:12" x14ac:dyDescent="0.3">
      <c r="A523" s="52"/>
      <c r="B523" s="53" t="s">
        <v>26</v>
      </c>
      <c r="C523" s="54">
        <v>46113</v>
      </c>
      <c r="D523" s="53" t="s">
        <v>1213</v>
      </c>
      <c r="E523" s="53"/>
      <c r="F523" s="53"/>
      <c r="G523" s="54"/>
      <c r="H523" s="53"/>
      <c r="I523" s="59">
        <v>16</v>
      </c>
      <c r="J523" s="59"/>
      <c r="K523" s="59"/>
      <c r="L523" s="59">
        <f t="shared" ref="L523:L586" si="8">L522+I523-K523</f>
        <v>292673.23999999987</v>
      </c>
    </row>
    <row r="524" spans="1:12" x14ac:dyDescent="0.3">
      <c r="A524" s="52"/>
      <c r="B524" s="53" t="s">
        <v>26</v>
      </c>
      <c r="C524" s="54">
        <v>46113</v>
      </c>
      <c r="D524" s="53" t="s">
        <v>1214</v>
      </c>
      <c r="E524" s="53"/>
      <c r="F524" s="53"/>
      <c r="G524" s="54"/>
      <c r="H524" s="53"/>
      <c r="I524" s="59">
        <v>16</v>
      </c>
      <c r="J524" s="59"/>
      <c r="K524" s="59"/>
      <c r="L524" s="59">
        <f t="shared" si="8"/>
        <v>292689.23999999987</v>
      </c>
    </row>
    <row r="525" spans="1:12" x14ac:dyDescent="0.3">
      <c r="A525" s="52"/>
      <c r="B525" s="53" t="s">
        <v>26</v>
      </c>
      <c r="C525" s="54">
        <v>46113</v>
      </c>
      <c r="D525" s="53" t="s">
        <v>1215</v>
      </c>
      <c r="E525" s="53"/>
      <c r="F525" s="53"/>
      <c r="G525" s="54"/>
      <c r="H525" s="53"/>
      <c r="I525" s="59">
        <v>2.2000000000000002</v>
      </c>
      <c r="J525" s="59"/>
      <c r="K525" s="59"/>
      <c r="L525" s="59">
        <f t="shared" si="8"/>
        <v>292691.43999999989</v>
      </c>
    </row>
    <row r="526" spans="1:12" x14ac:dyDescent="0.3">
      <c r="A526" s="52"/>
      <c r="B526" s="53" t="s">
        <v>26</v>
      </c>
      <c r="C526" s="54">
        <v>46113</v>
      </c>
      <c r="D526" s="53" t="s">
        <v>1216</v>
      </c>
      <c r="E526" s="53"/>
      <c r="F526" s="53"/>
      <c r="G526" s="54"/>
      <c r="H526" s="53"/>
      <c r="I526" s="59">
        <v>12.6</v>
      </c>
      <c r="J526" s="59"/>
      <c r="K526" s="59"/>
      <c r="L526" s="59">
        <f t="shared" si="8"/>
        <v>292704.03999999986</v>
      </c>
    </row>
    <row r="527" spans="1:12" x14ac:dyDescent="0.3">
      <c r="A527" s="52"/>
      <c r="B527" s="53" t="s">
        <v>26</v>
      </c>
      <c r="C527" s="54">
        <v>46113</v>
      </c>
      <c r="D527" s="53" t="s">
        <v>1217</v>
      </c>
      <c r="E527" s="53"/>
      <c r="F527" s="53"/>
      <c r="G527" s="54"/>
      <c r="H527" s="53"/>
      <c r="I527" s="59">
        <v>10</v>
      </c>
      <c r="J527" s="59"/>
      <c r="K527" s="59"/>
      <c r="L527" s="59">
        <f t="shared" si="8"/>
        <v>292714.03999999986</v>
      </c>
    </row>
    <row r="528" spans="1:12" x14ac:dyDescent="0.3">
      <c r="A528" s="52"/>
      <c r="B528" s="53" t="s">
        <v>26</v>
      </c>
      <c r="C528" s="54">
        <v>46113</v>
      </c>
      <c r="D528" s="53" t="s">
        <v>1218</v>
      </c>
      <c r="E528" s="53"/>
      <c r="F528" s="53"/>
      <c r="G528" s="54"/>
      <c r="H528" s="53"/>
      <c r="I528" s="59">
        <v>125.1</v>
      </c>
      <c r="J528" s="59"/>
      <c r="K528" s="59"/>
      <c r="L528" s="59">
        <f t="shared" si="8"/>
        <v>292839.13999999984</v>
      </c>
    </row>
    <row r="529" spans="1:12" x14ac:dyDescent="0.3">
      <c r="A529" s="52"/>
      <c r="B529" s="53" t="s">
        <v>26</v>
      </c>
      <c r="C529" s="54">
        <v>46113</v>
      </c>
      <c r="D529" s="53" t="s">
        <v>1219</v>
      </c>
      <c r="E529" s="53"/>
      <c r="F529" s="53"/>
      <c r="G529" s="54"/>
      <c r="H529" s="53"/>
      <c r="I529" s="59">
        <v>13.2</v>
      </c>
      <c r="J529" s="59"/>
      <c r="K529" s="59"/>
      <c r="L529" s="59">
        <f t="shared" si="8"/>
        <v>292852.33999999985</v>
      </c>
    </row>
    <row r="530" spans="1:12" x14ac:dyDescent="0.3">
      <c r="A530" s="52"/>
      <c r="B530" s="53" t="s">
        <v>26</v>
      </c>
      <c r="C530" s="54">
        <v>46113</v>
      </c>
      <c r="D530" s="53" t="s">
        <v>1220</v>
      </c>
      <c r="E530" s="53"/>
      <c r="F530" s="53"/>
      <c r="G530" s="54"/>
      <c r="H530" s="53"/>
      <c r="I530" s="59">
        <v>58.2</v>
      </c>
      <c r="J530" s="59"/>
      <c r="K530" s="59"/>
      <c r="L530" s="59">
        <f t="shared" si="8"/>
        <v>292910.53999999986</v>
      </c>
    </row>
    <row r="531" spans="1:12" x14ac:dyDescent="0.3">
      <c r="A531" s="52"/>
      <c r="B531" s="53" t="s">
        <v>26</v>
      </c>
      <c r="C531" s="54">
        <v>46113</v>
      </c>
      <c r="D531" s="53" t="s">
        <v>1221</v>
      </c>
      <c r="E531" s="53"/>
      <c r="F531" s="53"/>
      <c r="G531" s="54"/>
      <c r="H531" s="53"/>
      <c r="I531" s="59">
        <v>17.850000000000001</v>
      </c>
      <c r="J531" s="59"/>
      <c r="K531" s="59"/>
      <c r="L531" s="59">
        <f t="shared" si="8"/>
        <v>292928.38999999984</v>
      </c>
    </row>
    <row r="532" spans="1:12" x14ac:dyDescent="0.3">
      <c r="A532" s="52"/>
      <c r="B532" s="53" t="s">
        <v>26</v>
      </c>
      <c r="C532" s="54">
        <v>46113</v>
      </c>
      <c r="D532" s="53" t="s">
        <v>1222</v>
      </c>
      <c r="E532" s="53"/>
      <c r="F532" s="53"/>
      <c r="G532" s="54"/>
      <c r="H532" s="53"/>
      <c r="I532" s="59">
        <v>8</v>
      </c>
      <c r="J532" s="59"/>
      <c r="K532" s="59"/>
      <c r="L532" s="59">
        <f t="shared" si="8"/>
        <v>292936.38999999984</v>
      </c>
    </row>
    <row r="533" spans="1:12" x14ac:dyDescent="0.3">
      <c r="A533" s="52"/>
      <c r="B533" s="53" t="s">
        <v>26</v>
      </c>
      <c r="C533" s="54">
        <v>46114</v>
      </c>
      <c r="D533" s="53" t="s">
        <v>1223</v>
      </c>
      <c r="E533" s="53"/>
      <c r="F533" s="53"/>
      <c r="G533" s="54"/>
      <c r="H533" s="53"/>
      <c r="I533" s="59">
        <v>37</v>
      </c>
      <c r="J533" s="59"/>
      <c r="K533" s="59"/>
      <c r="L533" s="59">
        <f t="shared" si="8"/>
        <v>292973.38999999984</v>
      </c>
    </row>
    <row r="534" spans="1:12" x14ac:dyDescent="0.3">
      <c r="A534" s="52"/>
      <c r="B534" s="53" t="s">
        <v>26</v>
      </c>
      <c r="C534" s="54">
        <v>46114</v>
      </c>
      <c r="D534" s="53" t="s">
        <v>1224</v>
      </c>
      <c r="E534" s="53"/>
      <c r="F534" s="53"/>
      <c r="G534" s="54"/>
      <c r="H534" s="53"/>
      <c r="I534" s="59">
        <v>21.69</v>
      </c>
      <c r="J534" s="59"/>
      <c r="K534" s="59"/>
      <c r="L534" s="59">
        <f t="shared" si="8"/>
        <v>292995.07999999984</v>
      </c>
    </row>
    <row r="535" spans="1:12" x14ac:dyDescent="0.3">
      <c r="A535" s="52"/>
      <c r="B535" s="53" t="s">
        <v>26</v>
      </c>
      <c r="C535" s="54">
        <v>46114</v>
      </c>
      <c r="D535" s="53" t="s">
        <v>1225</v>
      </c>
      <c r="E535" s="53"/>
      <c r="F535" s="53"/>
      <c r="G535" s="54"/>
      <c r="H535" s="53"/>
      <c r="I535" s="59">
        <v>10.36</v>
      </c>
      <c r="J535" s="59"/>
      <c r="K535" s="59"/>
      <c r="L535" s="59">
        <f t="shared" si="8"/>
        <v>293005.43999999983</v>
      </c>
    </row>
    <row r="536" spans="1:12" x14ac:dyDescent="0.3">
      <c r="A536" s="52"/>
      <c r="B536" s="53" t="s">
        <v>26</v>
      </c>
      <c r="C536" s="54">
        <v>46114</v>
      </c>
      <c r="D536" s="53" t="s">
        <v>1226</v>
      </c>
      <c r="E536" s="53"/>
      <c r="F536" s="53"/>
      <c r="G536" s="54"/>
      <c r="H536" s="53"/>
      <c r="I536" s="59">
        <v>50</v>
      </c>
      <c r="J536" s="59"/>
      <c r="K536" s="59"/>
      <c r="L536" s="59">
        <f t="shared" si="8"/>
        <v>293055.43999999983</v>
      </c>
    </row>
    <row r="537" spans="1:12" x14ac:dyDescent="0.3">
      <c r="A537" s="52"/>
      <c r="B537" s="53" t="s">
        <v>26</v>
      </c>
      <c r="C537" s="54">
        <v>46114</v>
      </c>
      <c r="D537" s="53" t="s">
        <v>1227</v>
      </c>
      <c r="E537" s="53"/>
      <c r="F537" s="53"/>
      <c r="G537" s="54"/>
      <c r="H537" s="53"/>
      <c r="I537" s="59">
        <v>24</v>
      </c>
      <c r="J537" s="59"/>
      <c r="K537" s="59"/>
      <c r="L537" s="59">
        <f t="shared" si="8"/>
        <v>293079.43999999983</v>
      </c>
    </row>
    <row r="538" spans="1:12" x14ac:dyDescent="0.3">
      <c r="A538" s="52"/>
      <c r="B538" s="53" t="s">
        <v>28</v>
      </c>
      <c r="C538" s="54">
        <v>46114</v>
      </c>
      <c r="D538" s="53" t="s">
        <v>1005</v>
      </c>
      <c r="E538" s="53" t="s">
        <v>1006</v>
      </c>
      <c r="F538" s="53"/>
      <c r="G538" s="54">
        <v>46112</v>
      </c>
      <c r="H538" s="53" t="s">
        <v>1007</v>
      </c>
      <c r="I538" s="59">
        <v>29.7</v>
      </c>
      <c r="J538" s="59"/>
      <c r="K538" s="59"/>
      <c r="L538" s="59">
        <f t="shared" si="8"/>
        <v>293109.13999999984</v>
      </c>
    </row>
    <row r="539" spans="1:12" x14ac:dyDescent="0.3">
      <c r="A539" s="52"/>
      <c r="B539" s="53" t="s">
        <v>26</v>
      </c>
      <c r="C539" s="54">
        <v>46115</v>
      </c>
      <c r="D539" s="53" t="s">
        <v>1228</v>
      </c>
      <c r="E539" s="53"/>
      <c r="F539" s="53"/>
      <c r="G539" s="54"/>
      <c r="H539" s="53"/>
      <c r="I539" s="59">
        <v>177</v>
      </c>
      <c r="J539" s="59"/>
      <c r="K539" s="59"/>
      <c r="L539" s="59">
        <f t="shared" si="8"/>
        <v>293286.13999999984</v>
      </c>
    </row>
    <row r="540" spans="1:12" x14ac:dyDescent="0.3">
      <c r="A540" s="52"/>
      <c r="B540" s="53" t="s">
        <v>26</v>
      </c>
      <c r="C540" s="54">
        <v>46115</v>
      </c>
      <c r="D540" s="53" t="s">
        <v>1229</v>
      </c>
      <c r="E540" s="53"/>
      <c r="F540" s="53"/>
      <c r="G540" s="54"/>
      <c r="H540" s="53"/>
      <c r="I540" s="59">
        <v>2.2000000000000002</v>
      </c>
      <c r="J540" s="59"/>
      <c r="K540" s="59"/>
      <c r="L540" s="59">
        <f t="shared" si="8"/>
        <v>293288.33999999985</v>
      </c>
    </row>
    <row r="541" spans="1:12" x14ac:dyDescent="0.3">
      <c r="A541" s="52"/>
      <c r="B541" s="53" t="s">
        <v>28</v>
      </c>
      <c r="C541" s="54">
        <v>46115</v>
      </c>
      <c r="D541" s="53" t="s">
        <v>1009</v>
      </c>
      <c r="E541" s="53" t="s">
        <v>724</v>
      </c>
      <c r="F541" s="53"/>
      <c r="G541" s="54">
        <v>46115</v>
      </c>
      <c r="H541" s="53" t="s">
        <v>1010</v>
      </c>
      <c r="I541" s="59">
        <v>1090.9100000000001</v>
      </c>
      <c r="J541" s="59"/>
      <c r="K541" s="59"/>
      <c r="L541" s="59">
        <f t="shared" si="8"/>
        <v>294379.24999999983</v>
      </c>
    </row>
    <row r="542" spans="1:12" x14ac:dyDescent="0.3">
      <c r="A542" s="52"/>
      <c r="B542" s="53" t="s">
        <v>26</v>
      </c>
      <c r="C542" s="54">
        <v>46115</v>
      </c>
      <c r="D542" s="53" t="s">
        <v>1230</v>
      </c>
      <c r="E542" s="53"/>
      <c r="F542" s="53"/>
      <c r="G542" s="54"/>
      <c r="H542" s="53"/>
      <c r="I542" s="59">
        <v>4.9000000000000004</v>
      </c>
      <c r="J542" s="59"/>
      <c r="K542" s="59"/>
      <c r="L542" s="59">
        <f t="shared" si="8"/>
        <v>294384.14999999985</v>
      </c>
    </row>
    <row r="543" spans="1:12" x14ac:dyDescent="0.3">
      <c r="A543" s="52"/>
      <c r="B543" s="53" t="s">
        <v>28</v>
      </c>
      <c r="C543" s="54">
        <v>46115</v>
      </c>
      <c r="D543" s="53" t="s">
        <v>1011</v>
      </c>
      <c r="E543" s="53" t="s">
        <v>194</v>
      </c>
      <c r="F543" s="53"/>
      <c r="G543" s="54">
        <v>46115</v>
      </c>
      <c r="H543" s="53" t="s">
        <v>1012</v>
      </c>
      <c r="I543" s="59">
        <v>590.91</v>
      </c>
      <c r="J543" s="59"/>
      <c r="K543" s="59"/>
      <c r="L543" s="59">
        <f t="shared" si="8"/>
        <v>294975.05999999982</v>
      </c>
    </row>
    <row r="544" spans="1:12" x14ac:dyDescent="0.3">
      <c r="A544" s="52"/>
      <c r="B544" s="53" t="s">
        <v>26</v>
      </c>
      <c r="C544" s="54">
        <v>46115</v>
      </c>
      <c r="D544" s="53" t="s">
        <v>1008</v>
      </c>
      <c r="E544" s="53"/>
      <c r="F544" s="53"/>
      <c r="G544" s="54"/>
      <c r="H544" s="53"/>
      <c r="I544" s="59">
        <v>2.4</v>
      </c>
      <c r="J544" s="59"/>
      <c r="K544" s="59"/>
      <c r="L544" s="59">
        <f t="shared" si="8"/>
        <v>294977.45999999985</v>
      </c>
    </row>
    <row r="545" spans="1:12" x14ac:dyDescent="0.3">
      <c r="A545" s="52"/>
      <c r="B545" s="53" t="s">
        <v>26</v>
      </c>
      <c r="C545" s="54">
        <v>46115</v>
      </c>
      <c r="D545" s="53" t="s">
        <v>1231</v>
      </c>
      <c r="E545" s="53"/>
      <c r="F545" s="53"/>
      <c r="G545" s="54"/>
      <c r="H545" s="53"/>
      <c r="I545" s="59">
        <v>9.77</v>
      </c>
      <c r="J545" s="59"/>
      <c r="K545" s="59"/>
      <c r="L545" s="59">
        <f t="shared" si="8"/>
        <v>294987.22999999986</v>
      </c>
    </row>
    <row r="546" spans="1:12" x14ac:dyDescent="0.3">
      <c r="A546" s="52"/>
      <c r="B546" s="53" t="s">
        <v>26</v>
      </c>
      <c r="C546" s="54">
        <v>46115</v>
      </c>
      <c r="D546" s="53" t="s">
        <v>1232</v>
      </c>
      <c r="E546" s="53"/>
      <c r="F546" s="53"/>
      <c r="G546" s="54"/>
      <c r="H546" s="53"/>
      <c r="I546" s="59">
        <v>1.8</v>
      </c>
      <c r="J546" s="59"/>
      <c r="K546" s="59"/>
      <c r="L546" s="59">
        <f t="shared" si="8"/>
        <v>294989.02999999985</v>
      </c>
    </row>
    <row r="547" spans="1:12" x14ac:dyDescent="0.3">
      <c r="A547" s="52"/>
      <c r="B547" s="53" t="s">
        <v>26</v>
      </c>
      <c r="C547" s="54">
        <v>46115</v>
      </c>
      <c r="D547" s="53" t="s">
        <v>1233</v>
      </c>
      <c r="E547" s="53"/>
      <c r="F547" s="53"/>
      <c r="G547" s="54"/>
      <c r="H547" s="53"/>
      <c r="I547" s="59">
        <v>14.3</v>
      </c>
      <c r="J547" s="59"/>
      <c r="K547" s="59"/>
      <c r="L547" s="59">
        <f t="shared" si="8"/>
        <v>295003.32999999984</v>
      </c>
    </row>
    <row r="548" spans="1:12" x14ac:dyDescent="0.3">
      <c r="A548" s="52"/>
      <c r="B548" s="53" t="s">
        <v>26</v>
      </c>
      <c r="C548" s="54">
        <v>46115</v>
      </c>
      <c r="D548" s="53" t="s">
        <v>1234</v>
      </c>
      <c r="E548" s="53"/>
      <c r="F548" s="53"/>
      <c r="G548" s="54"/>
      <c r="H548" s="53"/>
      <c r="I548" s="59">
        <v>14.5</v>
      </c>
      <c r="J548" s="59"/>
      <c r="K548" s="59"/>
      <c r="L548" s="59">
        <f t="shared" si="8"/>
        <v>295017.82999999984</v>
      </c>
    </row>
    <row r="549" spans="1:12" x14ac:dyDescent="0.3">
      <c r="A549" s="52"/>
      <c r="B549" s="53" t="s">
        <v>28</v>
      </c>
      <c r="C549" s="54">
        <v>46116</v>
      </c>
      <c r="D549" s="53" t="s">
        <v>1013</v>
      </c>
      <c r="E549" s="53" t="s">
        <v>211</v>
      </c>
      <c r="F549" s="53"/>
      <c r="G549" s="54">
        <v>46115</v>
      </c>
      <c r="H549" s="53" t="s">
        <v>1014</v>
      </c>
      <c r="I549" s="59">
        <v>53.81</v>
      </c>
      <c r="J549" s="59"/>
      <c r="K549" s="59"/>
      <c r="L549" s="59">
        <f t="shared" si="8"/>
        <v>295071.63999999984</v>
      </c>
    </row>
    <row r="550" spans="1:12" x14ac:dyDescent="0.3">
      <c r="A550" s="52"/>
      <c r="B550" s="53" t="s">
        <v>26</v>
      </c>
      <c r="C550" s="54">
        <v>46116</v>
      </c>
      <c r="D550" s="53" t="s">
        <v>1235</v>
      </c>
      <c r="E550" s="53"/>
      <c r="F550" s="53"/>
      <c r="G550" s="54"/>
      <c r="H550" s="53"/>
      <c r="I550" s="59">
        <v>2.2000000000000002</v>
      </c>
      <c r="J550" s="59"/>
      <c r="K550" s="59"/>
      <c r="L550" s="59">
        <f t="shared" si="8"/>
        <v>295073.83999999985</v>
      </c>
    </row>
    <row r="551" spans="1:12" x14ac:dyDescent="0.3">
      <c r="A551" s="52"/>
      <c r="B551" s="53" t="s">
        <v>26</v>
      </c>
      <c r="C551" s="54">
        <v>46117</v>
      </c>
      <c r="D551" s="53" t="s">
        <v>1236</v>
      </c>
      <c r="E551" s="53"/>
      <c r="F551" s="53"/>
      <c r="G551" s="54"/>
      <c r="H551" s="53"/>
      <c r="I551" s="59">
        <v>89</v>
      </c>
      <c r="J551" s="59"/>
      <c r="K551" s="59"/>
      <c r="L551" s="59">
        <f t="shared" si="8"/>
        <v>295162.83999999985</v>
      </c>
    </row>
    <row r="552" spans="1:12" x14ac:dyDescent="0.3">
      <c r="A552" s="52"/>
      <c r="B552" s="53" t="s">
        <v>26</v>
      </c>
      <c r="C552" s="54">
        <v>46119</v>
      </c>
      <c r="D552" s="53" t="s">
        <v>1237</v>
      </c>
      <c r="E552" s="53"/>
      <c r="F552" s="53"/>
      <c r="G552" s="54"/>
      <c r="H552" s="53"/>
      <c r="I552" s="59">
        <v>6.5</v>
      </c>
      <c r="J552" s="59"/>
      <c r="K552" s="59"/>
      <c r="L552" s="59">
        <f t="shared" si="8"/>
        <v>295169.33999999985</v>
      </c>
    </row>
    <row r="553" spans="1:12" x14ac:dyDescent="0.3">
      <c r="A553" s="52"/>
      <c r="B553" s="53" t="s">
        <v>26</v>
      </c>
      <c r="C553" s="54">
        <v>46119</v>
      </c>
      <c r="D553" s="53" t="s">
        <v>1238</v>
      </c>
      <c r="E553" s="53"/>
      <c r="F553" s="53"/>
      <c r="G553" s="54"/>
      <c r="H553" s="53"/>
      <c r="I553" s="59">
        <v>1.2</v>
      </c>
      <c r="J553" s="59"/>
      <c r="K553" s="59"/>
      <c r="L553" s="59">
        <f t="shared" si="8"/>
        <v>295170.53999999986</v>
      </c>
    </row>
    <row r="554" spans="1:12" x14ac:dyDescent="0.3">
      <c r="A554" s="52"/>
      <c r="B554" s="53" t="s">
        <v>26</v>
      </c>
      <c r="C554" s="54">
        <v>46119</v>
      </c>
      <c r="D554" s="53" t="s">
        <v>1239</v>
      </c>
      <c r="E554" s="53"/>
      <c r="F554" s="53"/>
      <c r="G554" s="54"/>
      <c r="H554" s="53"/>
      <c r="I554" s="59">
        <v>78</v>
      </c>
      <c r="J554" s="59"/>
      <c r="K554" s="59"/>
      <c r="L554" s="59">
        <f t="shared" si="8"/>
        <v>295248.53999999986</v>
      </c>
    </row>
    <row r="555" spans="1:12" x14ac:dyDescent="0.3">
      <c r="A555" s="52"/>
      <c r="B555" s="53" t="s">
        <v>26</v>
      </c>
      <c r="C555" s="54">
        <v>46119</v>
      </c>
      <c r="D555" s="53" t="s">
        <v>1240</v>
      </c>
      <c r="E555" s="53"/>
      <c r="F555" s="53"/>
      <c r="G555" s="54"/>
      <c r="H555" s="53"/>
      <c r="I555" s="59">
        <v>8.5</v>
      </c>
      <c r="J555" s="59"/>
      <c r="K555" s="59"/>
      <c r="L555" s="59">
        <f t="shared" si="8"/>
        <v>295257.03999999986</v>
      </c>
    </row>
    <row r="556" spans="1:12" x14ac:dyDescent="0.3">
      <c r="A556" s="52"/>
      <c r="B556" s="53" t="s">
        <v>26</v>
      </c>
      <c r="C556" s="54">
        <v>46120</v>
      </c>
      <c r="D556" s="53" t="s">
        <v>1241</v>
      </c>
      <c r="E556" s="53"/>
      <c r="F556" s="53"/>
      <c r="G556" s="54"/>
      <c r="H556" s="53"/>
      <c r="I556" s="59">
        <v>23.8</v>
      </c>
      <c r="J556" s="59"/>
      <c r="K556" s="59"/>
      <c r="L556" s="59">
        <f t="shared" si="8"/>
        <v>295280.83999999985</v>
      </c>
    </row>
    <row r="557" spans="1:12" x14ac:dyDescent="0.3">
      <c r="A557" s="52"/>
      <c r="B557" s="53" t="s">
        <v>26</v>
      </c>
      <c r="C557" s="54">
        <v>46120</v>
      </c>
      <c r="D557" s="53" t="s">
        <v>1242</v>
      </c>
      <c r="E557" s="53"/>
      <c r="F557" s="53"/>
      <c r="G557" s="54"/>
      <c r="H557" s="53"/>
      <c r="I557" s="59">
        <v>2.6</v>
      </c>
      <c r="J557" s="59"/>
      <c r="K557" s="59"/>
      <c r="L557" s="59">
        <f t="shared" si="8"/>
        <v>295283.43999999983</v>
      </c>
    </row>
    <row r="558" spans="1:12" x14ac:dyDescent="0.3">
      <c r="A558" s="52"/>
      <c r="B558" s="53" t="s">
        <v>26</v>
      </c>
      <c r="C558" s="54">
        <v>46120</v>
      </c>
      <c r="D558" s="53" t="s">
        <v>1243</v>
      </c>
      <c r="E558" s="53"/>
      <c r="F558" s="53"/>
      <c r="G558" s="54"/>
      <c r="H558" s="53"/>
      <c r="I558" s="59">
        <v>4.5999999999999996</v>
      </c>
      <c r="J558" s="59"/>
      <c r="K558" s="59"/>
      <c r="L558" s="59">
        <f t="shared" si="8"/>
        <v>295288.0399999998</v>
      </c>
    </row>
    <row r="559" spans="1:12" x14ac:dyDescent="0.3">
      <c r="A559" s="52"/>
      <c r="B559" s="53" t="s">
        <v>26</v>
      </c>
      <c r="C559" s="54">
        <v>46120</v>
      </c>
      <c r="D559" s="53" t="s">
        <v>1244</v>
      </c>
      <c r="E559" s="53"/>
      <c r="F559" s="53"/>
      <c r="G559" s="54"/>
      <c r="H559" s="53"/>
      <c r="I559" s="59">
        <v>3.8</v>
      </c>
      <c r="J559" s="59"/>
      <c r="K559" s="59"/>
      <c r="L559" s="59">
        <f t="shared" si="8"/>
        <v>295291.83999999979</v>
      </c>
    </row>
    <row r="560" spans="1:12" x14ac:dyDescent="0.3">
      <c r="A560" s="52"/>
      <c r="B560" s="53" t="s">
        <v>26</v>
      </c>
      <c r="C560" s="54">
        <v>46120</v>
      </c>
      <c r="D560" s="53" t="s">
        <v>1246</v>
      </c>
      <c r="E560" s="53"/>
      <c r="F560" s="53"/>
      <c r="G560" s="54"/>
      <c r="H560" s="53"/>
      <c r="I560" s="59">
        <v>20</v>
      </c>
      <c r="J560" s="59"/>
      <c r="K560" s="59"/>
      <c r="L560" s="59">
        <f t="shared" si="8"/>
        <v>295311.83999999979</v>
      </c>
    </row>
    <row r="561" spans="1:12" x14ac:dyDescent="0.3">
      <c r="A561" s="52"/>
      <c r="B561" s="53" t="s">
        <v>26</v>
      </c>
      <c r="C561" s="54">
        <v>46120</v>
      </c>
      <c r="D561" s="53" t="s">
        <v>1245</v>
      </c>
      <c r="E561" s="53"/>
      <c r="F561" s="53"/>
      <c r="G561" s="54"/>
      <c r="H561" s="53"/>
      <c r="I561" s="59">
        <v>18</v>
      </c>
      <c r="J561" s="59"/>
      <c r="K561" s="59"/>
      <c r="L561" s="59">
        <f t="shared" si="8"/>
        <v>295329.83999999979</v>
      </c>
    </row>
    <row r="562" spans="1:12" x14ac:dyDescent="0.3">
      <c r="A562" s="52"/>
      <c r="B562" s="53" t="s">
        <v>26</v>
      </c>
      <c r="C562" s="54">
        <v>46120</v>
      </c>
      <c r="D562" s="53" t="s">
        <v>1247</v>
      </c>
      <c r="E562" s="53"/>
      <c r="F562" s="53"/>
      <c r="G562" s="54"/>
      <c r="H562" s="53"/>
      <c r="I562" s="59">
        <v>5</v>
      </c>
      <c r="J562" s="59"/>
      <c r="K562" s="59"/>
      <c r="L562" s="59">
        <f t="shared" si="8"/>
        <v>295334.83999999979</v>
      </c>
    </row>
    <row r="563" spans="1:12" x14ac:dyDescent="0.3">
      <c r="A563" s="52"/>
      <c r="B563" s="53" t="s">
        <v>26</v>
      </c>
      <c r="C563" s="54">
        <v>46120</v>
      </c>
      <c r="D563" s="53" t="s">
        <v>1248</v>
      </c>
      <c r="E563" s="53"/>
      <c r="F563" s="53"/>
      <c r="G563" s="54"/>
      <c r="H563" s="53"/>
      <c r="I563" s="59">
        <v>13.61</v>
      </c>
      <c r="J563" s="59"/>
      <c r="K563" s="59"/>
      <c r="L563" s="59">
        <f t="shared" si="8"/>
        <v>295348.44999999978</v>
      </c>
    </row>
    <row r="564" spans="1:12" x14ac:dyDescent="0.3">
      <c r="A564" s="52"/>
      <c r="B564" s="53" t="s">
        <v>26</v>
      </c>
      <c r="C564" s="54">
        <v>46120</v>
      </c>
      <c r="D564" s="53" t="s">
        <v>1249</v>
      </c>
      <c r="E564" s="53"/>
      <c r="F564" s="53"/>
      <c r="G564" s="54"/>
      <c r="H564" s="53"/>
      <c r="I564" s="59">
        <v>17.899999999999999</v>
      </c>
      <c r="J564" s="59"/>
      <c r="K564" s="59"/>
      <c r="L564" s="59">
        <f t="shared" si="8"/>
        <v>295366.3499999998</v>
      </c>
    </row>
    <row r="565" spans="1:12" x14ac:dyDescent="0.3">
      <c r="A565" s="52"/>
      <c r="B565" s="53" t="s">
        <v>26</v>
      </c>
      <c r="C565" s="54">
        <v>46121</v>
      </c>
      <c r="D565" s="53" t="s">
        <v>1250</v>
      </c>
      <c r="E565" s="53"/>
      <c r="F565" s="53"/>
      <c r="G565" s="54"/>
      <c r="H565" s="53"/>
      <c r="I565" s="59">
        <v>101</v>
      </c>
      <c r="J565" s="59"/>
      <c r="K565" s="59"/>
      <c r="L565" s="59">
        <f t="shared" si="8"/>
        <v>295467.3499999998</v>
      </c>
    </row>
    <row r="566" spans="1:12" x14ac:dyDescent="0.3">
      <c r="A566" s="52"/>
      <c r="B566" s="53" t="s">
        <v>26</v>
      </c>
      <c r="C566" s="54">
        <v>46121</v>
      </c>
      <c r="D566" s="53" t="s">
        <v>1251</v>
      </c>
      <c r="E566" s="53"/>
      <c r="F566" s="53"/>
      <c r="G566" s="54"/>
      <c r="H566" s="53"/>
      <c r="I566" s="59">
        <v>12.64</v>
      </c>
      <c r="J566" s="59"/>
      <c r="K566" s="59"/>
      <c r="L566" s="59">
        <f t="shared" si="8"/>
        <v>295479.98999999982</v>
      </c>
    </row>
    <row r="567" spans="1:12" x14ac:dyDescent="0.3">
      <c r="A567" s="52"/>
      <c r="B567" s="53" t="s">
        <v>26</v>
      </c>
      <c r="C567" s="54">
        <v>46121</v>
      </c>
      <c r="D567" s="53" t="s">
        <v>1252</v>
      </c>
      <c r="E567" s="53"/>
      <c r="F567" s="53"/>
      <c r="G567" s="54"/>
      <c r="H567" s="53"/>
      <c r="I567" s="59">
        <v>129.9</v>
      </c>
      <c r="J567" s="59"/>
      <c r="K567" s="59"/>
      <c r="L567" s="59">
        <f t="shared" si="8"/>
        <v>295609.88999999984</v>
      </c>
    </row>
    <row r="568" spans="1:12" x14ac:dyDescent="0.3">
      <c r="A568" s="52"/>
      <c r="B568" s="53" t="s">
        <v>26</v>
      </c>
      <c r="C568" s="54">
        <v>46121</v>
      </c>
      <c r="D568" s="53" t="s">
        <v>1253</v>
      </c>
      <c r="E568" s="53"/>
      <c r="F568" s="53"/>
      <c r="G568" s="54"/>
      <c r="H568" s="53"/>
      <c r="I568" s="59">
        <v>11.9</v>
      </c>
      <c r="J568" s="59"/>
      <c r="K568" s="59"/>
      <c r="L568" s="59">
        <f t="shared" si="8"/>
        <v>295621.78999999986</v>
      </c>
    </row>
    <row r="569" spans="1:12" x14ac:dyDescent="0.3">
      <c r="A569" s="52"/>
      <c r="B569" s="53" t="s">
        <v>26</v>
      </c>
      <c r="C569" s="54">
        <v>46121</v>
      </c>
      <c r="D569" s="53" t="s">
        <v>1254</v>
      </c>
      <c r="E569" s="53"/>
      <c r="F569" s="53"/>
      <c r="G569" s="54"/>
      <c r="H569" s="53"/>
      <c r="I569" s="59">
        <v>68</v>
      </c>
      <c r="J569" s="59"/>
      <c r="K569" s="59"/>
      <c r="L569" s="59">
        <f t="shared" si="8"/>
        <v>295689.78999999986</v>
      </c>
    </row>
    <row r="570" spans="1:12" x14ac:dyDescent="0.3">
      <c r="A570" s="52"/>
      <c r="B570" s="53" t="s">
        <v>26</v>
      </c>
      <c r="C570" s="54">
        <v>46121</v>
      </c>
      <c r="D570" s="53" t="s">
        <v>1255</v>
      </c>
      <c r="E570" s="53"/>
      <c r="F570" s="53"/>
      <c r="G570" s="54"/>
      <c r="H570" s="53"/>
      <c r="I570" s="59">
        <v>820.26</v>
      </c>
      <c r="J570" s="59"/>
      <c r="K570" s="59"/>
      <c r="L570" s="59">
        <f t="shared" si="8"/>
        <v>296510.04999999987</v>
      </c>
    </row>
    <row r="571" spans="1:12" x14ac:dyDescent="0.3">
      <c r="A571" s="52"/>
      <c r="B571" s="53" t="s">
        <v>26</v>
      </c>
      <c r="C571" s="54">
        <v>46122</v>
      </c>
      <c r="D571" s="53" t="s">
        <v>1256</v>
      </c>
      <c r="E571" s="53"/>
      <c r="F571" s="53"/>
      <c r="G571" s="54"/>
      <c r="H571" s="53"/>
      <c r="I571" s="59">
        <v>3.8</v>
      </c>
      <c r="J571" s="59"/>
      <c r="K571" s="59"/>
      <c r="L571" s="59">
        <f t="shared" si="8"/>
        <v>296513.84999999986</v>
      </c>
    </row>
    <row r="572" spans="1:12" x14ac:dyDescent="0.3">
      <c r="A572" s="52"/>
      <c r="B572" s="53" t="s">
        <v>26</v>
      </c>
      <c r="C572" s="54">
        <v>46122</v>
      </c>
      <c r="D572" s="53" t="s">
        <v>1257</v>
      </c>
      <c r="E572" s="53"/>
      <c r="F572" s="53"/>
      <c r="G572" s="54"/>
      <c r="H572" s="53"/>
      <c r="I572" s="59">
        <v>71.900000000000006</v>
      </c>
      <c r="J572" s="59"/>
      <c r="K572" s="59"/>
      <c r="L572" s="59">
        <f t="shared" si="8"/>
        <v>296585.74999999988</v>
      </c>
    </row>
    <row r="573" spans="1:12" x14ac:dyDescent="0.3">
      <c r="A573" s="52"/>
      <c r="B573" s="53" t="s">
        <v>26</v>
      </c>
      <c r="C573" s="54">
        <v>46122</v>
      </c>
      <c r="D573" s="53" t="s">
        <v>1258</v>
      </c>
      <c r="E573" s="53"/>
      <c r="F573" s="53"/>
      <c r="G573" s="54"/>
      <c r="H573" s="53"/>
      <c r="I573" s="59">
        <v>16.2</v>
      </c>
      <c r="J573" s="59"/>
      <c r="K573" s="59"/>
      <c r="L573" s="59">
        <f t="shared" si="8"/>
        <v>296601.9499999999</v>
      </c>
    </row>
    <row r="574" spans="1:12" x14ac:dyDescent="0.3">
      <c r="A574" s="52"/>
      <c r="B574" s="53" t="s">
        <v>26</v>
      </c>
      <c r="C574" s="54">
        <v>46122</v>
      </c>
      <c r="D574" s="53" t="s">
        <v>1259</v>
      </c>
      <c r="E574" s="53"/>
      <c r="F574" s="53"/>
      <c r="G574" s="54"/>
      <c r="H574" s="53"/>
      <c r="I574" s="59">
        <v>8.64</v>
      </c>
      <c r="J574" s="59"/>
      <c r="K574" s="59"/>
      <c r="L574" s="59">
        <f t="shared" si="8"/>
        <v>296610.58999999991</v>
      </c>
    </row>
    <row r="575" spans="1:12" x14ac:dyDescent="0.3">
      <c r="A575" s="52"/>
      <c r="B575" s="53" t="s">
        <v>26</v>
      </c>
      <c r="C575" s="54">
        <v>46122</v>
      </c>
      <c r="D575" s="53" t="s">
        <v>1260</v>
      </c>
      <c r="E575" s="53"/>
      <c r="F575" s="53"/>
      <c r="G575" s="54"/>
      <c r="H575" s="53"/>
      <c r="I575" s="59">
        <v>9.4</v>
      </c>
      <c r="J575" s="59"/>
      <c r="K575" s="59"/>
      <c r="L575" s="59">
        <f t="shared" si="8"/>
        <v>296619.98999999993</v>
      </c>
    </row>
    <row r="576" spans="1:12" x14ac:dyDescent="0.3">
      <c r="A576" s="52"/>
      <c r="B576" s="53" t="s">
        <v>26</v>
      </c>
      <c r="C576" s="54">
        <v>46122</v>
      </c>
      <c r="D576" s="53" t="s">
        <v>1261</v>
      </c>
      <c r="E576" s="53"/>
      <c r="F576" s="53"/>
      <c r="G576" s="54"/>
      <c r="H576" s="53"/>
      <c r="I576" s="59">
        <v>12.5</v>
      </c>
      <c r="J576" s="59"/>
      <c r="K576" s="59"/>
      <c r="L576" s="59">
        <f t="shared" si="8"/>
        <v>296632.48999999993</v>
      </c>
    </row>
    <row r="577" spans="1:12" x14ac:dyDescent="0.3">
      <c r="A577" s="52"/>
      <c r="B577" s="53" t="s">
        <v>28</v>
      </c>
      <c r="C577" s="54">
        <v>46122</v>
      </c>
      <c r="D577" s="53" t="s">
        <v>1015</v>
      </c>
      <c r="E577" s="53" t="s">
        <v>186</v>
      </c>
      <c r="F577" s="53"/>
      <c r="G577" s="54">
        <v>46122</v>
      </c>
      <c r="H577" s="53" t="s">
        <v>1016</v>
      </c>
      <c r="I577" s="59">
        <v>563.73</v>
      </c>
      <c r="J577" s="5" t="s">
        <v>1146</v>
      </c>
      <c r="K577" s="59"/>
      <c r="L577" s="59">
        <f t="shared" si="8"/>
        <v>297196.21999999991</v>
      </c>
    </row>
    <row r="578" spans="1:12" x14ac:dyDescent="0.3">
      <c r="A578" s="52"/>
      <c r="B578" s="53" t="s">
        <v>26</v>
      </c>
      <c r="C578" s="54">
        <v>46122</v>
      </c>
      <c r="D578" s="53" t="s">
        <v>1262</v>
      </c>
      <c r="E578" s="53"/>
      <c r="F578" s="53"/>
      <c r="G578" s="54"/>
      <c r="H578" s="53"/>
      <c r="I578" s="59">
        <v>4</v>
      </c>
      <c r="J578" s="59"/>
      <c r="K578" s="59"/>
      <c r="L578" s="59">
        <f t="shared" si="8"/>
        <v>297200.21999999991</v>
      </c>
    </row>
    <row r="579" spans="1:12" x14ac:dyDescent="0.3">
      <c r="A579" s="52"/>
      <c r="B579" s="53" t="s">
        <v>26</v>
      </c>
      <c r="C579" s="54">
        <v>46122</v>
      </c>
      <c r="D579" s="53" t="s">
        <v>1263</v>
      </c>
      <c r="E579" s="53"/>
      <c r="F579" s="53"/>
      <c r="G579" s="54"/>
      <c r="H579" s="53"/>
      <c r="I579" s="59">
        <v>111.6</v>
      </c>
      <c r="J579" s="59"/>
      <c r="K579" s="59"/>
      <c r="L579" s="59">
        <f t="shared" si="8"/>
        <v>297311.81999999989</v>
      </c>
    </row>
    <row r="580" spans="1:12" x14ac:dyDescent="0.3">
      <c r="A580" s="52"/>
      <c r="B580" s="53" t="s">
        <v>26</v>
      </c>
      <c r="C580" s="54">
        <v>46122</v>
      </c>
      <c r="D580" s="53" t="s">
        <v>1264</v>
      </c>
      <c r="E580" s="53"/>
      <c r="F580" s="53"/>
      <c r="G580" s="54"/>
      <c r="H580" s="53"/>
      <c r="I580" s="59">
        <v>12.2</v>
      </c>
      <c r="J580" s="59"/>
      <c r="K580" s="59"/>
      <c r="L580" s="59">
        <f t="shared" si="8"/>
        <v>297324.0199999999</v>
      </c>
    </row>
    <row r="581" spans="1:12" x14ac:dyDescent="0.3">
      <c r="A581" s="52"/>
      <c r="B581" s="53" t="s">
        <v>26</v>
      </c>
      <c r="C581" s="54">
        <v>46122</v>
      </c>
      <c r="D581" s="53" t="s">
        <v>1265</v>
      </c>
      <c r="E581" s="53"/>
      <c r="F581" s="53"/>
      <c r="G581" s="54"/>
      <c r="H581" s="53"/>
      <c r="I581" s="59">
        <v>89.9</v>
      </c>
      <c r="J581" s="59"/>
      <c r="K581" s="59"/>
      <c r="L581" s="59">
        <f t="shared" si="8"/>
        <v>297413.91999999993</v>
      </c>
    </row>
    <row r="582" spans="1:12" x14ac:dyDescent="0.3">
      <c r="A582" s="52"/>
      <c r="B582" s="53" t="s">
        <v>26</v>
      </c>
      <c r="C582" s="54">
        <v>46123</v>
      </c>
      <c r="D582" s="53" t="s">
        <v>1266</v>
      </c>
      <c r="E582" s="53"/>
      <c r="F582" s="53"/>
      <c r="G582" s="54"/>
      <c r="H582" s="53"/>
      <c r="I582" s="59">
        <v>66</v>
      </c>
      <c r="J582" s="59"/>
      <c r="K582" s="59"/>
      <c r="L582" s="59">
        <f t="shared" si="8"/>
        <v>297479.91999999993</v>
      </c>
    </row>
    <row r="583" spans="1:12" x14ac:dyDescent="0.3">
      <c r="A583" s="52"/>
      <c r="B583" s="53" t="s">
        <v>26</v>
      </c>
      <c r="C583" s="54">
        <v>46123</v>
      </c>
      <c r="D583" s="53" t="s">
        <v>1267</v>
      </c>
      <c r="E583" s="53"/>
      <c r="F583" s="53"/>
      <c r="G583" s="54"/>
      <c r="H583" s="53"/>
      <c r="I583" s="59">
        <v>305.31</v>
      </c>
      <c r="J583" s="59"/>
      <c r="K583" s="59"/>
      <c r="L583" s="59">
        <f t="shared" si="8"/>
        <v>297785.22999999992</v>
      </c>
    </row>
    <row r="584" spans="1:12" x14ac:dyDescent="0.3">
      <c r="A584" s="52"/>
      <c r="B584" s="53" t="s">
        <v>26</v>
      </c>
      <c r="C584" s="54">
        <v>46123</v>
      </c>
      <c r="D584" s="53" t="s">
        <v>1268</v>
      </c>
      <c r="E584" s="53"/>
      <c r="F584" s="53"/>
      <c r="G584" s="54"/>
      <c r="H584" s="53"/>
      <c r="I584" s="59">
        <v>200</v>
      </c>
      <c r="J584" s="59"/>
      <c r="K584" s="59"/>
      <c r="L584" s="59">
        <f t="shared" si="8"/>
        <v>297985.22999999992</v>
      </c>
    </row>
    <row r="585" spans="1:12" x14ac:dyDescent="0.3">
      <c r="A585" s="52"/>
      <c r="B585" s="53" t="s">
        <v>28</v>
      </c>
      <c r="C585" s="54">
        <v>46124</v>
      </c>
      <c r="D585" s="53" t="s">
        <v>1017</v>
      </c>
      <c r="E585" s="53" t="s">
        <v>211</v>
      </c>
      <c r="F585" s="53"/>
      <c r="G585" s="54">
        <v>46122</v>
      </c>
      <c r="H585" s="53" t="s">
        <v>1018</v>
      </c>
      <c r="I585" s="59">
        <v>130.54</v>
      </c>
      <c r="J585" s="59"/>
      <c r="K585" s="59"/>
      <c r="L585" s="59">
        <f t="shared" si="8"/>
        <v>298115.7699999999</v>
      </c>
    </row>
    <row r="586" spans="1:12" x14ac:dyDescent="0.3">
      <c r="A586" s="52"/>
      <c r="B586" s="53" t="s">
        <v>26</v>
      </c>
      <c r="C586" s="54">
        <v>46125</v>
      </c>
      <c r="D586" s="53" t="s">
        <v>1269</v>
      </c>
      <c r="E586" s="53"/>
      <c r="F586" s="53"/>
      <c r="G586" s="54"/>
      <c r="H586" s="53"/>
      <c r="I586" s="59">
        <v>5.3</v>
      </c>
      <c r="J586" s="59"/>
      <c r="K586" s="59"/>
      <c r="L586" s="59">
        <f t="shared" si="8"/>
        <v>298121.06999999989</v>
      </c>
    </row>
    <row r="587" spans="1:12" x14ac:dyDescent="0.3">
      <c r="A587" s="52"/>
      <c r="B587" s="53" t="s">
        <v>26</v>
      </c>
      <c r="C587" s="54">
        <v>46125</v>
      </c>
      <c r="D587" s="53" t="s">
        <v>1270</v>
      </c>
      <c r="E587" s="53"/>
      <c r="F587" s="53"/>
      <c r="G587" s="54"/>
      <c r="H587" s="53"/>
      <c r="I587" s="59">
        <v>153</v>
      </c>
      <c r="J587" s="59"/>
      <c r="K587" s="59"/>
      <c r="L587" s="59">
        <f t="shared" ref="L587:L650" si="9">L586+I587-K587</f>
        <v>298274.06999999989</v>
      </c>
    </row>
    <row r="588" spans="1:12" x14ac:dyDescent="0.3">
      <c r="A588" s="52"/>
      <c r="B588" s="53" t="s">
        <v>26</v>
      </c>
      <c r="C588" s="54">
        <v>46125</v>
      </c>
      <c r="D588" s="53" t="s">
        <v>1271</v>
      </c>
      <c r="E588" s="53"/>
      <c r="F588" s="53"/>
      <c r="G588" s="54"/>
      <c r="H588" s="53"/>
      <c r="I588" s="59">
        <v>12.5</v>
      </c>
      <c r="J588" s="59"/>
      <c r="K588" s="59"/>
      <c r="L588" s="59">
        <f t="shared" si="9"/>
        <v>298286.56999999989</v>
      </c>
    </row>
    <row r="589" spans="1:12" x14ac:dyDescent="0.3">
      <c r="A589" s="52"/>
      <c r="B589" s="53" t="s">
        <v>26</v>
      </c>
      <c r="C589" s="54">
        <v>46125</v>
      </c>
      <c r="D589" s="53" t="s">
        <v>1272</v>
      </c>
      <c r="E589" s="53"/>
      <c r="F589" s="53"/>
      <c r="G589" s="54"/>
      <c r="H589" s="53"/>
      <c r="I589" s="59">
        <v>89.28</v>
      </c>
      <c r="J589" s="59"/>
      <c r="K589" s="59"/>
      <c r="L589" s="59">
        <f t="shared" si="9"/>
        <v>298375.84999999992</v>
      </c>
    </row>
    <row r="590" spans="1:12" x14ac:dyDescent="0.3">
      <c r="A590" s="52"/>
      <c r="B590" s="53" t="s">
        <v>26</v>
      </c>
      <c r="C590" s="54">
        <v>46125</v>
      </c>
      <c r="D590" s="53" t="s">
        <v>1273</v>
      </c>
      <c r="E590" s="53"/>
      <c r="F590" s="53"/>
      <c r="G590" s="54"/>
      <c r="H590" s="53"/>
      <c r="I590" s="59">
        <v>9.84</v>
      </c>
      <c r="J590" s="59"/>
      <c r="K590" s="59"/>
      <c r="L590" s="59">
        <f t="shared" si="9"/>
        <v>298385.68999999994</v>
      </c>
    </row>
    <row r="591" spans="1:12" x14ac:dyDescent="0.3">
      <c r="A591" s="52"/>
      <c r="B591" s="53" t="s">
        <v>26</v>
      </c>
      <c r="C591" s="54">
        <v>46126</v>
      </c>
      <c r="D591" s="53" t="s">
        <v>1274</v>
      </c>
      <c r="E591" s="53"/>
      <c r="F591" s="53"/>
      <c r="G591" s="54"/>
      <c r="H591" s="53"/>
      <c r="I591" s="59">
        <v>10</v>
      </c>
      <c r="J591" s="59"/>
      <c r="K591" s="59"/>
      <c r="L591" s="59">
        <f t="shared" si="9"/>
        <v>298395.68999999994</v>
      </c>
    </row>
    <row r="592" spans="1:12" x14ac:dyDescent="0.3">
      <c r="A592" s="52"/>
      <c r="B592" s="53" t="s">
        <v>26</v>
      </c>
      <c r="C592" s="54">
        <v>46126</v>
      </c>
      <c r="D592" s="53" t="s">
        <v>1275</v>
      </c>
      <c r="E592" s="53"/>
      <c r="F592" s="53"/>
      <c r="G592" s="54"/>
      <c r="H592" s="53"/>
      <c r="I592" s="59">
        <v>6</v>
      </c>
      <c r="J592" s="59"/>
      <c r="K592" s="59"/>
      <c r="L592" s="59">
        <f t="shared" si="9"/>
        <v>298401.68999999994</v>
      </c>
    </row>
    <row r="593" spans="1:12" x14ac:dyDescent="0.3">
      <c r="A593" s="52"/>
      <c r="B593" s="53" t="s">
        <v>28</v>
      </c>
      <c r="C593" s="54">
        <v>46126</v>
      </c>
      <c r="D593" s="53" t="s">
        <v>1019</v>
      </c>
      <c r="E593" s="53" t="s">
        <v>304</v>
      </c>
      <c r="F593" s="53"/>
      <c r="G593" s="54">
        <v>46126</v>
      </c>
      <c r="H593" s="53" t="s">
        <v>1020</v>
      </c>
      <c r="I593" s="59">
        <v>95.44</v>
      </c>
      <c r="J593" s="59"/>
      <c r="K593" s="59"/>
      <c r="L593" s="59">
        <f t="shared" si="9"/>
        <v>298497.12999999995</v>
      </c>
    </row>
    <row r="594" spans="1:12" x14ac:dyDescent="0.3">
      <c r="A594" s="52"/>
      <c r="B594" s="53" t="s">
        <v>26</v>
      </c>
      <c r="C594" s="54">
        <v>46126</v>
      </c>
      <c r="D594" s="53" t="s">
        <v>1276</v>
      </c>
      <c r="E594" s="53"/>
      <c r="F594" s="53"/>
      <c r="G594" s="54"/>
      <c r="H594" s="53"/>
      <c r="I594" s="59">
        <v>23.88</v>
      </c>
      <c r="J594" s="59"/>
      <c r="K594" s="59"/>
      <c r="L594" s="59">
        <f t="shared" si="9"/>
        <v>298521.00999999995</v>
      </c>
    </row>
    <row r="595" spans="1:12" x14ac:dyDescent="0.3">
      <c r="A595" s="52"/>
      <c r="B595" s="53" t="s">
        <v>26</v>
      </c>
      <c r="C595" s="54">
        <v>46126</v>
      </c>
      <c r="D595" s="53" t="s">
        <v>1277</v>
      </c>
      <c r="E595" s="53"/>
      <c r="F595" s="53"/>
      <c r="G595" s="54"/>
      <c r="H595" s="53"/>
      <c r="I595" s="59">
        <v>93.8</v>
      </c>
      <c r="J595" s="59"/>
      <c r="K595" s="59"/>
      <c r="L595" s="59">
        <f t="shared" si="9"/>
        <v>298614.80999999994</v>
      </c>
    </row>
    <row r="596" spans="1:12" x14ac:dyDescent="0.3">
      <c r="A596" s="52"/>
      <c r="B596" s="53" t="s">
        <v>26</v>
      </c>
      <c r="C596" s="54">
        <v>46126</v>
      </c>
      <c r="D596" s="53" t="s">
        <v>1278</v>
      </c>
      <c r="E596" s="53"/>
      <c r="F596" s="53"/>
      <c r="G596" s="54"/>
      <c r="H596" s="53"/>
      <c r="I596" s="59">
        <v>69.5</v>
      </c>
      <c r="J596" s="59"/>
      <c r="K596" s="59"/>
      <c r="L596" s="59">
        <f t="shared" si="9"/>
        <v>298684.30999999994</v>
      </c>
    </row>
    <row r="597" spans="1:12" x14ac:dyDescent="0.3">
      <c r="A597" s="52"/>
      <c r="B597" s="53" t="s">
        <v>26</v>
      </c>
      <c r="C597" s="54">
        <v>46126</v>
      </c>
      <c r="D597" s="53" t="s">
        <v>1279</v>
      </c>
      <c r="E597" s="53"/>
      <c r="F597" s="53"/>
      <c r="G597" s="54"/>
      <c r="H597" s="53"/>
      <c r="I597" s="59">
        <v>42.57</v>
      </c>
      <c r="J597" s="59"/>
      <c r="K597" s="59"/>
      <c r="L597" s="59">
        <f t="shared" si="9"/>
        <v>298726.87999999995</v>
      </c>
    </row>
    <row r="598" spans="1:12" x14ac:dyDescent="0.3">
      <c r="A598" s="52"/>
      <c r="B598" s="53" t="s">
        <v>26</v>
      </c>
      <c r="C598" s="54">
        <v>46126</v>
      </c>
      <c r="D598" s="53" t="s">
        <v>1280</v>
      </c>
      <c r="E598" s="53"/>
      <c r="F598" s="53"/>
      <c r="G598" s="54"/>
      <c r="H598" s="53"/>
      <c r="I598" s="59">
        <v>2.5</v>
      </c>
      <c r="J598" s="59"/>
      <c r="K598" s="59"/>
      <c r="L598" s="59">
        <f t="shared" si="9"/>
        <v>298729.37999999995</v>
      </c>
    </row>
    <row r="599" spans="1:12" x14ac:dyDescent="0.3">
      <c r="A599" s="52"/>
      <c r="B599" s="53" t="s">
        <v>26</v>
      </c>
      <c r="C599" s="54">
        <v>46126</v>
      </c>
      <c r="D599" s="53" t="s">
        <v>1281</v>
      </c>
      <c r="E599" s="53"/>
      <c r="F599" s="53"/>
      <c r="G599" s="54"/>
      <c r="H599" s="53"/>
      <c r="I599" s="59">
        <v>13</v>
      </c>
      <c r="J599" s="59"/>
      <c r="K599" s="59"/>
      <c r="L599" s="59">
        <f t="shared" si="9"/>
        <v>298742.37999999995</v>
      </c>
    </row>
    <row r="600" spans="1:12" x14ac:dyDescent="0.3">
      <c r="A600" s="52"/>
      <c r="B600" s="53" t="s">
        <v>26</v>
      </c>
      <c r="C600" s="54">
        <v>46126</v>
      </c>
      <c r="D600" s="53" t="s">
        <v>1282</v>
      </c>
      <c r="E600" s="53"/>
      <c r="F600" s="53"/>
      <c r="G600" s="54"/>
      <c r="H600" s="53"/>
      <c r="I600" s="59">
        <v>17.12</v>
      </c>
      <c r="J600" s="59"/>
      <c r="K600" s="59"/>
      <c r="L600" s="59">
        <f t="shared" si="9"/>
        <v>298759.49999999994</v>
      </c>
    </row>
    <row r="601" spans="1:12" x14ac:dyDescent="0.3">
      <c r="A601" s="52"/>
      <c r="B601" s="53" t="s">
        <v>26</v>
      </c>
      <c r="C601" s="54">
        <v>46126</v>
      </c>
      <c r="D601" s="53" t="s">
        <v>1283</v>
      </c>
      <c r="E601" s="53"/>
      <c r="F601" s="53"/>
      <c r="G601" s="54"/>
      <c r="H601" s="53"/>
      <c r="I601" s="59">
        <v>3</v>
      </c>
      <c r="J601" s="59"/>
      <c r="K601" s="59"/>
      <c r="L601" s="59">
        <f t="shared" si="9"/>
        <v>298762.49999999994</v>
      </c>
    </row>
    <row r="602" spans="1:12" x14ac:dyDescent="0.3">
      <c r="A602" s="52"/>
      <c r="B602" s="53" t="s">
        <v>26</v>
      </c>
      <c r="C602" s="54">
        <v>46126</v>
      </c>
      <c r="D602" s="53" t="s">
        <v>1284</v>
      </c>
      <c r="E602" s="53"/>
      <c r="F602" s="53"/>
      <c r="G602" s="54"/>
      <c r="H602" s="53"/>
      <c r="I602" s="59">
        <v>23.57</v>
      </c>
      <c r="J602" s="59"/>
      <c r="K602" s="59"/>
      <c r="L602" s="59">
        <f t="shared" si="9"/>
        <v>298786.06999999995</v>
      </c>
    </row>
    <row r="603" spans="1:12" x14ac:dyDescent="0.3">
      <c r="A603" s="52"/>
      <c r="B603" s="53" t="s">
        <v>26</v>
      </c>
      <c r="C603" s="54">
        <v>46126</v>
      </c>
      <c r="D603" s="53" t="s">
        <v>1285</v>
      </c>
      <c r="E603" s="53"/>
      <c r="F603" s="53"/>
      <c r="G603" s="54"/>
      <c r="H603" s="53"/>
      <c r="I603" s="59">
        <v>9.99</v>
      </c>
      <c r="J603" s="59"/>
      <c r="K603" s="59"/>
      <c r="L603" s="59">
        <f t="shared" si="9"/>
        <v>298796.05999999994</v>
      </c>
    </row>
    <row r="604" spans="1:12" x14ac:dyDescent="0.3">
      <c r="A604" s="52"/>
      <c r="B604" s="53" t="s">
        <v>26</v>
      </c>
      <c r="C604" s="54">
        <v>46126</v>
      </c>
      <c r="D604" s="53" t="s">
        <v>1286</v>
      </c>
      <c r="E604" s="53"/>
      <c r="F604" s="53"/>
      <c r="G604" s="54"/>
      <c r="H604" s="53"/>
      <c r="I604" s="59">
        <v>69</v>
      </c>
      <c r="J604" s="59"/>
      <c r="K604" s="59"/>
      <c r="L604" s="59">
        <f t="shared" si="9"/>
        <v>298865.05999999994</v>
      </c>
    </row>
    <row r="605" spans="1:12" x14ac:dyDescent="0.3">
      <c r="A605" s="52"/>
      <c r="B605" s="53" t="s">
        <v>26</v>
      </c>
      <c r="C605" s="54">
        <v>46127</v>
      </c>
      <c r="D605" s="53" t="s">
        <v>1287</v>
      </c>
      <c r="E605" s="53"/>
      <c r="F605" s="53"/>
      <c r="G605" s="54"/>
      <c r="H605" s="53"/>
      <c r="I605" s="59">
        <v>2.4</v>
      </c>
      <c r="J605" s="59"/>
      <c r="K605" s="59"/>
      <c r="L605" s="59">
        <f t="shared" si="9"/>
        <v>298867.45999999996</v>
      </c>
    </row>
    <row r="606" spans="1:12" x14ac:dyDescent="0.3">
      <c r="A606" s="52"/>
      <c r="B606" s="53" t="s">
        <v>28</v>
      </c>
      <c r="C606" s="54">
        <v>46127</v>
      </c>
      <c r="D606" s="53" t="s">
        <v>1024</v>
      </c>
      <c r="E606" s="53" t="s">
        <v>1025</v>
      </c>
      <c r="F606" s="53"/>
      <c r="G606" s="54">
        <v>46127</v>
      </c>
      <c r="H606" s="53" t="s">
        <v>1026</v>
      </c>
      <c r="I606" s="59">
        <v>151.44999999999999</v>
      </c>
      <c r="J606" s="59"/>
      <c r="K606" s="59"/>
      <c r="L606" s="59">
        <f t="shared" si="9"/>
        <v>299018.90999999997</v>
      </c>
    </row>
    <row r="607" spans="1:12" x14ac:dyDescent="0.3">
      <c r="A607" s="52"/>
      <c r="B607" s="53" t="s">
        <v>26</v>
      </c>
      <c r="C607" s="54">
        <v>46127</v>
      </c>
      <c r="D607" s="53" t="s">
        <v>1288</v>
      </c>
      <c r="E607" s="53"/>
      <c r="F607" s="53"/>
      <c r="G607" s="54"/>
      <c r="H607" s="53"/>
      <c r="I607" s="59">
        <v>77.5</v>
      </c>
      <c r="J607" s="59"/>
      <c r="K607" s="59"/>
      <c r="L607" s="59">
        <f t="shared" si="9"/>
        <v>299096.40999999997</v>
      </c>
    </row>
    <row r="608" spans="1:12" x14ac:dyDescent="0.3">
      <c r="A608" s="52"/>
      <c r="B608" s="53" t="s">
        <v>26</v>
      </c>
      <c r="C608" s="54">
        <v>46127</v>
      </c>
      <c r="D608" s="53" t="s">
        <v>1289</v>
      </c>
      <c r="E608" s="53"/>
      <c r="F608" s="53"/>
      <c r="G608" s="54"/>
      <c r="H608" s="53"/>
      <c r="I608" s="59">
        <v>2</v>
      </c>
      <c r="J608" s="59"/>
      <c r="K608" s="59"/>
      <c r="L608" s="59">
        <f t="shared" si="9"/>
        <v>299098.40999999997</v>
      </c>
    </row>
    <row r="609" spans="1:12" x14ac:dyDescent="0.3">
      <c r="A609" s="52"/>
      <c r="B609" s="53" t="s">
        <v>26</v>
      </c>
      <c r="C609" s="54">
        <v>46127</v>
      </c>
      <c r="D609" s="53" t="s">
        <v>1290</v>
      </c>
      <c r="E609" s="53"/>
      <c r="F609" s="53"/>
      <c r="G609" s="54"/>
      <c r="H609" s="53"/>
      <c r="I609" s="59">
        <v>124.35</v>
      </c>
      <c r="J609" s="59"/>
      <c r="K609" s="59"/>
      <c r="L609" s="59">
        <f t="shared" si="9"/>
        <v>299222.75999999995</v>
      </c>
    </row>
    <row r="610" spans="1:12" x14ac:dyDescent="0.3">
      <c r="A610" s="52"/>
      <c r="B610" s="53" t="s">
        <v>26</v>
      </c>
      <c r="C610" s="54">
        <v>46127</v>
      </c>
      <c r="D610" s="53" t="s">
        <v>1291</v>
      </c>
      <c r="E610" s="53"/>
      <c r="F610" s="53"/>
      <c r="G610" s="54"/>
      <c r="H610" s="53"/>
      <c r="I610" s="59">
        <v>21.53</v>
      </c>
      <c r="J610" s="59"/>
      <c r="K610" s="59"/>
      <c r="L610" s="59">
        <f t="shared" si="9"/>
        <v>299244.28999999998</v>
      </c>
    </row>
    <row r="611" spans="1:12" x14ac:dyDescent="0.3">
      <c r="A611" s="52"/>
      <c r="B611" s="53" t="s">
        <v>28</v>
      </c>
      <c r="C611" s="54">
        <v>46127</v>
      </c>
      <c r="D611" s="53" t="s">
        <v>1027</v>
      </c>
      <c r="E611" s="53" t="s">
        <v>207</v>
      </c>
      <c r="F611" s="53"/>
      <c r="G611" s="54">
        <v>46127</v>
      </c>
      <c r="H611" s="53" t="s">
        <v>1028</v>
      </c>
      <c r="I611" s="59">
        <v>102.4</v>
      </c>
      <c r="J611" s="59"/>
      <c r="K611" s="59"/>
      <c r="L611" s="59">
        <f t="shared" si="9"/>
        <v>299346.69</v>
      </c>
    </row>
    <row r="612" spans="1:12" x14ac:dyDescent="0.3">
      <c r="A612" s="52"/>
      <c r="B612" s="53" t="s">
        <v>26</v>
      </c>
      <c r="C612" s="54">
        <v>46127</v>
      </c>
      <c r="D612" s="53" t="s">
        <v>1292</v>
      </c>
      <c r="E612" s="53"/>
      <c r="F612" s="53"/>
      <c r="G612" s="54"/>
      <c r="H612" s="53"/>
      <c r="I612" s="59">
        <v>9.3000000000000007</v>
      </c>
      <c r="J612" s="59"/>
      <c r="K612" s="59"/>
      <c r="L612" s="59">
        <f t="shared" si="9"/>
        <v>299355.99</v>
      </c>
    </row>
    <row r="613" spans="1:12" x14ac:dyDescent="0.3">
      <c r="A613" s="52"/>
      <c r="B613" s="53" t="s">
        <v>26</v>
      </c>
      <c r="C613" s="54">
        <v>46127</v>
      </c>
      <c r="D613" s="53" t="s">
        <v>1293</v>
      </c>
      <c r="E613" s="53"/>
      <c r="F613" s="53"/>
      <c r="G613" s="54"/>
      <c r="H613" s="53"/>
      <c r="I613" s="59">
        <v>36.5</v>
      </c>
      <c r="J613" s="59"/>
      <c r="K613" s="59"/>
      <c r="L613" s="59">
        <f t="shared" si="9"/>
        <v>299392.49</v>
      </c>
    </row>
    <row r="614" spans="1:12" x14ac:dyDescent="0.3">
      <c r="A614" s="52"/>
      <c r="B614" s="53" t="s">
        <v>26</v>
      </c>
      <c r="C614" s="54">
        <v>46127</v>
      </c>
      <c r="D614" s="53" t="s">
        <v>1294</v>
      </c>
      <c r="E614" s="53"/>
      <c r="F614" s="53"/>
      <c r="G614" s="54"/>
      <c r="H614" s="53"/>
      <c r="I614" s="59">
        <v>15</v>
      </c>
      <c r="J614" s="59"/>
      <c r="K614" s="59"/>
      <c r="L614" s="59">
        <f t="shared" si="9"/>
        <v>299407.49</v>
      </c>
    </row>
    <row r="615" spans="1:12" x14ac:dyDescent="0.3">
      <c r="A615" s="52"/>
      <c r="B615" s="53" t="s">
        <v>28</v>
      </c>
      <c r="C615" s="54">
        <v>46127</v>
      </c>
      <c r="D615" s="53" t="s">
        <v>1021</v>
      </c>
      <c r="E615" s="53" t="s">
        <v>1022</v>
      </c>
      <c r="F615" s="53"/>
      <c r="G615" s="54">
        <v>46126</v>
      </c>
      <c r="H615" s="53" t="s">
        <v>1023</v>
      </c>
      <c r="I615" s="59">
        <v>83.66</v>
      </c>
      <c r="J615" s="59"/>
      <c r="K615" s="59"/>
      <c r="L615" s="59">
        <f t="shared" si="9"/>
        <v>299491.14999999997</v>
      </c>
    </row>
    <row r="616" spans="1:12" x14ac:dyDescent="0.3">
      <c r="A616" s="52"/>
      <c r="B616" s="53" t="s">
        <v>26</v>
      </c>
      <c r="C616" s="54">
        <v>46127</v>
      </c>
      <c r="D616" s="53" t="s">
        <v>1295</v>
      </c>
      <c r="E616" s="53"/>
      <c r="F616" s="53"/>
      <c r="G616" s="54"/>
      <c r="H616" s="53"/>
      <c r="I616" s="59">
        <v>170</v>
      </c>
      <c r="J616" s="59"/>
      <c r="K616" s="59"/>
      <c r="L616" s="59">
        <f t="shared" si="9"/>
        <v>299661.14999999997</v>
      </c>
    </row>
    <row r="617" spans="1:12" x14ac:dyDescent="0.3">
      <c r="A617" s="52"/>
      <c r="B617" s="53" t="s">
        <v>26</v>
      </c>
      <c r="C617" s="54">
        <v>46127</v>
      </c>
      <c r="D617" s="53" t="s">
        <v>1296</v>
      </c>
      <c r="E617" s="53"/>
      <c r="F617" s="53"/>
      <c r="G617" s="54"/>
      <c r="H617" s="53"/>
      <c r="I617" s="59">
        <v>39</v>
      </c>
      <c r="J617" s="59"/>
      <c r="K617" s="59"/>
      <c r="L617" s="59">
        <f t="shared" si="9"/>
        <v>299700.14999999997</v>
      </c>
    </row>
    <row r="618" spans="1:12" x14ac:dyDescent="0.3">
      <c r="A618" s="52"/>
      <c r="B618" s="53" t="s">
        <v>26</v>
      </c>
      <c r="C618" s="54">
        <v>46127</v>
      </c>
      <c r="D618" s="53" t="s">
        <v>1297</v>
      </c>
      <c r="E618" s="53"/>
      <c r="F618" s="53"/>
      <c r="G618" s="54"/>
      <c r="H618" s="53"/>
      <c r="I618" s="59">
        <v>5.8</v>
      </c>
      <c r="J618" s="59"/>
      <c r="K618" s="59"/>
      <c r="L618" s="59">
        <f t="shared" si="9"/>
        <v>299705.94999999995</v>
      </c>
    </row>
    <row r="619" spans="1:12" x14ac:dyDescent="0.3">
      <c r="A619" s="52"/>
      <c r="B619" s="53" t="s">
        <v>26</v>
      </c>
      <c r="C619" s="54">
        <v>46127</v>
      </c>
      <c r="D619" s="53" t="s">
        <v>1298</v>
      </c>
      <c r="E619" s="53"/>
      <c r="F619" s="53"/>
      <c r="G619" s="54"/>
      <c r="H619" s="53"/>
      <c r="I619" s="59">
        <v>2.6</v>
      </c>
      <c r="J619" s="59"/>
      <c r="K619" s="59"/>
      <c r="L619" s="59">
        <f t="shared" si="9"/>
        <v>299708.54999999993</v>
      </c>
    </row>
    <row r="620" spans="1:12" x14ac:dyDescent="0.3">
      <c r="A620" s="52"/>
      <c r="B620" s="53" t="s">
        <v>26</v>
      </c>
      <c r="C620" s="54">
        <v>46128</v>
      </c>
      <c r="D620" s="53" t="s">
        <v>1299</v>
      </c>
      <c r="E620" s="53"/>
      <c r="F620" s="53"/>
      <c r="G620" s="54"/>
      <c r="H620" s="53"/>
      <c r="I620" s="59">
        <v>124.5</v>
      </c>
      <c r="J620" s="59"/>
      <c r="K620" s="59"/>
      <c r="L620" s="59">
        <f t="shared" si="9"/>
        <v>299833.04999999993</v>
      </c>
    </row>
    <row r="621" spans="1:12" x14ac:dyDescent="0.3">
      <c r="A621" s="52"/>
      <c r="B621" s="53" t="s">
        <v>26</v>
      </c>
      <c r="C621" s="54">
        <v>46128</v>
      </c>
      <c r="D621" s="53" t="s">
        <v>1300</v>
      </c>
      <c r="E621" s="53"/>
      <c r="F621" s="53"/>
      <c r="G621" s="54"/>
      <c r="H621" s="53"/>
      <c r="I621" s="59">
        <v>10.07</v>
      </c>
      <c r="J621" s="59"/>
      <c r="K621" s="59"/>
      <c r="L621" s="59">
        <f t="shared" si="9"/>
        <v>299843.11999999994</v>
      </c>
    </row>
    <row r="622" spans="1:12" x14ac:dyDescent="0.3">
      <c r="A622" s="52"/>
      <c r="B622" s="53" t="s">
        <v>26</v>
      </c>
      <c r="C622" s="54">
        <v>46128</v>
      </c>
      <c r="D622" s="53" t="s">
        <v>1301</v>
      </c>
      <c r="E622" s="53"/>
      <c r="F622" s="53"/>
      <c r="G622" s="54"/>
      <c r="H622" s="53"/>
      <c r="I622" s="59">
        <v>2.9</v>
      </c>
      <c r="J622" s="59"/>
      <c r="K622" s="59"/>
      <c r="L622" s="59">
        <f t="shared" si="9"/>
        <v>299846.01999999996</v>
      </c>
    </row>
    <row r="623" spans="1:12" x14ac:dyDescent="0.3">
      <c r="A623" s="52"/>
      <c r="B623" s="53" t="s">
        <v>28</v>
      </c>
      <c r="C623" s="54">
        <v>46128</v>
      </c>
      <c r="D623" s="53" t="s">
        <v>1030</v>
      </c>
      <c r="E623" s="53" t="s">
        <v>186</v>
      </c>
      <c r="F623" s="53"/>
      <c r="G623" s="54">
        <v>46128</v>
      </c>
      <c r="H623" s="53" t="s">
        <v>1031</v>
      </c>
      <c r="I623" s="59">
        <v>90.91</v>
      </c>
      <c r="J623" s="59"/>
      <c r="K623" s="59"/>
      <c r="L623" s="59">
        <f t="shared" si="9"/>
        <v>299936.92999999993</v>
      </c>
    </row>
    <row r="624" spans="1:12" x14ac:dyDescent="0.3">
      <c r="A624" s="52"/>
      <c r="B624" s="53" t="s">
        <v>26</v>
      </c>
      <c r="C624" s="54">
        <v>46128</v>
      </c>
      <c r="D624" s="53" t="s">
        <v>1302</v>
      </c>
      <c r="E624" s="53"/>
      <c r="F624" s="53"/>
      <c r="G624" s="54"/>
      <c r="H624" s="53"/>
      <c r="I624" s="59">
        <v>73</v>
      </c>
      <c r="J624" s="59"/>
      <c r="K624" s="59"/>
      <c r="L624" s="59">
        <f t="shared" si="9"/>
        <v>300009.92999999993</v>
      </c>
    </row>
    <row r="625" spans="1:12" x14ac:dyDescent="0.3">
      <c r="A625" s="52"/>
      <c r="B625" s="53" t="s">
        <v>26</v>
      </c>
      <c r="C625" s="54">
        <v>46128</v>
      </c>
      <c r="D625" s="53" t="s">
        <v>1303</v>
      </c>
      <c r="E625" s="53"/>
      <c r="F625" s="53"/>
      <c r="G625" s="54"/>
      <c r="H625" s="53"/>
      <c r="I625" s="59">
        <v>37</v>
      </c>
      <c r="J625" s="59"/>
      <c r="K625" s="59"/>
      <c r="L625" s="59">
        <f t="shared" si="9"/>
        <v>300046.92999999993</v>
      </c>
    </row>
    <row r="626" spans="1:12" x14ac:dyDescent="0.3">
      <c r="A626" s="52"/>
      <c r="B626" s="53" t="s">
        <v>26</v>
      </c>
      <c r="C626" s="54">
        <v>46128</v>
      </c>
      <c r="D626" s="53" t="s">
        <v>1304</v>
      </c>
      <c r="E626" s="53"/>
      <c r="F626" s="53"/>
      <c r="G626" s="54"/>
      <c r="H626" s="53"/>
      <c r="I626" s="59">
        <v>2.8</v>
      </c>
      <c r="J626" s="59"/>
      <c r="K626" s="59"/>
      <c r="L626" s="59">
        <f t="shared" si="9"/>
        <v>300049.72999999992</v>
      </c>
    </row>
    <row r="627" spans="1:12" x14ac:dyDescent="0.3">
      <c r="A627" s="52"/>
      <c r="B627" s="53" t="s">
        <v>28</v>
      </c>
      <c r="C627" s="54">
        <v>46128</v>
      </c>
      <c r="D627" s="53" t="s">
        <v>1032</v>
      </c>
      <c r="E627" s="53" t="s">
        <v>645</v>
      </c>
      <c r="F627" s="53"/>
      <c r="G627" s="54">
        <v>46127</v>
      </c>
      <c r="H627" s="53" t="s">
        <v>1033</v>
      </c>
      <c r="I627" s="59">
        <v>68.180000000000007</v>
      </c>
      <c r="J627" s="59"/>
      <c r="K627" s="59"/>
      <c r="L627" s="59">
        <f t="shared" si="9"/>
        <v>300117.90999999992</v>
      </c>
    </row>
    <row r="628" spans="1:12" x14ac:dyDescent="0.3">
      <c r="A628" s="52"/>
      <c r="B628" s="53" t="s">
        <v>26</v>
      </c>
      <c r="C628" s="54">
        <v>46128</v>
      </c>
      <c r="D628" s="53" t="s">
        <v>1029</v>
      </c>
      <c r="E628" s="53"/>
      <c r="F628" s="53"/>
      <c r="G628" s="54"/>
      <c r="H628" s="53"/>
      <c r="I628" s="59">
        <v>57</v>
      </c>
      <c r="J628" s="59"/>
      <c r="K628" s="59"/>
      <c r="L628" s="59">
        <f t="shared" si="9"/>
        <v>300174.90999999992</v>
      </c>
    </row>
    <row r="629" spans="1:12" x14ac:dyDescent="0.3">
      <c r="A629" s="52"/>
      <c r="B629" s="53" t="s">
        <v>26</v>
      </c>
      <c r="C629" s="54">
        <v>46129</v>
      </c>
      <c r="D629" s="53" t="s">
        <v>1305</v>
      </c>
      <c r="E629" s="53"/>
      <c r="F629" s="53"/>
      <c r="G629" s="54"/>
      <c r="H629" s="53"/>
      <c r="I629" s="59">
        <v>8.6999999999999993</v>
      </c>
      <c r="J629" s="59"/>
      <c r="K629" s="59"/>
      <c r="L629" s="59">
        <f t="shared" si="9"/>
        <v>300183.60999999993</v>
      </c>
    </row>
    <row r="630" spans="1:12" x14ac:dyDescent="0.3">
      <c r="A630" s="52"/>
      <c r="B630" s="53" t="s">
        <v>26</v>
      </c>
      <c r="C630" s="54">
        <v>46129</v>
      </c>
      <c r="D630" s="53" t="s">
        <v>1306</v>
      </c>
      <c r="E630" s="53"/>
      <c r="F630" s="53"/>
      <c r="G630" s="54"/>
      <c r="H630" s="53"/>
      <c r="I630" s="59"/>
      <c r="J630" s="59"/>
      <c r="K630" s="59">
        <v>0.03</v>
      </c>
      <c r="L630" s="59">
        <f t="shared" si="9"/>
        <v>300183.5799999999</v>
      </c>
    </row>
    <row r="631" spans="1:12" x14ac:dyDescent="0.3">
      <c r="A631" s="52"/>
      <c r="B631" s="53" t="s">
        <v>26</v>
      </c>
      <c r="C631" s="54">
        <v>46129</v>
      </c>
      <c r="D631" s="53" t="s">
        <v>1307</v>
      </c>
      <c r="E631" s="53"/>
      <c r="F631" s="53"/>
      <c r="G631" s="54"/>
      <c r="H631" s="53"/>
      <c r="I631" s="59">
        <v>1.22</v>
      </c>
      <c r="J631" s="59"/>
      <c r="K631" s="59"/>
      <c r="L631" s="59">
        <f t="shared" si="9"/>
        <v>300184.79999999987</v>
      </c>
    </row>
    <row r="632" spans="1:12" x14ac:dyDescent="0.3">
      <c r="A632" s="52"/>
      <c r="B632" s="53" t="s">
        <v>26</v>
      </c>
      <c r="C632" s="54">
        <v>46129</v>
      </c>
      <c r="D632" s="53" t="s">
        <v>1309</v>
      </c>
      <c r="E632" s="53"/>
      <c r="F632" s="53"/>
      <c r="G632" s="54"/>
      <c r="H632" s="53"/>
      <c r="I632" s="59">
        <v>51</v>
      </c>
      <c r="J632" s="59"/>
      <c r="K632" s="59"/>
      <c r="L632" s="59">
        <f t="shared" si="9"/>
        <v>300235.79999999987</v>
      </c>
    </row>
    <row r="633" spans="1:12" x14ac:dyDescent="0.3">
      <c r="A633" s="52"/>
      <c r="B633" s="53" t="s">
        <v>26</v>
      </c>
      <c r="C633" s="54">
        <v>46129</v>
      </c>
      <c r="D633" s="53" t="s">
        <v>1308</v>
      </c>
      <c r="E633" s="53"/>
      <c r="F633" s="53"/>
      <c r="G633" s="54"/>
      <c r="H633" s="53"/>
      <c r="I633" s="59">
        <v>10.199999999999999</v>
      </c>
      <c r="J633" s="59"/>
      <c r="K633" s="59"/>
      <c r="L633" s="59">
        <f t="shared" si="9"/>
        <v>300245.99999999988</v>
      </c>
    </row>
    <row r="634" spans="1:12" x14ac:dyDescent="0.3">
      <c r="A634" s="52"/>
      <c r="B634" s="53" t="s">
        <v>26</v>
      </c>
      <c r="C634" s="54">
        <v>46129</v>
      </c>
      <c r="D634" s="53" t="s">
        <v>1310</v>
      </c>
      <c r="E634" s="53"/>
      <c r="F634" s="53"/>
      <c r="G634" s="54"/>
      <c r="H634" s="53"/>
      <c r="I634" s="59">
        <v>9.92</v>
      </c>
      <c r="J634" s="59"/>
      <c r="K634" s="59"/>
      <c r="L634" s="59">
        <f t="shared" si="9"/>
        <v>300255.91999999987</v>
      </c>
    </row>
    <row r="635" spans="1:12" x14ac:dyDescent="0.3">
      <c r="A635" s="52"/>
      <c r="B635" s="53" t="s">
        <v>26</v>
      </c>
      <c r="C635" s="54">
        <v>46129</v>
      </c>
      <c r="D635" s="53" t="s">
        <v>1311</v>
      </c>
      <c r="E635" s="53"/>
      <c r="F635" s="53"/>
      <c r="G635" s="54"/>
      <c r="H635" s="53"/>
      <c r="I635" s="59">
        <v>0.03</v>
      </c>
      <c r="J635" s="59"/>
      <c r="K635" s="59"/>
      <c r="L635" s="59">
        <f t="shared" si="9"/>
        <v>300255.9499999999</v>
      </c>
    </row>
    <row r="636" spans="1:12" x14ac:dyDescent="0.3">
      <c r="A636" s="52"/>
      <c r="B636" s="53" t="s">
        <v>26</v>
      </c>
      <c r="C636" s="54">
        <v>46129</v>
      </c>
      <c r="D636" s="53" t="s">
        <v>1312</v>
      </c>
      <c r="E636" s="53"/>
      <c r="F636" s="53"/>
      <c r="G636" s="54"/>
      <c r="H636" s="53"/>
      <c r="I636" s="59">
        <v>13</v>
      </c>
      <c r="J636" s="59"/>
      <c r="K636" s="59"/>
      <c r="L636" s="59">
        <f t="shared" si="9"/>
        <v>300268.9499999999</v>
      </c>
    </row>
    <row r="637" spans="1:12" x14ac:dyDescent="0.3">
      <c r="A637" s="52"/>
      <c r="B637" s="53" t="s">
        <v>26</v>
      </c>
      <c r="C637" s="54">
        <v>46129</v>
      </c>
      <c r="D637" s="53" t="s">
        <v>1313</v>
      </c>
      <c r="E637" s="53"/>
      <c r="F637" s="53"/>
      <c r="G637" s="54"/>
      <c r="H637" s="53"/>
      <c r="I637" s="59">
        <v>144.5</v>
      </c>
      <c r="J637" s="59"/>
      <c r="K637" s="59"/>
      <c r="L637" s="59">
        <f t="shared" si="9"/>
        <v>300413.4499999999</v>
      </c>
    </row>
    <row r="638" spans="1:12" x14ac:dyDescent="0.3">
      <c r="A638" s="52"/>
      <c r="B638" s="53" t="s">
        <v>26</v>
      </c>
      <c r="C638" s="54">
        <v>46129</v>
      </c>
      <c r="D638" s="53" t="s">
        <v>1314</v>
      </c>
      <c r="E638" s="53"/>
      <c r="F638" s="53"/>
      <c r="G638" s="54"/>
      <c r="H638" s="53"/>
      <c r="I638" s="59">
        <v>2.42</v>
      </c>
      <c r="J638" s="59"/>
      <c r="K638" s="59"/>
      <c r="L638" s="59">
        <f t="shared" si="9"/>
        <v>300415.86999999988</v>
      </c>
    </row>
    <row r="639" spans="1:12" x14ac:dyDescent="0.3">
      <c r="A639" s="52"/>
      <c r="B639" s="53" t="s">
        <v>26</v>
      </c>
      <c r="C639" s="54">
        <v>46129</v>
      </c>
      <c r="D639" s="53" t="s">
        <v>1034</v>
      </c>
      <c r="E639" s="53"/>
      <c r="F639" s="53"/>
      <c r="G639" s="54"/>
      <c r="H639" s="53"/>
      <c r="I639" s="59">
        <v>13.6</v>
      </c>
      <c r="J639" s="59"/>
      <c r="K639" s="59"/>
      <c r="L639" s="59">
        <f t="shared" si="9"/>
        <v>300429.46999999986</v>
      </c>
    </row>
    <row r="640" spans="1:12" x14ac:dyDescent="0.3">
      <c r="A640" s="52"/>
      <c r="B640" s="53" t="s">
        <v>26</v>
      </c>
      <c r="C640" s="54">
        <v>46129</v>
      </c>
      <c r="D640" s="53" t="s">
        <v>1315</v>
      </c>
      <c r="E640" s="53"/>
      <c r="F640" s="53"/>
      <c r="G640" s="54"/>
      <c r="H640" s="53"/>
      <c r="I640" s="59">
        <v>899</v>
      </c>
      <c r="J640" s="59"/>
      <c r="K640" s="59"/>
      <c r="L640" s="59">
        <f t="shared" si="9"/>
        <v>301328.46999999986</v>
      </c>
    </row>
    <row r="641" spans="1:12" x14ac:dyDescent="0.3">
      <c r="A641" s="52"/>
      <c r="B641" s="53" t="s">
        <v>26</v>
      </c>
      <c r="C641" s="54">
        <v>46130</v>
      </c>
      <c r="D641" s="53" t="s">
        <v>1316</v>
      </c>
      <c r="E641" s="53"/>
      <c r="F641" s="53"/>
      <c r="G641" s="54"/>
      <c r="H641" s="53"/>
      <c r="I641" s="59">
        <v>170</v>
      </c>
      <c r="J641" s="59"/>
      <c r="K641" s="59"/>
      <c r="L641" s="59">
        <f t="shared" si="9"/>
        <v>301498.46999999986</v>
      </c>
    </row>
    <row r="642" spans="1:12" x14ac:dyDescent="0.3">
      <c r="A642" s="52"/>
      <c r="B642" s="53" t="s">
        <v>26</v>
      </c>
      <c r="C642" s="54">
        <v>46130</v>
      </c>
      <c r="D642" s="53" t="s">
        <v>1317</v>
      </c>
      <c r="E642" s="53"/>
      <c r="F642" s="53"/>
      <c r="G642" s="54"/>
      <c r="H642" s="53"/>
      <c r="I642" s="59">
        <v>9.6999999999999993</v>
      </c>
      <c r="J642" s="59"/>
      <c r="K642" s="59"/>
      <c r="L642" s="59">
        <f t="shared" si="9"/>
        <v>301508.16999999987</v>
      </c>
    </row>
    <row r="643" spans="1:12" x14ac:dyDescent="0.3">
      <c r="A643" s="52"/>
      <c r="B643" s="53" t="s">
        <v>26</v>
      </c>
      <c r="C643" s="54">
        <v>46130</v>
      </c>
      <c r="D643" s="53" t="s">
        <v>1318</v>
      </c>
      <c r="E643" s="53"/>
      <c r="F643" s="53"/>
      <c r="G643" s="54"/>
      <c r="H643" s="53"/>
      <c r="I643" s="59">
        <v>1.5</v>
      </c>
      <c r="J643" s="59"/>
      <c r="K643" s="59"/>
      <c r="L643" s="59">
        <f t="shared" si="9"/>
        <v>301509.66999999987</v>
      </c>
    </row>
    <row r="644" spans="1:12" x14ac:dyDescent="0.3">
      <c r="A644" s="52"/>
      <c r="B644" s="53" t="s">
        <v>26</v>
      </c>
      <c r="C644" s="54">
        <v>46130</v>
      </c>
      <c r="D644" s="53" t="s">
        <v>1319</v>
      </c>
      <c r="E644" s="53"/>
      <c r="F644" s="53"/>
      <c r="G644" s="54"/>
      <c r="H644" s="53"/>
      <c r="I644" s="59">
        <v>31.5</v>
      </c>
      <c r="J644" s="59"/>
      <c r="K644" s="59"/>
      <c r="L644" s="59">
        <f t="shared" si="9"/>
        <v>301541.16999999987</v>
      </c>
    </row>
    <row r="645" spans="1:12" x14ac:dyDescent="0.3">
      <c r="A645" s="52"/>
      <c r="B645" s="53" t="s">
        <v>26</v>
      </c>
      <c r="C645" s="54">
        <v>46130</v>
      </c>
      <c r="D645" s="53" t="s">
        <v>1320</v>
      </c>
      <c r="E645" s="53"/>
      <c r="F645" s="53"/>
      <c r="G645" s="54"/>
      <c r="H645" s="53"/>
      <c r="I645" s="59">
        <v>7.5</v>
      </c>
      <c r="J645" s="59"/>
      <c r="K645" s="59"/>
      <c r="L645" s="59">
        <f t="shared" si="9"/>
        <v>301548.66999999987</v>
      </c>
    </row>
    <row r="646" spans="1:12" x14ac:dyDescent="0.3">
      <c r="A646" s="52"/>
      <c r="B646" s="53" t="s">
        <v>26</v>
      </c>
      <c r="C646" s="54">
        <v>46132</v>
      </c>
      <c r="D646" s="53" t="s">
        <v>1321</v>
      </c>
      <c r="E646" s="53"/>
      <c r="F646" s="53"/>
      <c r="G646" s="54"/>
      <c r="H646" s="53"/>
      <c r="I646" s="59">
        <v>12</v>
      </c>
      <c r="J646" s="59"/>
      <c r="K646" s="59"/>
      <c r="L646" s="59">
        <f t="shared" si="9"/>
        <v>301560.66999999987</v>
      </c>
    </row>
    <row r="647" spans="1:12" x14ac:dyDescent="0.3">
      <c r="A647" s="52"/>
      <c r="B647" s="53" t="s">
        <v>26</v>
      </c>
      <c r="C647" s="54">
        <v>46132</v>
      </c>
      <c r="D647" s="53" t="s">
        <v>1322</v>
      </c>
      <c r="E647" s="53"/>
      <c r="F647" s="53"/>
      <c r="G647" s="54"/>
      <c r="H647" s="53"/>
      <c r="I647" s="59">
        <v>8</v>
      </c>
      <c r="J647" s="59"/>
      <c r="K647" s="59"/>
      <c r="L647" s="59">
        <f t="shared" si="9"/>
        <v>301568.66999999987</v>
      </c>
    </row>
    <row r="648" spans="1:12" x14ac:dyDescent="0.3">
      <c r="A648" s="52"/>
      <c r="B648" s="53" t="s">
        <v>75</v>
      </c>
      <c r="C648" s="54">
        <v>46132</v>
      </c>
      <c r="D648" s="53" t="s">
        <v>1038</v>
      </c>
      <c r="E648" s="53" t="s">
        <v>724</v>
      </c>
      <c r="F648" s="53"/>
      <c r="G648" s="54">
        <v>46129</v>
      </c>
      <c r="H648" s="53" t="s">
        <v>212</v>
      </c>
      <c r="I648" s="59"/>
      <c r="J648" s="59"/>
      <c r="K648" s="59">
        <v>581.82000000000005</v>
      </c>
      <c r="L648" s="59">
        <f t="shared" si="9"/>
        <v>300986.84999999986</v>
      </c>
    </row>
    <row r="649" spans="1:12" x14ac:dyDescent="0.3">
      <c r="A649" s="52"/>
      <c r="B649" s="53" t="s">
        <v>26</v>
      </c>
      <c r="C649" s="54">
        <v>46132</v>
      </c>
      <c r="D649" s="53" t="s">
        <v>1323</v>
      </c>
      <c r="E649" s="53"/>
      <c r="F649" s="53"/>
      <c r="G649" s="54"/>
      <c r="H649" s="53"/>
      <c r="I649" s="59">
        <v>8.33</v>
      </c>
      <c r="J649" s="59"/>
      <c r="K649" s="59"/>
      <c r="L649" s="59">
        <f t="shared" si="9"/>
        <v>300995.17999999988</v>
      </c>
    </row>
    <row r="650" spans="1:12" x14ac:dyDescent="0.3">
      <c r="A650" s="52"/>
      <c r="B650" s="53" t="s">
        <v>26</v>
      </c>
      <c r="C650" s="54">
        <v>46132</v>
      </c>
      <c r="D650" s="53" t="s">
        <v>1324</v>
      </c>
      <c r="E650" s="53"/>
      <c r="F650" s="53"/>
      <c r="G650" s="54"/>
      <c r="H650" s="53"/>
      <c r="I650" s="59">
        <v>31.7</v>
      </c>
      <c r="J650" s="59"/>
      <c r="K650" s="59"/>
      <c r="L650" s="59">
        <f t="shared" si="9"/>
        <v>301026.87999999989</v>
      </c>
    </row>
    <row r="651" spans="1:12" x14ac:dyDescent="0.3">
      <c r="A651" s="52"/>
      <c r="B651" s="53" t="s">
        <v>75</v>
      </c>
      <c r="C651" s="54">
        <v>46132</v>
      </c>
      <c r="D651" s="53" t="s">
        <v>1039</v>
      </c>
      <c r="E651" s="53" t="s">
        <v>724</v>
      </c>
      <c r="F651" s="53"/>
      <c r="G651" s="54">
        <v>46129</v>
      </c>
      <c r="H651" s="53" t="s">
        <v>1040</v>
      </c>
      <c r="I651" s="59"/>
      <c r="J651" s="59"/>
      <c r="K651" s="59">
        <v>436.36</v>
      </c>
      <c r="L651" s="59">
        <f t="shared" ref="L651:L714" si="10">L650+I651-K651</f>
        <v>300590.5199999999</v>
      </c>
    </row>
    <row r="652" spans="1:12" x14ac:dyDescent="0.3">
      <c r="A652" s="52"/>
      <c r="B652" s="53" t="s">
        <v>28</v>
      </c>
      <c r="C652" s="54">
        <v>46132</v>
      </c>
      <c r="D652" s="53" t="s">
        <v>1041</v>
      </c>
      <c r="E652" s="53" t="s">
        <v>350</v>
      </c>
      <c r="F652" s="53" t="s">
        <v>351</v>
      </c>
      <c r="G652" s="54">
        <v>46122</v>
      </c>
      <c r="H652" s="53" t="s">
        <v>1042</v>
      </c>
      <c r="I652" s="59">
        <v>32.549999999999997</v>
      </c>
      <c r="J652" s="59"/>
      <c r="K652" s="59"/>
      <c r="L652" s="59">
        <f t="shared" si="10"/>
        <v>300623.06999999989</v>
      </c>
    </row>
    <row r="653" spans="1:12" x14ac:dyDescent="0.3">
      <c r="A653" s="52"/>
      <c r="B653" s="53" t="s">
        <v>26</v>
      </c>
      <c r="C653" s="54">
        <v>46132</v>
      </c>
      <c r="D653" s="53" t="s">
        <v>1325</v>
      </c>
      <c r="E653" s="53"/>
      <c r="F653" s="53"/>
      <c r="G653" s="54"/>
      <c r="H653" s="53"/>
      <c r="I653" s="59">
        <v>3.99</v>
      </c>
      <c r="J653" s="59"/>
      <c r="K653" s="59"/>
      <c r="L653" s="59">
        <f t="shared" si="10"/>
        <v>300627.05999999988</v>
      </c>
    </row>
    <row r="654" spans="1:12" x14ac:dyDescent="0.3">
      <c r="A654" s="52"/>
      <c r="B654" s="53" t="s">
        <v>26</v>
      </c>
      <c r="C654" s="54">
        <v>46132</v>
      </c>
      <c r="D654" s="53" t="s">
        <v>1326</v>
      </c>
      <c r="E654" s="53"/>
      <c r="F654" s="53"/>
      <c r="G654" s="54"/>
      <c r="H654" s="53"/>
      <c r="I654" s="59">
        <v>2.4</v>
      </c>
      <c r="J654" s="59"/>
      <c r="K654" s="59"/>
      <c r="L654" s="59">
        <f t="shared" si="10"/>
        <v>300629.4599999999</v>
      </c>
    </row>
    <row r="655" spans="1:12" x14ac:dyDescent="0.3">
      <c r="A655" s="52"/>
      <c r="B655" s="53" t="s">
        <v>28</v>
      </c>
      <c r="C655" s="54">
        <v>46132</v>
      </c>
      <c r="D655" s="53" t="s">
        <v>1043</v>
      </c>
      <c r="E655" s="53" t="s">
        <v>724</v>
      </c>
      <c r="F655" s="53"/>
      <c r="G655" s="54">
        <v>46129</v>
      </c>
      <c r="H655" s="53" t="s">
        <v>1044</v>
      </c>
      <c r="I655" s="59">
        <v>436.36</v>
      </c>
      <c r="J655" s="59"/>
      <c r="K655" s="59"/>
      <c r="L655" s="59">
        <f t="shared" si="10"/>
        <v>301065.81999999989</v>
      </c>
    </row>
    <row r="656" spans="1:12" x14ac:dyDescent="0.3">
      <c r="A656" s="52"/>
      <c r="B656" s="53" t="s">
        <v>26</v>
      </c>
      <c r="C656" s="54">
        <v>46132</v>
      </c>
      <c r="D656" s="53" t="s">
        <v>1327</v>
      </c>
      <c r="E656" s="53"/>
      <c r="F656" s="53"/>
      <c r="G656" s="54"/>
      <c r="H656" s="53"/>
      <c r="I656" s="59">
        <v>6.6</v>
      </c>
      <c r="J656" s="59"/>
      <c r="K656" s="59"/>
      <c r="L656" s="59">
        <f t="shared" si="10"/>
        <v>301072.41999999987</v>
      </c>
    </row>
    <row r="657" spans="1:12" x14ac:dyDescent="0.3">
      <c r="A657" s="52"/>
      <c r="B657" s="53" t="s">
        <v>26</v>
      </c>
      <c r="C657" s="54">
        <v>46132</v>
      </c>
      <c r="D657" s="53" t="s">
        <v>1328</v>
      </c>
      <c r="E657" s="53"/>
      <c r="F657" s="53"/>
      <c r="G657" s="54"/>
      <c r="H657" s="53"/>
      <c r="I657" s="59">
        <v>22.5</v>
      </c>
      <c r="J657" s="59"/>
      <c r="K657" s="59"/>
      <c r="L657" s="59">
        <f t="shared" si="10"/>
        <v>301094.91999999987</v>
      </c>
    </row>
    <row r="658" spans="1:12" x14ac:dyDescent="0.3">
      <c r="A658" s="52"/>
      <c r="B658" s="53" t="s">
        <v>26</v>
      </c>
      <c r="C658" s="54">
        <v>46132</v>
      </c>
      <c r="D658" s="53" t="s">
        <v>1329</v>
      </c>
      <c r="E658" s="53"/>
      <c r="F658" s="53"/>
      <c r="G658" s="54"/>
      <c r="H658" s="53"/>
      <c r="I658" s="59">
        <v>22</v>
      </c>
      <c r="J658" s="59"/>
      <c r="K658" s="59"/>
      <c r="L658" s="59">
        <f t="shared" si="10"/>
        <v>301116.91999999987</v>
      </c>
    </row>
    <row r="659" spans="1:12" x14ac:dyDescent="0.3">
      <c r="A659" s="52"/>
      <c r="B659" s="53" t="s">
        <v>28</v>
      </c>
      <c r="C659" s="54">
        <v>46132</v>
      </c>
      <c r="D659" s="53" t="s">
        <v>1045</v>
      </c>
      <c r="E659" s="53" t="s">
        <v>724</v>
      </c>
      <c r="F659" s="53"/>
      <c r="G659" s="54">
        <v>46129</v>
      </c>
      <c r="H659" s="53" t="s">
        <v>195</v>
      </c>
      <c r="I659" s="59">
        <v>581.82000000000005</v>
      </c>
      <c r="J659" s="59"/>
      <c r="K659" s="59"/>
      <c r="L659" s="59">
        <f t="shared" si="10"/>
        <v>301698.73999999987</v>
      </c>
    </row>
    <row r="660" spans="1:12" x14ac:dyDescent="0.3">
      <c r="A660" s="52"/>
      <c r="B660" s="53" t="s">
        <v>26</v>
      </c>
      <c r="C660" s="54">
        <v>46132</v>
      </c>
      <c r="D660" s="53" t="s">
        <v>1330</v>
      </c>
      <c r="E660" s="53"/>
      <c r="F660" s="53"/>
      <c r="G660" s="54"/>
      <c r="H660" s="53"/>
      <c r="I660" s="59">
        <v>22.05</v>
      </c>
      <c r="J660" s="59"/>
      <c r="K660" s="59"/>
      <c r="L660" s="59">
        <f t="shared" si="10"/>
        <v>301720.78999999986</v>
      </c>
    </row>
    <row r="661" spans="1:12" x14ac:dyDescent="0.3">
      <c r="A661" s="52"/>
      <c r="B661" s="53" t="s">
        <v>28</v>
      </c>
      <c r="C661" s="54">
        <v>46132</v>
      </c>
      <c r="D661" s="53" t="s">
        <v>1035</v>
      </c>
      <c r="E661" s="53" t="s">
        <v>1036</v>
      </c>
      <c r="F661" s="53"/>
      <c r="G661" s="54">
        <v>46126</v>
      </c>
      <c r="H661" s="53" t="s">
        <v>1037</v>
      </c>
      <c r="I661" s="59">
        <v>101.09</v>
      </c>
      <c r="J661" s="59"/>
      <c r="K661" s="59"/>
      <c r="L661" s="59">
        <f t="shared" si="10"/>
        <v>301821.87999999989</v>
      </c>
    </row>
    <row r="662" spans="1:12" x14ac:dyDescent="0.3">
      <c r="A662" s="52"/>
      <c r="B662" s="53" t="s">
        <v>26</v>
      </c>
      <c r="C662" s="54">
        <v>46133</v>
      </c>
      <c r="D662" s="53" t="s">
        <v>1331</v>
      </c>
      <c r="E662" s="53"/>
      <c r="F662" s="53"/>
      <c r="G662" s="54"/>
      <c r="H662" s="53"/>
      <c r="I662" s="59">
        <v>6.6</v>
      </c>
      <c r="J662" s="59"/>
      <c r="K662" s="59"/>
      <c r="L662" s="59">
        <f t="shared" si="10"/>
        <v>301828.47999999986</v>
      </c>
    </row>
    <row r="663" spans="1:12" x14ac:dyDescent="0.3">
      <c r="A663" s="52"/>
      <c r="B663" s="53" t="s">
        <v>26</v>
      </c>
      <c r="C663" s="54">
        <v>46133</v>
      </c>
      <c r="D663" s="53" t="s">
        <v>1332</v>
      </c>
      <c r="E663" s="53"/>
      <c r="F663" s="53"/>
      <c r="G663" s="54"/>
      <c r="H663" s="53"/>
      <c r="I663" s="59">
        <v>20</v>
      </c>
      <c r="J663" s="59"/>
      <c r="K663" s="59"/>
      <c r="L663" s="59">
        <f t="shared" si="10"/>
        <v>301848.47999999986</v>
      </c>
    </row>
    <row r="664" spans="1:12" x14ac:dyDescent="0.3">
      <c r="A664" s="52"/>
      <c r="B664" s="53" t="s">
        <v>26</v>
      </c>
      <c r="C664" s="54">
        <v>46133</v>
      </c>
      <c r="D664" s="53" t="s">
        <v>1333</v>
      </c>
      <c r="E664" s="53"/>
      <c r="F664" s="53"/>
      <c r="G664" s="54"/>
      <c r="H664" s="53"/>
      <c r="I664" s="59">
        <v>7.49</v>
      </c>
      <c r="J664" s="59"/>
      <c r="K664" s="59"/>
      <c r="L664" s="59">
        <f t="shared" si="10"/>
        <v>301855.96999999986</v>
      </c>
    </row>
    <row r="665" spans="1:12" x14ac:dyDescent="0.3">
      <c r="A665" s="52"/>
      <c r="B665" s="53" t="s">
        <v>28</v>
      </c>
      <c r="C665" s="54">
        <v>46133</v>
      </c>
      <c r="D665" s="53" t="s">
        <v>1048</v>
      </c>
      <c r="E665" s="53" t="s">
        <v>186</v>
      </c>
      <c r="F665" s="53"/>
      <c r="G665" s="54">
        <v>46133</v>
      </c>
      <c r="H665" s="53" t="s">
        <v>1049</v>
      </c>
      <c r="I665" s="59">
        <v>205.8</v>
      </c>
      <c r="J665" s="59"/>
      <c r="K665" s="59"/>
      <c r="L665" s="59">
        <f t="shared" si="10"/>
        <v>302061.76999999984</v>
      </c>
    </row>
    <row r="666" spans="1:12" x14ac:dyDescent="0.3">
      <c r="A666" s="52"/>
      <c r="B666" s="53" t="s">
        <v>26</v>
      </c>
      <c r="C666" s="54">
        <v>46133</v>
      </c>
      <c r="D666" s="53" t="s">
        <v>1334</v>
      </c>
      <c r="E666" s="53"/>
      <c r="F666" s="53"/>
      <c r="G666" s="54"/>
      <c r="H666" s="53"/>
      <c r="I666" s="59">
        <v>19.600000000000001</v>
      </c>
      <c r="J666" s="59"/>
      <c r="K666" s="59"/>
      <c r="L666" s="59">
        <f t="shared" si="10"/>
        <v>302081.36999999982</v>
      </c>
    </row>
    <row r="667" spans="1:12" x14ac:dyDescent="0.3">
      <c r="A667" s="52"/>
      <c r="B667" s="53" t="s">
        <v>26</v>
      </c>
      <c r="C667" s="54">
        <v>46133</v>
      </c>
      <c r="D667" s="53" t="s">
        <v>1335</v>
      </c>
      <c r="E667" s="53"/>
      <c r="F667" s="53"/>
      <c r="G667" s="54"/>
      <c r="H667" s="53"/>
      <c r="I667" s="59">
        <v>19.8</v>
      </c>
      <c r="J667" s="59"/>
      <c r="K667" s="59"/>
      <c r="L667" s="59">
        <f t="shared" si="10"/>
        <v>302101.16999999981</v>
      </c>
    </row>
    <row r="668" spans="1:12" x14ac:dyDescent="0.3">
      <c r="A668" s="52"/>
      <c r="B668" s="53" t="s">
        <v>26</v>
      </c>
      <c r="C668" s="54">
        <v>46133</v>
      </c>
      <c r="D668" s="53" t="s">
        <v>1336</v>
      </c>
      <c r="E668" s="53"/>
      <c r="F668" s="53"/>
      <c r="G668" s="54"/>
      <c r="H668" s="53"/>
      <c r="I668" s="59">
        <v>13.16</v>
      </c>
      <c r="J668" s="59"/>
      <c r="K668" s="59"/>
      <c r="L668" s="59">
        <f t="shared" si="10"/>
        <v>302114.32999999978</v>
      </c>
    </row>
    <row r="669" spans="1:12" x14ac:dyDescent="0.3">
      <c r="A669" s="52"/>
      <c r="B669" s="53" t="s">
        <v>28</v>
      </c>
      <c r="C669" s="54">
        <v>46133</v>
      </c>
      <c r="D669" s="53" t="s">
        <v>1050</v>
      </c>
      <c r="E669" s="53" t="s">
        <v>1051</v>
      </c>
      <c r="F669" s="53"/>
      <c r="G669" s="54">
        <v>46130</v>
      </c>
      <c r="H669" s="53" t="s">
        <v>1052</v>
      </c>
      <c r="I669" s="59">
        <v>244</v>
      </c>
      <c r="J669" s="59"/>
      <c r="K669" s="59"/>
      <c r="L669" s="59">
        <f t="shared" si="10"/>
        <v>302358.32999999978</v>
      </c>
    </row>
    <row r="670" spans="1:12" x14ac:dyDescent="0.3">
      <c r="A670" s="52"/>
      <c r="B670" s="53" t="s">
        <v>26</v>
      </c>
      <c r="C670" s="54">
        <v>46133</v>
      </c>
      <c r="D670" s="53" t="s">
        <v>1337</v>
      </c>
      <c r="E670" s="53"/>
      <c r="F670" s="53"/>
      <c r="G670" s="54"/>
      <c r="H670" s="53"/>
      <c r="I670" s="59">
        <v>3</v>
      </c>
      <c r="J670" s="59"/>
      <c r="K670" s="59"/>
      <c r="L670" s="59">
        <f t="shared" si="10"/>
        <v>302361.32999999978</v>
      </c>
    </row>
    <row r="671" spans="1:12" x14ac:dyDescent="0.3">
      <c r="A671" s="52"/>
      <c r="B671" s="53" t="s">
        <v>26</v>
      </c>
      <c r="C671" s="54">
        <v>46133</v>
      </c>
      <c r="D671" s="53" t="s">
        <v>1053</v>
      </c>
      <c r="E671" s="53"/>
      <c r="F671" s="53"/>
      <c r="G671" s="54"/>
      <c r="H671" s="53"/>
      <c r="I671" s="59">
        <v>46.5</v>
      </c>
      <c r="J671" s="59"/>
      <c r="K671" s="59"/>
      <c r="L671" s="59">
        <f t="shared" si="10"/>
        <v>302407.82999999978</v>
      </c>
    </row>
    <row r="672" spans="1:12" x14ac:dyDescent="0.3">
      <c r="A672" s="52"/>
      <c r="B672" s="53" t="s">
        <v>28</v>
      </c>
      <c r="C672" s="54">
        <v>46133</v>
      </c>
      <c r="D672" s="53" t="s">
        <v>1054</v>
      </c>
      <c r="E672" s="53" t="s">
        <v>186</v>
      </c>
      <c r="F672" s="53"/>
      <c r="G672" s="54">
        <v>46129</v>
      </c>
      <c r="H672" s="53" t="s">
        <v>1055</v>
      </c>
      <c r="I672" s="59">
        <v>71</v>
      </c>
      <c r="J672" s="59"/>
      <c r="K672" s="59"/>
      <c r="L672" s="59">
        <f t="shared" si="10"/>
        <v>302478.82999999978</v>
      </c>
    </row>
    <row r="673" spans="1:12" x14ac:dyDescent="0.3">
      <c r="A673" s="52"/>
      <c r="B673" s="53" t="s">
        <v>26</v>
      </c>
      <c r="C673" s="54">
        <v>46133</v>
      </c>
      <c r="D673" s="53" t="s">
        <v>1338</v>
      </c>
      <c r="E673" s="53"/>
      <c r="F673" s="53"/>
      <c r="G673" s="54"/>
      <c r="H673" s="53"/>
      <c r="I673" s="59">
        <v>14.26</v>
      </c>
      <c r="J673" s="59"/>
      <c r="K673" s="59"/>
      <c r="L673" s="59">
        <f t="shared" si="10"/>
        <v>302493.08999999979</v>
      </c>
    </row>
    <row r="674" spans="1:12" x14ac:dyDescent="0.3">
      <c r="A674" s="52"/>
      <c r="B674" s="53" t="s">
        <v>28</v>
      </c>
      <c r="C674" s="54">
        <v>46133</v>
      </c>
      <c r="D674" s="53" t="s">
        <v>1056</v>
      </c>
      <c r="E674" s="53" t="s">
        <v>1057</v>
      </c>
      <c r="F674" s="53" t="s">
        <v>1058</v>
      </c>
      <c r="G674" s="54">
        <v>46128</v>
      </c>
      <c r="H674" s="53" t="s">
        <v>1059</v>
      </c>
      <c r="I674" s="59">
        <v>162.76</v>
      </c>
      <c r="J674" s="59"/>
      <c r="K674" s="59"/>
      <c r="L674" s="59">
        <f t="shared" si="10"/>
        <v>302655.8499999998</v>
      </c>
    </row>
    <row r="675" spans="1:12" x14ac:dyDescent="0.3">
      <c r="A675" s="52"/>
      <c r="B675" s="53" t="s">
        <v>28</v>
      </c>
      <c r="C675" s="54">
        <v>46133</v>
      </c>
      <c r="D675" s="53" t="s">
        <v>1060</v>
      </c>
      <c r="E675" s="53" t="s">
        <v>186</v>
      </c>
      <c r="F675" s="53"/>
      <c r="G675" s="54">
        <v>46129</v>
      </c>
      <c r="H675" s="53" t="s">
        <v>1061</v>
      </c>
      <c r="I675" s="59">
        <v>94.5</v>
      </c>
      <c r="J675" s="59"/>
      <c r="K675" s="59"/>
      <c r="L675" s="59">
        <f t="shared" si="10"/>
        <v>302750.3499999998</v>
      </c>
    </row>
    <row r="676" spans="1:12" x14ac:dyDescent="0.3">
      <c r="A676" s="52"/>
      <c r="B676" s="53" t="s">
        <v>28</v>
      </c>
      <c r="C676" s="54">
        <v>46133</v>
      </c>
      <c r="D676" s="53" t="s">
        <v>1062</v>
      </c>
      <c r="E676" s="53" t="s">
        <v>207</v>
      </c>
      <c r="F676" s="53"/>
      <c r="G676" s="54">
        <v>46132</v>
      </c>
      <c r="H676" s="53" t="s">
        <v>1063</v>
      </c>
      <c r="I676" s="59">
        <v>51.2</v>
      </c>
      <c r="J676" s="59"/>
      <c r="K676" s="59"/>
      <c r="L676" s="59">
        <f t="shared" si="10"/>
        <v>302801.54999999981</v>
      </c>
    </row>
    <row r="677" spans="1:12" x14ac:dyDescent="0.3">
      <c r="A677" s="52"/>
      <c r="B677" s="53" t="s">
        <v>28</v>
      </c>
      <c r="C677" s="54">
        <v>46133</v>
      </c>
      <c r="D677" s="53" t="s">
        <v>1046</v>
      </c>
      <c r="E677" s="53" t="s">
        <v>186</v>
      </c>
      <c r="F677" s="53"/>
      <c r="G677" s="54">
        <v>46133</v>
      </c>
      <c r="H677" s="53" t="s">
        <v>1047</v>
      </c>
      <c r="I677" s="59">
        <v>253.6</v>
      </c>
      <c r="J677" s="59"/>
      <c r="K677" s="59"/>
      <c r="L677" s="59">
        <f t="shared" si="10"/>
        <v>303055.14999999979</v>
      </c>
    </row>
    <row r="678" spans="1:12" x14ac:dyDescent="0.3">
      <c r="A678" s="52"/>
      <c r="B678" s="53" t="s">
        <v>28</v>
      </c>
      <c r="C678" s="54">
        <v>46134</v>
      </c>
      <c r="D678" s="53" t="s">
        <v>1064</v>
      </c>
      <c r="E678" s="53" t="s">
        <v>186</v>
      </c>
      <c r="F678" s="53"/>
      <c r="G678" s="54">
        <v>46133</v>
      </c>
      <c r="H678" s="53" t="s">
        <v>1065</v>
      </c>
      <c r="I678" s="59">
        <v>92</v>
      </c>
      <c r="J678" s="59"/>
      <c r="K678" s="59"/>
      <c r="L678" s="59">
        <f t="shared" si="10"/>
        <v>303147.14999999979</v>
      </c>
    </row>
    <row r="679" spans="1:12" x14ac:dyDescent="0.3">
      <c r="A679" s="52"/>
      <c r="B679" s="53" t="s">
        <v>26</v>
      </c>
      <c r="C679" s="54">
        <v>46134</v>
      </c>
      <c r="D679" s="53" t="s">
        <v>1340</v>
      </c>
      <c r="E679" s="53"/>
      <c r="F679" s="53"/>
      <c r="G679" s="54"/>
      <c r="H679" s="53"/>
      <c r="I679" s="59">
        <v>4.4000000000000004</v>
      </c>
      <c r="J679" s="59"/>
      <c r="K679" s="59"/>
      <c r="L679" s="59">
        <f t="shared" si="10"/>
        <v>303151.54999999981</v>
      </c>
    </row>
    <row r="680" spans="1:12" x14ac:dyDescent="0.3">
      <c r="A680" s="52"/>
      <c r="B680" s="53" t="s">
        <v>75</v>
      </c>
      <c r="C680" s="54">
        <v>46134</v>
      </c>
      <c r="D680" s="53" t="s">
        <v>1066</v>
      </c>
      <c r="E680" s="53" t="s">
        <v>186</v>
      </c>
      <c r="F680" s="53"/>
      <c r="G680" s="54">
        <v>46133</v>
      </c>
      <c r="H680" s="53" t="s">
        <v>1067</v>
      </c>
      <c r="I680" s="59"/>
      <c r="J680" s="59"/>
      <c r="K680" s="59">
        <v>76.900000000000006</v>
      </c>
      <c r="L680" s="59">
        <f t="shared" si="10"/>
        <v>303074.64999999979</v>
      </c>
    </row>
    <row r="681" spans="1:12" x14ac:dyDescent="0.3">
      <c r="A681" s="52"/>
      <c r="B681" s="53" t="s">
        <v>26</v>
      </c>
      <c r="C681" s="54">
        <v>46134</v>
      </c>
      <c r="D681" s="53" t="s">
        <v>1341</v>
      </c>
      <c r="E681" s="53"/>
      <c r="F681" s="53"/>
      <c r="G681" s="54"/>
      <c r="H681" s="53"/>
      <c r="I681" s="59">
        <v>10.46</v>
      </c>
      <c r="J681" s="59"/>
      <c r="K681" s="59"/>
      <c r="L681" s="59">
        <f t="shared" si="10"/>
        <v>303085.10999999981</v>
      </c>
    </row>
    <row r="682" spans="1:12" x14ac:dyDescent="0.3">
      <c r="A682" s="52"/>
      <c r="B682" s="53" t="s">
        <v>26</v>
      </c>
      <c r="C682" s="54">
        <v>46134</v>
      </c>
      <c r="D682" s="53" t="s">
        <v>1343</v>
      </c>
      <c r="E682" s="53"/>
      <c r="F682" s="53"/>
      <c r="G682" s="54"/>
      <c r="H682" s="53"/>
      <c r="I682" s="59">
        <v>7.8</v>
      </c>
      <c r="J682" s="59"/>
      <c r="K682" s="59"/>
      <c r="L682" s="59">
        <f t="shared" si="10"/>
        <v>303092.9099999998</v>
      </c>
    </row>
    <row r="683" spans="1:12" x14ac:dyDescent="0.3">
      <c r="A683" s="52"/>
      <c r="B683" s="53" t="s">
        <v>26</v>
      </c>
      <c r="C683" s="54">
        <v>46134</v>
      </c>
      <c r="D683" s="53" t="s">
        <v>1342</v>
      </c>
      <c r="E683" s="53"/>
      <c r="F683" s="53"/>
      <c r="G683" s="54"/>
      <c r="H683" s="53"/>
      <c r="I683" s="59">
        <v>12.9</v>
      </c>
      <c r="J683" s="59"/>
      <c r="K683" s="59"/>
      <c r="L683" s="59">
        <f t="shared" si="10"/>
        <v>303105.80999999982</v>
      </c>
    </row>
    <row r="684" spans="1:12" x14ac:dyDescent="0.3">
      <c r="A684" s="52"/>
      <c r="B684" s="53" t="s">
        <v>28</v>
      </c>
      <c r="C684" s="54">
        <v>46134</v>
      </c>
      <c r="D684" s="53" t="s">
        <v>1068</v>
      </c>
      <c r="E684" s="53" t="s">
        <v>250</v>
      </c>
      <c r="F684" s="53"/>
      <c r="G684" s="54">
        <v>46134</v>
      </c>
      <c r="H684" s="53" t="s">
        <v>1069</v>
      </c>
      <c r="I684" s="59">
        <v>92.91</v>
      </c>
      <c r="J684" s="5" t="s">
        <v>1151</v>
      </c>
      <c r="K684" s="59"/>
      <c r="L684" s="59">
        <f t="shared" si="10"/>
        <v>303198.7199999998</v>
      </c>
    </row>
    <row r="685" spans="1:12" x14ac:dyDescent="0.3">
      <c r="A685" s="52"/>
      <c r="B685" s="53" t="s">
        <v>26</v>
      </c>
      <c r="C685" s="54">
        <v>46134</v>
      </c>
      <c r="D685" s="53" t="s">
        <v>1344</v>
      </c>
      <c r="E685" s="53"/>
      <c r="F685" s="53"/>
      <c r="G685" s="54"/>
      <c r="H685" s="53"/>
      <c r="I685" s="59">
        <v>130</v>
      </c>
      <c r="J685" s="59"/>
      <c r="K685" s="59"/>
      <c r="L685" s="59">
        <f t="shared" si="10"/>
        <v>303328.7199999998</v>
      </c>
    </row>
    <row r="686" spans="1:12" x14ac:dyDescent="0.3">
      <c r="A686" s="52"/>
      <c r="B686" s="53" t="s">
        <v>28</v>
      </c>
      <c r="C686" s="54">
        <v>46134</v>
      </c>
      <c r="D686" s="53" t="s">
        <v>1070</v>
      </c>
      <c r="E686" s="53" t="s">
        <v>197</v>
      </c>
      <c r="F686" s="53" t="s">
        <v>1071</v>
      </c>
      <c r="G686" s="54">
        <v>46133</v>
      </c>
      <c r="H686" s="53" t="s">
        <v>1072</v>
      </c>
      <c r="I686" s="59">
        <v>265.70999999999998</v>
      </c>
      <c r="J686" s="59"/>
      <c r="K686" s="59"/>
      <c r="L686" s="59">
        <f t="shared" si="10"/>
        <v>303594.42999999982</v>
      </c>
    </row>
    <row r="687" spans="1:12" x14ac:dyDescent="0.3">
      <c r="A687" s="52"/>
      <c r="B687" s="53" t="s">
        <v>28</v>
      </c>
      <c r="C687" s="54">
        <v>46134</v>
      </c>
      <c r="D687" s="53" t="s">
        <v>1073</v>
      </c>
      <c r="E687" s="53" t="s">
        <v>1074</v>
      </c>
      <c r="F687" s="53"/>
      <c r="G687" s="54">
        <v>46134</v>
      </c>
      <c r="H687" s="53" t="s">
        <v>1075</v>
      </c>
      <c r="I687" s="59">
        <v>43.64</v>
      </c>
      <c r="J687" s="59"/>
      <c r="K687" s="59"/>
      <c r="L687" s="59">
        <f t="shared" si="10"/>
        <v>303638.06999999983</v>
      </c>
    </row>
    <row r="688" spans="1:12" x14ac:dyDescent="0.3">
      <c r="A688" s="52"/>
      <c r="B688" s="53" t="s">
        <v>26</v>
      </c>
      <c r="C688" s="54">
        <v>46134</v>
      </c>
      <c r="D688" s="53" t="s">
        <v>1345</v>
      </c>
      <c r="E688" s="53"/>
      <c r="F688" s="53"/>
      <c r="G688" s="54"/>
      <c r="H688" s="53"/>
      <c r="I688" s="59">
        <v>5</v>
      </c>
      <c r="J688" s="59"/>
      <c r="K688" s="59"/>
      <c r="L688" s="59">
        <f t="shared" si="10"/>
        <v>303643.06999999983</v>
      </c>
    </row>
    <row r="689" spans="1:12" x14ac:dyDescent="0.3">
      <c r="A689" s="52"/>
      <c r="B689" s="53" t="s">
        <v>26</v>
      </c>
      <c r="C689" s="54">
        <v>46134</v>
      </c>
      <c r="D689" s="53" t="s">
        <v>1346</v>
      </c>
      <c r="E689" s="53"/>
      <c r="F689" s="53"/>
      <c r="G689" s="54"/>
      <c r="H689" s="53"/>
      <c r="I689" s="59">
        <v>102.5</v>
      </c>
      <c r="J689" s="59"/>
      <c r="K689" s="59"/>
      <c r="L689" s="59">
        <f t="shared" si="10"/>
        <v>303745.56999999983</v>
      </c>
    </row>
    <row r="690" spans="1:12" x14ac:dyDescent="0.3">
      <c r="A690" s="52"/>
      <c r="B690" s="53" t="s">
        <v>26</v>
      </c>
      <c r="C690" s="54">
        <v>46134</v>
      </c>
      <c r="D690" s="53" t="s">
        <v>1076</v>
      </c>
      <c r="E690" s="53"/>
      <c r="F690" s="53"/>
      <c r="G690" s="54"/>
      <c r="H690" s="53"/>
      <c r="I690" s="59">
        <v>108.5</v>
      </c>
      <c r="J690" s="59"/>
      <c r="K690" s="59"/>
      <c r="L690" s="59">
        <f t="shared" si="10"/>
        <v>303854.06999999983</v>
      </c>
    </row>
    <row r="691" spans="1:12" x14ac:dyDescent="0.3">
      <c r="A691" s="52"/>
      <c r="B691" s="53" t="s">
        <v>26</v>
      </c>
      <c r="C691" s="54">
        <v>46134</v>
      </c>
      <c r="D691" s="53" t="s">
        <v>1347</v>
      </c>
      <c r="E691" s="53"/>
      <c r="F691" s="53"/>
      <c r="G691" s="54"/>
      <c r="H691" s="53"/>
      <c r="I691" s="59">
        <v>22</v>
      </c>
      <c r="J691" s="59"/>
      <c r="K691" s="59"/>
      <c r="L691" s="59">
        <f t="shared" si="10"/>
        <v>303876.06999999983</v>
      </c>
    </row>
    <row r="692" spans="1:12" x14ac:dyDescent="0.3">
      <c r="A692" s="52"/>
      <c r="B692" s="53" t="s">
        <v>26</v>
      </c>
      <c r="C692" s="54">
        <v>46134</v>
      </c>
      <c r="D692" s="53" t="s">
        <v>1348</v>
      </c>
      <c r="E692" s="53"/>
      <c r="F692" s="53"/>
      <c r="G692" s="54"/>
      <c r="H692" s="53"/>
      <c r="I692" s="59">
        <v>191</v>
      </c>
      <c r="J692" s="59"/>
      <c r="K692" s="59"/>
      <c r="L692" s="59">
        <f t="shared" si="10"/>
        <v>304067.06999999983</v>
      </c>
    </row>
    <row r="693" spans="1:12" x14ac:dyDescent="0.3">
      <c r="A693" s="52"/>
      <c r="B693" s="53" t="s">
        <v>26</v>
      </c>
      <c r="C693" s="54">
        <v>46134</v>
      </c>
      <c r="D693" s="53" t="s">
        <v>1349</v>
      </c>
      <c r="E693" s="53"/>
      <c r="F693" s="53"/>
      <c r="G693" s="54"/>
      <c r="H693" s="53"/>
      <c r="I693" s="59">
        <v>2.5</v>
      </c>
      <c r="J693" s="59"/>
      <c r="K693" s="59"/>
      <c r="L693" s="59">
        <f t="shared" si="10"/>
        <v>304069.56999999983</v>
      </c>
    </row>
    <row r="694" spans="1:12" x14ac:dyDescent="0.3">
      <c r="A694" s="52"/>
      <c r="B694" s="53" t="s">
        <v>28</v>
      </c>
      <c r="C694" s="54">
        <v>46134</v>
      </c>
      <c r="D694" s="53" t="s">
        <v>1077</v>
      </c>
      <c r="E694" s="53" t="s">
        <v>250</v>
      </c>
      <c r="F694" s="53"/>
      <c r="G694" s="54">
        <v>46134</v>
      </c>
      <c r="H694" s="53" t="s">
        <v>1078</v>
      </c>
      <c r="I694" s="59">
        <v>92.91</v>
      </c>
      <c r="J694" s="4" t="s">
        <v>1147</v>
      </c>
      <c r="K694" s="59"/>
      <c r="L694" s="59">
        <f t="shared" si="10"/>
        <v>304162.47999999981</v>
      </c>
    </row>
    <row r="695" spans="1:12" x14ac:dyDescent="0.3">
      <c r="A695" s="52"/>
      <c r="B695" s="53" t="s">
        <v>26</v>
      </c>
      <c r="C695" s="54">
        <v>46134</v>
      </c>
      <c r="D695" s="53" t="s">
        <v>1339</v>
      </c>
      <c r="E695" s="53"/>
      <c r="F695" s="53"/>
      <c r="G695" s="54"/>
      <c r="H695" s="53"/>
      <c r="I695" s="59">
        <v>4.5</v>
      </c>
      <c r="J695" s="59"/>
      <c r="K695" s="59"/>
      <c r="L695" s="59">
        <f t="shared" si="10"/>
        <v>304166.97999999981</v>
      </c>
    </row>
    <row r="696" spans="1:12" x14ac:dyDescent="0.3">
      <c r="A696" s="52"/>
      <c r="B696" s="53" t="s">
        <v>28</v>
      </c>
      <c r="C696" s="54">
        <v>46135</v>
      </c>
      <c r="D696" s="53" t="s">
        <v>1079</v>
      </c>
      <c r="E696" s="53" t="s">
        <v>236</v>
      </c>
      <c r="F696" s="53" t="s">
        <v>237</v>
      </c>
      <c r="G696" s="54">
        <v>46135</v>
      </c>
      <c r="H696" s="53" t="s">
        <v>1080</v>
      </c>
      <c r="I696" s="59">
        <v>0.82</v>
      </c>
      <c r="J696" s="59"/>
      <c r="K696" s="59"/>
      <c r="L696" s="59">
        <f t="shared" si="10"/>
        <v>304167.79999999981</v>
      </c>
    </row>
    <row r="697" spans="1:12" x14ac:dyDescent="0.3">
      <c r="A697" s="52"/>
      <c r="B697" s="53" t="s">
        <v>26</v>
      </c>
      <c r="C697" s="54">
        <v>46135</v>
      </c>
      <c r="D697" s="53" t="s">
        <v>1350</v>
      </c>
      <c r="E697" s="53"/>
      <c r="F697" s="53"/>
      <c r="G697" s="54"/>
      <c r="H697" s="53"/>
      <c r="I697" s="59">
        <v>12</v>
      </c>
      <c r="J697" s="59"/>
      <c r="K697" s="59"/>
      <c r="L697" s="59">
        <f t="shared" si="10"/>
        <v>304179.79999999981</v>
      </c>
    </row>
    <row r="698" spans="1:12" x14ac:dyDescent="0.3">
      <c r="A698" s="52"/>
      <c r="B698" s="53" t="s">
        <v>26</v>
      </c>
      <c r="C698" s="54">
        <v>46135</v>
      </c>
      <c r="D698" s="53" t="s">
        <v>1353</v>
      </c>
      <c r="E698" s="53"/>
      <c r="F698" s="53"/>
      <c r="G698" s="54"/>
      <c r="H698" s="53"/>
      <c r="I698" s="59">
        <v>14</v>
      </c>
      <c r="J698" s="59"/>
      <c r="K698" s="59"/>
      <c r="L698" s="59">
        <f t="shared" si="10"/>
        <v>304193.79999999981</v>
      </c>
    </row>
    <row r="699" spans="1:12" x14ac:dyDescent="0.3">
      <c r="A699" s="52"/>
      <c r="B699" s="53" t="s">
        <v>26</v>
      </c>
      <c r="C699" s="54">
        <v>46135</v>
      </c>
      <c r="D699" s="53" t="s">
        <v>1354</v>
      </c>
      <c r="E699" s="53"/>
      <c r="F699" s="53"/>
      <c r="G699" s="54"/>
      <c r="H699" s="53"/>
      <c r="I699" s="59">
        <v>2.48</v>
      </c>
      <c r="J699" s="59"/>
      <c r="K699" s="59"/>
      <c r="L699" s="59">
        <f t="shared" si="10"/>
        <v>304196.2799999998</v>
      </c>
    </row>
    <row r="700" spans="1:12" x14ac:dyDescent="0.3">
      <c r="A700" s="52"/>
      <c r="B700" s="53" t="s">
        <v>26</v>
      </c>
      <c r="C700" s="54">
        <v>46135</v>
      </c>
      <c r="D700" s="53" t="s">
        <v>1351</v>
      </c>
      <c r="E700" s="53"/>
      <c r="F700" s="53"/>
      <c r="G700" s="54"/>
      <c r="H700" s="53"/>
      <c r="I700" s="59">
        <v>12</v>
      </c>
      <c r="J700" s="59"/>
      <c r="K700" s="59"/>
      <c r="L700" s="59">
        <f t="shared" si="10"/>
        <v>304208.2799999998</v>
      </c>
    </row>
    <row r="701" spans="1:12" x14ac:dyDescent="0.3">
      <c r="A701" s="52"/>
      <c r="B701" s="53" t="s">
        <v>26</v>
      </c>
      <c r="C701" s="54">
        <v>46135</v>
      </c>
      <c r="D701" s="53" t="s">
        <v>1352</v>
      </c>
      <c r="E701" s="53"/>
      <c r="F701" s="53"/>
      <c r="G701" s="54"/>
      <c r="H701" s="53"/>
      <c r="I701" s="59">
        <v>18.739999999999998</v>
      </c>
      <c r="J701" s="59"/>
      <c r="K701" s="59"/>
      <c r="L701" s="59">
        <f t="shared" si="10"/>
        <v>304227.01999999979</v>
      </c>
    </row>
    <row r="702" spans="1:12" x14ac:dyDescent="0.3">
      <c r="A702" s="52"/>
      <c r="B702" s="53" t="s">
        <v>26</v>
      </c>
      <c r="C702" s="54">
        <v>46135</v>
      </c>
      <c r="D702" s="53" t="s">
        <v>1355</v>
      </c>
      <c r="E702" s="53"/>
      <c r="F702" s="53"/>
      <c r="G702" s="54"/>
      <c r="H702" s="53"/>
      <c r="I702" s="59">
        <v>12</v>
      </c>
      <c r="J702" s="59"/>
      <c r="K702" s="59"/>
      <c r="L702" s="59">
        <f t="shared" si="10"/>
        <v>304239.01999999979</v>
      </c>
    </row>
    <row r="703" spans="1:12" x14ac:dyDescent="0.3">
      <c r="A703" s="52"/>
      <c r="B703" s="53" t="s">
        <v>28</v>
      </c>
      <c r="C703" s="54">
        <v>46135</v>
      </c>
      <c r="D703" s="53" t="s">
        <v>1081</v>
      </c>
      <c r="E703" s="53" t="s">
        <v>250</v>
      </c>
      <c r="F703" s="53"/>
      <c r="G703" s="54">
        <v>46135</v>
      </c>
      <c r="H703" s="53" t="s">
        <v>1082</v>
      </c>
      <c r="I703" s="59">
        <v>280.55</v>
      </c>
      <c r="J703" s="4" t="s">
        <v>1148</v>
      </c>
      <c r="K703" s="59"/>
      <c r="L703" s="59">
        <f t="shared" si="10"/>
        <v>304519.56999999977</v>
      </c>
    </row>
    <row r="704" spans="1:12" x14ac:dyDescent="0.3">
      <c r="A704" s="52"/>
      <c r="B704" s="53" t="s">
        <v>28</v>
      </c>
      <c r="C704" s="54">
        <v>46135</v>
      </c>
      <c r="D704" s="53" t="s">
        <v>1083</v>
      </c>
      <c r="E704" s="53" t="s">
        <v>1084</v>
      </c>
      <c r="F704" s="53" t="s">
        <v>237</v>
      </c>
      <c r="G704" s="54">
        <v>46135</v>
      </c>
      <c r="H704" s="53" t="s">
        <v>1085</v>
      </c>
      <c r="I704" s="59">
        <v>63.93</v>
      </c>
      <c r="J704" s="59"/>
      <c r="K704" s="59"/>
      <c r="L704" s="59">
        <f t="shared" si="10"/>
        <v>304583.49999999977</v>
      </c>
    </row>
    <row r="705" spans="1:12" x14ac:dyDescent="0.3">
      <c r="A705" s="52"/>
      <c r="B705" s="53" t="s">
        <v>26</v>
      </c>
      <c r="C705" s="54">
        <v>46135</v>
      </c>
      <c r="D705" s="53" t="s">
        <v>1356</v>
      </c>
      <c r="E705" s="53"/>
      <c r="F705" s="53"/>
      <c r="G705" s="54"/>
      <c r="H705" s="53"/>
      <c r="I705" s="59">
        <v>182</v>
      </c>
      <c r="J705" s="59"/>
      <c r="K705" s="59"/>
      <c r="L705" s="59">
        <f t="shared" si="10"/>
        <v>304765.49999999977</v>
      </c>
    </row>
    <row r="706" spans="1:12" x14ac:dyDescent="0.3">
      <c r="A706" s="52"/>
      <c r="B706" s="53" t="s">
        <v>28</v>
      </c>
      <c r="C706" s="54">
        <v>46135</v>
      </c>
      <c r="D706" s="53" t="s">
        <v>1086</v>
      </c>
      <c r="E706" s="53" t="s">
        <v>384</v>
      </c>
      <c r="F706" s="53" t="s">
        <v>237</v>
      </c>
      <c r="G706" s="54">
        <v>46135</v>
      </c>
      <c r="H706" s="53" t="s">
        <v>1087</v>
      </c>
      <c r="I706" s="59">
        <v>1.48</v>
      </c>
      <c r="J706" s="59"/>
      <c r="K706" s="59"/>
      <c r="L706" s="59">
        <f t="shared" si="10"/>
        <v>304766.97999999975</v>
      </c>
    </row>
    <row r="707" spans="1:12" x14ac:dyDescent="0.3">
      <c r="A707" s="52"/>
      <c r="B707" s="53" t="s">
        <v>28</v>
      </c>
      <c r="C707" s="54">
        <v>46135</v>
      </c>
      <c r="D707" s="53" t="s">
        <v>1088</v>
      </c>
      <c r="E707" s="53" t="s">
        <v>255</v>
      </c>
      <c r="F707" s="53" t="s">
        <v>237</v>
      </c>
      <c r="G707" s="54">
        <v>46135</v>
      </c>
      <c r="H707" s="53" t="s">
        <v>1089</v>
      </c>
      <c r="I707" s="59">
        <v>74.14</v>
      </c>
      <c r="J707" s="59"/>
      <c r="K707" s="59"/>
      <c r="L707" s="59">
        <f t="shared" si="10"/>
        <v>304841.11999999976</v>
      </c>
    </row>
    <row r="708" spans="1:12" x14ac:dyDescent="0.3">
      <c r="A708" s="52"/>
      <c r="B708" s="53" t="s">
        <v>28</v>
      </c>
      <c r="C708" s="54">
        <v>46135</v>
      </c>
      <c r="D708" s="53" t="s">
        <v>1090</v>
      </c>
      <c r="E708" s="53" t="s">
        <v>250</v>
      </c>
      <c r="F708" s="53"/>
      <c r="G708" s="54">
        <v>46135</v>
      </c>
      <c r="H708" s="53" t="s">
        <v>1091</v>
      </c>
      <c r="I708" s="59">
        <v>280.55</v>
      </c>
      <c r="J708" s="4" t="s">
        <v>1149</v>
      </c>
      <c r="K708" s="59"/>
      <c r="L708" s="59">
        <f t="shared" si="10"/>
        <v>305121.66999999975</v>
      </c>
    </row>
    <row r="709" spans="1:12" x14ac:dyDescent="0.3">
      <c r="A709" s="52"/>
      <c r="B709" s="53" t="s">
        <v>28</v>
      </c>
      <c r="C709" s="54">
        <v>46135</v>
      </c>
      <c r="D709" s="53" t="s">
        <v>1092</v>
      </c>
      <c r="E709" s="53" t="s">
        <v>211</v>
      </c>
      <c r="F709" s="53"/>
      <c r="G709" s="54">
        <v>46134</v>
      </c>
      <c r="H709" s="53" t="s">
        <v>1093</v>
      </c>
      <c r="I709" s="59">
        <v>46.54</v>
      </c>
      <c r="J709" s="59"/>
      <c r="K709" s="59"/>
      <c r="L709" s="59">
        <f t="shared" si="10"/>
        <v>305168.20999999973</v>
      </c>
    </row>
    <row r="710" spans="1:12" x14ac:dyDescent="0.3">
      <c r="A710" s="52"/>
      <c r="B710" s="53" t="s">
        <v>28</v>
      </c>
      <c r="C710" s="54">
        <v>46135</v>
      </c>
      <c r="D710" s="53" t="s">
        <v>1094</v>
      </c>
      <c r="E710" s="53" t="s">
        <v>387</v>
      </c>
      <c r="F710" s="53" t="s">
        <v>237</v>
      </c>
      <c r="G710" s="54">
        <v>46135</v>
      </c>
      <c r="H710" s="53" t="s">
        <v>1095</v>
      </c>
      <c r="I710" s="59">
        <v>129.33000000000001</v>
      </c>
      <c r="J710" s="59"/>
      <c r="K710" s="59"/>
      <c r="L710" s="59">
        <f t="shared" si="10"/>
        <v>305297.53999999975</v>
      </c>
    </row>
    <row r="711" spans="1:12" x14ac:dyDescent="0.3">
      <c r="A711" s="52"/>
      <c r="B711" s="53" t="s">
        <v>28</v>
      </c>
      <c r="C711" s="54">
        <v>46135</v>
      </c>
      <c r="D711" s="53" t="s">
        <v>1096</v>
      </c>
      <c r="E711" s="53" t="s">
        <v>236</v>
      </c>
      <c r="F711" s="53" t="s">
        <v>237</v>
      </c>
      <c r="G711" s="54">
        <v>46135</v>
      </c>
      <c r="H711" s="53" t="s">
        <v>1097</v>
      </c>
      <c r="I711" s="59">
        <v>3.93</v>
      </c>
      <c r="J711" s="59"/>
      <c r="K711" s="59"/>
      <c r="L711" s="59">
        <f t="shared" si="10"/>
        <v>305301.46999999974</v>
      </c>
    </row>
    <row r="712" spans="1:12" x14ac:dyDescent="0.3">
      <c r="A712" s="52"/>
      <c r="B712" s="53" t="s">
        <v>28</v>
      </c>
      <c r="C712" s="54">
        <v>46135</v>
      </c>
      <c r="D712" s="53" t="s">
        <v>1098</v>
      </c>
      <c r="E712" s="53" t="s">
        <v>1099</v>
      </c>
      <c r="F712" s="53" t="s">
        <v>1100</v>
      </c>
      <c r="G712" s="54">
        <v>46134</v>
      </c>
      <c r="H712" s="53" t="s">
        <v>1101</v>
      </c>
      <c r="I712" s="59">
        <v>109.82</v>
      </c>
      <c r="J712" s="59"/>
      <c r="K712" s="59"/>
      <c r="L712" s="59">
        <f t="shared" si="10"/>
        <v>305411.28999999975</v>
      </c>
    </row>
    <row r="713" spans="1:12" x14ac:dyDescent="0.3">
      <c r="A713" s="52"/>
      <c r="B713" s="53" t="s">
        <v>26</v>
      </c>
      <c r="C713" s="54">
        <v>46135</v>
      </c>
      <c r="D713" s="53" t="s">
        <v>1357</v>
      </c>
      <c r="E713" s="53"/>
      <c r="F713" s="53"/>
      <c r="G713" s="54"/>
      <c r="H713" s="53"/>
      <c r="I713" s="59">
        <v>10.87</v>
      </c>
      <c r="J713" s="59"/>
      <c r="K713" s="59"/>
      <c r="L713" s="59">
        <f t="shared" si="10"/>
        <v>305422.15999999974</v>
      </c>
    </row>
    <row r="714" spans="1:12" x14ac:dyDescent="0.3">
      <c r="A714" s="52"/>
      <c r="B714" s="53" t="s">
        <v>26</v>
      </c>
      <c r="C714" s="54">
        <v>46135</v>
      </c>
      <c r="D714" s="53" t="s">
        <v>1358</v>
      </c>
      <c r="E714" s="53"/>
      <c r="F714" s="53"/>
      <c r="G714" s="54"/>
      <c r="H714" s="53"/>
      <c r="I714" s="59">
        <v>43</v>
      </c>
      <c r="J714" s="59"/>
      <c r="K714" s="59"/>
      <c r="L714" s="59">
        <f t="shared" si="10"/>
        <v>305465.15999999974</v>
      </c>
    </row>
    <row r="715" spans="1:12" x14ac:dyDescent="0.3">
      <c r="A715" s="52"/>
      <c r="B715" s="53" t="s">
        <v>26</v>
      </c>
      <c r="C715" s="54">
        <v>46135</v>
      </c>
      <c r="D715" s="53" t="s">
        <v>1102</v>
      </c>
      <c r="E715" s="53"/>
      <c r="F715" s="53"/>
      <c r="G715" s="54"/>
      <c r="H715" s="53"/>
      <c r="I715" s="59">
        <v>36.159999999999997</v>
      </c>
      <c r="J715" s="59"/>
      <c r="K715" s="59"/>
      <c r="L715" s="59">
        <f t="shared" ref="L715:L778" si="11">L714+I715-K715</f>
        <v>305501.31999999972</v>
      </c>
    </row>
    <row r="716" spans="1:12" x14ac:dyDescent="0.3">
      <c r="A716" s="52"/>
      <c r="B716" s="53" t="s">
        <v>26</v>
      </c>
      <c r="C716" s="54">
        <v>46135</v>
      </c>
      <c r="D716" s="53" t="s">
        <v>1359</v>
      </c>
      <c r="E716" s="53"/>
      <c r="F716" s="53"/>
      <c r="G716" s="54"/>
      <c r="H716" s="53"/>
      <c r="I716" s="59">
        <v>8.8000000000000007</v>
      </c>
      <c r="J716" s="59"/>
      <c r="K716" s="59"/>
      <c r="L716" s="59">
        <f t="shared" si="11"/>
        <v>305510.1199999997</v>
      </c>
    </row>
    <row r="717" spans="1:12" x14ac:dyDescent="0.3">
      <c r="A717" s="52"/>
      <c r="B717" s="53" t="s">
        <v>28</v>
      </c>
      <c r="C717" s="54">
        <v>46135</v>
      </c>
      <c r="D717" s="53" t="s">
        <v>1103</v>
      </c>
      <c r="E717" s="53" t="s">
        <v>250</v>
      </c>
      <c r="F717" s="53"/>
      <c r="G717" s="54">
        <v>46135</v>
      </c>
      <c r="H717" s="53" t="s">
        <v>1104</v>
      </c>
      <c r="I717" s="59">
        <v>280.55</v>
      </c>
      <c r="J717" s="4" t="s">
        <v>1150</v>
      </c>
      <c r="K717" s="59"/>
      <c r="L717" s="59">
        <f t="shared" si="11"/>
        <v>305790.66999999969</v>
      </c>
    </row>
    <row r="718" spans="1:12" x14ac:dyDescent="0.3">
      <c r="A718" s="52"/>
      <c r="B718" s="53" t="s">
        <v>26</v>
      </c>
      <c r="C718" s="54">
        <v>46136</v>
      </c>
      <c r="D718" s="53" t="s">
        <v>1360</v>
      </c>
      <c r="E718" s="53"/>
      <c r="F718" s="53"/>
      <c r="G718" s="54"/>
      <c r="H718" s="53"/>
      <c r="I718" s="59">
        <v>4.4000000000000004</v>
      </c>
      <c r="J718" s="59"/>
      <c r="K718" s="59"/>
      <c r="L718" s="59">
        <f t="shared" si="11"/>
        <v>305795.06999999972</v>
      </c>
    </row>
    <row r="719" spans="1:12" x14ac:dyDescent="0.3">
      <c r="A719" s="52"/>
      <c r="B719" s="53" t="s">
        <v>26</v>
      </c>
      <c r="C719" s="54">
        <v>46136</v>
      </c>
      <c r="D719" s="53" t="s">
        <v>1361</v>
      </c>
      <c r="E719" s="53"/>
      <c r="F719" s="53"/>
      <c r="G719" s="54"/>
      <c r="H719" s="53"/>
      <c r="I719" s="59">
        <v>2.4</v>
      </c>
      <c r="J719" s="59"/>
      <c r="K719" s="59"/>
      <c r="L719" s="59">
        <f t="shared" si="11"/>
        <v>305797.46999999974</v>
      </c>
    </row>
    <row r="720" spans="1:12" x14ac:dyDescent="0.3">
      <c r="A720" s="52"/>
      <c r="B720" s="53" t="s">
        <v>26</v>
      </c>
      <c r="C720" s="54">
        <v>46136</v>
      </c>
      <c r="D720" s="53" t="s">
        <v>1362</v>
      </c>
      <c r="E720" s="53"/>
      <c r="F720" s="53"/>
      <c r="G720" s="54"/>
      <c r="H720" s="53"/>
      <c r="I720" s="59">
        <v>28</v>
      </c>
      <c r="J720" s="59"/>
      <c r="K720" s="59"/>
      <c r="L720" s="59">
        <f t="shared" si="11"/>
        <v>305825.46999999974</v>
      </c>
    </row>
    <row r="721" spans="1:12" x14ac:dyDescent="0.3">
      <c r="A721" s="52"/>
      <c r="B721" s="53" t="s">
        <v>26</v>
      </c>
      <c r="C721" s="54">
        <v>46136</v>
      </c>
      <c r="D721" s="53" t="s">
        <v>1363</v>
      </c>
      <c r="E721" s="53"/>
      <c r="F721" s="53"/>
      <c r="G721" s="54"/>
      <c r="H721" s="53"/>
      <c r="I721" s="59">
        <v>7</v>
      </c>
      <c r="J721" s="59"/>
      <c r="K721" s="59"/>
      <c r="L721" s="59">
        <f t="shared" si="11"/>
        <v>305832.46999999974</v>
      </c>
    </row>
    <row r="722" spans="1:12" x14ac:dyDescent="0.3">
      <c r="A722" s="52"/>
      <c r="B722" s="53" t="s">
        <v>26</v>
      </c>
      <c r="C722" s="54">
        <v>46136</v>
      </c>
      <c r="D722" s="53" t="s">
        <v>1364</v>
      </c>
      <c r="E722" s="53"/>
      <c r="F722" s="53"/>
      <c r="G722" s="54"/>
      <c r="H722" s="53"/>
      <c r="I722" s="59">
        <v>92.5</v>
      </c>
      <c r="J722" s="59"/>
      <c r="K722" s="59"/>
      <c r="L722" s="59">
        <f t="shared" si="11"/>
        <v>305924.96999999974</v>
      </c>
    </row>
    <row r="723" spans="1:12" x14ac:dyDescent="0.3">
      <c r="A723" s="52"/>
      <c r="B723" s="53" t="s">
        <v>26</v>
      </c>
      <c r="C723" s="54">
        <v>46136</v>
      </c>
      <c r="D723" s="53" t="s">
        <v>1365</v>
      </c>
      <c r="E723" s="53"/>
      <c r="F723" s="53"/>
      <c r="G723" s="54"/>
      <c r="H723" s="53"/>
      <c r="I723" s="59">
        <v>2</v>
      </c>
      <c r="J723" s="59"/>
      <c r="K723" s="59"/>
      <c r="L723" s="59">
        <f t="shared" si="11"/>
        <v>305926.96999999974</v>
      </c>
    </row>
    <row r="724" spans="1:12" x14ac:dyDescent="0.3">
      <c r="A724" s="52"/>
      <c r="B724" s="53" t="s">
        <v>26</v>
      </c>
      <c r="C724" s="54">
        <v>46136</v>
      </c>
      <c r="D724" s="53" t="s">
        <v>1366</v>
      </c>
      <c r="E724" s="53"/>
      <c r="F724" s="53"/>
      <c r="G724" s="54"/>
      <c r="H724" s="53"/>
      <c r="I724" s="59">
        <v>13</v>
      </c>
      <c r="J724" s="59"/>
      <c r="K724" s="59"/>
      <c r="L724" s="59">
        <f t="shared" si="11"/>
        <v>305939.96999999974</v>
      </c>
    </row>
    <row r="725" spans="1:12" x14ac:dyDescent="0.3">
      <c r="A725" s="52"/>
      <c r="B725" s="53" t="s">
        <v>26</v>
      </c>
      <c r="C725" s="54">
        <v>46136</v>
      </c>
      <c r="D725" s="53" t="s">
        <v>1367</v>
      </c>
      <c r="E725" s="53"/>
      <c r="F725" s="53"/>
      <c r="G725" s="54"/>
      <c r="H725" s="53"/>
      <c r="I725" s="59">
        <v>40</v>
      </c>
      <c r="J725" s="59"/>
      <c r="K725" s="59"/>
      <c r="L725" s="59">
        <f t="shared" si="11"/>
        <v>305979.96999999974</v>
      </c>
    </row>
    <row r="726" spans="1:12" x14ac:dyDescent="0.3">
      <c r="A726" s="52"/>
      <c r="B726" s="53" t="s">
        <v>26</v>
      </c>
      <c r="C726" s="54">
        <v>46137</v>
      </c>
      <c r="D726" s="53" t="s">
        <v>1368</v>
      </c>
      <c r="E726" s="53"/>
      <c r="F726" s="53"/>
      <c r="G726" s="54"/>
      <c r="H726" s="53"/>
      <c r="I726" s="59">
        <v>88</v>
      </c>
      <c r="J726" s="59"/>
      <c r="K726" s="59"/>
      <c r="L726" s="59">
        <f t="shared" si="11"/>
        <v>306067.96999999974</v>
      </c>
    </row>
    <row r="727" spans="1:12" x14ac:dyDescent="0.3">
      <c r="A727" s="52"/>
      <c r="B727" s="53" t="s">
        <v>26</v>
      </c>
      <c r="C727" s="54">
        <v>46137</v>
      </c>
      <c r="D727" s="53" t="s">
        <v>1369</v>
      </c>
      <c r="E727" s="53"/>
      <c r="F727" s="53"/>
      <c r="G727" s="54"/>
      <c r="H727" s="53"/>
      <c r="I727" s="59">
        <v>126</v>
      </c>
      <c r="J727" s="59"/>
      <c r="K727" s="59"/>
      <c r="L727" s="59">
        <f t="shared" si="11"/>
        <v>306193.96999999974</v>
      </c>
    </row>
    <row r="728" spans="1:12" x14ac:dyDescent="0.3">
      <c r="A728" s="52"/>
      <c r="B728" s="53" t="s">
        <v>26</v>
      </c>
      <c r="C728" s="54">
        <v>46137</v>
      </c>
      <c r="D728" s="53" t="s">
        <v>1370</v>
      </c>
      <c r="E728" s="53"/>
      <c r="F728" s="53"/>
      <c r="G728" s="54"/>
      <c r="H728" s="53"/>
      <c r="I728" s="59">
        <v>98</v>
      </c>
      <c r="J728" s="59"/>
      <c r="K728" s="59"/>
      <c r="L728" s="59">
        <f t="shared" si="11"/>
        <v>306291.96999999974</v>
      </c>
    </row>
    <row r="729" spans="1:12" x14ac:dyDescent="0.3">
      <c r="A729" s="52"/>
      <c r="B729" s="53" t="s">
        <v>26</v>
      </c>
      <c r="C729" s="54">
        <v>46137</v>
      </c>
      <c r="D729" s="53" t="s">
        <v>1371</v>
      </c>
      <c r="E729" s="53"/>
      <c r="F729" s="53"/>
      <c r="G729" s="54"/>
      <c r="H729" s="53"/>
      <c r="I729" s="59">
        <v>25.17</v>
      </c>
      <c r="J729" s="59"/>
      <c r="K729" s="59"/>
      <c r="L729" s="59">
        <f t="shared" si="11"/>
        <v>306317.13999999972</v>
      </c>
    </row>
    <row r="730" spans="1:12" x14ac:dyDescent="0.3">
      <c r="A730" s="52"/>
      <c r="B730" s="53" t="s">
        <v>26</v>
      </c>
      <c r="C730" s="54">
        <v>46137</v>
      </c>
      <c r="D730" s="53" t="s">
        <v>1372</v>
      </c>
      <c r="E730" s="53"/>
      <c r="F730" s="53"/>
      <c r="G730" s="54"/>
      <c r="H730" s="53"/>
      <c r="I730" s="59">
        <v>23</v>
      </c>
      <c r="J730" s="59"/>
      <c r="K730" s="59"/>
      <c r="L730" s="59">
        <f t="shared" si="11"/>
        <v>306340.13999999972</v>
      </c>
    </row>
    <row r="731" spans="1:12" x14ac:dyDescent="0.3">
      <c r="A731" s="52"/>
      <c r="B731" s="53" t="s">
        <v>26</v>
      </c>
      <c r="C731" s="54">
        <v>46137</v>
      </c>
      <c r="D731" s="53" t="s">
        <v>1373</v>
      </c>
      <c r="E731" s="53"/>
      <c r="F731" s="53"/>
      <c r="G731" s="54"/>
      <c r="H731" s="53"/>
      <c r="I731" s="59">
        <v>26.2</v>
      </c>
      <c r="J731" s="59"/>
      <c r="K731" s="59"/>
      <c r="L731" s="59">
        <f t="shared" si="11"/>
        <v>306366.33999999973</v>
      </c>
    </row>
    <row r="732" spans="1:12" x14ac:dyDescent="0.3">
      <c r="A732" s="52"/>
      <c r="B732" s="53" t="s">
        <v>26</v>
      </c>
      <c r="C732" s="54">
        <v>46137</v>
      </c>
      <c r="D732" s="53" t="s">
        <v>1374</v>
      </c>
      <c r="E732" s="53"/>
      <c r="F732" s="53"/>
      <c r="G732" s="54"/>
      <c r="H732" s="53"/>
      <c r="I732" s="59">
        <v>26.29</v>
      </c>
      <c r="J732" s="59"/>
      <c r="K732" s="59"/>
      <c r="L732" s="59">
        <f t="shared" si="11"/>
        <v>306392.62999999971</v>
      </c>
    </row>
    <row r="733" spans="1:12" x14ac:dyDescent="0.3">
      <c r="A733" s="52"/>
      <c r="B733" s="53" t="s">
        <v>26</v>
      </c>
      <c r="C733" s="54">
        <v>46139</v>
      </c>
      <c r="D733" s="53" t="s">
        <v>1375</v>
      </c>
      <c r="E733" s="53"/>
      <c r="F733" s="53"/>
      <c r="G733" s="54"/>
      <c r="H733" s="53"/>
      <c r="I733" s="59">
        <v>12.5</v>
      </c>
      <c r="J733" s="59"/>
      <c r="K733" s="59"/>
      <c r="L733" s="59">
        <f t="shared" si="11"/>
        <v>306405.12999999971</v>
      </c>
    </row>
    <row r="734" spans="1:12" x14ac:dyDescent="0.3">
      <c r="A734" s="52"/>
      <c r="B734" s="53" t="s">
        <v>28</v>
      </c>
      <c r="C734" s="54">
        <v>46139</v>
      </c>
      <c r="D734" s="53" t="s">
        <v>1107</v>
      </c>
      <c r="E734" s="53" t="s">
        <v>255</v>
      </c>
      <c r="F734" s="53"/>
      <c r="G734" s="54">
        <v>46135</v>
      </c>
      <c r="H734" s="53" t="s">
        <v>1108</v>
      </c>
      <c r="I734" s="59">
        <v>16.39</v>
      </c>
      <c r="J734" s="59"/>
      <c r="K734" s="59"/>
      <c r="L734" s="59">
        <f t="shared" si="11"/>
        <v>306421.51999999973</v>
      </c>
    </row>
    <row r="735" spans="1:12" x14ac:dyDescent="0.3">
      <c r="A735" s="52"/>
      <c r="B735" s="53" t="s">
        <v>26</v>
      </c>
      <c r="C735" s="54">
        <v>46139</v>
      </c>
      <c r="D735" s="53" t="s">
        <v>1376</v>
      </c>
      <c r="E735" s="53"/>
      <c r="F735" s="53"/>
      <c r="G735" s="54"/>
      <c r="H735" s="53"/>
      <c r="I735" s="59">
        <v>14</v>
      </c>
      <c r="J735" s="59"/>
      <c r="K735" s="59"/>
      <c r="L735" s="59">
        <f t="shared" si="11"/>
        <v>306435.51999999973</v>
      </c>
    </row>
    <row r="736" spans="1:12" x14ac:dyDescent="0.3">
      <c r="A736" s="52"/>
      <c r="B736" s="53" t="s">
        <v>26</v>
      </c>
      <c r="C736" s="54">
        <v>46139</v>
      </c>
      <c r="D736" s="53" t="s">
        <v>1377</v>
      </c>
      <c r="E736" s="53"/>
      <c r="F736" s="53"/>
      <c r="G736" s="54"/>
      <c r="H736" s="53"/>
      <c r="I736" s="59">
        <v>8.6999999999999993</v>
      </c>
      <c r="J736" s="59"/>
      <c r="K736" s="59"/>
      <c r="L736" s="59">
        <f t="shared" si="11"/>
        <v>306444.21999999974</v>
      </c>
    </row>
    <row r="737" spans="1:12" x14ac:dyDescent="0.3">
      <c r="A737" s="52"/>
      <c r="B737" s="53" t="s">
        <v>26</v>
      </c>
      <c r="C737" s="54">
        <v>46139</v>
      </c>
      <c r="D737" s="53" t="s">
        <v>1378</v>
      </c>
      <c r="E737" s="53"/>
      <c r="F737" s="53"/>
      <c r="G737" s="54"/>
      <c r="H737" s="53"/>
      <c r="I737" s="59">
        <v>10.93</v>
      </c>
      <c r="J737" s="59"/>
      <c r="K737" s="59"/>
      <c r="L737" s="59">
        <f t="shared" si="11"/>
        <v>306455.14999999973</v>
      </c>
    </row>
    <row r="738" spans="1:12" x14ac:dyDescent="0.3">
      <c r="A738" s="52"/>
      <c r="B738" s="53" t="s">
        <v>28</v>
      </c>
      <c r="C738" s="54">
        <v>46139</v>
      </c>
      <c r="D738" s="53" t="s">
        <v>1105</v>
      </c>
      <c r="E738" s="53" t="s">
        <v>194</v>
      </c>
      <c r="F738" s="53"/>
      <c r="G738" s="54">
        <v>46135</v>
      </c>
      <c r="H738" s="53" t="s">
        <v>1106</v>
      </c>
      <c r="I738" s="59">
        <v>204.55</v>
      </c>
      <c r="J738" s="59"/>
      <c r="K738" s="59"/>
      <c r="L738" s="59">
        <f t="shared" si="11"/>
        <v>306659.69999999972</v>
      </c>
    </row>
    <row r="739" spans="1:12" x14ac:dyDescent="0.3">
      <c r="A739" s="52"/>
      <c r="B739" s="53" t="s">
        <v>26</v>
      </c>
      <c r="C739" s="54">
        <v>46139</v>
      </c>
      <c r="D739" s="53" t="s">
        <v>1379</v>
      </c>
      <c r="E739" s="53"/>
      <c r="F739" s="53"/>
      <c r="G739" s="54"/>
      <c r="H739" s="53"/>
      <c r="I739" s="59">
        <v>13.2</v>
      </c>
      <c r="J739" s="59"/>
      <c r="K739" s="59"/>
      <c r="L739" s="59">
        <f t="shared" si="11"/>
        <v>306672.89999999973</v>
      </c>
    </row>
    <row r="740" spans="1:12" x14ac:dyDescent="0.3">
      <c r="A740" s="52"/>
      <c r="B740" s="53" t="s">
        <v>26</v>
      </c>
      <c r="C740" s="54">
        <v>46139</v>
      </c>
      <c r="D740" s="53" t="s">
        <v>1380</v>
      </c>
      <c r="E740" s="53"/>
      <c r="F740" s="53"/>
      <c r="G740" s="54"/>
      <c r="H740" s="53"/>
      <c r="I740" s="59">
        <v>4</v>
      </c>
      <c r="J740" s="59"/>
      <c r="K740" s="59"/>
      <c r="L740" s="59">
        <f t="shared" si="11"/>
        <v>306676.89999999973</v>
      </c>
    </row>
    <row r="741" spans="1:12" x14ac:dyDescent="0.3">
      <c r="A741" s="52"/>
      <c r="B741" s="53" t="s">
        <v>26</v>
      </c>
      <c r="C741" s="54">
        <v>46140</v>
      </c>
      <c r="D741" s="53" t="s">
        <v>1381</v>
      </c>
      <c r="E741" s="53"/>
      <c r="F741" s="53"/>
      <c r="G741" s="54"/>
      <c r="H741" s="53"/>
      <c r="I741" s="59">
        <v>10.4</v>
      </c>
      <c r="J741" s="59"/>
      <c r="K741" s="59"/>
      <c r="L741" s="59">
        <f t="shared" si="11"/>
        <v>306687.29999999976</v>
      </c>
    </row>
    <row r="742" spans="1:12" x14ac:dyDescent="0.3">
      <c r="A742" s="52"/>
      <c r="B742" s="53" t="s">
        <v>28</v>
      </c>
      <c r="C742" s="54">
        <v>46140</v>
      </c>
      <c r="D742" s="53" t="s">
        <v>1111</v>
      </c>
      <c r="E742" s="53" t="s">
        <v>1112</v>
      </c>
      <c r="F742" s="53"/>
      <c r="G742" s="54">
        <v>46135</v>
      </c>
      <c r="H742" s="53" t="s">
        <v>1113</v>
      </c>
      <c r="I742" s="59">
        <v>140.18</v>
      </c>
      <c r="J742" s="59"/>
      <c r="K742" s="59"/>
      <c r="L742" s="59">
        <f t="shared" si="11"/>
        <v>306827.47999999975</v>
      </c>
    </row>
    <row r="743" spans="1:12" x14ac:dyDescent="0.3">
      <c r="A743" s="52"/>
      <c r="B743" s="53" t="s">
        <v>26</v>
      </c>
      <c r="C743" s="54">
        <v>46140</v>
      </c>
      <c r="D743" s="53" t="s">
        <v>1382</v>
      </c>
      <c r="E743" s="53"/>
      <c r="F743" s="53"/>
      <c r="G743" s="54"/>
      <c r="H743" s="53"/>
      <c r="I743" s="59">
        <v>1</v>
      </c>
      <c r="J743" s="59"/>
      <c r="K743" s="59"/>
      <c r="L743" s="59">
        <f t="shared" si="11"/>
        <v>306828.47999999975</v>
      </c>
    </row>
    <row r="744" spans="1:12" x14ac:dyDescent="0.3">
      <c r="A744" s="52"/>
      <c r="B744" s="53" t="s">
        <v>26</v>
      </c>
      <c r="C744" s="54">
        <v>46140</v>
      </c>
      <c r="D744" s="53" t="s">
        <v>1383</v>
      </c>
      <c r="E744" s="53"/>
      <c r="F744" s="53"/>
      <c r="G744" s="54"/>
      <c r="H744" s="53"/>
      <c r="I744" s="59">
        <v>100</v>
      </c>
      <c r="J744" s="59"/>
      <c r="K744" s="59"/>
      <c r="L744" s="59">
        <f t="shared" si="11"/>
        <v>306928.47999999975</v>
      </c>
    </row>
    <row r="745" spans="1:12" x14ac:dyDescent="0.3">
      <c r="A745" s="52"/>
      <c r="B745" s="53" t="s">
        <v>26</v>
      </c>
      <c r="C745" s="54">
        <v>46140</v>
      </c>
      <c r="D745" s="53" t="s">
        <v>1384</v>
      </c>
      <c r="E745" s="53"/>
      <c r="F745" s="53"/>
      <c r="G745" s="54"/>
      <c r="H745" s="53"/>
      <c r="I745" s="59">
        <v>4</v>
      </c>
      <c r="J745" s="59"/>
      <c r="K745" s="59"/>
      <c r="L745" s="59">
        <f t="shared" si="11"/>
        <v>306932.47999999975</v>
      </c>
    </row>
    <row r="746" spans="1:12" x14ac:dyDescent="0.3">
      <c r="A746" s="52"/>
      <c r="B746" s="53" t="s">
        <v>26</v>
      </c>
      <c r="C746" s="54">
        <v>46140</v>
      </c>
      <c r="D746" s="53" t="s">
        <v>1385</v>
      </c>
      <c r="E746" s="53"/>
      <c r="F746" s="53"/>
      <c r="G746" s="54"/>
      <c r="H746" s="53"/>
      <c r="I746" s="59">
        <v>2.4</v>
      </c>
      <c r="J746" s="59"/>
      <c r="K746" s="59"/>
      <c r="L746" s="59">
        <f t="shared" si="11"/>
        <v>306934.87999999977</v>
      </c>
    </row>
    <row r="747" spans="1:12" x14ac:dyDescent="0.3">
      <c r="A747" s="52"/>
      <c r="B747" s="53" t="s">
        <v>28</v>
      </c>
      <c r="C747" s="54">
        <v>46140</v>
      </c>
      <c r="D747" s="53" t="s">
        <v>1109</v>
      </c>
      <c r="E747" s="53" t="s">
        <v>207</v>
      </c>
      <c r="F747" s="53"/>
      <c r="G747" s="54">
        <v>46139</v>
      </c>
      <c r="H747" s="53" t="s">
        <v>1110</v>
      </c>
      <c r="I747" s="59">
        <v>51.2</v>
      </c>
      <c r="J747" s="59"/>
      <c r="K747" s="59"/>
      <c r="L747" s="59">
        <f t="shared" si="11"/>
        <v>306986.07999999978</v>
      </c>
    </row>
    <row r="748" spans="1:12" x14ac:dyDescent="0.3">
      <c r="A748" s="52"/>
      <c r="B748" s="53" t="s">
        <v>26</v>
      </c>
      <c r="C748" s="54">
        <v>46140</v>
      </c>
      <c r="D748" s="53" t="s">
        <v>1386</v>
      </c>
      <c r="E748" s="53"/>
      <c r="F748" s="53"/>
      <c r="G748" s="54"/>
      <c r="H748" s="53"/>
      <c r="I748" s="59">
        <v>7.8</v>
      </c>
      <c r="J748" s="59"/>
      <c r="K748" s="59"/>
      <c r="L748" s="59">
        <f t="shared" si="11"/>
        <v>306993.87999999977</v>
      </c>
    </row>
    <row r="749" spans="1:12" x14ac:dyDescent="0.3">
      <c r="A749" s="52"/>
      <c r="B749" s="53" t="s">
        <v>26</v>
      </c>
      <c r="C749" s="54">
        <v>46140</v>
      </c>
      <c r="D749" s="53" t="s">
        <v>1387</v>
      </c>
      <c r="E749" s="53"/>
      <c r="F749" s="53"/>
      <c r="G749" s="54"/>
      <c r="H749" s="53"/>
      <c r="I749" s="59">
        <v>13.2</v>
      </c>
      <c r="J749" s="59"/>
      <c r="K749" s="59"/>
      <c r="L749" s="59">
        <f t="shared" si="11"/>
        <v>307007.07999999978</v>
      </c>
    </row>
    <row r="750" spans="1:12" x14ac:dyDescent="0.3">
      <c r="A750" s="52"/>
      <c r="B750" s="53" t="s">
        <v>26</v>
      </c>
      <c r="C750" s="54">
        <v>46141</v>
      </c>
      <c r="D750" s="53" t="s">
        <v>1114</v>
      </c>
      <c r="E750" s="53"/>
      <c r="F750" s="53"/>
      <c r="G750" s="54"/>
      <c r="H750" s="53"/>
      <c r="I750" s="59">
        <v>44.96</v>
      </c>
      <c r="J750" s="59"/>
      <c r="K750" s="59"/>
      <c r="L750" s="59">
        <f t="shared" si="11"/>
        <v>307052.0399999998</v>
      </c>
    </row>
    <row r="751" spans="1:12" x14ac:dyDescent="0.3">
      <c r="A751" s="52"/>
      <c r="B751" s="53" t="s">
        <v>26</v>
      </c>
      <c r="C751" s="54">
        <v>46141</v>
      </c>
      <c r="D751" s="53" t="s">
        <v>1388</v>
      </c>
      <c r="E751" s="53"/>
      <c r="F751" s="53"/>
      <c r="G751" s="54"/>
      <c r="H751" s="53"/>
      <c r="I751" s="59">
        <v>5.3</v>
      </c>
      <c r="J751" s="59"/>
      <c r="K751" s="59"/>
      <c r="L751" s="59">
        <f t="shared" si="11"/>
        <v>307057.33999999979</v>
      </c>
    </row>
    <row r="752" spans="1:12" x14ac:dyDescent="0.3">
      <c r="A752" s="52"/>
      <c r="B752" s="53" t="s">
        <v>26</v>
      </c>
      <c r="C752" s="54">
        <v>46141</v>
      </c>
      <c r="D752" s="53" t="s">
        <v>1389</v>
      </c>
      <c r="E752" s="53"/>
      <c r="F752" s="53"/>
      <c r="G752" s="54"/>
      <c r="H752" s="53"/>
      <c r="I752" s="59">
        <v>15.75</v>
      </c>
      <c r="J752" s="59"/>
      <c r="K752" s="59"/>
      <c r="L752" s="59">
        <f t="shared" si="11"/>
        <v>307073.08999999979</v>
      </c>
    </row>
    <row r="753" spans="1:12" x14ac:dyDescent="0.3">
      <c r="A753" s="52"/>
      <c r="B753" s="53" t="s">
        <v>26</v>
      </c>
      <c r="C753" s="54">
        <v>46141</v>
      </c>
      <c r="D753" s="53" t="s">
        <v>1115</v>
      </c>
      <c r="E753" s="53"/>
      <c r="F753" s="53"/>
      <c r="G753" s="54"/>
      <c r="H753" s="53"/>
      <c r="I753" s="59">
        <v>20.7</v>
      </c>
      <c r="J753" s="59"/>
      <c r="K753" s="59"/>
      <c r="L753" s="59">
        <f t="shared" si="11"/>
        <v>307093.7899999998</v>
      </c>
    </row>
    <row r="754" spans="1:12" x14ac:dyDescent="0.3">
      <c r="A754" s="52"/>
      <c r="B754" s="53" t="s">
        <v>26</v>
      </c>
      <c r="C754" s="54">
        <v>46141</v>
      </c>
      <c r="D754" s="53" t="s">
        <v>1628</v>
      </c>
      <c r="E754" s="53"/>
      <c r="F754" s="53"/>
      <c r="G754" s="54"/>
      <c r="H754" s="53"/>
      <c r="I754" s="59">
        <v>24</v>
      </c>
      <c r="J754" s="59"/>
      <c r="K754" s="59"/>
      <c r="L754" s="59">
        <f t="shared" si="11"/>
        <v>307117.7899999998</v>
      </c>
    </row>
    <row r="755" spans="1:12" x14ac:dyDescent="0.3">
      <c r="A755" s="52"/>
      <c r="B755" s="53" t="s">
        <v>26</v>
      </c>
      <c r="C755" s="54">
        <v>46141</v>
      </c>
      <c r="D755" s="53" t="s">
        <v>1390</v>
      </c>
      <c r="E755" s="53"/>
      <c r="F755" s="53"/>
      <c r="G755" s="54"/>
      <c r="H755" s="53"/>
      <c r="I755" s="59">
        <v>14.2</v>
      </c>
      <c r="J755" s="59"/>
      <c r="K755" s="59"/>
      <c r="L755" s="59">
        <f t="shared" si="11"/>
        <v>307131.98999999982</v>
      </c>
    </row>
    <row r="756" spans="1:12" x14ac:dyDescent="0.3">
      <c r="A756" s="52"/>
      <c r="B756" s="53" t="s">
        <v>26</v>
      </c>
      <c r="C756" s="54">
        <v>46141</v>
      </c>
      <c r="D756" s="53" t="s">
        <v>1391</v>
      </c>
      <c r="E756" s="53"/>
      <c r="F756" s="53"/>
      <c r="G756" s="54"/>
      <c r="H756" s="53"/>
      <c r="I756" s="59">
        <v>1.5</v>
      </c>
      <c r="J756" s="59"/>
      <c r="K756" s="59"/>
      <c r="L756" s="59">
        <f t="shared" si="11"/>
        <v>307133.48999999982</v>
      </c>
    </row>
    <row r="757" spans="1:12" x14ac:dyDescent="0.3">
      <c r="A757" s="52"/>
      <c r="B757" s="53" t="s">
        <v>28</v>
      </c>
      <c r="C757" s="54">
        <v>46141</v>
      </c>
      <c r="D757" s="53" t="s">
        <v>1116</v>
      </c>
      <c r="E757" s="53" t="s">
        <v>1117</v>
      </c>
      <c r="F757" s="53"/>
      <c r="G757" s="54">
        <v>46135</v>
      </c>
      <c r="H757" s="53" t="s">
        <v>1118</v>
      </c>
      <c r="I757" s="59">
        <v>145.44999999999999</v>
      </c>
      <c r="J757" s="59"/>
      <c r="K757" s="59"/>
      <c r="L757" s="59">
        <f t="shared" si="11"/>
        <v>307278.93999999983</v>
      </c>
    </row>
    <row r="758" spans="1:12" x14ac:dyDescent="0.3">
      <c r="A758" s="52"/>
      <c r="B758" s="53" t="s">
        <v>26</v>
      </c>
      <c r="C758" s="54">
        <v>46142</v>
      </c>
      <c r="D758" s="53" t="s">
        <v>1629</v>
      </c>
      <c r="E758" s="53"/>
      <c r="F758" s="53"/>
      <c r="G758" s="54"/>
      <c r="H758" s="53"/>
      <c r="I758" s="59">
        <v>31</v>
      </c>
      <c r="J758" s="59"/>
      <c r="K758" s="59"/>
      <c r="L758" s="59">
        <f t="shared" si="11"/>
        <v>307309.93999999983</v>
      </c>
    </row>
    <row r="759" spans="1:12" x14ac:dyDescent="0.3">
      <c r="A759" s="52"/>
      <c r="B759" s="53" t="s">
        <v>28</v>
      </c>
      <c r="C759" s="54">
        <v>46142</v>
      </c>
      <c r="D759" s="53" t="s">
        <v>1122</v>
      </c>
      <c r="E759" s="53" t="s">
        <v>1123</v>
      </c>
      <c r="F759" s="53" t="s">
        <v>1124</v>
      </c>
      <c r="G759" s="54">
        <v>46141</v>
      </c>
      <c r="H759" s="53" t="s">
        <v>1125</v>
      </c>
      <c r="I759" s="59">
        <v>136.72999999999999</v>
      </c>
      <c r="J759" s="59"/>
      <c r="K759" s="59"/>
      <c r="L759" s="59">
        <f t="shared" si="11"/>
        <v>307446.66999999981</v>
      </c>
    </row>
    <row r="760" spans="1:12" x14ac:dyDescent="0.3">
      <c r="A760" s="52"/>
      <c r="B760" s="53" t="s">
        <v>26</v>
      </c>
      <c r="C760" s="54">
        <v>46142</v>
      </c>
      <c r="D760" s="53" t="s">
        <v>785</v>
      </c>
      <c r="E760" s="53"/>
      <c r="F760" s="53"/>
      <c r="G760" s="54"/>
      <c r="H760" s="53"/>
      <c r="I760" s="59">
        <v>58.17</v>
      </c>
      <c r="J760" s="59"/>
      <c r="K760" s="59"/>
      <c r="L760" s="59">
        <f t="shared" si="11"/>
        <v>307504.83999999979</v>
      </c>
    </row>
    <row r="761" spans="1:12" x14ac:dyDescent="0.3">
      <c r="A761" s="52"/>
      <c r="B761" s="53" t="s">
        <v>26</v>
      </c>
      <c r="C761" s="54">
        <v>46142</v>
      </c>
      <c r="D761" s="53" t="s">
        <v>1630</v>
      </c>
      <c r="E761" s="53"/>
      <c r="F761" s="53"/>
      <c r="G761" s="54"/>
      <c r="H761" s="53"/>
      <c r="I761" s="59">
        <v>4.8</v>
      </c>
      <c r="J761" s="59"/>
      <c r="K761" s="59"/>
      <c r="L761" s="59">
        <f t="shared" si="11"/>
        <v>307509.63999999978</v>
      </c>
    </row>
    <row r="762" spans="1:12" x14ac:dyDescent="0.3">
      <c r="A762" s="52"/>
      <c r="B762" s="53" t="s">
        <v>26</v>
      </c>
      <c r="C762" s="54">
        <v>46142</v>
      </c>
      <c r="D762" s="53" t="s">
        <v>786</v>
      </c>
      <c r="E762" s="53"/>
      <c r="F762" s="53"/>
      <c r="G762" s="54"/>
      <c r="H762" s="53"/>
      <c r="I762" s="59">
        <v>883.06</v>
      </c>
      <c r="J762" s="59"/>
      <c r="K762" s="59"/>
      <c r="L762" s="59">
        <f t="shared" si="11"/>
        <v>308392.69999999978</v>
      </c>
    </row>
    <row r="763" spans="1:12" x14ac:dyDescent="0.3">
      <c r="A763" s="52"/>
      <c r="B763" s="53" t="s">
        <v>26</v>
      </c>
      <c r="C763" s="54">
        <v>46142</v>
      </c>
      <c r="D763" s="53" t="s">
        <v>1392</v>
      </c>
      <c r="E763" s="53"/>
      <c r="F763" s="53"/>
      <c r="G763" s="54"/>
      <c r="H763" s="53"/>
      <c r="I763" s="59">
        <v>900</v>
      </c>
      <c r="J763" s="59"/>
      <c r="K763" s="59"/>
      <c r="L763" s="59">
        <f t="shared" si="11"/>
        <v>309292.69999999978</v>
      </c>
    </row>
    <row r="764" spans="1:12" x14ac:dyDescent="0.3">
      <c r="A764" s="52"/>
      <c r="B764" s="53" t="s">
        <v>28</v>
      </c>
      <c r="C764" s="54">
        <v>46142</v>
      </c>
      <c r="D764" s="53" t="s">
        <v>1119</v>
      </c>
      <c r="E764" s="53" t="s">
        <v>1120</v>
      </c>
      <c r="F764" s="53"/>
      <c r="G764" s="54">
        <v>46141</v>
      </c>
      <c r="H764" s="53" t="s">
        <v>1121</v>
      </c>
      <c r="I764" s="59">
        <v>61.82</v>
      </c>
      <c r="J764" s="59"/>
      <c r="K764" s="59"/>
      <c r="L764" s="59">
        <f t="shared" si="11"/>
        <v>309354.51999999979</v>
      </c>
    </row>
    <row r="765" spans="1:12" x14ac:dyDescent="0.3">
      <c r="A765" s="52"/>
      <c r="B765" s="53" t="s">
        <v>26</v>
      </c>
      <c r="C765" s="54">
        <v>46142</v>
      </c>
      <c r="D765" s="53" t="s">
        <v>1631</v>
      </c>
      <c r="E765" s="53"/>
      <c r="F765" s="53"/>
      <c r="G765" s="54"/>
      <c r="H765" s="53"/>
      <c r="I765" s="59">
        <v>10.8</v>
      </c>
      <c r="J765" s="59"/>
      <c r="K765" s="59"/>
      <c r="L765" s="59">
        <f t="shared" si="11"/>
        <v>309365.31999999977</v>
      </c>
    </row>
    <row r="766" spans="1:12" x14ac:dyDescent="0.3">
      <c r="A766" s="52"/>
      <c r="B766" s="53" t="s">
        <v>26</v>
      </c>
      <c r="C766" s="54">
        <v>46143</v>
      </c>
      <c r="D766" s="53" t="s">
        <v>1632</v>
      </c>
      <c r="E766" s="53"/>
      <c r="F766" s="53"/>
      <c r="G766" s="54"/>
      <c r="H766" s="53"/>
      <c r="I766" s="59">
        <v>10</v>
      </c>
      <c r="J766" s="59"/>
      <c r="K766" s="59"/>
      <c r="L766" s="59">
        <f t="shared" si="11"/>
        <v>309375.31999999977</v>
      </c>
    </row>
    <row r="767" spans="1:12" x14ac:dyDescent="0.3">
      <c r="A767" s="52"/>
      <c r="B767" s="53" t="s">
        <v>26</v>
      </c>
      <c r="C767" s="54">
        <v>46146</v>
      </c>
      <c r="D767" s="53" t="s">
        <v>1633</v>
      </c>
      <c r="E767" s="53"/>
      <c r="F767" s="53"/>
      <c r="G767" s="54"/>
      <c r="H767" s="53"/>
      <c r="I767" s="59">
        <v>2</v>
      </c>
      <c r="J767" s="59"/>
      <c r="K767" s="59"/>
      <c r="L767" s="59">
        <f t="shared" si="11"/>
        <v>309377.31999999977</v>
      </c>
    </row>
    <row r="768" spans="1:12" x14ac:dyDescent="0.3">
      <c r="A768" s="52"/>
      <c r="B768" s="53" t="s">
        <v>26</v>
      </c>
      <c r="C768" s="54">
        <v>46146</v>
      </c>
      <c r="D768" s="53" t="s">
        <v>1634</v>
      </c>
      <c r="E768" s="53"/>
      <c r="F768" s="53"/>
      <c r="G768" s="54"/>
      <c r="H768" s="53"/>
      <c r="I768" s="59">
        <v>12</v>
      </c>
      <c r="J768" s="59"/>
      <c r="K768" s="59"/>
      <c r="L768" s="59">
        <f t="shared" si="11"/>
        <v>309389.31999999977</v>
      </c>
    </row>
    <row r="769" spans="1:12" x14ac:dyDescent="0.3">
      <c r="A769" s="52"/>
      <c r="B769" s="53" t="s">
        <v>26</v>
      </c>
      <c r="C769" s="54">
        <v>46146</v>
      </c>
      <c r="D769" s="53" t="s">
        <v>1635</v>
      </c>
      <c r="E769" s="53"/>
      <c r="F769" s="53"/>
      <c r="G769" s="54"/>
      <c r="H769" s="53"/>
      <c r="I769" s="59">
        <v>21</v>
      </c>
      <c r="J769" s="59"/>
      <c r="K769" s="59"/>
      <c r="L769" s="59">
        <f t="shared" si="11"/>
        <v>309410.31999999977</v>
      </c>
    </row>
    <row r="770" spans="1:12" x14ac:dyDescent="0.3">
      <c r="A770" s="52"/>
      <c r="B770" s="53" t="s">
        <v>26</v>
      </c>
      <c r="C770" s="54">
        <v>46146</v>
      </c>
      <c r="D770" s="53" t="s">
        <v>1636</v>
      </c>
      <c r="E770" s="53"/>
      <c r="F770" s="53"/>
      <c r="G770" s="54"/>
      <c r="H770" s="53"/>
      <c r="I770" s="59">
        <v>12.5</v>
      </c>
      <c r="J770" s="59"/>
      <c r="K770" s="59"/>
      <c r="L770" s="59">
        <f t="shared" si="11"/>
        <v>309422.81999999977</v>
      </c>
    </row>
    <row r="771" spans="1:12" x14ac:dyDescent="0.3">
      <c r="A771" s="52"/>
      <c r="B771" s="53" t="s">
        <v>26</v>
      </c>
      <c r="C771" s="54">
        <v>46146</v>
      </c>
      <c r="D771" s="53" t="s">
        <v>1637</v>
      </c>
      <c r="E771" s="53"/>
      <c r="F771" s="53"/>
      <c r="G771" s="54"/>
      <c r="H771" s="53"/>
      <c r="I771" s="59">
        <v>9.76</v>
      </c>
      <c r="J771" s="59"/>
      <c r="K771" s="59"/>
      <c r="L771" s="59">
        <f t="shared" si="11"/>
        <v>309432.57999999978</v>
      </c>
    </row>
    <row r="772" spans="1:12" x14ac:dyDescent="0.3">
      <c r="A772" s="52"/>
      <c r="B772" s="53" t="s">
        <v>26</v>
      </c>
      <c r="C772" s="54">
        <v>46146</v>
      </c>
      <c r="D772" s="53" t="s">
        <v>1638</v>
      </c>
      <c r="E772" s="53"/>
      <c r="F772" s="53"/>
      <c r="G772" s="54"/>
      <c r="H772" s="53"/>
      <c r="I772" s="59">
        <v>5.8</v>
      </c>
      <c r="J772" s="59"/>
      <c r="K772" s="59"/>
      <c r="L772" s="59">
        <f t="shared" si="11"/>
        <v>309438.37999999977</v>
      </c>
    </row>
    <row r="773" spans="1:12" x14ac:dyDescent="0.3">
      <c r="A773" s="52"/>
      <c r="B773" s="53" t="s">
        <v>26</v>
      </c>
      <c r="C773" s="54">
        <v>46147</v>
      </c>
      <c r="D773" s="53" t="s">
        <v>1639</v>
      </c>
      <c r="E773" s="53"/>
      <c r="F773" s="53"/>
      <c r="G773" s="54"/>
      <c r="H773" s="53"/>
      <c r="I773" s="59">
        <v>90</v>
      </c>
      <c r="J773" s="59"/>
      <c r="K773" s="59"/>
      <c r="L773" s="59">
        <f t="shared" si="11"/>
        <v>309528.37999999977</v>
      </c>
    </row>
    <row r="774" spans="1:12" x14ac:dyDescent="0.3">
      <c r="A774" s="52"/>
      <c r="B774" s="53" t="s">
        <v>26</v>
      </c>
      <c r="C774" s="54">
        <v>46147</v>
      </c>
      <c r="D774" s="53" t="s">
        <v>1640</v>
      </c>
      <c r="E774" s="53"/>
      <c r="F774" s="53"/>
      <c r="G774" s="54"/>
      <c r="H774" s="53"/>
      <c r="I774" s="59">
        <v>13.2</v>
      </c>
      <c r="J774" s="59"/>
      <c r="K774" s="59"/>
      <c r="L774" s="59">
        <f t="shared" si="11"/>
        <v>309541.57999999978</v>
      </c>
    </row>
    <row r="775" spans="1:12" x14ac:dyDescent="0.3">
      <c r="A775" s="52"/>
      <c r="B775" s="53" t="s">
        <v>26</v>
      </c>
      <c r="C775" s="54">
        <v>46147</v>
      </c>
      <c r="D775" s="53" t="s">
        <v>1641</v>
      </c>
      <c r="E775" s="53"/>
      <c r="F775" s="53"/>
      <c r="G775" s="54"/>
      <c r="H775" s="53"/>
      <c r="I775" s="59">
        <v>29.1</v>
      </c>
      <c r="J775" s="59"/>
      <c r="K775" s="59"/>
      <c r="L775" s="59">
        <f t="shared" si="11"/>
        <v>309570.67999999976</v>
      </c>
    </row>
    <row r="776" spans="1:12" x14ac:dyDescent="0.3">
      <c r="A776" s="52"/>
      <c r="B776" s="53" t="s">
        <v>26</v>
      </c>
      <c r="C776" s="54">
        <v>46147</v>
      </c>
      <c r="D776" s="53" t="s">
        <v>1642</v>
      </c>
      <c r="E776" s="53"/>
      <c r="F776" s="53"/>
      <c r="G776" s="54"/>
      <c r="H776" s="53"/>
      <c r="I776" s="59">
        <v>16.5</v>
      </c>
      <c r="J776" s="59"/>
      <c r="K776" s="59"/>
      <c r="L776" s="59">
        <f t="shared" si="11"/>
        <v>309587.17999999976</v>
      </c>
    </row>
    <row r="777" spans="1:12" x14ac:dyDescent="0.3">
      <c r="A777" s="52"/>
      <c r="B777" s="53" t="s">
        <v>26</v>
      </c>
      <c r="C777" s="54">
        <v>46147</v>
      </c>
      <c r="D777" s="53" t="s">
        <v>1643</v>
      </c>
      <c r="E777" s="53"/>
      <c r="F777" s="53"/>
      <c r="G777" s="54"/>
      <c r="H777" s="53"/>
      <c r="I777" s="59">
        <v>292.55</v>
      </c>
      <c r="J777" s="59"/>
      <c r="K777" s="59"/>
      <c r="L777" s="59">
        <f t="shared" si="11"/>
        <v>309879.72999999975</v>
      </c>
    </row>
    <row r="778" spans="1:12" x14ac:dyDescent="0.3">
      <c r="A778" s="52"/>
      <c r="B778" s="53" t="s">
        <v>26</v>
      </c>
      <c r="C778" s="54">
        <v>46147</v>
      </c>
      <c r="D778" s="53" t="s">
        <v>1644</v>
      </c>
      <c r="E778" s="53"/>
      <c r="F778" s="53"/>
      <c r="G778" s="54"/>
      <c r="H778" s="53"/>
      <c r="I778" s="59">
        <v>12.43</v>
      </c>
      <c r="J778" s="59"/>
      <c r="K778" s="59"/>
      <c r="L778" s="59">
        <f t="shared" si="11"/>
        <v>309892.15999999974</v>
      </c>
    </row>
    <row r="779" spans="1:12" x14ac:dyDescent="0.3">
      <c r="A779" s="52"/>
      <c r="B779" s="53" t="s">
        <v>26</v>
      </c>
      <c r="C779" s="54">
        <v>46147</v>
      </c>
      <c r="D779" s="53" t="s">
        <v>1645</v>
      </c>
      <c r="E779" s="53"/>
      <c r="F779" s="53"/>
      <c r="G779" s="54"/>
      <c r="H779" s="53"/>
      <c r="I779" s="59">
        <v>17.399999999999999</v>
      </c>
      <c r="J779" s="59"/>
      <c r="K779" s="59"/>
      <c r="L779" s="59">
        <f t="shared" ref="L779:L842" si="12">L778+I779-K779</f>
        <v>309909.55999999976</v>
      </c>
    </row>
    <row r="780" spans="1:12" x14ac:dyDescent="0.3">
      <c r="A780" s="52"/>
      <c r="B780" s="53" t="s">
        <v>26</v>
      </c>
      <c r="C780" s="54">
        <v>46148</v>
      </c>
      <c r="D780" s="53" t="s">
        <v>1646</v>
      </c>
      <c r="E780" s="53"/>
      <c r="F780" s="53"/>
      <c r="G780" s="54"/>
      <c r="H780" s="53"/>
      <c r="I780" s="59">
        <v>3.4</v>
      </c>
      <c r="J780" s="59"/>
      <c r="K780" s="59"/>
      <c r="L780" s="59">
        <f t="shared" si="12"/>
        <v>309912.95999999979</v>
      </c>
    </row>
    <row r="781" spans="1:12" x14ac:dyDescent="0.3">
      <c r="A781" s="52"/>
      <c r="B781" s="53" t="s">
        <v>26</v>
      </c>
      <c r="C781" s="54">
        <v>46148</v>
      </c>
      <c r="D781" s="53" t="s">
        <v>1647</v>
      </c>
      <c r="E781" s="53"/>
      <c r="F781" s="53"/>
      <c r="G781" s="54"/>
      <c r="H781" s="53"/>
      <c r="I781" s="59">
        <v>8.66</v>
      </c>
      <c r="J781" s="59"/>
      <c r="K781" s="59"/>
      <c r="L781" s="59">
        <f t="shared" si="12"/>
        <v>309921.61999999976</v>
      </c>
    </row>
    <row r="782" spans="1:12" x14ac:dyDescent="0.3">
      <c r="A782" s="52"/>
      <c r="B782" s="53" t="s">
        <v>28</v>
      </c>
      <c r="C782" s="54">
        <v>46148</v>
      </c>
      <c r="D782" s="53" t="s">
        <v>1393</v>
      </c>
      <c r="E782" s="53" t="s">
        <v>677</v>
      </c>
      <c r="F782" s="53"/>
      <c r="G782" s="54">
        <v>46142</v>
      </c>
      <c r="H782" s="53" t="s">
        <v>1394</v>
      </c>
      <c r="I782" s="59">
        <v>18.690000000000001</v>
      </c>
      <c r="J782" s="59"/>
      <c r="K782" s="59"/>
      <c r="L782" s="59">
        <f t="shared" si="12"/>
        <v>309940.30999999976</v>
      </c>
    </row>
    <row r="783" spans="1:12" x14ac:dyDescent="0.3">
      <c r="A783" s="52"/>
      <c r="B783" s="53" t="s">
        <v>26</v>
      </c>
      <c r="C783" s="54">
        <v>46148</v>
      </c>
      <c r="D783" s="53" t="s">
        <v>1648</v>
      </c>
      <c r="E783" s="53"/>
      <c r="F783" s="53"/>
      <c r="G783" s="54"/>
      <c r="H783" s="53"/>
      <c r="I783" s="59">
        <v>9.2799999999999994</v>
      </c>
      <c r="J783" s="59"/>
      <c r="K783" s="59"/>
      <c r="L783" s="59">
        <f t="shared" si="12"/>
        <v>309949.58999999979</v>
      </c>
    </row>
    <row r="784" spans="1:12" x14ac:dyDescent="0.3">
      <c r="A784" s="52"/>
      <c r="B784" s="53" t="s">
        <v>26</v>
      </c>
      <c r="C784" s="54">
        <v>46148</v>
      </c>
      <c r="D784" s="53" t="s">
        <v>1649</v>
      </c>
      <c r="E784" s="53"/>
      <c r="F784" s="53"/>
      <c r="G784" s="54"/>
      <c r="H784" s="53"/>
      <c r="I784" s="59">
        <v>27.4</v>
      </c>
      <c r="J784" s="59"/>
      <c r="K784" s="59"/>
      <c r="L784" s="59">
        <f t="shared" si="12"/>
        <v>309976.98999999982</v>
      </c>
    </row>
    <row r="785" spans="1:12" x14ac:dyDescent="0.3">
      <c r="A785" s="52"/>
      <c r="B785" s="53" t="s">
        <v>26</v>
      </c>
      <c r="C785" s="54">
        <v>46148</v>
      </c>
      <c r="D785" s="53" t="s">
        <v>1650</v>
      </c>
      <c r="E785" s="53"/>
      <c r="F785" s="53"/>
      <c r="G785" s="54"/>
      <c r="H785" s="53"/>
      <c r="I785" s="59">
        <v>1.5</v>
      </c>
      <c r="J785" s="59"/>
      <c r="K785" s="59"/>
      <c r="L785" s="59">
        <f t="shared" si="12"/>
        <v>309978.48999999982</v>
      </c>
    </row>
    <row r="786" spans="1:12" x14ac:dyDescent="0.3">
      <c r="A786" s="52"/>
      <c r="B786" s="53" t="s">
        <v>26</v>
      </c>
      <c r="C786" s="54">
        <v>46148</v>
      </c>
      <c r="D786" s="53" t="s">
        <v>1651</v>
      </c>
      <c r="E786" s="53"/>
      <c r="F786" s="53"/>
      <c r="G786" s="54"/>
      <c r="H786" s="53"/>
      <c r="I786" s="59">
        <v>11.1</v>
      </c>
      <c r="J786" s="59"/>
      <c r="K786" s="59"/>
      <c r="L786" s="59">
        <f t="shared" si="12"/>
        <v>309989.58999999979</v>
      </c>
    </row>
    <row r="787" spans="1:12" x14ac:dyDescent="0.3">
      <c r="A787" s="52"/>
      <c r="B787" s="53" t="s">
        <v>26</v>
      </c>
      <c r="C787" s="54">
        <v>46148</v>
      </c>
      <c r="D787" s="53" t="s">
        <v>1652</v>
      </c>
      <c r="E787" s="53"/>
      <c r="F787" s="53"/>
      <c r="G787" s="54"/>
      <c r="H787" s="53"/>
      <c r="I787" s="59">
        <v>16.7</v>
      </c>
      <c r="J787" s="59"/>
      <c r="K787" s="59"/>
      <c r="L787" s="59">
        <f t="shared" si="12"/>
        <v>310006.2899999998</v>
      </c>
    </row>
    <row r="788" spans="1:12" x14ac:dyDescent="0.3">
      <c r="A788" s="52"/>
      <c r="B788" s="53" t="s">
        <v>26</v>
      </c>
      <c r="C788" s="54">
        <v>46148</v>
      </c>
      <c r="D788" s="53" t="s">
        <v>1653</v>
      </c>
      <c r="E788" s="53"/>
      <c r="F788" s="53"/>
      <c r="G788" s="54"/>
      <c r="H788" s="53"/>
      <c r="I788" s="59">
        <v>84</v>
      </c>
      <c r="J788" s="59"/>
      <c r="K788" s="59"/>
      <c r="L788" s="59">
        <f t="shared" si="12"/>
        <v>310090.2899999998</v>
      </c>
    </row>
    <row r="789" spans="1:12" x14ac:dyDescent="0.3">
      <c r="A789" s="52"/>
      <c r="B789" s="53" t="s">
        <v>26</v>
      </c>
      <c r="C789" s="54">
        <v>46148</v>
      </c>
      <c r="D789" s="53" t="s">
        <v>1654</v>
      </c>
      <c r="E789" s="53"/>
      <c r="F789" s="53"/>
      <c r="G789" s="54"/>
      <c r="H789" s="53"/>
      <c r="I789" s="59">
        <v>43.9</v>
      </c>
      <c r="J789" s="59"/>
      <c r="K789" s="59"/>
      <c r="L789" s="59">
        <f t="shared" si="12"/>
        <v>310134.18999999983</v>
      </c>
    </row>
    <row r="790" spans="1:12" x14ac:dyDescent="0.3">
      <c r="A790" s="52"/>
      <c r="B790" s="53" t="s">
        <v>26</v>
      </c>
      <c r="C790" s="54">
        <v>46148</v>
      </c>
      <c r="D790" s="53" t="s">
        <v>1655</v>
      </c>
      <c r="E790" s="53"/>
      <c r="F790" s="53"/>
      <c r="G790" s="54"/>
      <c r="H790" s="53"/>
      <c r="I790" s="59">
        <v>3.5</v>
      </c>
      <c r="J790" s="59"/>
      <c r="K790" s="59"/>
      <c r="L790" s="59">
        <f t="shared" si="12"/>
        <v>310137.68999999983</v>
      </c>
    </row>
    <row r="791" spans="1:12" x14ac:dyDescent="0.3">
      <c r="A791" s="52"/>
      <c r="B791" s="53" t="s">
        <v>26</v>
      </c>
      <c r="C791" s="54">
        <v>46149</v>
      </c>
      <c r="D791" s="53" t="s">
        <v>1656</v>
      </c>
      <c r="E791" s="53"/>
      <c r="F791" s="53"/>
      <c r="G791" s="54"/>
      <c r="H791" s="53"/>
      <c r="I791" s="59">
        <v>7.49</v>
      </c>
      <c r="J791" s="59"/>
      <c r="K791" s="59"/>
      <c r="L791" s="59">
        <f t="shared" si="12"/>
        <v>310145.17999999982</v>
      </c>
    </row>
    <row r="792" spans="1:12" x14ac:dyDescent="0.3">
      <c r="A792" s="52"/>
      <c r="B792" s="53" t="s">
        <v>26</v>
      </c>
      <c r="C792" s="54">
        <v>46149</v>
      </c>
      <c r="D792" s="53" t="s">
        <v>1657</v>
      </c>
      <c r="E792" s="53"/>
      <c r="F792" s="53"/>
      <c r="G792" s="54"/>
      <c r="H792" s="53"/>
      <c r="I792" s="59">
        <v>137</v>
      </c>
      <c r="J792" s="59"/>
      <c r="K792" s="59"/>
      <c r="L792" s="59">
        <f t="shared" si="12"/>
        <v>310282.17999999982</v>
      </c>
    </row>
    <row r="793" spans="1:12" x14ac:dyDescent="0.3">
      <c r="A793" s="52"/>
      <c r="B793" s="53" t="s">
        <v>26</v>
      </c>
      <c r="C793" s="54">
        <v>46149</v>
      </c>
      <c r="D793" s="53" t="s">
        <v>1658</v>
      </c>
      <c r="E793" s="53"/>
      <c r="F793" s="53"/>
      <c r="G793" s="54"/>
      <c r="H793" s="53"/>
      <c r="I793" s="59">
        <v>101</v>
      </c>
      <c r="J793" s="59"/>
      <c r="K793" s="59"/>
      <c r="L793" s="59">
        <f t="shared" si="12"/>
        <v>310383.17999999982</v>
      </c>
    </row>
    <row r="794" spans="1:12" x14ac:dyDescent="0.3">
      <c r="A794" s="52"/>
      <c r="B794" s="53" t="s">
        <v>26</v>
      </c>
      <c r="C794" s="54">
        <v>46149</v>
      </c>
      <c r="D794" s="53" t="s">
        <v>1659</v>
      </c>
      <c r="E794" s="53"/>
      <c r="F794" s="53"/>
      <c r="G794" s="54"/>
      <c r="H794" s="53"/>
      <c r="I794" s="59">
        <v>33</v>
      </c>
      <c r="J794" s="59"/>
      <c r="K794" s="59"/>
      <c r="L794" s="59">
        <f t="shared" si="12"/>
        <v>310416.17999999982</v>
      </c>
    </row>
    <row r="795" spans="1:12" x14ac:dyDescent="0.3">
      <c r="A795" s="52"/>
      <c r="B795" s="53" t="s">
        <v>26</v>
      </c>
      <c r="C795" s="54">
        <v>46149</v>
      </c>
      <c r="D795" s="53" t="s">
        <v>1660</v>
      </c>
      <c r="E795" s="53"/>
      <c r="F795" s="53"/>
      <c r="G795" s="54"/>
      <c r="H795" s="53"/>
      <c r="I795" s="59">
        <v>125.1</v>
      </c>
      <c r="J795" s="59"/>
      <c r="K795" s="59"/>
      <c r="L795" s="59">
        <f t="shared" si="12"/>
        <v>310541.2799999998</v>
      </c>
    </row>
    <row r="796" spans="1:12" x14ac:dyDescent="0.3">
      <c r="A796" s="52"/>
      <c r="B796" s="53" t="s">
        <v>26</v>
      </c>
      <c r="C796" s="54">
        <v>46149</v>
      </c>
      <c r="D796" s="53" t="s">
        <v>1661</v>
      </c>
      <c r="E796" s="53"/>
      <c r="F796" s="53"/>
      <c r="G796" s="54"/>
      <c r="H796" s="53"/>
      <c r="I796" s="59">
        <v>12</v>
      </c>
      <c r="J796" s="59"/>
      <c r="K796" s="59"/>
      <c r="L796" s="59">
        <f t="shared" si="12"/>
        <v>310553.2799999998</v>
      </c>
    </row>
    <row r="797" spans="1:12" x14ac:dyDescent="0.3">
      <c r="A797" s="52"/>
      <c r="B797" s="53" t="s">
        <v>26</v>
      </c>
      <c r="C797" s="54">
        <v>46149</v>
      </c>
      <c r="D797" s="53" t="s">
        <v>1662</v>
      </c>
      <c r="E797" s="53"/>
      <c r="F797" s="53"/>
      <c r="G797" s="54"/>
      <c r="H797" s="53"/>
      <c r="I797" s="59">
        <v>50</v>
      </c>
      <c r="J797" s="59"/>
      <c r="K797" s="59"/>
      <c r="L797" s="59">
        <f t="shared" si="12"/>
        <v>310603.2799999998</v>
      </c>
    </row>
    <row r="798" spans="1:12" x14ac:dyDescent="0.3">
      <c r="A798" s="52"/>
      <c r="B798" s="53" t="s">
        <v>26</v>
      </c>
      <c r="C798" s="54">
        <v>46149</v>
      </c>
      <c r="D798" s="53" t="s">
        <v>1663</v>
      </c>
      <c r="E798" s="53"/>
      <c r="F798" s="53"/>
      <c r="G798" s="54"/>
      <c r="H798" s="53"/>
      <c r="I798" s="59">
        <v>50</v>
      </c>
      <c r="J798" s="59"/>
      <c r="K798" s="59"/>
      <c r="L798" s="59">
        <f t="shared" si="12"/>
        <v>310653.2799999998</v>
      </c>
    </row>
    <row r="799" spans="1:12" x14ac:dyDescent="0.3">
      <c r="A799" s="52"/>
      <c r="B799" s="53" t="s">
        <v>26</v>
      </c>
      <c r="C799" s="54">
        <v>46149</v>
      </c>
      <c r="D799" s="53" t="s">
        <v>1664</v>
      </c>
      <c r="E799" s="53"/>
      <c r="F799" s="53"/>
      <c r="G799" s="54"/>
      <c r="H799" s="53"/>
      <c r="I799" s="59">
        <v>22</v>
      </c>
      <c r="J799" s="59"/>
      <c r="K799" s="59"/>
      <c r="L799" s="59">
        <f t="shared" si="12"/>
        <v>310675.2799999998</v>
      </c>
    </row>
    <row r="800" spans="1:12" x14ac:dyDescent="0.3">
      <c r="A800" s="52"/>
      <c r="B800" s="53" t="s">
        <v>26</v>
      </c>
      <c r="C800" s="54">
        <v>46149</v>
      </c>
      <c r="D800" s="53" t="s">
        <v>1665</v>
      </c>
      <c r="E800" s="53"/>
      <c r="F800" s="53"/>
      <c r="G800" s="54"/>
      <c r="H800" s="53"/>
      <c r="I800" s="59">
        <v>8.44</v>
      </c>
      <c r="J800" s="59"/>
      <c r="K800" s="59"/>
      <c r="L800" s="59">
        <f t="shared" si="12"/>
        <v>310683.7199999998</v>
      </c>
    </row>
    <row r="801" spans="1:12" x14ac:dyDescent="0.3">
      <c r="A801" s="52"/>
      <c r="B801" s="53" t="s">
        <v>26</v>
      </c>
      <c r="C801" s="54">
        <v>46149</v>
      </c>
      <c r="D801" s="53" t="s">
        <v>1666</v>
      </c>
      <c r="E801" s="53"/>
      <c r="F801" s="53"/>
      <c r="G801" s="54"/>
      <c r="H801" s="53"/>
      <c r="I801" s="59">
        <v>7</v>
      </c>
      <c r="J801" s="59"/>
      <c r="K801" s="59"/>
      <c r="L801" s="59">
        <f t="shared" si="12"/>
        <v>310690.7199999998</v>
      </c>
    </row>
    <row r="802" spans="1:12" x14ac:dyDescent="0.3">
      <c r="A802" s="52"/>
      <c r="B802" s="53" t="s">
        <v>26</v>
      </c>
      <c r="C802" s="54">
        <v>46149</v>
      </c>
      <c r="D802" s="53" t="s">
        <v>1667</v>
      </c>
      <c r="E802" s="53"/>
      <c r="F802" s="53"/>
      <c r="G802" s="54"/>
      <c r="H802" s="53"/>
      <c r="I802" s="59">
        <v>38.33</v>
      </c>
      <c r="J802" s="59"/>
      <c r="K802" s="59"/>
      <c r="L802" s="59">
        <f t="shared" si="12"/>
        <v>310729.04999999981</v>
      </c>
    </row>
    <row r="803" spans="1:12" x14ac:dyDescent="0.3">
      <c r="A803" s="52"/>
      <c r="B803" s="53" t="s">
        <v>26</v>
      </c>
      <c r="C803" s="54">
        <v>46149</v>
      </c>
      <c r="D803" s="53" t="s">
        <v>1668</v>
      </c>
      <c r="E803" s="53"/>
      <c r="F803" s="53"/>
      <c r="G803" s="54"/>
      <c r="H803" s="53"/>
      <c r="I803" s="59">
        <v>18.04</v>
      </c>
      <c r="J803" s="59"/>
      <c r="K803" s="59"/>
      <c r="L803" s="59">
        <f t="shared" si="12"/>
        <v>310747.08999999979</v>
      </c>
    </row>
    <row r="804" spans="1:12" x14ac:dyDescent="0.3">
      <c r="A804" s="52"/>
      <c r="B804" s="53" t="s">
        <v>26</v>
      </c>
      <c r="C804" s="54">
        <v>46150</v>
      </c>
      <c r="D804" s="53" t="s">
        <v>1669</v>
      </c>
      <c r="E804" s="53"/>
      <c r="F804" s="53"/>
      <c r="G804" s="54"/>
      <c r="H804" s="53"/>
      <c r="I804" s="59">
        <v>10.95</v>
      </c>
      <c r="J804" s="59"/>
      <c r="K804" s="59"/>
      <c r="L804" s="59">
        <f t="shared" si="12"/>
        <v>310758.0399999998</v>
      </c>
    </row>
    <row r="805" spans="1:12" x14ac:dyDescent="0.3">
      <c r="A805" s="52"/>
      <c r="B805" s="53" t="s">
        <v>26</v>
      </c>
      <c r="C805" s="54">
        <v>46150</v>
      </c>
      <c r="D805" s="53" t="s">
        <v>2095</v>
      </c>
      <c r="E805" s="53"/>
      <c r="F805" s="53"/>
      <c r="G805" s="54"/>
      <c r="H805" s="53"/>
      <c r="I805" s="59">
        <v>18</v>
      </c>
      <c r="J805" s="59"/>
      <c r="K805" s="59"/>
      <c r="L805" s="59">
        <f t="shared" si="12"/>
        <v>310776.0399999998</v>
      </c>
    </row>
    <row r="806" spans="1:12" x14ac:dyDescent="0.3">
      <c r="A806" s="52"/>
      <c r="B806" s="53" t="s">
        <v>26</v>
      </c>
      <c r="C806" s="54">
        <v>46150</v>
      </c>
      <c r="D806" s="53" t="s">
        <v>1670</v>
      </c>
      <c r="E806" s="53"/>
      <c r="F806" s="53"/>
      <c r="G806" s="54"/>
      <c r="H806" s="53"/>
      <c r="I806" s="59">
        <v>386.38</v>
      </c>
      <c r="J806" s="59"/>
      <c r="K806" s="59"/>
      <c r="L806" s="59">
        <f t="shared" si="12"/>
        <v>311162.41999999981</v>
      </c>
    </row>
    <row r="807" spans="1:12" x14ac:dyDescent="0.3">
      <c r="A807" s="52"/>
      <c r="B807" s="53" t="s">
        <v>26</v>
      </c>
      <c r="C807" s="54">
        <v>46150</v>
      </c>
      <c r="D807" s="53" t="s">
        <v>1671</v>
      </c>
      <c r="E807" s="53"/>
      <c r="F807" s="53"/>
      <c r="G807" s="54"/>
      <c r="H807" s="53"/>
      <c r="I807" s="59">
        <v>3.8</v>
      </c>
      <c r="J807" s="59"/>
      <c r="K807" s="59"/>
      <c r="L807" s="59">
        <f t="shared" si="12"/>
        <v>311166.2199999998</v>
      </c>
    </row>
    <row r="808" spans="1:12" x14ac:dyDescent="0.3">
      <c r="A808" s="52"/>
      <c r="B808" s="53" t="s">
        <v>26</v>
      </c>
      <c r="C808" s="54">
        <v>46150</v>
      </c>
      <c r="D808" s="53" t="s">
        <v>1672</v>
      </c>
      <c r="E808" s="53"/>
      <c r="F808" s="53"/>
      <c r="G808" s="54"/>
      <c r="H808" s="53"/>
      <c r="I808" s="59">
        <v>17</v>
      </c>
      <c r="J808" s="59"/>
      <c r="K808" s="59"/>
      <c r="L808" s="59">
        <f t="shared" si="12"/>
        <v>311183.2199999998</v>
      </c>
    </row>
    <row r="809" spans="1:12" x14ac:dyDescent="0.3">
      <c r="A809" s="52"/>
      <c r="B809" s="53" t="s">
        <v>26</v>
      </c>
      <c r="C809" s="54">
        <v>46150</v>
      </c>
      <c r="D809" s="53" t="s">
        <v>1673</v>
      </c>
      <c r="E809" s="53"/>
      <c r="F809" s="53"/>
      <c r="G809" s="54"/>
      <c r="H809" s="53"/>
      <c r="I809" s="59">
        <v>12.1</v>
      </c>
      <c r="J809" s="59"/>
      <c r="K809" s="59"/>
      <c r="L809" s="59">
        <f t="shared" si="12"/>
        <v>311195.31999999977</v>
      </c>
    </row>
    <row r="810" spans="1:12" x14ac:dyDescent="0.3">
      <c r="A810" s="52"/>
      <c r="B810" s="53" t="s">
        <v>26</v>
      </c>
      <c r="C810" s="54">
        <v>46150</v>
      </c>
      <c r="D810" s="53" t="s">
        <v>1674</v>
      </c>
      <c r="E810" s="53"/>
      <c r="F810" s="53"/>
      <c r="G810" s="54"/>
      <c r="H810" s="53"/>
      <c r="I810" s="59">
        <v>3</v>
      </c>
      <c r="J810" s="59"/>
      <c r="K810" s="59"/>
      <c r="L810" s="59">
        <f t="shared" si="12"/>
        <v>311198.31999999977</v>
      </c>
    </row>
    <row r="811" spans="1:12" x14ac:dyDescent="0.3">
      <c r="A811" s="52"/>
      <c r="B811" s="53" t="s">
        <v>28</v>
      </c>
      <c r="C811" s="54">
        <v>46150</v>
      </c>
      <c r="D811" s="53" t="s">
        <v>1397</v>
      </c>
      <c r="E811" s="53" t="s">
        <v>211</v>
      </c>
      <c r="F811" s="53"/>
      <c r="G811" s="54">
        <v>46147</v>
      </c>
      <c r="H811" s="53" t="s">
        <v>1398</v>
      </c>
      <c r="I811" s="59">
        <v>106.72</v>
      </c>
      <c r="J811" s="59"/>
      <c r="K811" s="59"/>
      <c r="L811" s="59">
        <f t="shared" si="12"/>
        <v>311305.03999999975</v>
      </c>
    </row>
    <row r="812" spans="1:12" x14ac:dyDescent="0.3">
      <c r="A812" s="52"/>
      <c r="B812" s="53" t="s">
        <v>26</v>
      </c>
      <c r="C812" s="54">
        <v>46150</v>
      </c>
      <c r="D812" s="53" t="s">
        <v>1675</v>
      </c>
      <c r="E812" s="53"/>
      <c r="F812" s="53"/>
      <c r="G812" s="54"/>
      <c r="H812" s="53"/>
      <c r="I812" s="59">
        <v>71</v>
      </c>
      <c r="J812" s="59"/>
      <c r="K812" s="59"/>
      <c r="L812" s="59">
        <f t="shared" si="12"/>
        <v>311376.03999999975</v>
      </c>
    </row>
    <row r="813" spans="1:12" x14ac:dyDescent="0.3">
      <c r="A813" s="52"/>
      <c r="B813" s="53" t="s">
        <v>26</v>
      </c>
      <c r="C813" s="54">
        <v>46150</v>
      </c>
      <c r="D813" s="53" t="s">
        <v>1676</v>
      </c>
      <c r="E813" s="53"/>
      <c r="F813" s="53"/>
      <c r="G813" s="54"/>
      <c r="H813" s="53"/>
      <c r="I813" s="59">
        <v>150</v>
      </c>
      <c r="J813" s="59"/>
      <c r="K813" s="59"/>
      <c r="L813" s="59">
        <f t="shared" si="12"/>
        <v>311526.03999999975</v>
      </c>
    </row>
    <row r="814" spans="1:12" x14ac:dyDescent="0.3">
      <c r="A814" s="52"/>
      <c r="B814" s="53" t="s">
        <v>28</v>
      </c>
      <c r="C814" s="54">
        <v>46150</v>
      </c>
      <c r="D814" s="53" t="s">
        <v>1399</v>
      </c>
      <c r="E814" s="53" t="s">
        <v>197</v>
      </c>
      <c r="F814" s="53" t="s">
        <v>1400</v>
      </c>
      <c r="G814" s="54">
        <v>46147</v>
      </c>
      <c r="H814" s="53" t="s">
        <v>1401</v>
      </c>
      <c r="I814" s="59">
        <v>136.11000000000001</v>
      </c>
      <c r="J814" s="59"/>
      <c r="K814" s="59"/>
      <c r="L814" s="59">
        <f t="shared" si="12"/>
        <v>311662.14999999973</v>
      </c>
    </row>
    <row r="815" spans="1:12" x14ac:dyDescent="0.3">
      <c r="A815" s="52"/>
      <c r="B815" s="53" t="s">
        <v>28</v>
      </c>
      <c r="C815" s="54">
        <v>46150</v>
      </c>
      <c r="D815" s="53" t="s">
        <v>1395</v>
      </c>
      <c r="E815" s="53" t="s">
        <v>186</v>
      </c>
      <c r="F815" s="53"/>
      <c r="G815" s="54">
        <v>46149</v>
      </c>
      <c r="H815" s="53" t="s">
        <v>1396</v>
      </c>
      <c r="I815" s="59">
        <v>86.6</v>
      </c>
      <c r="J815" s="59"/>
      <c r="K815" s="59"/>
      <c r="L815" s="59">
        <f t="shared" si="12"/>
        <v>311748.74999999971</v>
      </c>
    </row>
    <row r="816" spans="1:12" x14ac:dyDescent="0.3">
      <c r="A816" s="52"/>
      <c r="B816" s="53" t="s">
        <v>26</v>
      </c>
      <c r="C816" s="54">
        <v>46150</v>
      </c>
      <c r="D816" s="53" t="s">
        <v>1677</v>
      </c>
      <c r="E816" s="53"/>
      <c r="F816" s="53"/>
      <c r="G816" s="54"/>
      <c r="H816" s="53"/>
      <c r="I816" s="59">
        <v>6</v>
      </c>
      <c r="J816" s="59"/>
      <c r="K816" s="59"/>
      <c r="L816" s="59">
        <f t="shared" si="12"/>
        <v>311754.74999999971</v>
      </c>
    </row>
    <row r="817" spans="1:12" x14ac:dyDescent="0.3">
      <c r="A817" s="52"/>
      <c r="B817" s="53" t="s">
        <v>26</v>
      </c>
      <c r="C817" s="54">
        <v>46150</v>
      </c>
      <c r="D817" s="53" t="s">
        <v>1678</v>
      </c>
      <c r="E817" s="53"/>
      <c r="F817" s="53"/>
      <c r="G817" s="54"/>
      <c r="H817" s="53"/>
      <c r="I817" s="59">
        <v>3.5</v>
      </c>
      <c r="J817" s="59"/>
      <c r="K817" s="59"/>
      <c r="L817" s="59">
        <f t="shared" si="12"/>
        <v>311758.24999999971</v>
      </c>
    </row>
    <row r="818" spans="1:12" x14ac:dyDescent="0.3">
      <c r="A818" s="52"/>
      <c r="B818" s="53" t="s">
        <v>26</v>
      </c>
      <c r="C818" s="54">
        <v>46151</v>
      </c>
      <c r="D818" s="53" t="s">
        <v>1679</v>
      </c>
      <c r="E818" s="53"/>
      <c r="F818" s="53"/>
      <c r="G818" s="54"/>
      <c r="H818" s="53"/>
      <c r="I818" s="59">
        <v>100</v>
      </c>
      <c r="J818" s="59"/>
      <c r="K818" s="59"/>
      <c r="L818" s="59">
        <f t="shared" si="12"/>
        <v>311858.24999999971</v>
      </c>
    </row>
    <row r="819" spans="1:12" x14ac:dyDescent="0.3">
      <c r="A819" s="52"/>
      <c r="B819" s="53" t="s">
        <v>26</v>
      </c>
      <c r="C819" s="54">
        <v>46151</v>
      </c>
      <c r="D819" s="53" t="s">
        <v>1680</v>
      </c>
      <c r="E819" s="53"/>
      <c r="F819" s="53"/>
      <c r="G819" s="54"/>
      <c r="H819" s="53"/>
      <c r="I819" s="59">
        <v>17.260000000000002</v>
      </c>
      <c r="J819" s="59"/>
      <c r="K819" s="59"/>
      <c r="L819" s="59">
        <f t="shared" si="12"/>
        <v>311875.50999999972</v>
      </c>
    </row>
    <row r="820" spans="1:12" x14ac:dyDescent="0.3">
      <c r="A820" s="52"/>
      <c r="B820" s="53" t="s">
        <v>26</v>
      </c>
      <c r="C820" s="54">
        <v>46151</v>
      </c>
      <c r="D820" s="53" t="s">
        <v>1681</v>
      </c>
      <c r="E820" s="53"/>
      <c r="F820" s="53"/>
      <c r="G820" s="54"/>
      <c r="H820" s="53"/>
      <c r="I820" s="59">
        <v>1</v>
      </c>
      <c r="J820" s="59"/>
      <c r="K820" s="59"/>
      <c r="L820" s="59">
        <f t="shared" si="12"/>
        <v>311876.50999999972</v>
      </c>
    </row>
    <row r="821" spans="1:12" x14ac:dyDescent="0.3">
      <c r="A821" s="52"/>
      <c r="B821" s="53" t="s">
        <v>26</v>
      </c>
      <c r="C821" s="54">
        <v>46151</v>
      </c>
      <c r="D821" s="53" t="s">
        <v>1682</v>
      </c>
      <c r="E821" s="53"/>
      <c r="F821" s="53"/>
      <c r="G821" s="54"/>
      <c r="H821" s="53"/>
      <c r="I821" s="59">
        <v>10</v>
      </c>
      <c r="J821" s="59"/>
      <c r="K821" s="59"/>
      <c r="L821" s="59">
        <f t="shared" si="12"/>
        <v>311886.50999999972</v>
      </c>
    </row>
    <row r="822" spans="1:12" x14ac:dyDescent="0.3">
      <c r="A822" s="52"/>
      <c r="B822" s="53" t="s">
        <v>26</v>
      </c>
      <c r="C822" s="54">
        <v>46152</v>
      </c>
      <c r="D822" s="53" t="s">
        <v>1683</v>
      </c>
      <c r="E822" s="53"/>
      <c r="F822" s="53"/>
      <c r="G822" s="54"/>
      <c r="H822" s="53"/>
      <c r="I822" s="59">
        <v>140</v>
      </c>
      <c r="J822" s="59"/>
      <c r="K822" s="59"/>
      <c r="L822" s="59">
        <f t="shared" si="12"/>
        <v>312026.50999999972</v>
      </c>
    </row>
    <row r="823" spans="1:12" x14ac:dyDescent="0.3">
      <c r="A823" s="52"/>
      <c r="B823" s="53" t="s">
        <v>28</v>
      </c>
      <c r="C823" s="54">
        <v>46153</v>
      </c>
      <c r="D823" s="53" t="s">
        <v>1402</v>
      </c>
      <c r="E823" s="53" t="s">
        <v>211</v>
      </c>
      <c r="F823" s="53"/>
      <c r="G823" s="54">
        <v>46150</v>
      </c>
      <c r="H823" s="53" t="s">
        <v>1403</v>
      </c>
      <c r="I823" s="59">
        <v>50.17</v>
      </c>
      <c r="J823" s="59"/>
      <c r="K823" s="59"/>
      <c r="L823" s="59">
        <f t="shared" si="12"/>
        <v>312076.6799999997</v>
      </c>
    </row>
    <row r="824" spans="1:12" x14ac:dyDescent="0.3">
      <c r="A824" s="52"/>
      <c r="B824" s="53" t="s">
        <v>26</v>
      </c>
      <c r="C824" s="54">
        <v>46153</v>
      </c>
      <c r="D824" s="53" t="s">
        <v>1684</v>
      </c>
      <c r="E824" s="53"/>
      <c r="F824" s="53"/>
      <c r="G824" s="54"/>
      <c r="H824" s="53"/>
      <c r="I824" s="59">
        <v>8.1999999999999993</v>
      </c>
      <c r="J824" s="59"/>
      <c r="K824" s="59"/>
      <c r="L824" s="59">
        <f t="shared" si="12"/>
        <v>312084.87999999971</v>
      </c>
    </row>
    <row r="825" spans="1:12" x14ac:dyDescent="0.3">
      <c r="A825" s="52"/>
      <c r="B825" s="53" t="s">
        <v>26</v>
      </c>
      <c r="C825" s="54">
        <v>46153</v>
      </c>
      <c r="D825" s="53" t="s">
        <v>1685</v>
      </c>
      <c r="E825" s="53"/>
      <c r="F825" s="53"/>
      <c r="G825" s="54"/>
      <c r="H825" s="53"/>
      <c r="I825" s="59">
        <v>13.2</v>
      </c>
      <c r="J825" s="59"/>
      <c r="K825" s="59"/>
      <c r="L825" s="59">
        <f t="shared" si="12"/>
        <v>312098.07999999973</v>
      </c>
    </row>
    <row r="826" spans="1:12" x14ac:dyDescent="0.3">
      <c r="A826" s="52"/>
      <c r="B826" s="53" t="s">
        <v>26</v>
      </c>
      <c r="C826" s="54">
        <v>46153</v>
      </c>
      <c r="D826" s="53" t="s">
        <v>1686</v>
      </c>
      <c r="E826" s="53"/>
      <c r="F826" s="53"/>
      <c r="G826" s="54"/>
      <c r="H826" s="53"/>
      <c r="I826" s="59">
        <v>25</v>
      </c>
      <c r="J826" s="59"/>
      <c r="K826" s="59"/>
      <c r="L826" s="59">
        <f t="shared" si="12"/>
        <v>312123.07999999973</v>
      </c>
    </row>
    <row r="827" spans="1:12" x14ac:dyDescent="0.3">
      <c r="A827" s="52"/>
      <c r="B827" s="53" t="s">
        <v>26</v>
      </c>
      <c r="C827" s="54">
        <v>46153</v>
      </c>
      <c r="D827" s="53" t="s">
        <v>1687</v>
      </c>
      <c r="E827" s="53"/>
      <c r="F827" s="53"/>
      <c r="G827" s="54"/>
      <c r="H827" s="53"/>
      <c r="I827" s="59">
        <v>72</v>
      </c>
      <c r="J827" s="59"/>
      <c r="K827" s="59"/>
      <c r="L827" s="59">
        <f t="shared" si="12"/>
        <v>312195.07999999973</v>
      </c>
    </row>
    <row r="828" spans="1:12" x14ac:dyDescent="0.3">
      <c r="A828" s="52"/>
      <c r="B828" s="53" t="s">
        <v>26</v>
      </c>
      <c r="C828" s="54">
        <v>46153</v>
      </c>
      <c r="D828" s="53" t="s">
        <v>1688</v>
      </c>
      <c r="E828" s="53"/>
      <c r="F828" s="53"/>
      <c r="G828" s="54"/>
      <c r="H828" s="53"/>
      <c r="I828" s="59">
        <v>8.5500000000000007</v>
      </c>
      <c r="J828" s="59"/>
      <c r="K828" s="59"/>
      <c r="L828" s="59">
        <f t="shared" si="12"/>
        <v>312203.62999999971</v>
      </c>
    </row>
    <row r="829" spans="1:12" x14ac:dyDescent="0.3">
      <c r="A829" s="52"/>
      <c r="B829" s="53" t="s">
        <v>26</v>
      </c>
      <c r="C829" s="54">
        <v>46153</v>
      </c>
      <c r="D829" s="53" t="s">
        <v>1689</v>
      </c>
      <c r="E829" s="53"/>
      <c r="F829" s="53"/>
      <c r="G829" s="54"/>
      <c r="H829" s="53"/>
      <c r="I829" s="59">
        <v>10.7</v>
      </c>
      <c r="J829" s="59"/>
      <c r="K829" s="59"/>
      <c r="L829" s="59">
        <f t="shared" si="12"/>
        <v>312214.32999999973</v>
      </c>
    </row>
    <row r="830" spans="1:12" x14ac:dyDescent="0.3">
      <c r="A830" s="52"/>
      <c r="B830" s="53" t="s">
        <v>26</v>
      </c>
      <c r="C830" s="54">
        <v>46153</v>
      </c>
      <c r="D830" s="53" t="s">
        <v>1690</v>
      </c>
      <c r="E830" s="53"/>
      <c r="F830" s="53"/>
      <c r="G830" s="54"/>
      <c r="H830" s="53"/>
      <c r="I830" s="59">
        <v>148.38999999999999</v>
      </c>
      <c r="J830" s="59"/>
      <c r="K830" s="59"/>
      <c r="L830" s="59">
        <f t="shared" si="12"/>
        <v>312362.71999999974</v>
      </c>
    </row>
    <row r="831" spans="1:12" x14ac:dyDescent="0.3">
      <c r="A831" s="52"/>
      <c r="B831" s="53" t="s">
        <v>26</v>
      </c>
      <c r="C831" s="54">
        <v>46153</v>
      </c>
      <c r="D831" s="53" t="s">
        <v>1691</v>
      </c>
      <c r="E831" s="53"/>
      <c r="F831" s="53"/>
      <c r="G831" s="54"/>
      <c r="H831" s="53"/>
      <c r="I831" s="59">
        <v>55.4</v>
      </c>
      <c r="J831" s="59"/>
      <c r="K831" s="59"/>
      <c r="L831" s="59">
        <f t="shared" si="12"/>
        <v>312418.11999999976</v>
      </c>
    </row>
    <row r="832" spans="1:12" x14ac:dyDescent="0.3">
      <c r="A832" s="52"/>
      <c r="B832" s="53" t="s">
        <v>28</v>
      </c>
      <c r="C832" s="54">
        <v>46153</v>
      </c>
      <c r="D832" s="53" t="s">
        <v>1404</v>
      </c>
      <c r="E832" s="53" t="s">
        <v>194</v>
      </c>
      <c r="F832" s="53"/>
      <c r="G832" s="54">
        <v>46149</v>
      </c>
      <c r="H832" s="53" t="s">
        <v>1405</v>
      </c>
      <c r="I832" s="59">
        <v>136.36000000000001</v>
      </c>
      <c r="J832" s="59"/>
      <c r="K832" s="59"/>
      <c r="L832" s="59">
        <f t="shared" si="12"/>
        <v>312554.47999999975</v>
      </c>
    </row>
    <row r="833" spans="1:12" x14ac:dyDescent="0.3">
      <c r="A833" s="52"/>
      <c r="B833" s="53" t="s">
        <v>26</v>
      </c>
      <c r="C833" s="54">
        <v>46154</v>
      </c>
      <c r="D833" s="53" t="s">
        <v>1692</v>
      </c>
      <c r="E833" s="53"/>
      <c r="F833" s="53"/>
      <c r="G833" s="54"/>
      <c r="H833" s="53"/>
      <c r="I833" s="59">
        <v>4.8</v>
      </c>
      <c r="J833" s="59"/>
      <c r="K833" s="59"/>
      <c r="L833" s="59">
        <f t="shared" si="12"/>
        <v>312559.27999999974</v>
      </c>
    </row>
    <row r="834" spans="1:12" x14ac:dyDescent="0.3">
      <c r="A834" s="52"/>
      <c r="B834" s="53" t="s">
        <v>26</v>
      </c>
      <c r="C834" s="54">
        <v>46154</v>
      </c>
      <c r="D834" s="53" t="s">
        <v>1693</v>
      </c>
      <c r="E834" s="53"/>
      <c r="F834" s="53"/>
      <c r="G834" s="54"/>
      <c r="H834" s="53"/>
      <c r="I834" s="59">
        <v>8.74</v>
      </c>
      <c r="J834" s="59"/>
      <c r="K834" s="59"/>
      <c r="L834" s="59">
        <f t="shared" si="12"/>
        <v>312568.01999999973</v>
      </c>
    </row>
    <row r="835" spans="1:12" x14ac:dyDescent="0.3">
      <c r="A835" s="52"/>
      <c r="B835" s="53" t="s">
        <v>26</v>
      </c>
      <c r="C835" s="54">
        <v>46154</v>
      </c>
      <c r="D835" s="53" t="s">
        <v>1694</v>
      </c>
      <c r="E835" s="53"/>
      <c r="F835" s="53"/>
      <c r="G835" s="54"/>
      <c r="H835" s="53"/>
      <c r="I835" s="59">
        <v>1.95</v>
      </c>
      <c r="J835" s="59"/>
      <c r="K835" s="59"/>
      <c r="L835" s="59">
        <f t="shared" si="12"/>
        <v>312569.96999999974</v>
      </c>
    </row>
    <row r="836" spans="1:12" x14ac:dyDescent="0.3">
      <c r="A836" s="52"/>
      <c r="B836" s="53" t="s">
        <v>26</v>
      </c>
      <c r="C836" s="54">
        <v>46154</v>
      </c>
      <c r="D836" s="53" t="s">
        <v>1695</v>
      </c>
      <c r="E836" s="53"/>
      <c r="F836" s="53"/>
      <c r="G836" s="54"/>
      <c r="H836" s="53"/>
      <c r="I836" s="59">
        <v>11.15</v>
      </c>
      <c r="J836" s="59"/>
      <c r="K836" s="59"/>
      <c r="L836" s="59">
        <f t="shared" si="12"/>
        <v>312581.11999999976</v>
      </c>
    </row>
    <row r="837" spans="1:12" x14ac:dyDescent="0.3">
      <c r="A837" s="52"/>
      <c r="B837" s="53" t="s">
        <v>26</v>
      </c>
      <c r="C837" s="54">
        <v>46154</v>
      </c>
      <c r="D837" s="53" t="s">
        <v>1696</v>
      </c>
      <c r="E837" s="53"/>
      <c r="F837" s="53"/>
      <c r="G837" s="54"/>
      <c r="H837" s="53"/>
      <c r="I837" s="59">
        <v>207</v>
      </c>
      <c r="J837" s="59"/>
      <c r="K837" s="59"/>
      <c r="L837" s="59">
        <f t="shared" si="12"/>
        <v>312788.11999999976</v>
      </c>
    </row>
    <row r="838" spans="1:12" x14ac:dyDescent="0.3">
      <c r="A838" s="52"/>
      <c r="B838" s="53" t="s">
        <v>26</v>
      </c>
      <c r="C838" s="54">
        <v>46155</v>
      </c>
      <c r="D838" s="53" t="s">
        <v>1697</v>
      </c>
      <c r="E838" s="53"/>
      <c r="F838" s="53"/>
      <c r="G838" s="54"/>
      <c r="H838" s="53"/>
      <c r="I838" s="59">
        <v>5</v>
      </c>
      <c r="J838" s="59"/>
      <c r="K838" s="59"/>
      <c r="L838" s="59">
        <f t="shared" si="12"/>
        <v>312793.11999999976</v>
      </c>
    </row>
    <row r="839" spans="1:12" x14ac:dyDescent="0.3">
      <c r="A839" s="52"/>
      <c r="B839" s="53" t="s">
        <v>26</v>
      </c>
      <c r="C839" s="54">
        <v>46155</v>
      </c>
      <c r="D839" s="53" t="s">
        <v>1698</v>
      </c>
      <c r="E839" s="53"/>
      <c r="F839" s="53"/>
      <c r="G839" s="54"/>
      <c r="H839" s="53"/>
      <c r="I839" s="59">
        <v>74.7</v>
      </c>
      <c r="J839" s="59"/>
      <c r="K839" s="59"/>
      <c r="L839" s="59">
        <f t="shared" si="12"/>
        <v>312867.81999999977</v>
      </c>
    </row>
    <row r="840" spans="1:12" x14ac:dyDescent="0.3">
      <c r="A840" s="52"/>
      <c r="B840" s="53" t="s">
        <v>26</v>
      </c>
      <c r="C840" s="54">
        <v>46155</v>
      </c>
      <c r="D840" s="53" t="s">
        <v>1699</v>
      </c>
      <c r="E840" s="53"/>
      <c r="F840" s="53"/>
      <c r="G840" s="54"/>
      <c r="H840" s="53"/>
      <c r="I840" s="59">
        <v>6.4</v>
      </c>
      <c r="J840" s="59"/>
      <c r="K840" s="59"/>
      <c r="L840" s="59">
        <f t="shared" si="12"/>
        <v>312874.2199999998</v>
      </c>
    </row>
    <row r="841" spans="1:12" x14ac:dyDescent="0.3">
      <c r="A841" s="52"/>
      <c r="B841" s="53" t="s">
        <v>28</v>
      </c>
      <c r="C841" s="54">
        <v>46155</v>
      </c>
      <c r="D841" s="53" t="s">
        <v>1406</v>
      </c>
      <c r="E841" s="53" t="s">
        <v>1117</v>
      </c>
      <c r="F841" s="53"/>
      <c r="G841" s="54">
        <v>46149</v>
      </c>
      <c r="H841" s="53" t="s">
        <v>1407</v>
      </c>
      <c r="I841" s="59">
        <v>1163.6400000000001</v>
      </c>
      <c r="J841" s="59"/>
      <c r="K841" s="59"/>
      <c r="L841" s="59">
        <f t="shared" si="12"/>
        <v>314037.85999999981</v>
      </c>
    </row>
    <row r="842" spans="1:12" x14ac:dyDescent="0.3">
      <c r="A842" s="52"/>
      <c r="B842" s="53" t="s">
        <v>26</v>
      </c>
      <c r="C842" s="54">
        <v>46155</v>
      </c>
      <c r="D842" s="53" t="s">
        <v>1700</v>
      </c>
      <c r="E842" s="53"/>
      <c r="F842" s="53"/>
      <c r="G842" s="54"/>
      <c r="H842" s="53"/>
      <c r="I842" s="59">
        <v>2.4</v>
      </c>
      <c r="J842" s="59"/>
      <c r="K842" s="59"/>
      <c r="L842" s="59">
        <f t="shared" si="12"/>
        <v>314040.25999999983</v>
      </c>
    </row>
    <row r="843" spans="1:12" x14ac:dyDescent="0.3">
      <c r="A843" s="52"/>
      <c r="B843" s="53" t="s">
        <v>26</v>
      </c>
      <c r="C843" s="54">
        <v>46155</v>
      </c>
      <c r="D843" s="53" t="s">
        <v>1701</v>
      </c>
      <c r="E843" s="53"/>
      <c r="F843" s="53"/>
      <c r="G843" s="54"/>
      <c r="H843" s="53"/>
      <c r="I843" s="59">
        <v>32</v>
      </c>
      <c r="J843" s="59"/>
      <c r="K843" s="59"/>
      <c r="L843" s="59">
        <f t="shared" ref="L843:L906" si="13">L842+I843-K843</f>
        <v>314072.25999999983</v>
      </c>
    </row>
    <row r="844" spans="1:12" x14ac:dyDescent="0.3">
      <c r="A844" s="52"/>
      <c r="B844" s="53" t="s">
        <v>26</v>
      </c>
      <c r="C844" s="54">
        <v>46155</v>
      </c>
      <c r="D844" s="53" t="s">
        <v>1702</v>
      </c>
      <c r="E844" s="53"/>
      <c r="F844" s="53"/>
      <c r="G844" s="54"/>
      <c r="H844" s="53"/>
      <c r="I844" s="59">
        <v>10</v>
      </c>
      <c r="J844" s="59"/>
      <c r="K844" s="59"/>
      <c r="L844" s="59">
        <f t="shared" si="13"/>
        <v>314082.25999999983</v>
      </c>
    </row>
    <row r="845" spans="1:12" x14ac:dyDescent="0.3">
      <c r="A845" s="52"/>
      <c r="B845" s="53" t="s">
        <v>26</v>
      </c>
      <c r="C845" s="54">
        <v>46156</v>
      </c>
      <c r="D845" s="53" t="s">
        <v>1703</v>
      </c>
      <c r="E845" s="53"/>
      <c r="F845" s="53"/>
      <c r="G845" s="54"/>
      <c r="H845" s="53"/>
      <c r="I845" s="59">
        <v>189</v>
      </c>
      <c r="J845" s="59"/>
      <c r="K845" s="59"/>
      <c r="L845" s="59">
        <f t="shared" si="13"/>
        <v>314271.25999999983</v>
      </c>
    </row>
    <row r="846" spans="1:12" x14ac:dyDescent="0.3">
      <c r="A846" s="52"/>
      <c r="B846" s="53" t="s">
        <v>26</v>
      </c>
      <c r="C846" s="54">
        <v>46156</v>
      </c>
      <c r="D846" s="53" t="s">
        <v>1704</v>
      </c>
      <c r="E846" s="53"/>
      <c r="F846" s="53"/>
      <c r="G846" s="54"/>
      <c r="H846" s="53"/>
      <c r="I846" s="59">
        <v>11.89</v>
      </c>
      <c r="J846" s="59"/>
      <c r="K846" s="59"/>
      <c r="L846" s="59">
        <f t="shared" si="13"/>
        <v>314283.14999999985</v>
      </c>
    </row>
    <row r="847" spans="1:12" x14ac:dyDescent="0.3">
      <c r="A847" s="52"/>
      <c r="B847" s="53" t="s">
        <v>26</v>
      </c>
      <c r="C847" s="54">
        <v>46156</v>
      </c>
      <c r="D847" s="53" t="s">
        <v>1705</v>
      </c>
      <c r="E847" s="53"/>
      <c r="F847" s="53"/>
      <c r="G847" s="54"/>
      <c r="H847" s="53"/>
      <c r="I847" s="59">
        <v>17.399999999999999</v>
      </c>
      <c r="J847" s="59"/>
      <c r="K847" s="59"/>
      <c r="L847" s="59">
        <f t="shared" si="13"/>
        <v>314300.54999999987</v>
      </c>
    </row>
    <row r="848" spans="1:12" x14ac:dyDescent="0.3">
      <c r="A848" s="52"/>
      <c r="B848" s="53" t="s">
        <v>26</v>
      </c>
      <c r="C848" s="54">
        <v>46156</v>
      </c>
      <c r="D848" s="53" t="s">
        <v>1706</v>
      </c>
      <c r="E848" s="53"/>
      <c r="F848" s="53"/>
      <c r="G848" s="54"/>
      <c r="H848" s="53"/>
      <c r="I848" s="59">
        <v>33</v>
      </c>
      <c r="J848" s="59"/>
      <c r="K848" s="59"/>
      <c r="L848" s="59">
        <f t="shared" si="13"/>
        <v>314333.54999999987</v>
      </c>
    </row>
    <row r="849" spans="1:12" x14ac:dyDescent="0.3">
      <c r="A849" s="52"/>
      <c r="B849" s="53" t="s">
        <v>26</v>
      </c>
      <c r="C849" s="54">
        <v>46156</v>
      </c>
      <c r="D849" s="53" t="s">
        <v>2096</v>
      </c>
      <c r="E849" s="53"/>
      <c r="F849" s="53"/>
      <c r="G849" s="54"/>
      <c r="H849" s="53"/>
      <c r="I849" s="59">
        <v>8</v>
      </c>
      <c r="J849" s="59"/>
      <c r="K849" s="59"/>
      <c r="L849" s="59">
        <f t="shared" si="13"/>
        <v>314341.54999999987</v>
      </c>
    </row>
    <row r="850" spans="1:12" x14ac:dyDescent="0.3">
      <c r="A850" s="52"/>
      <c r="B850" s="53" t="s">
        <v>26</v>
      </c>
      <c r="C850" s="54">
        <v>46156</v>
      </c>
      <c r="D850" s="53" t="s">
        <v>1707</v>
      </c>
      <c r="E850" s="53"/>
      <c r="F850" s="53"/>
      <c r="G850" s="54"/>
      <c r="H850" s="53"/>
      <c r="I850" s="59">
        <v>4.2</v>
      </c>
      <c r="J850" s="59"/>
      <c r="K850" s="59"/>
      <c r="L850" s="59">
        <f t="shared" si="13"/>
        <v>314345.74999999988</v>
      </c>
    </row>
    <row r="851" spans="1:12" x14ac:dyDescent="0.3">
      <c r="A851" s="52"/>
      <c r="B851" s="53" t="s">
        <v>26</v>
      </c>
      <c r="C851" s="54">
        <v>46156</v>
      </c>
      <c r="D851" s="53" t="s">
        <v>1708</v>
      </c>
      <c r="E851" s="53"/>
      <c r="F851" s="53"/>
      <c r="G851" s="54"/>
      <c r="H851" s="53"/>
      <c r="I851" s="59">
        <v>26</v>
      </c>
      <c r="J851" s="59"/>
      <c r="K851" s="59"/>
      <c r="L851" s="59">
        <f t="shared" si="13"/>
        <v>314371.74999999988</v>
      </c>
    </row>
    <row r="852" spans="1:12" x14ac:dyDescent="0.3">
      <c r="A852" s="52"/>
      <c r="B852" s="53" t="s">
        <v>26</v>
      </c>
      <c r="C852" s="54">
        <v>46156</v>
      </c>
      <c r="D852" s="53" t="s">
        <v>1709</v>
      </c>
      <c r="E852" s="53"/>
      <c r="F852" s="53"/>
      <c r="G852" s="54"/>
      <c r="H852" s="53"/>
      <c r="I852" s="59">
        <v>90</v>
      </c>
      <c r="J852" s="59"/>
      <c r="K852" s="59"/>
      <c r="L852" s="59">
        <f t="shared" si="13"/>
        <v>314461.74999999988</v>
      </c>
    </row>
    <row r="853" spans="1:12" x14ac:dyDescent="0.3">
      <c r="A853" s="52"/>
      <c r="B853" s="53" t="s">
        <v>26</v>
      </c>
      <c r="C853" s="54">
        <v>46156</v>
      </c>
      <c r="D853" s="53" t="s">
        <v>1710</v>
      </c>
      <c r="E853" s="53"/>
      <c r="F853" s="53"/>
      <c r="G853" s="54"/>
      <c r="H853" s="53"/>
      <c r="I853" s="59">
        <v>4.4000000000000004</v>
      </c>
      <c r="J853" s="59"/>
      <c r="K853" s="59"/>
      <c r="L853" s="59">
        <f t="shared" si="13"/>
        <v>314466.14999999991</v>
      </c>
    </row>
    <row r="854" spans="1:12" x14ac:dyDescent="0.3">
      <c r="A854" s="52"/>
      <c r="B854" s="53" t="s">
        <v>26</v>
      </c>
      <c r="C854" s="54">
        <v>46156</v>
      </c>
      <c r="D854" s="53" t="s">
        <v>1711</v>
      </c>
      <c r="E854" s="53"/>
      <c r="F854" s="53"/>
      <c r="G854" s="54"/>
      <c r="H854" s="53"/>
      <c r="I854" s="59">
        <v>112</v>
      </c>
      <c r="J854" s="59"/>
      <c r="K854" s="59"/>
      <c r="L854" s="59">
        <f t="shared" si="13"/>
        <v>314578.14999999991</v>
      </c>
    </row>
    <row r="855" spans="1:12" x14ac:dyDescent="0.3">
      <c r="A855" s="52"/>
      <c r="B855" s="53" t="s">
        <v>26</v>
      </c>
      <c r="C855" s="54">
        <v>46156</v>
      </c>
      <c r="D855" s="53" t="s">
        <v>1712</v>
      </c>
      <c r="E855" s="53"/>
      <c r="F855" s="53"/>
      <c r="G855" s="54"/>
      <c r="H855" s="53"/>
      <c r="I855" s="59">
        <v>78.2</v>
      </c>
      <c r="J855" s="59"/>
      <c r="K855" s="59"/>
      <c r="L855" s="59">
        <f t="shared" si="13"/>
        <v>314656.34999999992</v>
      </c>
    </row>
    <row r="856" spans="1:12" x14ac:dyDescent="0.3">
      <c r="A856" s="52"/>
      <c r="B856" s="53" t="s">
        <v>28</v>
      </c>
      <c r="C856" s="54">
        <v>46156</v>
      </c>
      <c r="D856" s="53" t="s">
        <v>1408</v>
      </c>
      <c r="E856" s="53" t="s">
        <v>211</v>
      </c>
      <c r="F856" s="53"/>
      <c r="G856" s="54">
        <v>46155</v>
      </c>
      <c r="H856" s="53" t="s">
        <v>1409</v>
      </c>
      <c r="I856" s="59">
        <v>86.82</v>
      </c>
      <c r="J856" s="59"/>
      <c r="K856" s="59"/>
      <c r="L856" s="59">
        <f t="shared" si="13"/>
        <v>314743.16999999993</v>
      </c>
    </row>
    <row r="857" spans="1:12" x14ac:dyDescent="0.3">
      <c r="A857" s="52"/>
      <c r="B857" s="53" t="s">
        <v>26</v>
      </c>
      <c r="C857" s="54">
        <v>46156</v>
      </c>
      <c r="D857" s="53" t="s">
        <v>1713</v>
      </c>
      <c r="E857" s="53"/>
      <c r="F857" s="53"/>
      <c r="G857" s="54"/>
      <c r="H857" s="53"/>
      <c r="I857" s="59">
        <v>2.2000000000000002</v>
      </c>
      <c r="J857" s="59"/>
      <c r="K857" s="59"/>
      <c r="L857" s="59">
        <f t="shared" si="13"/>
        <v>314745.36999999994</v>
      </c>
    </row>
    <row r="858" spans="1:12" x14ac:dyDescent="0.3">
      <c r="A858" s="52"/>
      <c r="B858" s="53" t="s">
        <v>26</v>
      </c>
      <c r="C858" s="54">
        <v>46156</v>
      </c>
      <c r="D858" s="53" t="s">
        <v>1714</v>
      </c>
      <c r="E858" s="53"/>
      <c r="F858" s="53"/>
      <c r="G858" s="54"/>
      <c r="H858" s="53"/>
      <c r="I858" s="59">
        <v>2.2000000000000002</v>
      </c>
      <c r="J858" s="59"/>
      <c r="K858" s="59"/>
      <c r="L858" s="59">
        <f t="shared" si="13"/>
        <v>314747.56999999995</v>
      </c>
    </row>
    <row r="859" spans="1:12" x14ac:dyDescent="0.3">
      <c r="A859" s="52"/>
      <c r="B859" s="53" t="s">
        <v>26</v>
      </c>
      <c r="C859" s="54">
        <v>46156</v>
      </c>
      <c r="D859" s="53" t="s">
        <v>1715</v>
      </c>
      <c r="E859" s="53"/>
      <c r="F859" s="53"/>
      <c r="G859" s="54"/>
      <c r="H859" s="53"/>
      <c r="I859" s="59">
        <v>7.29</v>
      </c>
      <c r="J859" s="59"/>
      <c r="K859" s="59"/>
      <c r="L859" s="59">
        <f t="shared" si="13"/>
        <v>314754.85999999993</v>
      </c>
    </row>
    <row r="860" spans="1:12" x14ac:dyDescent="0.3">
      <c r="A860" s="52"/>
      <c r="B860" s="53" t="s">
        <v>26</v>
      </c>
      <c r="C860" s="54">
        <v>46156</v>
      </c>
      <c r="D860" s="53" t="s">
        <v>1716</v>
      </c>
      <c r="E860" s="53"/>
      <c r="F860" s="53"/>
      <c r="G860" s="54"/>
      <c r="H860" s="53"/>
      <c r="I860" s="59">
        <v>12.49</v>
      </c>
      <c r="J860" s="59"/>
      <c r="K860" s="59"/>
      <c r="L860" s="59">
        <f t="shared" si="13"/>
        <v>314767.34999999992</v>
      </c>
    </row>
    <row r="861" spans="1:12" x14ac:dyDescent="0.3">
      <c r="A861" s="52"/>
      <c r="B861" s="53" t="s">
        <v>26</v>
      </c>
      <c r="C861" s="54">
        <v>46156</v>
      </c>
      <c r="D861" s="53" t="s">
        <v>1717</v>
      </c>
      <c r="E861" s="53"/>
      <c r="F861" s="53"/>
      <c r="G861" s="54"/>
      <c r="H861" s="53"/>
      <c r="I861" s="59">
        <v>100</v>
      </c>
      <c r="J861" s="59"/>
      <c r="K861" s="59"/>
      <c r="L861" s="59">
        <f t="shared" si="13"/>
        <v>314867.34999999992</v>
      </c>
    </row>
    <row r="862" spans="1:12" x14ac:dyDescent="0.3">
      <c r="A862" s="52"/>
      <c r="B862" s="53" t="s">
        <v>26</v>
      </c>
      <c r="C862" s="54">
        <v>46157</v>
      </c>
      <c r="D862" s="53" t="s">
        <v>1718</v>
      </c>
      <c r="E862" s="53"/>
      <c r="F862" s="53"/>
      <c r="G862" s="54"/>
      <c r="H862" s="53"/>
      <c r="I862" s="59">
        <v>7.76</v>
      </c>
      <c r="J862" s="59"/>
      <c r="K862" s="59"/>
      <c r="L862" s="59">
        <f t="shared" si="13"/>
        <v>314875.10999999993</v>
      </c>
    </row>
    <row r="863" spans="1:12" x14ac:dyDescent="0.3">
      <c r="A863" s="52"/>
      <c r="B863" s="53" t="s">
        <v>26</v>
      </c>
      <c r="C863" s="54">
        <v>46157</v>
      </c>
      <c r="D863" s="53" t="s">
        <v>1719</v>
      </c>
      <c r="E863" s="53"/>
      <c r="F863" s="53"/>
      <c r="G863" s="54"/>
      <c r="H863" s="53"/>
      <c r="I863" s="59">
        <v>14</v>
      </c>
      <c r="J863" s="59"/>
      <c r="K863" s="59"/>
      <c r="L863" s="59">
        <f t="shared" si="13"/>
        <v>314889.10999999993</v>
      </c>
    </row>
    <row r="864" spans="1:12" x14ac:dyDescent="0.3">
      <c r="A864" s="52"/>
      <c r="B864" s="53" t="s">
        <v>26</v>
      </c>
      <c r="C864" s="54">
        <v>46157</v>
      </c>
      <c r="D864" s="53" t="s">
        <v>1720</v>
      </c>
      <c r="E864" s="53"/>
      <c r="F864" s="53"/>
      <c r="G864" s="54"/>
      <c r="H864" s="53"/>
      <c r="I864" s="59">
        <v>31.46</v>
      </c>
      <c r="J864" s="59"/>
      <c r="K864" s="59"/>
      <c r="L864" s="59">
        <f t="shared" si="13"/>
        <v>314920.56999999995</v>
      </c>
    </row>
    <row r="865" spans="1:12" x14ac:dyDescent="0.3">
      <c r="A865" s="52"/>
      <c r="B865" s="53" t="s">
        <v>26</v>
      </c>
      <c r="C865" s="54">
        <v>46157</v>
      </c>
      <c r="D865" s="53" t="s">
        <v>1721</v>
      </c>
      <c r="E865" s="53"/>
      <c r="F865" s="53"/>
      <c r="G865" s="54"/>
      <c r="H865" s="53"/>
      <c r="I865" s="59">
        <v>10</v>
      </c>
      <c r="J865" s="59"/>
      <c r="K865" s="59"/>
      <c r="L865" s="59">
        <f t="shared" si="13"/>
        <v>314930.56999999995</v>
      </c>
    </row>
    <row r="866" spans="1:12" x14ac:dyDescent="0.3">
      <c r="A866" s="52"/>
      <c r="B866" s="53" t="s">
        <v>26</v>
      </c>
      <c r="C866" s="54">
        <v>46157</v>
      </c>
      <c r="D866" s="53" t="s">
        <v>1722</v>
      </c>
      <c r="E866" s="53"/>
      <c r="F866" s="53"/>
      <c r="G866" s="54"/>
      <c r="H866" s="53"/>
      <c r="I866" s="59">
        <v>4.5</v>
      </c>
      <c r="J866" s="59"/>
      <c r="K866" s="59"/>
      <c r="L866" s="59">
        <f t="shared" si="13"/>
        <v>314935.06999999995</v>
      </c>
    </row>
    <row r="867" spans="1:12" x14ac:dyDescent="0.3">
      <c r="A867" s="52"/>
      <c r="B867" s="53" t="s">
        <v>26</v>
      </c>
      <c r="C867" s="54">
        <v>46159</v>
      </c>
      <c r="D867" s="53" t="s">
        <v>1723</v>
      </c>
      <c r="E867" s="53"/>
      <c r="F867" s="53"/>
      <c r="G867" s="54"/>
      <c r="H867" s="53"/>
      <c r="I867" s="59">
        <v>85</v>
      </c>
      <c r="J867" s="59"/>
      <c r="K867" s="59"/>
      <c r="L867" s="59">
        <f t="shared" si="13"/>
        <v>315020.06999999995</v>
      </c>
    </row>
    <row r="868" spans="1:12" x14ac:dyDescent="0.3">
      <c r="A868" s="52"/>
      <c r="B868" s="53" t="s">
        <v>28</v>
      </c>
      <c r="C868" s="54">
        <v>46159</v>
      </c>
      <c r="D868" s="53" t="s">
        <v>1410</v>
      </c>
      <c r="E868" s="53" t="s">
        <v>211</v>
      </c>
      <c r="F868" s="53"/>
      <c r="G868" s="54">
        <v>46157</v>
      </c>
      <c r="H868" s="53" t="s">
        <v>1411</v>
      </c>
      <c r="I868" s="59">
        <v>43.81</v>
      </c>
      <c r="J868" s="59"/>
      <c r="K868" s="59"/>
      <c r="L868" s="59">
        <f t="shared" si="13"/>
        <v>315063.87999999995</v>
      </c>
    </row>
    <row r="869" spans="1:12" x14ac:dyDescent="0.3">
      <c r="A869" s="52"/>
      <c r="B869" s="53" t="s">
        <v>26</v>
      </c>
      <c r="C869" s="54">
        <v>46160</v>
      </c>
      <c r="D869" s="53" t="s">
        <v>1724</v>
      </c>
      <c r="E869" s="53"/>
      <c r="F869" s="53"/>
      <c r="G869" s="54"/>
      <c r="H869" s="53"/>
      <c r="I869" s="59">
        <v>39.43</v>
      </c>
      <c r="J869" s="59"/>
      <c r="K869" s="59"/>
      <c r="L869" s="59">
        <f t="shared" si="13"/>
        <v>315103.30999999994</v>
      </c>
    </row>
    <row r="870" spans="1:12" x14ac:dyDescent="0.3">
      <c r="A870" s="52"/>
      <c r="B870" s="53" t="s">
        <v>26</v>
      </c>
      <c r="C870" s="54">
        <v>46160</v>
      </c>
      <c r="D870" s="53" t="s">
        <v>1725</v>
      </c>
      <c r="E870" s="53"/>
      <c r="F870" s="53"/>
      <c r="G870" s="54"/>
      <c r="H870" s="53"/>
      <c r="I870" s="59">
        <v>17.399999999999999</v>
      </c>
      <c r="J870" s="59"/>
      <c r="K870" s="59"/>
      <c r="L870" s="59">
        <f t="shared" si="13"/>
        <v>315120.70999999996</v>
      </c>
    </row>
    <row r="871" spans="1:12" x14ac:dyDescent="0.3">
      <c r="A871" s="52"/>
      <c r="B871" s="53" t="s">
        <v>28</v>
      </c>
      <c r="C871" s="54">
        <v>46160</v>
      </c>
      <c r="D871" s="53" t="s">
        <v>1414</v>
      </c>
      <c r="E871" s="53" t="s">
        <v>1117</v>
      </c>
      <c r="F871" s="53"/>
      <c r="G871" s="54">
        <v>46157</v>
      </c>
      <c r="H871" s="53" t="s">
        <v>1415</v>
      </c>
      <c r="I871" s="59">
        <v>100</v>
      </c>
      <c r="J871" s="59"/>
      <c r="K871" s="59"/>
      <c r="L871" s="59">
        <f t="shared" si="13"/>
        <v>315220.70999999996</v>
      </c>
    </row>
    <row r="872" spans="1:12" x14ac:dyDescent="0.3">
      <c r="A872" s="52"/>
      <c r="B872" s="53" t="s">
        <v>26</v>
      </c>
      <c r="C872" s="54">
        <v>46160</v>
      </c>
      <c r="D872" s="53" t="s">
        <v>1726</v>
      </c>
      <c r="E872" s="53"/>
      <c r="F872" s="53"/>
      <c r="G872" s="54"/>
      <c r="H872" s="53"/>
      <c r="I872" s="59">
        <v>1</v>
      </c>
      <c r="J872" s="59"/>
      <c r="K872" s="59"/>
      <c r="L872" s="59">
        <f t="shared" si="13"/>
        <v>315221.70999999996</v>
      </c>
    </row>
    <row r="873" spans="1:12" x14ac:dyDescent="0.3">
      <c r="A873" s="52"/>
      <c r="B873" s="53" t="s">
        <v>28</v>
      </c>
      <c r="C873" s="54">
        <v>46160</v>
      </c>
      <c r="D873" s="53" t="s">
        <v>1412</v>
      </c>
      <c r="E873" s="53" t="s">
        <v>1117</v>
      </c>
      <c r="F873" s="53"/>
      <c r="G873" s="54">
        <v>46156</v>
      </c>
      <c r="H873" s="53" t="s">
        <v>1413</v>
      </c>
      <c r="I873" s="59">
        <v>1200</v>
      </c>
      <c r="J873" s="59"/>
      <c r="K873" s="59"/>
      <c r="L873" s="59">
        <f t="shared" si="13"/>
        <v>316421.70999999996</v>
      </c>
    </row>
    <row r="874" spans="1:12" x14ac:dyDescent="0.3">
      <c r="A874" s="52"/>
      <c r="B874" s="53" t="s">
        <v>26</v>
      </c>
      <c r="C874" s="54">
        <v>46160</v>
      </c>
      <c r="D874" s="53" t="s">
        <v>1727</v>
      </c>
      <c r="E874" s="53"/>
      <c r="F874" s="53"/>
      <c r="G874" s="54"/>
      <c r="H874" s="53"/>
      <c r="I874" s="59">
        <v>11.2</v>
      </c>
      <c r="J874" s="59"/>
      <c r="K874" s="59"/>
      <c r="L874" s="59">
        <f t="shared" si="13"/>
        <v>316432.90999999997</v>
      </c>
    </row>
    <row r="875" spans="1:12" x14ac:dyDescent="0.3">
      <c r="A875" s="52"/>
      <c r="B875" s="53" t="s">
        <v>26</v>
      </c>
      <c r="C875" s="54">
        <v>46161</v>
      </c>
      <c r="D875" s="53" t="s">
        <v>1728</v>
      </c>
      <c r="E875" s="53"/>
      <c r="F875" s="53"/>
      <c r="G875" s="54"/>
      <c r="H875" s="53"/>
      <c r="I875" s="59">
        <v>96</v>
      </c>
      <c r="J875" s="59"/>
      <c r="K875" s="59"/>
      <c r="L875" s="59">
        <f t="shared" si="13"/>
        <v>316528.90999999997</v>
      </c>
    </row>
    <row r="876" spans="1:12" x14ac:dyDescent="0.3">
      <c r="A876" s="52"/>
      <c r="B876" s="53" t="s">
        <v>26</v>
      </c>
      <c r="C876" s="54">
        <v>46161</v>
      </c>
      <c r="D876" s="53" t="s">
        <v>1729</v>
      </c>
      <c r="E876" s="53"/>
      <c r="F876" s="53"/>
      <c r="G876" s="54"/>
      <c r="H876" s="53"/>
      <c r="I876" s="59">
        <v>4.5999999999999996</v>
      </c>
      <c r="J876" s="59"/>
      <c r="K876" s="59"/>
      <c r="L876" s="59">
        <f t="shared" si="13"/>
        <v>316533.50999999995</v>
      </c>
    </row>
    <row r="877" spans="1:12" x14ac:dyDescent="0.3">
      <c r="A877" s="52"/>
      <c r="B877" s="53" t="s">
        <v>26</v>
      </c>
      <c r="C877" s="54">
        <v>46161</v>
      </c>
      <c r="D877" s="53" t="s">
        <v>1730</v>
      </c>
      <c r="E877" s="53"/>
      <c r="F877" s="53"/>
      <c r="G877" s="54"/>
      <c r="H877" s="53"/>
      <c r="I877" s="59">
        <v>25.5</v>
      </c>
      <c r="J877" s="59"/>
      <c r="K877" s="59"/>
      <c r="L877" s="59">
        <f t="shared" si="13"/>
        <v>316559.00999999995</v>
      </c>
    </row>
    <row r="878" spans="1:12" x14ac:dyDescent="0.3">
      <c r="A878" s="52"/>
      <c r="B878" s="53" t="s">
        <v>26</v>
      </c>
      <c r="C878" s="54">
        <v>46161</v>
      </c>
      <c r="D878" s="53" t="s">
        <v>1731</v>
      </c>
      <c r="E878" s="53"/>
      <c r="F878" s="53"/>
      <c r="G878" s="54"/>
      <c r="H878" s="53"/>
      <c r="I878" s="59">
        <v>4.8</v>
      </c>
      <c r="J878" s="59"/>
      <c r="K878" s="59"/>
      <c r="L878" s="59">
        <f t="shared" si="13"/>
        <v>316563.80999999994</v>
      </c>
    </row>
    <row r="879" spans="1:12" x14ac:dyDescent="0.3">
      <c r="A879" s="52"/>
      <c r="B879" s="53" t="s">
        <v>28</v>
      </c>
      <c r="C879" s="54">
        <v>46161</v>
      </c>
      <c r="D879" s="53" t="s">
        <v>1416</v>
      </c>
      <c r="E879" s="53" t="s">
        <v>86</v>
      </c>
      <c r="F879" s="53" t="s">
        <v>1417</v>
      </c>
      <c r="G879" s="54">
        <v>46157</v>
      </c>
      <c r="H879" s="53" t="s">
        <v>1418</v>
      </c>
      <c r="I879" s="59">
        <v>300</v>
      </c>
      <c r="J879" s="59"/>
      <c r="K879" s="59"/>
      <c r="L879" s="59">
        <f t="shared" si="13"/>
        <v>316863.80999999994</v>
      </c>
    </row>
    <row r="880" spans="1:12" x14ac:dyDescent="0.3">
      <c r="A880" s="52"/>
      <c r="B880" s="53" t="s">
        <v>26</v>
      </c>
      <c r="C880" s="54">
        <v>46161</v>
      </c>
      <c r="D880" s="53" t="s">
        <v>1732</v>
      </c>
      <c r="E880" s="53"/>
      <c r="F880" s="53"/>
      <c r="G880" s="54"/>
      <c r="H880" s="53"/>
      <c r="I880" s="59">
        <v>10.199999999999999</v>
      </c>
      <c r="J880" s="59"/>
      <c r="K880" s="59"/>
      <c r="L880" s="59">
        <f t="shared" si="13"/>
        <v>316874.00999999995</v>
      </c>
    </row>
    <row r="881" spans="1:12" x14ac:dyDescent="0.3">
      <c r="A881" s="52"/>
      <c r="B881" s="53" t="s">
        <v>26</v>
      </c>
      <c r="C881" s="54">
        <v>46161</v>
      </c>
      <c r="D881" s="53" t="s">
        <v>1733</v>
      </c>
      <c r="E881" s="53"/>
      <c r="F881" s="53"/>
      <c r="G881" s="54"/>
      <c r="H881" s="53"/>
      <c r="I881" s="59">
        <v>7.6</v>
      </c>
      <c r="J881" s="59"/>
      <c r="K881" s="59"/>
      <c r="L881" s="59">
        <f t="shared" si="13"/>
        <v>316881.60999999993</v>
      </c>
    </row>
    <row r="882" spans="1:12" x14ac:dyDescent="0.3">
      <c r="A882" s="52"/>
      <c r="B882" s="53" t="s">
        <v>26</v>
      </c>
      <c r="C882" s="54">
        <v>46161</v>
      </c>
      <c r="D882" s="53" t="s">
        <v>1734</v>
      </c>
      <c r="E882" s="53"/>
      <c r="F882" s="53"/>
      <c r="G882" s="54"/>
      <c r="H882" s="53"/>
      <c r="I882" s="59">
        <v>1.97</v>
      </c>
      <c r="J882" s="59"/>
      <c r="K882" s="59"/>
      <c r="L882" s="59">
        <f t="shared" si="13"/>
        <v>316883.5799999999</v>
      </c>
    </row>
    <row r="883" spans="1:12" x14ac:dyDescent="0.3">
      <c r="A883" s="52"/>
      <c r="B883" s="53" t="s">
        <v>26</v>
      </c>
      <c r="C883" s="54">
        <v>46162</v>
      </c>
      <c r="D883" s="53" t="s">
        <v>1735</v>
      </c>
      <c r="E883" s="53"/>
      <c r="F883" s="53"/>
      <c r="G883" s="54"/>
      <c r="H883" s="53"/>
      <c r="I883" s="59">
        <v>45</v>
      </c>
      <c r="J883" s="59"/>
      <c r="K883" s="59"/>
      <c r="L883" s="59">
        <f t="shared" si="13"/>
        <v>316928.5799999999</v>
      </c>
    </row>
    <row r="884" spans="1:12" x14ac:dyDescent="0.3">
      <c r="A884" s="52"/>
      <c r="B884" s="53" t="s">
        <v>26</v>
      </c>
      <c r="C884" s="54">
        <v>46162</v>
      </c>
      <c r="D884" s="53" t="s">
        <v>1736</v>
      </c>
      <c r="E884" s="53"/>
      <c r="F884" s="53"/>
      <c r="G884" s="54"/>
      <c r="H884" s="53"/>
      <c r="I884" s="59">
        <v>39.46</v>
      </c>
      <c r="J884" s="59"/>
      <c r="K884" s="59"/>
      <c r="L884" s="59">
        <f t="shared" si="13"/>
        <v>316968.03999999992</v>
      </c>
    </row>
    <row r="885" spans="1:12" x14ac:dyDescent="0.3">
      <c r="A885" s="52"/>
      <c r="B885" s="53" t="s">
        <v>26</v>
      </c>
      <c r="C885" s="54">
        <v>46162</v>
      </c>
      <c r="D885" s="53" t="s">
        <v>1737</v>
      </c>
      <c r="E885" s="53"/>
      <c r="F885" s="53"/>
      <c r="G885" s="54"/>
      <c r="H885" s="53"/>
      <c r="I885" s="59">
        <v>9.5</v>
      </c>
      <c r="J885" s="59"/>
      <c r="K885" s="59"/>
      <c r="L885" s="59">
        <f t="shared" si="13"/>
        <v>316977.53999999992</v>
      </c>
    </row>
    <row r="886" spans="1:12" x14ac:dyDescent="0.3">
      <c r="A886" s="52"/>
      <c r="B886" s="53" t="s">
        <v>26</v>
      </c>
      <c r="C886" s="54">
        <v>46162</v>
      </c>
      <c r="D886" s="53" t="s">
        <v>1738</v>
      </c>
      <c r="E886" s="53"/>
      <c r="F886" s="53"/>
      <c r="G886" s="54"/>
      <c r="H886" s="53"/>
      <c r="I886" s="59">
        <v>13.97</v>
      </c>
      <c r="J886" s="59"/>
      <c r="K886" s="59"/>
      <c r="L886" s="59">
        <f t="shared" si="13"/>
        <v>316991.50999999989</v>
      </c>
    </row>
    <row r="887" spans="1:12" x14ac:dyDescent="0.3">
      <c r="A887" s="52"/>
      <c r="B887" s="53" t="s">
        <v>28</v>
      </c>
      <c r="C887" s="54">
        <v>46162</v>
      </c>
      <c r="D887" s="53" t="s">
        <v>1419</v>
      </c>
      <c r="E887" s="53" t="s">
        <v>186</v>
      </c>
      <c r="F887" s="53"/>
      <c r="G887" s="54">
        <v>46161</v>
      </c>
      <c r="H887" s="53" t="s">
        <v>1420</v>
      </c>
      <c r="I887" s="59">
        <v>88.6</v>
      </c>
      <c r="J887" s="59"/>
      <c r="K887" s="59"/>
      <c r="L887" s="59">
        <f t="shared" si="13"/>
        <v>317080.10999999987</v>
      </c>
    </row>
    <row r="888" spans="1:12" x14ac:dyDescent="0.3">
      <c r="A888" s="52"/>
      <c r="B888" s="53" t="s">
        <v>26</v>
      </c>
      <c r="C888" s="54">
        <v>46162</v>
      </c>
      <c r="D888" s="53" t="s">
        <v>1739</v>
      </c>
      <c r="E888" s="53"/>
      <c r="F888" s="53"/>
      <c r="G888" s="54"/>
      <c r="H888" s="53"/>
      <c r="I888" s="59">
        <v>13</v>
      </c>
      <c r="J888" s="59"/>
      <c r="K888" s="59"/>
      <c r="L888" s="59">
        <f t="shared" si="13"/>
        <v>317093.10999999987</v>
      </c>
    </row>
    <row r="889" spans="1:12" x14ac:dyDescent="0.3">
      <c r="A889" s="52"/>
      <c r="B889" s="53" t="s">
        <v>26</v>
      </c>
      <c r="C889" s="54">
        <v>46162</v>
      </c>
      <c r="D889" s="53" t="s">
        <v>1740</v>
      </c>
      <c r="E889" s="53"/>
      <c r="F889" s="53"/>
      <c r="G889" s="54"/>
      <c r="H889" s="53"/>
      <c r="I889" s="59">
        <v>111</v>
      </c>
      <c r="J889" s="59"/>
      <c r="K889" s="59"/>
      <c r="L889" s="59">
        <f t="shared" si="13"/>
        <v>317204.10999999987</v>
      </c>
    </row>
    <row r="890" spans="1:12" x14ac:dyDescent="0.3">
      <c r="A890" s="52"/>
      <c r="B890" s="53" t="s">
        <v>26</v>
      </c>
      <c r="C890" s="54">
        <v>46162</v>
      </c>
      <c r="D890" s="53" t="s">
        <v>1741</v>
      </c>
      <c r="E890" s="53"/>
      <c r="F890" s="53"/>
      <c r="G890" s="54"/>
      <c r="H890" s="53"/>
      <c r="I890" s="59">
        <v>4.2</v>
      </c>
      <c r="J890" s="59"/>
      <c r="K890" s="59"/>
      <c r="L890" s="59">
        <f t="shared" si="13"/>
        <v>317208.30999999988</v>
      </c>
    </row>
    <row r="891" spans="1:12" x14ac:dyDescent="0.3">
      <c r="A891" s="52"/>
      <c r="B891" s="53" t="s">
        <v>26</v>
      </c>
      <c r="C891" s="54">
        <v>46162</v>
      </c>
      <c r="D891" s="53" t="s">
        <v>1742</v>
      </c>
      <c r="E891" s="53"/>
      <c r="F891" s="53"/>
      <c r="G891" s="54"/>
      <c r="H891" s="53"/>
      <c r="I891" s="59">
        <v>17.75</v>
      </c>
      <c r="J891" s="59"/>
      <c r="K891" s="59"/>
      <c r="L891" s="59">
        <f t="shared" si="13"/>
        <v>317226.05999999988</v>
      </c>
    </row>
    <row r="892" spans="1:12" x14ac:dyDescent="0.3">
      <c r="A892" s="52"/>
      <c r="B892" s="53" t="s">
        <v>26</v>
      </c>
      <c r="C892" s="54">
        <v>46162</v>
      </c>
      <c r="D892" s="53" t="s">
        <v>1743</v>
      </c>
      <c r="E892" s="53"/>
      <c r="F892" s="53"/>
      <c r="G892" s="54"/>
      <c r="H892" s="53"/>
      <c r="I892" s="59">
        <v>29.55</v>
      </c>
      <c r="J892" s="59"/>
      <c r="K892" s="59"/>
      <c r="L892" s="59">
        <f t="shared" si="13"/>
        <v>317255.60999999987</v>
      </c>
    </row>
    <row r="893" spans="1:12" x14ac:dyDescent="0.3">
      <c r="A893" s="52"/>
      <c r="B893" s="53" t="s">
        <v>28</v>
      </c>
      <c r="C893" s="54">
        <v>46163</v>
      </c>
      <c r="D893" s="53" t="s">
        <v>1421</v>
      </c>
      <c r="E893" s="53" t="s">
        <v>1422</v>
      </c>
      <c r="F893" s="53"/>
      <c r="G893" s="54">
        <v>46163</v>
      </c>
      <c r="H893" s="53" t="s">
        <v>1423</v>
      </c>
      <c r="I893" s="59">
        <v>6.7</v>
      </c>
      <c r="J893" s="59"/>
      <c r="K893" s="59"/>
      <c r="L893" s="59">
        <f t="shared" si="13"/>
        <v>317262.30999999988</v>
      </c>
    </row>
    <row r="894" spans="1:12" x14ac:dyDescent="0.3">
      <c r="A894" s="52"/>
      <c r="B894" s="53" t="s">
        <v>26</v>
      </c>
      <c r="C894" s="54">
        <v>46163</v>
      </c>
      <c r="D894" s="53" t="s">
        <v>1744</v>
      </c>
      <c r="E894" s="53"/>
      <c r="F894" s="53"/>
      <c r="G894" s="54"/>
      <c r="H894" s="53"/>
      <c r="I894" s="59">
        <v>19</v>
      </c>
      <c r="J894" s="59"/>
      <c r="K894" s="59"/>
      <c r="L894" s="59">
        <f t="shared" si="13"/>
        <v>317281.30999999988</v>
      </c>
    </row>
    <row r="895" spans="1:12" x14ac:dyDescent="0.3">
      <c r="A895" s="52"/>
      <c r="B895" s="53" t="s">
        <v>26</v>
      </c>
      <c r="C895" s="54">
        <v>46163</v>
      </c>
      <c r="D895" s="53" t="s">
        <v>1745</v>
      </c>
      <c r="E895" s="53"/>
      <c r="F895" s="53"/>
      <c r="G895" s="54"/>
      <c r="H895" s="53"/>
      <c r="I895" s="59">
        <v>131.69999999999999</v>
      </c>
      <c r="J895" s="59"/>
      <c r="K895" s="59"/>
      <c r="L895" s="59">
        <f t="shared" si="13"/>
        <v>317413.00999999989</v>
      </c>
    </row>
    <row r="896" spans="1:12" x14ac:dyDescent="0.3">
      <c r="A896" s="52"/>
      <c r="B896" s="53" t="s">
        <v>26</v>
      </c>
      <c r="C896" s="54">
        <v>46163</v>
      </c>
      <c r="D896" s="53" t="s">
        <v>1746</v>
      </c>
      <c r="E896" s="53"/>
      <c r="F896" s="53"/>
      <c r="G896" s="54"/>
      <c r="H896" s="53"/>
      <c r="I896" s="59">
        <v>13.2</v>
      </c>
      <c r="J896" s="59"/>
      <c r="K896" s="59"/>
      <c r="L896" s="59">
        <f t="shared" si="13"/>
        <v>317426.2099999999</v>
      </c>
    </row>
    <row r="897" spans="1:12" x14ac:dyDescent="0.3">
      <c r="A897" s="52"/>
      <c r="B897" s="53" t="s">
        <v>26</v>
      </c>
      <c r="C897" s="54">
        <v>46163</v>
      </c>
      <c r="D897" s="53" t="s">
        <v>1747</v>
      </c>
      <c r="E897" s="53"/>
      <c r="F897" s="53"/>
      <c r="G897" s="54"/>
      <c r="H897" s="53"/>
      <c r="I897" s="59">
        <v>4.4000000000000004</v>
      </c>
      <c r="J897" s="59"/>
      <c r="K897" s="59"/>
      <c r="L897" s="59">
        <f t="shared" si="13"/>
        <v>317430.60999999993</v>
      </c>
    </row>
    <row r="898" spans="1:12" x14ac:dyDescent="0.3">
      <c r="A898" s="52"/>
      <c r="B898" s="53" t="s">
        <v>26</v>
      </c>
      <c r="C898" s="54">
        <v>46163</v>
      </c>
      <c r="D898" s="53" t="s">
        <v>1748</v>
      </c>
      <c r="E898" s="53"/>
      <c r="F898" s="53"/>
      <c r="G898" s="54"/>
      <c r="H898" s="53"/>
      <c r="I898" s="59">
        <v>32.5</v>
      </c>
      <c r="J898" s="59"/>
      <c r="K898" s="59"/>
      <c r="L898" s="59">
        <f t="shared" si="13"/>
        <v>317463.10999999993</v>
      </c>
    </row>
    <row r="899" spans="1:12" x14ac:dyDescent="0.3">
      <c r="A899" s="52"/>
      <c r="B899" s="53" t="s">
        <v>26</v>
      </c>
      <c r="C899" s="54">
        <v>46163</v>
      </c>
      <c r="D899" s="53" t="s">
        <v>1749</v>
      </c>
      <c r="E899" s="53"/>
      <c r="F899" s="53"/>
      <c r="G899" s="54"/>
      <c r="H899" s="53"/>
      <c r="I899" s="59">
        <v>10.33</v>
      </c>
      <c r="J899" s="59"/>
      <c r="K899" s="59"/>
      <c r="L899" s="59">
        <f t="shared" si="13"/>
        <v>317473.43999999994</v>
      </c>
    </row>
    <row r="900" spans="1:12" x14ac:dyDescent="0.3">
      <c r="A900" s="52"/>
      <c r="B900" s="53" t="s">
        <v>26</v>
      </c>
      <c r="C900" s="54">
        <v>46163</v>
      </c>
      <c r="D900" s="53" t="s">
        <v>1750</v>
      </c>
      <c r="E900" s="53"/>
      <c r="F900" s="53"/>
      <c r="G900" s="54"/>
      <c r="H900" s="53"/>
      <c r="I900" s="59">
        <v>86</v>
      </c>
      <c r="J900" s="59"/>
      <c r="K900" s="59"/>
      <c r="L900" s="59">
        <f t="shared" si="13"/>
        <v>317559.43999999994</v>
      </c>
    </row>
    <row r="901" spans="1:12" x14ac:dyDescent="0.3">
      <c r="A901" s="52"/>
      <c r="B901" s="53" t="s">
        <v>28</v>
      </c>
      <c r="C901" s="54">
        <v>46163</v>
      </c>
      <c r="D901" s="53" t="s">
        <v>1424</v>
      </c>
      <c r="E901" s="53" t="s">
        <v>186</v>
      </c>
      <c r="F901" s="53"/>
      <c r="G901" s="54">
        <v>46163</v>
      </c>
      <c r="H901" s="53" t="s">
        <v>1425</v>
      </c>
      <c r="I901" s="59">
        <v>125</v>
      </c>
      <c r="J901" s="59"/>
      <c r="K901" s="59"/>
      <c r="L901" s="59">
        <f t="shared" si="13"/>
        <v>317684.43999999994</v>
      </c>
    </row>
    <row r="902" spans="1:12" x14ac:dyDescent="0.3">
      <c r="A902" s="52"/>
      <c r="B902" s="53" t="s">
        <v>26</v>
      </c>
      <c r="C902" s="54">
        <v>46163</v>
      </c>
      <c r="D902" s="53" t="s">
        <v>1751</v>
      </c>
      <c r="E902" s="53"/>
      <c r="F902" s="53"/>
      <c r="G902" s="54"/>
      <c r="H902" s="53"/>
      <c r="I902" s="59">
        <v>162</v>
      </c>
      <c r="J902" s="59"/>
      <c r="K902" s="59"/>
      <c r="L902" s="59">
        <f t="shared" si="13"/>
        <v>317846.43999999994</v>
      </c>
    </row>
    <row r="903" spans="1:12" x14ac:dyDescent="0.3">
      <c r="A903" s="52"/>
      <c r="B903" s="53" t="s">
        <v>26</v>
      </c>
      <c r="C903" s="54">
        <v>46164</v>
      </c>
      <c r="D903" s="53" t="s">
        <v>1752</v>
      </c>
      <c r="E903" s="53"/>
      <c r="F903" s="53"/>
      <c r="G903" s="54"/>
      <c r="H903" s="53"/>
      <c r="I903" s="59">
        <v>10.44</v>
      </c>
      <c r="J903" s="59"/>
      <c r="K903" s="59"/>
      <c r="L903" s="59">
        <f t="shared" si="13"/>
        <v>317856.87999999995</v>
      </c>
    </row>
    <row r="904" spans="1:12" x14ac:dyDescent="0.3">
      <c r="A904" s="52"/>
      <c r="B904" s="53" t="s">
        <v>26</v>
      </c>
      <c r="C904" s="54">
        <v>46164</v>
      </c>
      <c r="D904" s="53" t="s">
        <v>1753</v>
      </c>
      <c r="E904" s="53"/>
      <c r="F904" s="53"/>
      <c r="G904" s="54"/>
      <c r="H904" s="53"/>
      <c r="I904" s="59">
        <v>2.4</v>
      </c>
      <c r="J904" s="59"/>
      <c r="K904" s="59"/>
      <c r="L904" s="59">
        <f t="shared" si="13"/>
        <v>317859.27999999997</v>
      </c>
    </row>
    <row r="905" spans="1:12" x14ac:dyDescent="0.3">
      <c r="A905" s="52"/>
      <c r="B905" s="53" t="s">
        <v>26</v>
      </c>
      <c r="C905" s="54">
        <v>46164</v>
      </c>
      <c r="D905" s="53" t="s">
        <v>1754</v>
      </c>
      <c r="E905" s="53"/>
      <c r="F905" s="53"/>
      <c r="G905" s="54"/>
      <c r="H905" s="53"/>
      <c r="I905" s="59">
        <v>2.2000000000000002</v>
      </c>
      <c r="J905" s="59"/>
      <c r="K905" s="59"/>
      <c r="L905" s="59">
        <f t="shared" si="13"/>
        <v>317861.48</v>
      </c>
    </row>
    <row r="906" spans="1:12" x14ac:dyDescent="0.3">
      <c r="A906" s="52"/>
      <c r="B906" s="53" t="s">
        <v>26</v>
      </c>
      <c r="C906" s="54">
        <v>46164</v>
      </c>
      <c r="D906" s="53" t="s">
        <v>1755</v>
      </c>
      <c r="E906" s="53"/>
      <c r="F906" s="53"/>
      <c r="G906" s="54"/>
      <c r="H906" s="53"/>
      <c r="I906" s="59">
        <v>38</v>
      </c>
      <c r="J906" s="59"/>
      <c r="K906" s="59"/>
      <c r="L906" s="59">
        <f t="shared" si="13"/>
        <v>317899.48</v>
      </c>
    </row>
    <row r="907" spans="1:12" x14ac:dyDescent="0.3">
      <c r="A907" s="52"/>
      <c r="B907" s="53" t="s">
        <v>26</v>
      </c>
      <c r="C907" s="54">
        <v>46164</v>
      </c>
      <c r="D907" s="53" t="s">
        <v>1756</v>
      </c>
      <c r="E907" s="53"/>
      <c r="F907" s="53"/>
      <c r="G907" s="54"/>
      <c r="H907" s="53"/>
      <c r="I907" s="59">
        <v>3.9</v>
      </c>
      <c r="J907" s="59"/>
      <c r="K907" s="59"/>
      <c r="L907" s="59">
        <f t="shared" ref="L907:L970" si="14">L906+I907-K907</f>
        <v>317903.38</v>
      </c>
    </row>
    <row r="908" spans="1:12" x14ac:dyDescent="0.3">
      <c r="A908" s="52"/>
      <c r="B908" s="53" t="s">
        <v>26</v>
      </c>
      <c r="C908" s="54">
        <v>46164</v>
      </c>
      <c r="D908" s="53" t="s">
        <v>2097</v>
      </c>
      <c r="E908" s="53"/>
      <c r="F908" s="53"/>
      <c r="G908" s="54"/>
      <c r="H908" s="53"/>
      <c r="I908" s="59">
        <v>2.9</v>
      </c>
      <c r="J908" s="59"/>
      <c r="K908" s="59"/>
      <c r="L908" s="59">
        <f t="shared" si="14"/>
        <v>317906.28000000003</v>
      </c>
    </row>
    <row r="909" spans="1:12" x14ac:dyDescent="0.3">
      <c r="A909" s="52"/>
      <c r="B909" s="53" t="s">
        <v>28</v>
      </c>
      <c r="C909" s="54">
        <v>46164</v>
      </c>
      <c r="D909" s="53" t="s">
        <v>1426</v>
      </c>
      <c r="E909" s="53" t="s">
        <v>1427</v>
      </c>
      <c r="F909" s="53"/>
      <c r="G909" s="54">
        <v>46163</v>
      </c>
      <c r="H909" s="53" t="s">
        <v>1428</v>
      </c>
      <c r="I909" s="59">
        <v>149.44999999999999</v>
      </c>
      <c r="J909" s="59"/>
      <c r="K909" s="59"/>
      <c r="L909" s="59">
        <f t="shared" si="14"/>
        <v>318055.73000000004</v>
      </c>
    </row>
    <row r="910" spans="1:12" x14ac:dyDescent="0.3">
      <c r="A910" s="52"/>
      <c r="B910" s="53" t="s">
        <v>26</v>
      </c>
      <c r="C910" s="54">
        <v>46165</v>
      </c>
      <c r="D910" s="53" t="s">
        <v>1757</v>
      </c>
      <c r="E910" s="53"/>
      <c r="F910" s="53"/>
      <c r="G910" s="54"/>
      <c r="H910" s="53"/>
      <c r="I910" s="59">
        <v>90</v>
      </c>
      <c r="J910" s="59"/>
      <c r="K910" s="59"/>
      <c r="L910" s="59">
        <f t="shared" si="14"/>
        <v>318145.73000000004</v>
      </c>
    </row>
    <row r="911" spans="1:12" x14ac:dyDescent="0.3">
      <c r="A911" s="52"/>
      <c r="B911" s="53" t="s">
        <v>26</v>
      </c>
      <c r="C911" s="54">
        <v>46166</v>
      </c>
      <c r="D911" s="53" t="s">
        <v>1758</v>
      </c>
      <c r="E911" s="53"/>
      <c r="F911" s="53"/>
      <c r="G911" s="54"/>
      <c r="H911" s="53"/>
      <c r="I911" s="59">
        <v>23.99</v>
      </c>
      <c r="J911" s="59"/>
      <c r="K911" s="59"/>
      <c r="L911" s="59">
        <f t="shared" si="14"/>
        <v>318169.72000000003</v>
      </c>
    </row>
    <row r="912" spans="1:12" x14ac:dyDescent="0.3">
      <c r="A912" s="52"/>
      <c r="B912" s="53" t="s">
        <v>26</v>
      </c>
      <c r="C912" s="54">
        <v>46166</v>
      </c>
      <c r="D912" s="53" t="s">
        <v>1759</v>
      </c>
      <c r="E912" s="53"/>
      <c r="F912" s="53"/>
      <c r="G912" s="54"/>
      <c r="H912" s="53"/>
      <c r="I912" s="59">
        <v>1.3</v>
      </c>
      <c r="J912" s="59"/>
      <c r="K912" s="59"/>
      <c r="L912" s="59">
        <f t="shared" si="14"/>
        <v>318171.02</v>
      </c>
    </row>
    <row r="913" spans="1:12" x14ac:dyDescent="0.3">
      <c r="A913" s="52"/>
      <c r="B913" s="53" t="s">
        <v>26</v>
      </c>
      <c r="C913" s="54">
        <v>46166</v>
      </c>
      <c r="D913" s="53" t="s">
        <v>1760</v>
      </c>
      <c r="E913" s="53"/>
      <c r="F913" s="53"/>
      <c r="G913" s="54"/>
      <c r="H913" s="53"/>
      <c r="I913" s="59">
        <v>21.5</v>
      </c>
      <c r="J913" s="59"/>
      <c r="K913" s="59"/>
      <c r="L913" s="59">
        <f t="shared" si="14"/>
        <v>318192.52</v>
      </c>
    </row>
    <row r="914" spans="1:12" x14ac:dyDescent="0.3">
      <c r="A914" s="52"/>
      <c r="B914" s="53" t="s">
        <v>28</v>
      </c>
      <c r="C914" s="54">
        <v>46166</v>
      </c>
      <c r="D914" s="53" t="s">
        <v>1429</v>
      </c>
      <c r="E914" s="53" t="s">
        <v>240</v>
      </c>
      <c r="F914" s="53" t="s">
        <v>237</v>
      </c>
      <c r="G914" s="54">
        <v>46165</v>
      </c>
      <c r="H914" s="53" t="s">
        <v>1430</v>
      </c>
      <c r="I914" s="59">
        <v>7.52</v>
      </c>
      <c r="J914" s="59"/>
      <c r="K914" s="59"/>
      <c r="L914" s="59">
        <f t="shared" si="14"/>
        <v>318200.04000000004</v>
      </c>
    </row>
    <row r="915" spans="1:12" x14ac:dyDescent="0.3">
      <c r="A915" s="52"/>
      <c r="B915" s="53" t="s">
        <v>26</v>
      </c>
      <c r="C915" s="54">
        <v>46166</v>
      </c>
      <c r="D915" s="53" t="s">
        <v>1761</v>
      </c>
      <c r="E915" s="53"/>
      <c r="F915" s="53"/>
      <c r="G915" s="54"/>
      <c r="H915" s="53"/>
      <c r="I915" s="59">
        <v>41.98</v>
      </c>
      <c r="J915" s="59"/>
      <c r="K915" s="59"/>
      <c r="L915" s="59">
        <f t="shared" si="14"/>
        <v>318242.02</v>
      </c>
    </row>
    <row r="916" spans="1:12" x14ac:dyDescent="0.3">
      <c r="A916" s="52"/>
      <c r="B916" s="53" t="s">
        <v>26</v>
      </c>
      <c r="C916" s="54">
        <v>46167</v>
      </c>
      <c r="D916" s="53" t="s">
        <v>1762</v>
      </c>
      <c r="E916" s="53"/>
      <c r="F916" s="53"/>
      <c r="G916" s="54"/>
      <c r="H916" s="53"/>
      <c r="I916" s="59">
        <v>9.5</v>
      </c>
      <c r="J916" s="59"/>
      <c r="K916" s="59"/>
      <c r="L916" s="59">
        <f t="shared" si="14"/>
        <v>318251.52000000002</v>
      </c>
    </row>
    <row r="917" spans="1:12" x14ac:dyDescent="0.3">
      <c r="A917" s="52"/>
      <c r="B917" s="53" t="s">
        <v>26</v>
      </c>
      <c r="C917" s="54">
        <v>46167</v>
      </c>
      <c r="D917" s="53" t="s">
        <v>1763</v>
      </c>
      <c r="E917" s="53"/>
      <c r="F917" s="53"/>
      <c r="G917" s="54"/>
      <c r="H917" s="53"/>
      <c r="I917" s="59">
        <v>337.04</v>
      </c>
      <c r="J917" s="59"/>
      <c r="K917" s="59"/>
      <c r="L917" s="59">
        <f t="shared" si="14"/>
        <v>318588.56</v>
      </c>
    </row>
    <row r="918" spans="1:12" x14ac:dyDescent="0.3">
      <c r="A918" s="52"/>
      <c r="B918" s="53" t="s">
        <v>28</v>
      </c>
      <c r="C918" s="54">
        <v>46167</v>
      </c>
      <c r="D918" s="53" t="s">
        <v>1433</v>
      </c>
      <c r="E918" s="53" t="s">
        <v>387</v>
      </c>
      <c r="F918" s="53" t="s">
        <v>237</v>
      </c>
      <c r="G918" s="54">
        <v>46165</v>
      </c>
      <c r="H918" s="53" t="s">
        <v>1434</v>
      </c>
      <c r="I918" s="59">
        <v>213.52</v>
      </c>
      <c r="J918" s="59"/>
      <c r="K918" s="59"/>
      <c r="L918" s="59">
        <f t="shared" si="14"/>
        <v>318802.08</v>
      </c>
    </row>
    <row r="919" spans="1:12" x14ac:dyDescent="0.3">
      <c r="A919" s="52"/>
      <c r="B919" s="53" t="s">
        <v>28</v>
      </c>
      <c r="C919" s="54">
        <v>46167</v>
      </c>
      <c r="D919" s="53" t="s">
        <v>1435</v>
      </c>
      <c r="E919" s="53" t="s">
        <v>255</v>
      </c>
      <c r="F919" s="53" t="s">
        <v>237</v>
      </c>
      <c r="G919" s="54">
        <v>46165</v>
      </c>
      <c r="H919" s="53" t="s">
        <v>1436</v>
      </c>
      <c r="I919" s="59">
        <v>203.76</v>
      </c>
      <c r="J919" s="59"/>
      <c r="K919" s="59"/>
      <c r="L919" s="59">
        <f t="shared" si="14"/>
        <v>319005.84000000003</v>
      </c>
    </row>
    <row r="920" spans="1:12" x14ac:dyDescent="0.3">
      <c r="A920" s="52"/>
      <c r="B920" s="53" t="s">
        <v>28</v>
      </c>
      <c r="C920" s="54">
        <v>46167</v>
      </c>
      <c r="D920" s="53" t="s">
        <v>1437</v>
      </c>
      <c r="E920" s="53" t="s">
        <v>255</v>
      </c>
      <c r="F920" s="53"/>
      <c r="G920" s="54">
        <v>46165</v>
      </c>
      <c r="H920" s="53" t="s">
        <v>1438</v>
      </c>
      <c r="I920" s="59">
        <v>57.38</v>
      </c>
      <c r="J920" s="59"/>
      <c r="K920" s="59"/>
      <c r="L920" s="59">
        <f t="shared" si="14"/>
        <v>319063.22000000003</v>
      </c>
    </row>
    <row r="921" spans="1:12" x14ac:dyDescent="0.3">
      <c r="A921" s="52"/>
      <c r="B921" s="53" t="s">
        <v>28</v>
      </c>
      <c r="C921" s="54">
        <v>46167</v>
      </c>
      <c r="D921" s="53" t="s">
        <v>1439</v>
      </c>
      <c r="E921" s="53" t="s">
        <v>255</v>
      </c>
      <c r="F921" s="53"/>
      <c r="G921" s="54">
        <v>46165</v>
      </c>
      <c r="H921" s="53" t="s">
        <v>1440</v>
      </c>
      <c r="I921" s="59">
        <v>72.45</v>
      </c>
      <c r="J921" s="59"/>
      <c r="K921" s="59"/>
      <c r="L921" s="59">
        <f t="shared" si="14"/>
        <v>319135.67000000004</v>
      </c>
    </row>
    <row r="922" spans="1:12" x14ac:dyDescent="0.3">
      <c r="A922" s="52"/>
      <c r="B922" s="53" t="s">
        <v>26</v>
      </c>
      <c r="C922" s="54">
        <v>46167</v>
      </c>
      <c r="D922" s="53" t="s">
        <v>1764</v>
      </c>
      <c r="E922" s="53"/>
      <c r="F922" s="53"/>
      <c r="G922" s="54"/>
      <c r="H922" s="53"/>
      <c r="I922" s="59">
        <v>13.2</v>
      </c>
      <c r="J922" s="59"/>
      <c r="K922" s="59"/>
      <c r="L922" s="59">
        <f t="shared" si="14"/>
        <v>319148.87000000005</v>
      </c>
    </row>
    <row r="923" spans="1:12" x14ac:dyDescent="0.3">
      <c r="A923" s="52"/>
      <c r="B923" s="53" t="s">
        <v>26</v>
      </c>
      <c r="C923" s="54">
        <v>46167</v>
      </c>
      <c r="D923" s="53" t="s">
        <v>1765</v>
      </c>
      <c r="E923" s="53"/>
      <c r="F923" s="53"/>
      <c r="G923" s="54"/>
      <c r="H923" s="53"/>
      <c r="I923" s="59">
        <v>33.200000000000003</v>
      </c>
      <c r="J923" s="59"/>
      <c r="K923" s="59"/>
      <c r="L923" s="59">
        <f t="shared" si="14"/>
        <v>319182.07000000007</v>
      </c>
    </row>
    <row r="924" spans="1:12" x14ac:dyDescent="0.3">
      <c r="A924" s="52"/>
      <c r="B924" s="53" t="s">
        <v>28</v>
      </c>
      <c r="C924" s="54">
        <v>46167</v>
      </c>
      <c r="D924" s="53" t="s">
        <v>1441</v>
      </c>
      <c r="E924" s="53" t="s">
        <v>186</v>
      </c>
      <c r="F924" s="53"/>
      <c r="G924" s="54">
        <v>46167</v>
      </c>
      <c r="H924" s="53" t="s">
        <v>1442</v>
      </c>
      <c r="I924" s="59">
        <v>201.3</v>
      </c>
      <c r="J924" s="59"/>
      <c r="K924" s="59"/>
      <c r="L924" s="59">
        <f t="shared" si="14"/>
        <v>319383.37000000005</v>
      </c>
    </row>
    <row r="925" spans="1:12" x14ac:dyDescent="0.3">
      <c r="A925" s="52"/>
      <c r="B925" s="53" t="s">
        <v>28</v>
      </c>
      <c r="C925" s="54">
        <v>46167</v>
      </c>
      <c r="D925" s="53" t="s">
        <v>1443</v>
      </c>
      <c r="E925" s="53" t="s">
        <v>1444</v>
      </c>
      <c r="F925" s="53" t="s">
        <v>237</v>
      </c>
      <c r="G925" s="54">
        <v>46165</v>
      </c>
      <c r="H925" s="53" t="s">
        <v>1445</v>
      </c>
      <c r="I925" s="59">
        <v>1.39</v>
      </c>
      <c r="J925" s="59"/>
      <c r="K925" s="59"/>
      <c r="L925" s="59">
        <f t="shared" si="14"/>
        <v>319384.76000000007</v>
      </c>
    </row>
    <row r="926" spans="1:12" x14ac:dyDescent="0.3">
      <c r="A926" s="52"/>
      <c r="B926" s="53" t="s">
        <v>28</v>
      </c>
      <c r="C926" s="54">
        <v>46167</v>
      </c>
      <c r="D926" s="53" t="s">
        <v>1446</v>
      </c>
      <c r="E926" s="53" t="s">
        <v>236</v>
      </c>
      <c r="F926" s="53" t="s">
        <v>237</v>
      </c>
      <c r="G926" s="54">
        <v>46165</v>
      </c>
      <c r="H926" s="53" t="s">
        <v>1447</v>
      </c>
      <c r="I926" s="59">
        <v>6.96</v>
      </c>
      <c r="J926" s="59"/>
      <c r="K926" s="59"/>
      <c r="L926" s="59">
        <f t="shared" si="14"/>
        <v>319391.72000000009</v>
      </c>
    </row>
    <row r="927" spans="1:12" x14ac:dyDescent="0.3">
      <c r="A927" s="52"/>
      <c r="B927" s="53" t="s">
        <v>28</v>
      </c>
      <c r="C927" s="54">
        <v>46167</v>
      </c>
      <c r="D927" s="53" t="s">
        <v>1448</v>
      </c>
      <c r="E927" s="53" t="s">
        <v>1449</v>
      </c>
      <c r="F927" s="53" t="s">
        <v>237</v>
      </c>
      <c r="G927" s="54">
        <v>46165</v>
      </c>
      <c r="H927" s="53" t="s">
        <v>1450</v>
      </c>
      <c r="I927" s="59">
        <v>7.42</v>
      </c>
      <c r="J927" s="59"/>
      <c r="K927" s="59"/>
      <c r="L927" s="59">
        <f t="shared" si="14"/>
        <v>319399.14000000007</v>
      </c>
    </row>
    <row r="928" spans="1:12" x14ac:dyDescent="0.3">
      <c r="A928" s="52"/>
      <c r="B928" s="53" t="s">
        <v>28</v>
      </c>
      <c r="C928" s="54">
        <v>46167</v>
      </c>
      <c r="D928" s="53" t="s">
        <v>1451</v>
      </c>
      <c r="E928" s="53" t="s">
        <v>255</v>
      </c>
      <c r="F928" s="53" t="s">
        <v>237</v>
      </c>
      <c r="G928" s="54">
        <v>46165</v>
      </c>
      <c r="H928" s="53" t="s">
        <v>1452</v>
      </c>
      <c r="I928" s="59">
        <v>21.62</v>
      </c>
      <c r="J928" s="59"/>
      <c r="K928" s="59"/>
      <c r="L928" s="59">
        <f t="shared" si="14"/>
        <v>319420.76000000007</v>
      </c>
    </row>
    <row r="929" spans="1:12" x14ac:dyDescent="0.3">
      <c r="A929" s="52"/>
      <c r="B929" s="53" t="s">
        <v>28</v>
      </c>
      <c r="C929" s="54">
        <v>46167</v>
      </c>
      <c r="D929" s="53" t="s">
        <v>1453</v>
      </c>
      <c r="E929" s="53" t="s">
        <v>236</v>
      </c>
      <c r="F929" s="53" t="s">
        <v>237</v>
      </c>
      <c r="G929" s="54">
        <v>46165</v>
      </c>
      <c r="H929" s="53" t="s">
        <v>1454</v>
      </c>
      <c r="I929" s="59">
        <v>1.86</v>
      </c>
      <c r="J929" s="59"/>
      <c r="K929" s="59"/>
      <c r="L929" s="59">
        <f t="shared" si="14"/>
        <v>319422.62000000005</v>
      </c>
    </row>
    <row r="930" spans="1:12" x14ac:dyDescent="0.3">
      <c r="A930" s="52"/>
      <c r="B930" s="53" t="s">
        <v>26</v>
      </c>
      <c r="C930" s="54">
        <v>46167</v>
      </c>
      <c r="D930" s="53" t="s">
        <v>1766</v>
      </c>
      <c r="E930" s="53"/>
      <c r="F930" s="53"/>
      <c r="G930" s="54"/>
      <c r="H930" s="53"/>
      <c r="I930" s="59">
        <v>149</v>
      </c>
      <c r="J930" s="59"/>
      <c r="K930" s="59"/>
      <c r="L930" s="59">
        <f t="shared" si="14"/>
        <v>319571.62000000005</v>
      </c>
    </row>
    <row r="931" spans="1:12" x14ac:dyDescent="0.3">
      <c r="A931" s="52"/>
      <c r="B931" s="53" t="s">
        <v>26</v>
      </c>
      <c r="C931" s="54">
        <v>46167</v>
      </c>
      <c r="D931" s="53" t="s">
        <v>1767</v>
      </c>
      <c r="E931" s="53"/>
      <c r="F931" s="53"/>
      <c r="G931" s="54"/>
      <c r="H931" s="53"/>
      <c r="I931" s="59">
        <v>17.88</v>
      </c>
      <c r="J931" s="59"/>
      <c r="K931" s="59"/>
      <c r="L931" s="59">
        <f t="shared" si="14"/>
        <v>319589.50000000006</v>
      </c>
    </row>
    <row r="932" spans="1:12" x14ac:dyDescent="0.3">
      <c r="A932" s="52"/>
      <c r="B932" s="53" t="s">
        <v>26</v>
      </c>
      <c r="C932" s="54">
        <v>46167</v>
      </c>
      <c r="D932" s="53" t="s">
        <v>1768</v>
      </c>
      <c r="E932" s="53"/>
      <c r="F932" s="53"/>
      <c r="G932" s="54"/>
      <c r="H932" s="53"/>
      <c r="I932" s="59">
        <v>139.9</v>
      </c>
      <c r="J932" s="59"/>
      <c r="K932" s="59"/>
      <c r="L932" s="59">
        <f t="shared" si="14"/>
        <v>319729.40000000008</v>
      </c>
    </row>
    <row r="933" spans="1:12" x14ac:dyDescent="0.3">
      <c r="A933" s="52"/>
      <c r="B933" s="53" t="s">
        <v>28</v>
      </c>
      <c r="C933" s="54">
        <v>46167</v>
      </c>
      <c r="D933" s="53" t="s">
        <v>1431</v>
      </c>
      <c r="E933" s="53" t="s">
        <v>240</v>
      </c>
      <c r="F933" s="53" t="s">
        <v>237</v>
      </c>
      <c r="G933" s="54">
        <v>46165</v>
      </c>
      <c r="H933" s="53" t="s">
        <v>1432</v>
      </c>
      <c r="I933" s="59">
        <v>6.12</v>
      </c>
      <c r="J933" s="59"/>
      <c r="K933" s="59"/>
      <c r="L933" s="59">
        <f t="shared" si="14"/>
        <v>319735.52000000008</v>
      </c>
    </row>
    <row r="934" spans="1:12" x14ac:dyDescent="0.3">
      <c r="A934" s="52"/>
      <c r="B934" s="53" t="s">
        <v>28</v>
      </c>
      <c r="C934" s="54">
        <v>46168</v>
      </c>
      <c r="D934" s="53" t="s">
        <v>1455</v>
      </c>
      <c r="E934" s="53" t="s">
        <v>186</v>
      </c>
      <c r="F934" s="53"/>
      <c r="G934" s="54">
        <v>46168</v>
      </c>
      <c r="H934" s="53" t="s">
        <v>1456</v>
      </c>
      <c r="I934" s="59">
        <v>92.9</v>
      </c>
      <c r="J934" s="59"/>
      <c r="K934" s="59"/>
      <c r="L934" s="59">
        <f t="shared" si="14"/>
        <v>319828.4200000001</v>
      </c>
    </row>
    <row r="935" spans="1:12" x14ac:dyDescent="0.3">
      <c r="A935" s="52"/>
      <c r="B935" s="53" t="s">
        <v>26</v>
      </c>
      <c r="C935" s="54">
        <v>46168</v>
      </c>
      <c r="D935" s="53" t="s">
        <v>1769</v>
      </c>
      <c r="E935" s="53"/>
      <c r="F935" s="53"/>
      <c r="G935" s="54"/>
      <c r="H935" s="53"/>
      <c r="I935" s="59">
        <v>165</v>
      </c>
      <c r="J935" s="59"/>
      <c r="K935" s="59"/>
      <c r="L935" s="59">
        <f t="shared" si="14"/>
        <v>319993.4200000001</v>
      </c>
    </row>
    <row r="936" spans="1:12" x14ac:dyDescent="0.3">
      <c r="A936" s="52"/>
      <c r="B936" s="53" t="s">
        <v>26</v>
      </c>
      <c r="C936" s="54">
        <v>46168</v>
      </c>
      <c r="D936" s="53" t="s">
        <v>1770</v>
      </c>
      <c r="E936" s="53"/>
      <c r="F936" s="53"/>
      <c r="G936" s="54"/>
      <c r="H936" s="53"/>
      <c r="I936" s="59">
        <v>1</v>
      </c>
      <c r="J936" s="59"/>
      <c r="K936" s="59"/>
      <c r="L936" s="59">
        <f t="shared" si="14"/>
        <v>319994.4200000001</v>
      </c>
    </row>
    <row r="937" spans="1:12" x14ac:dyDescent="0.3">
      <c r="A937" s="52"/>
      <c r="B937" s="53" t="s">
        <v>26</v>
      </c>
      <c r="C937" s="54">
        <v>46168</v>
      </c>
      <c r="D937" s="53" t="s">
        <v>1771</v>
      </c>
      <c r="E937" s="53"/>
      <c r="F937" s="53"/>
      <c r="G937" s="54"/>
      <c r="H937" s="53"/>
      <c r="I937" s="59">
        <v>39.1</v>
      </c>
      <c r="J937" s="59"/>
      <c r="K937" s="59"/>
      <c r="L937" s="59">
        <f t="shared" si="14"/>
        <v>320033.52000000008</v>
      </c>
    </row>
    <row r="938" spans="1:12" x14ac:dyDescent="0.3">
      <c r="A938" s="52"/>
      <c r="B938" s="53" t="s">
        <v>26</v>
      </c>
      <c r="C938" s="54">
        <v>46168</v>
      </c>
      <c r="D938" s="53" t="s">
        <v>1772</v>
      </c>
      <c r="E938" s="53"/>
      <c r="F938" s="53"/>
      <c r="G938" s="54"/>
      <c r="H938" s="53"/>
      <c r="I938" s="59">
        <v>57.9</v>
      </c>
      <c r="J938" s="59"/>
      <c r="K938" s="59"/>
      <c r="L938" s="59">
        <f t="shared" si="14"/>
        <v>320091.4200000001</v>
      </c>
    </row>
    <row r="939" spans="1:12" x14ac:dyDescent="0.3">
      <c r="A939" s="52"/>
      <c r="B939" s="53" t="s">
        <v>26</v>
      </c>
      <c r="C939" s="54">
        <v>46168</v>
      </c>
      <c r="D939" s="53" t="s">
        <v>1773</v>
      </c>
      <c r="E939" s="53"/>
      <c r="F939" s="53"/>
      <c r="G939" s="54"/>
      <c r="H939" s="53"/>
      <c r="I939" s="59">
        <v>19</v>
      </c>
      <c r="J939" s="59"/>
      <c r="K939" s="59"/>
      <c r="L939" s="59">
        <f t="shared" si="14"/>
        <v>320110.4200000001</v>
      </c>
    </row>
    <row r="940" spans="1:12" x14ac:dyDescent="0.3">
      <c r="A940" s="52"/>
      <c r="B940" s="53" t="s">
        <v>26</v>
      </c>
      <c r="C940" s="54">
        <v>46168</v>
      </c>
      <c r="D940" s="53" t="s">
        <v>1774</v>
      </c>
      <c r="E940" s="53"/>
      <c r="F940" s="53"/>
      <c r="G940" s="54"/>
      <c r="H940" s="53"/>
      <c r="I940" s="59">
        <v>21.44</v>
      </c>
      <c r="J940" s="59"/>
      <c r="K940" s="59"/>
      <c r="L940" s="59">
        <f t="shared" si="14"/>
        <v>320131.8600000001</v>
      </c>
    </row>
    <row r="941" spans="1:12" x14ac:dyDescent="0.3">
      <c r="A941" s="52"/>
      <c r="B941" s="53" t="s">
        <v>26</v>
      </c>
      <c r="C941" s="54">
        <v>46168</v>
      </c>
      <c r="D941" s="53" t="s">
        <v>1775</v>
      </c>
      <c r="E941" s="53"/>
      <c r="F941" s="53"/>
      <c r="G941" s="54"/>
      <c r="H941" s="53"/>
      <c r="I941" s="59">
        <v>5.97</v>
      </c>
      <c r="J941" s="59"/>
      <c r="K941" s="59"/>
      <c r="L941" s="59">
        <f t="shared" si="14"/>
        <v>320137.83000000007</v>
      </c>
    </row>
    <row r="942" spans="1:12" x14ac:dyDescent="0.3">
      <c r="A942" s="52"/>
      <c r="B942" s="53" t="s">
        <v>26</v>
      </c>
      <c r="C942" s="54">
        <v>46168</v>
      </c>
      <c r="D942" s="53" t="s">
        <v>1776</v>
      </c>
      <c r="E942" s="53"/>
      <c r="F942" s="53"/>
      <c r="G942" s="54"/>
      <c r="H942" s="53"/>
      <c r="I942" s="59">
        <v>8.1</v>
      </c>
      <c r="J942" s="59"/>
      <c r="K942" s="59"/>
      <c r="L942" s="59">
        <f t="shared" si="14"/>
        <v>320145.93000000005</v>
      </c>
    </row>
    <row r="943" spans="1:12" x14ac:dyDescent="0.3">
      <c r="A943" s="52"/>
      <c r="B943" s="53" t="s">
        <v>26</v>
      </c>
      <c r="C943" s="54">
        <v>46168</v>
      </c>
      <c r="D943" s="53" t="s">
        <v>1777</v>
      </c>
      <c r="E943" s="53"/>
      <c r="F943" s="53"/>
      <c r="G943" s="54"/>
      <c r="H943" s="53"/>
      <c r="I943" s="59">
        <v>234</v>
      </c>
      <c r="J943" s="59"/>
      <c r="K943" s="59"/>
      <c r="L943" s="59">
        <f t="shared" si="14"/>
        <v>320379.93000000005</v>
      </c>
    </row>
    <row r="944" spans="1:12" x14ac:dyDescent="0.3">
      <c r="A944" s="52"/>
      <c r="B944" s="53" t="s">
        <v>26</v>
      </c>
      <c r="C944" s="54">
        <v>46168</v>
      </c>
      <c r="D944" s="53" t="s">
        <v>2098</v>
      </c>
      <c r="E944" s="53"/>
      <c r="F944" s="53"/>
      <c r="G944" s="54"/>
      <c r="H944" s="53"/>
      <c r="I944" s="59"/>
      <c r="J944" s="59"/>
      <c r="K944" s="59">
        <v>48.95</v>
      </c>
      <c r="L944" s="59">
        <f t="shared" si="14"/>
        <v>320330.98000000004</v>
      </c>
    </row>
    <row r="945" spans="1:12" x14ac:dyDescent="0.3">
      <c r="A945" s="52"/>
      <c r="B945" s="53" t="s">
        <v>26</v>
      </c>
      <c r="C945" s="54">
        <v>46168</v>
      </c>
      <c r="D945" s="53" t="s">
        <v>1778</v>
      </c>
      <c r="E945" s="53"/>
      <c r="F945" s="53"/>
      <c r="G945" s="54"/>
      <c r="H945" s="53"/>
      <c r="I945" s="59">
        <v>54.5</v>
      </c>
      <c r="J945" s="59"/>
      <c r="K945" s="59"/>
      <c r="L945" s="59">
        <f t="shared" si="14"/>
        <v>320385.48000000004</v>
      </c>
    </row>
    <row r="946" spans="1:12" x14ac:dyDescent="0.3">
      <c r="A946" s="52"/>
      <c r="B946" s="53" t="s">
        <v>26</v>
      </c>
      <c r="C946" s="54">
        <v>46168</v>
      </c>
      <c r="D946" s="53" t="s">
        <v>1779</v>
      </c>
      <c r="E946" s="53"/>
      <c r="F946" s="53"/>
      <c r="G946" s="54"/>
      <c r="H946" s="53"/>
      <c r="I946" s="59">
        <v>12</v>
      </c>
      <c r="J946" s="59"/>
      <c r="K946" s="59"/>
      <c r="L946" s="59">
        <f t="shared" si="14"/>
        <v>320397.48000000004</v>
      </c>
    </row>
    <row r="947" spans="1:12" x14ac:dyDescent="0.3">
      <c r="A947" s="52"/>
      <c r="B947" s="53" t="s">
        <v>26</v>
      </c>
      <c r="C947" s="54">
        <v>46168</v>
      </c>
      <c r="D947" s="53" t="s">
        <v>1780</v>
      </c>
      <c r="E947" s="53"/>
      <c r="F947" s="53"/>
      <c r="G947" s="54"/>
      <c r="H947" s="53"/>
      <c r="I947" s="59">
        <v>164.56</v>
      </c>
      <c r="J947" s="59"/>
      <c r="K947" s="59"/>
      <c r="L947" s="59">
        <f t="shared" si="14"/>
        <v>320562.04000000004</v>
      </c>
    </row>
    <row r="948" spans="1:12" x14ac:dyDescent="0.3">
      <c r="A948" s="52"/>
      <c r="B948" s="53" t="s">
        <v>26</v>
      </c>
      <c r="C948" s="54">
        <v>46168</v>
      </c>
      <c r="D948" s="53" t="s">
        <v>1781</v>
      </c>
      <c r="E948" s="53"/>
      <c r="F948" s="53"/>
      <c r="G948" s="54"/>
      <c r="H948" s="53"/>
      <c r="I948" s="59">
        <v>61.2</v>
      </c>
      <c r="J948" s="59"/>
      <c r="K948" s="59"/>
      <c r="L948" s="59">
        <f t="shared" si="14"/>
        <v>320623.24000000005</v>
      </c>
    </row>
    <row r="949" spans="1:12" x14ac:dyDescent="0.3">
      <c r="A949" s="52"/>
      <c r="B949" s="53" t="s">
        <v>26</v>
      </c>
      <c r="C949" s="54">
        <v>46168</v>
      </c>
      <c r="D949" s="53" t="s">
        <v>1782</v>
      </c>
      <c r="E949" s="53"/>
      <c r="F949" s="53"/>
      <c r="G949" s="54"/>
      <c r="H949" s="53"/>
      <c r="I949" s="59">
        <v>8.9499999999999993</v>
      </c>
      <c r="J949" s="59"/>
      <c r="K949" s="59"/>
      <c r="L949" s="59">
        <f t="shared" si="14"/>
        <v>320632.19000000006</v>
      </c>
    </row>
    <row r="950" spans="1:12" x14ac:dyDescent="0.3">
      <c r="A950" s="52"/>
      <c r="B950" s="53" t="s">
        <v>26</v>
      </c>
      <c r="C950" s="54">
        <v>46168</v>
      </c>
      <c r="D950" s="53" t="s">
        <v>1783</v>
      </c>
      <c r="E950" s="53"/>
      <c r="F950" s="53"/>
      <c r="G950" s="54"/>
      <c r="H950" s="53"/>
      <c r="I950" s="59">
        <v>13</v>
      </c>
      <c r="J950" s="59"/>
      <c r="K950" s="59"/>
      <c r="L950" s="59">
        <f t="shared" si="14"/>
        <v>320645.19000000006</v>
      </c>
    </row>
    <row r="951" spans="1:12" x14ac:dyDescent="0.3">
      <c r="A951" s="52"/>
      <c r="B951" s="53" t="s">
        <v>26</v>
      </c>
      <c r="C951" s="54">
        <v>46169</v>
      </c>
      <c r="D951" s="53" t="s">
        <v>1784</v>
      </c>
      <c r="E951" s="53"/>
      <c r="F951" s="53"/>
      <c r="G951" s="54"/>
      <c r="H951" s="53"/>
      <c r="I951" s="59">
        <v>16.2</v>
      </c>
      <c r="J951" s="59"/>
      <c r="K951" s="59"/>
      <c r="L951" s="59">
        <f t="shared" si="14"/>
        <v>320661.39000000007</v>
      </c>
    </row>
    <row r="952" spans="1:12" x14ac:dyDescent="0.3">
      <c r="A952" s="52"/>
      <c r="B952" s="53" t="s">
        <v>28</v>
      </c>
      <c r="C952" s="54">
        <v>46169</v>
      </c>
      <c r="D952" s="53" t="s">
        <v>1459</v>
      </c>
      <c r="E952" s="53" t="s">
        <v>194</v>
      </c>
      <c r="F952" s="53"/>
      <c r="G952" s="54">
        <v>46164</v>
      </c>
      <c r="H952" s="53" t="s">
        <v>1460</v>
      </c>
      <c r="I952" s="59">
        <v>1444.73</v>
      </c>
      <c r="J952" s="59"/>
      <c r="K952" s="59"/>
      <c r="L952" s="59">
        <f t="shared" si="14"/>
        <v>322106.12000000005</v>
      </c>
    </row>
    <row r="953" spans="1:12" x14ac:dyDescent="0.3">
      <c r="A953" s="52"/>
      <c r="B953" s="53" t="s">
        <v>28</v>
      </c>
      <c r="C953" s="54">
        <v>46169</v>
      </c>
      <c r="D953" s="53" t="s">
        <v>1457</v>
      </c>
      <c r="E953" s="53" t="s">
        <v>207</v>
      </c>
      <c r="F953" s="53"/>
      <c r="G953" s="54">
        <v>46168</v>
      </c>
      <c r="H953" s="53" t="s">
        <v>1458</v>
      </c>
      <c r="I953" s="59">
        <v>102.4</v>
      </c>
      <c r="J953" s="59"/>
      <c r="K953" s="59"/>
      <c r="L953" s="59">
        <f t="shared" si="14"/>
        <v>322208.52000000008</v>
      </c>
    </row>
    <row r="954" spans="1:12" x14ac:dyDescent="0.3">
      <c r="A954" s="52"/>
      <c r="B954" s="53" t="s">
        <v>26</v>
      </c>
      <c r="C954" s="54">
        <v>46169</v>
      </c>
      <c r="D954" s="53" t="s">
        <v>1785</v>
      </c>
      <c r="E954" s="53"/>
      <c r="F954" s="53"/>
      <c r="G954" s="54"/>
      <c r="H954" s="53"/>
      <c r="I954" s="59">
        <v>34.65</v>
      </c>
      <c r="J954" s="59"/>
      <c r="K954" s="59"/>
      <c r="L954" s="59">
        <f t="shared" si="14"/>
        <v>322243.1700000001</v>
      </c>
    </row>
    <row r="955" spans="1:12" x14ac:dyDescent="0.3">
      <c r="A955" s="52"/>
      <c r="B955" s="53" t="s">
        <v>26</v>
      </c>
      <c r="C955" s="54">
        <v>46169</v>
      </c>
      <c r="D955" s="53" t="s">
        <v>1786</v>
      </c>
      <c r="E955" s="53"/>
      <c r="F955" s="53"/>
      <c r="G955" s="54"/>
      <c r="H955" s="53"/>
      <c r="I955" s="59">
        <v>25.6</v>
      </c>
      <c r="J955" s="59"/>
      <c r="K955" s="59"/>
      <c r="L955" s="59">
        <f t="shared" si="14"/>
        <v>322268.77000000008</v>
      </c>
    </row>
    <row r="956" spans="1:12" x14ac:dyDescent="0.3">
      <c r="A956" s="52"/>
      <c r="B956" s="53" t="s">
        <v>26</v>
      </c>
      <c r="C956" s="54">
        <v>46169</v>
      </c>
      <c r="D956" s="53" t="s">
        <v>1787</v>
      </c>
      <c r="E956" s="53"/>
      <c r="F956" s="53"/>
      <c r="G956" s="54"/>
      <c r="H956" s="53"/>
      <c r="I956" s="59">
        <v>180</v>
      </c>
      <c r="J956" s="59"/>
      <c r="K956" s="59"/>
      <c r="L956" s="59">
        <f t="shared" si="14"/>
        <v>322448.77000000008</v>
      </c>
    </row>
    <row r="957" spans="1:12" x14ac:dyDescent="0.3">
      <c r="A957" s="52"/>
      <c r="B957" s="53" t="s">
        <v>26</v>
      </c>
      <c r="C957" s="54">
        <v>46169</v>
      </c>
      <c r="D957" s="53" t="s">
        <v>1788</v>
      </c>
      <c r="E957" s="53"/>
      <c r="F957" s="53"/>
      <c r="G957" s="54"/>
      <c r="H957" s="53"/>
      <c r="I957" s="59">
        <v>11.95</v>
      </c>
      <c r="J957" s="59"/>
      <c r="K957" s="59"/>
      <c r="L957" s="59">
        <f t="shared" si="14"/>
        <v>322460.72000000009</v>
      </c>
    </row>
    <row r="958" spans="1:12" x14ac:dyDescent="0.3">
      <c r="A958" s="52"/>
      <c r="B958" s="53" t="s">
        <v>26</v>
      </c>
      <c r="C958" s="54">
        <v>46169</v>
      </c>
      <c r="D958" s="53" t="s">
        <v>1789</v>
      </c>
      <c r="E958" s="53"/>
      <c r="F958" s="53"/>
      <c r="G958" s="54"/>
      <c r="H958" s="53"/>
      <c r="I958" s="59">
        <v>20.100000000000001</v>
      </c>
      <c r="J958" s="59"/>
      <c r="K958" s="59"/>
      <c r="L958" s="59">
        <f t="shared" si="14"/>
        <v>322480.82000000007</v>
      </c>
    </row>
    <row r="959" spans="1:12" x14ac:dyDescent="0.3">
      <c r="A959" s="52"/>
      <c r="B959" s="53" t="s">
        <v>26</v>
      </c>
      <c r="C959" s="54">
        <v>46169</v>
      </c>
      <c r="D959" s="53" t="s">
        <v>1790</v>
      </c>
      <c r="E959" s="53"/>
      <c r="F959" s="53"/>
      <c r="G959" s="54"/>
      <c r="H959" s="53"/>
      <c r="I959" s="59">
        <v>4</v>
      </c>
      <c r="J959" s="59"/>
      <c r="K959" s="59"/>
      <c r="L959" s="59">
        <f t="shared" si="14"/>
        <v>322484.82000000007</v>
      </c>
    </row>
    <row r="960" spans="1:12" x14ac:dyDescent="0.3">
      <c r="A960" s="52"/>
      <c r="B960" s="53" t="s">
        <v>26</v>
      </c>
      <c r="C960" s="54">
        <v>46169</v>
      </c>
      <c r="D960" s="53" t="s">
        <v>1791</v>
      </c>
      <c r="E960" s="53"/>
      <c r="F960" s="53"/>
      <c r="G960" s="54"/>
      <c r="H960" s="53"/>
      <c r="I960" s="59">
        <v>10.06</v>
      </c>
      <c r="J960" s="59"/>
      <c r="K960" s="59"/>
      <c r="L960" s="59">
        <f t="shared" si="14"/>
        <v>322494.88000000006</v>
      </c>
    </row>
    <row r="961" spans="1:12" x14ac:dyDescent="0.3">
      <c r="A961" s="52"/>
      <c r="B961" s="53" t="s">
        <v>26</v>
      </c>
      <c r="C961" s="54">
        <v>46169</v>
      </c>
      <c r="D961" s="53" t="s">
        <v>1792</v>
      </c>
      <c r="E961" s="53"/>
      <c r="F961" s="53"/>
      <c r="G961" s="54"/>
      <c r="H961" s="53"/>
      <c r="I961" s="59">
        <v>3.9</v>
      </c>
      <c r="J961" s="59"/>
      <c r="K961" s="59"/>
      <c r="L961" s="59">
        <f t="shared" si="14"/>
        <v>322498.78000000009</v>
      </c>
    </row>
    <row r="962" spans="1:12" x14ac:dyDescent="0.3">
      <c r="A962" s="52"/>
      <c r="B962" s="53" t="s">
        <v>26</v>
      </c>
      <c r="C962" s="54">
        <v>46169</v>
      </c>
      <c r="D962" s="53" t="s">
        <v>1793</v>
      </c>
      <c r="E962" s="53"/>
      <c r="F962" s="53"/>
      <c r="G962" s="54"/>
      <c r="H962" s="53"/>
      <c r="I962" s="59">
        <v>3.9</v>
      </c>
      <c r="J962" s="59"/>
      <c r="K962" s="59"/>
      <c r="L962" s="59">
        <f t="shared" si="14"/>
        <v>322502.68000000011</v>
      </c>
    </row>
    <row r="963" spans="1:12" x14ac:dyDescent="0.3">
      <c r="A963" s="52"/>
      <c r="B963" s="53" t="s">
        <v>26</v>
      </c>
      <c r="C963" s="54">
        <v>46169</v>
      </c>
      <c r="D963" s="53" t="s">
        <v>1794</v>
      </c>
      <c r="E963" s="53"/>
      <c r="F963" s="53"/>
      <c r="G963" s="54"/>
      <c r="H963" s="53"/>
      <c r="I963" s="59">
        <v>149.51</v>
      </c>
      <c r="J963" s="59"/>
      <c r="K963" s="59"/>
      <c r="L963" s="59">
        <f t="shared" si="14"/>
        <v>322652.19000000012</v>
      </c>
    </row>
    <row r="964" spans="1:12" x14ac:dyDescent="0.3">
      <c r="A964" s="52"/>
      <c r="B964" s="53" t="s">
        <v>26</v>
      </c>
      <c r="C964" s="54">
        <v>46169</v>
      </c>
      <c r="D964" s="53" t="s">
        <v>1795</v>
      </c>
      <c r="E964" s="53"/>
      <c r="F964" s="53"/>
      <c r="G964" s="54"/>
      <c r="H964" s="53"/>
      <c r="I964" s="59">
        <v>5</v>
      </c>
      <c r="J964" s="59"/>
      <c r="K964" s="59"/>
      <c r="L964" s="59">
        <f t="shared" si="14"/>
        <v>322657.19000000012</v>
      </c>
    </row>
    <row r="965" spans="1:12" x14ac:dyDescent="0.3">
      <c r="A965" s="52"/>
      <c r="B965" s="53" t="s">
        <v>26</v>
      </c>
      <c r="C965" s="54">
        <v>46170</v>
      </c>
      <c r="D965" s="53" t="s">
        <v>1796</v>
      </c>
      <c r="E965" s="53"/>
      <c r="F965" s="53"/>
      <c r="G965" s="54"/>
      <c r="H965" s="53"/>
      <c r="I965" s="59">
        <v>63.65</v>
      </c>
      <c r="J965" s="59"/>
      <c r="K965" s="59"/>
      <c r="L965" s="59">
        <f t="shared" si="14"/>
        <v>322720.84000000014</v>
      </c>
    </row>
    <row r="966" spans="1:12" x14ac:dyDescent="0.3">
      <c r="A966" s="52"/>
      <c r="B966" s="53" t="s">
        <v>26</v>
      </c>
      <c r="C966" s="54">
        <v>46170</v>
      </c>
      <c r="D966" s="53" t="s">
        <v>1797</v>
      </c>
      <c r="E966" s="53"/>
      <c r="F966" s="53"/>
      <c r="G966" s="54"/>
      <c r="H966" s="53"/>
      <c r="I966" s="59">
        <v>165</v>
      </c>
      <c r="J966" s="59"/>
      <c r="K966" s="59"/>
      <c r="L966" s="59">
        <f t="shared" si="14"/>
        <v>322885.84000000014</v>
      </c>
    </row>
    <row r="967" spans="1:12" x14ac:dyDescent="0.3">
      <c r="A967" s="52"/>
      <c r="B967" s="53" t="s">
        <v>26</v>
      </c>
      <c r="C967" s="54">
        <v>46170</v>
      </c>
      <c r="D967" s="53" t="s">
        <v>1798</v>
      </c>
      <c r="E967" s="53"/>
      <c r="F967" s="53"/>
      <c r="G967" s="54"/>
      <c r="H967" s="53"/>
      <c r="I967" s="59">
        <v>25.7</v>
      </c>
      <c r="J967" s="59"/>
      <c r="K967" s="59"/>
      <c r="L967" s="59">
        <f t="shared" si="14"/>
        <v>322911.54000000015</v>
      </c>
    </row>
    <row r="968" spans="1:12" x14ac:dyDescent="0.3">
      <c r="A968" s="52"/>
      <c r="B968" s="53" t="s">
        <v>26</v>
      </c>
      <c r="C968" s="54">
        <v>46170</v>
      </c>
      <c r="D968" s="53" t="s">
        <v>1799</v>
      </c>
      <c r="E968" s="53"/>
      <c r="F968" s="53"/>
      <c r="G968" s="54"/>
      <c r="H968" s="53"/>
      <c r="I968" s="59">
        <v>3.5</v>
      </c>
      <c r="J968" s="59"/>
      <c r="K968" s="59"/>
      <c r="L968" s="59">
        <f t="shared" si="14"/>
        <v>322915.04000000015</v>
      </c>
    </row>
    <row r="969" spans="1:12" x14ac:dyDescent="0.3">
      <c r="A969" s="52"/>
      <c r="B969" s="53" t="s">
        <v>26</v>
      </c>
      <c r="C969" s="54">
        <v>46170</v>
      </c>
      <c r="D969" s="53" t="s">
        <v>1800</v>
      </c>
      <c r="E969" s="53"/>
      <c r="F969" s="53"/>
      <c r="G969" s="54"/>
      <c r="H969" s="53"/>
      <c r="I969" s="59">
        <v>102</v>
      </c>
      <c r="J969" s="59"/>
      <c r="K969" s="59"/>
      <c r="L969" s="59">
        <f t="shared" si="14"/>
        <v>323017.04000000015</v>
      </c>
    </row>
    <row r="970" spans="1:12" x14ac:dyDescent="0.3">
      <c r="A970" s="52"/>
      <c r="B970" s="53" t="s">
        <v>26</v>
      </c>
      <c r="C970" s="54">
        <v>46170</v>
      </c>
      <c r="D970" s="53" t="s">
        <v>1801</v>
      </c>
      <c r="E970" s="53"/>
      <c r="F970" s="53"/>
      <c r="G970" s="54"/>
      <c r="H970" s="53"/>
      <c r="I970" s="59">
        <v>1.5</v>
      </c>
      <c r="J970" s="59"/>
      <c r="K970" s="59"/>
      <c r="L970" s="59">
        <f t="shared" si="14"/>
        <v>323018.54000000015</v>
      </c>
    </row>
    <row r="971" spans="1:12" x14ac:dyDescent="0.3">
      <c r="A971" s="52"/>
      <c r="B971" s="53" t="s">
        <v>26</v>
      </c>
      <c r="C971" s="54">
        <v>46170</v>
      </c>
      <c r="D971" s="53" t="s">
        <v>1802</v>
      </c>
      <c r="E971" s="53"/>
      <c r="F971" s="53"/>
      <c r="G971" s="54"/>
      <c r="H971" s="53"/>
      <c r="I971" s="59">
        <v>42</v>
      </c>
      <c r="J971" s="59"/>
      <c r="K971" s="59"/>
      <c r="L971" s="59">
        <f t="shared" ref="L971:L1034" si="15">L970+I971-K971</f>
        <v>323060.54000000015</v>
      </c>
    </row>
    <row r="972" spans="1:12" x14ac:dyDescent="0.3">
      <c r="A972" s="52"/>
      <c r="B972" s="53" t="s">
        <v>26</v>
      </c>
      <c r="C972" s="54">
        <v>46170</v>
      </c>
      <c r="D972" s="53" t="s">
        <v>1803</v>
      </c>
      <c r="E972" s="53"/>
      <c r="F972" s="53"/>
      <c r="G972" s="54"/>
      <c r="H972" s="53"/>
      <c r="I972" s="59">
        <v>12.19</v>
      </c>
      <c r="J972" s="59"/>
      <c r="K972" s="59"/>
      <c r="L972" s="59">
        <f t="shared" si="15"/>
        <v>323072.73000000016</v>
      </c>
    </row>
    <row r="973" spans="1:12" x14ac:dyDescent="0.3">
      <c r="A973" s="52"/>
      <c r="B973" s="53" t="s">
        <v>26</v>
      </c>
      <c r="C973" s="54">
        <v>46170</v>
      </c>
      <c r="D973" s="53" t="s">
        <v>1804</v>
      </c>
      <c r="E973" s="53"/>
      <c r="F973" s="53"/>
      <c r="G973" s="54"/>
      <c r="H973" s="53"/>
      <c r="I973" s="59">
        <v>11.2</v>
      </c>
      <c r="J973" s="59"/>
      <c r="K973" s="59"/>
      <c r="L973" s="59">
        <f t="shared" si="15"/>
        <v>323083.93000000017</v>
      </c>
    </row>
    <row r="974" spans="1:12" x14ac:dyDescent="0.3">
      <c r="A974" s="52"/>
      <c r="B974" s="53" t="s">
        <v>26</v>
      </c>
      <c r="C974" s="54">
        <v>46171</v>
      </c>
      <c r="D974" s="53" t="s">
        <v>1805</v>
      </c>
      <c r="E974" s="53"/>
      <c r="F974" s="53"/>
      <c r="G974" s="54"/>
      <c r="H974" s="53"/>
      <c r="I974" s="59">
        <v>28</v>
      </c>
      <c r="J974" s="59"/>
      <c r="K974" s="59"/>
      <c r="L974" s="59">
        <f t="shared" si="15"/>
        <v>323111.93000000017</v>
      </c>
    </row>
    <row r="975" spans="1:12" x14ac:dyDescent="0.3">
      <c r="A975" s="52"/>
      <c r="B975" s="53" t="s">
        <v>26</v>
      </c>
      <c r="C975" s="54">
        <v>46171</v>
      </c>
      <c r="D975" s="53" t="s">
        <v>1806</v>
      </c>
      <c r="E975" s="53"/>
      <c r="F975" s="53"/>
      <c r="G975" s="54"/>
      <c r="H975" s="53"/>
      <c r="I975" s="59">
        <v>68.400000000000006</v>
      </c>
      <c r="J975" s="59"/>
      <c r="K975" s="59"/>
      <c r="L975" s="59">
        <f t="shared" si="15"/>
        <v>323180.33000000019</v>
      </c>
    </row>
    <row r="976" spans="1:12" x14ac:dyDescent="0.3">
      <c r="A976" s="52"/>
      <c r="B976" s="53" t="s">
        <v>26</v>
      </c>
      <c r="C976" s="54">
        <v>46171</v>
      </c>
      <c r="D976" s="53" t="s">
        <v>2099</v>
      </c>
      <c r="E976" s="53"/>
      <c r="F976" s="53"/>
      <c r="G976" s="54"/>
      <c r="H976" s="53"/>
      <c r="I976" s="59">
        <v>8.9499999999999993</v>
      </c>
      <c r="J976" s="59"/>
      <c r="K976" s="59"/>
      <c r="L976" s="59">
        <f t="shared" si="15"/>
        <v>323189.2800000002</v>
      </c>
    </row>
    <row r="977" spans="1:12" x14ac:dyDescent="0.3">
      <c r="A977" s="52"/>
      <c r="B977" s="53" t="s">
        <v>26</v>
      </c>
      <c r="C977" s="54">
        <v>46172</v>
      </c>
      <c r="D977" s="53" t="s">
        <v>2100</v>
      </c>
      <c r="E977" s="53"/>
      <c r="F977" s="53"/>
      <c r="G977" s="54"/>
      <c r="H977" s="53"/>
      <c r="I977" s="59">
        <v>40</v>
      </c>
      <c r="J977" s="59"/>
      <c r="K977" s="59"/>
      <c r="L977" s="59">
        <f t="shared" si="15"/>
        <v>323229.2800000002</v>
      </c>
    </row>
    <row r="978" spans="1:12" x14ac:dyDescent="0.3">
      <c r="A978" s="52"/>
      <c r="B978" s="53" t="s">
        <v>26</v>
      </c>
      <c r="C978" s="54">
        <v>46172</v>
      </c>
      <c r="D978" s="53" t="s">
        <v>1807</v>
      </c>
      <c r="E978" s="53"/>
      <c r="F978" s="53"/>
      <c r="G978" s="54"/>
      <c r="H978" s="53"/>
      <c r="I978" s="59">
        <v>50</v>
      </c>
      <c r="J978" s="59"/>
      <c r="K978" s="59"/>
      <c r="L978" s="59">
        <f t="shared" si="15"/>
        <v>323279.2800000002</v>
      </c>
    </row>
    <row r="979" spans="1:12" x14ac:dyDescent="0.3">
      <c r="A979" s="52"/>
      <c r="B979" s="53" t="s">
        <v>26</v>
      </c>
      <c r="C979" s="54">
        <v>46173</v>
      </c>
      <c r="D979" s="53" t="s">
        <v>1469</v>
      </c>
      <c r="E979" s="53"/>
      <c r="F979" s="53"/>
      <c r="G979" s="54"/>
      <c r="H979" s="53"/>
      <c r="I979" s="59">
        <v>1580.91</v>
      </c>
      <c r="J979" s="59"/>
      <c r="K979" s="59"/>
      <c r="L979" s="59">
        <f t="shared" si="15"/>
        <v>324860.19000000018</v>
      </c>
    </row>
    <row r="980" spans="1:12" x14ac:dyDescent="0.3">
      <c r="A980" s="52"/>
      <c r="B980" s="53" t="s">
        <v>26</v>
      </c>
      <c r="C980" s="54">
        <v>46173</v>
      </c>
      <c r="D980" s="53" t="s">
        <v>1468</v>
      </c>
      <c r="E980" s="53"/>
      <c r="F980" s="53"/>
      <c r="G980" s="54"/>
      <c r="H980" s="53"/>
      <c r="I980" s="59">
        <v>204.55</v>
      </c>
      <c r="J980" s="59"/>
      <c r="K980" s="59"/>
      <c r="L980" s="59">
        <f t="shared" si="15"/>
        <v>325064.74000000017</v>
      </c>
    </row>
    <row r="981" spans="1:12" x14ac:dyDescent="0.3">
      <c r="A981" s="52"/>
      <c r="B981" s="53" t="s">
        <v>26</v>
      </c>
      <c r="C981" s="54">
        <v>46174</v>
      </c>
      <c r="D981" s="53" t="s">
        <v>2101</v>
      </c>
      <c r="E981" s="53"/>
      <c r="F981" s="53"/>
      <c r="G981" s="54"/>
      <c r="H981" s="53"/>
      <c r="I981" s="59">
        <v>10</v>
      </c>
      <c r="J981" s="59"/>
      <c r="K981" s="59"/>
      <c r="L981" s="59">
        <f t="shared" si="15"/>
        <v>325074.74000000017</v>
      </c>
    </row>
    <row r="982" spans="1:12" x14ac:dyDescent="0.3">
      <c r="A982" s="52"/>
      <c r="B982" s="53" t="s">
        <v>26</v>
      </c>
      <c r="C982" s="54">
        <v>46174</v>
      </c>
      <c r="D982" s="53" t="s">
        <v>2102</v>
      </c>
      <c r="E982" s="53"/>
      <c r="F982" s="53"/>
      <c r="G982" s="54"/>
      <c r="H982" s="53"/>
      <c r="I982" s="59">
        <v>75</v>
      </c>
      <c r="J982" s="59"/>
      <c r="K982" s="59"/>
      <c r="L982" s="59">
        <f t="shared" si="15"/>
        <v>325149.74000000017</v>
      </c>
    </row>
    <row r="983" spans="1:12" x14ac:dyDescent="0.3">
      <c r="A983" s="52"/>
      <c r="B983" s="53" t="s">
        <v>26</v>
      </c>
      <c r="C983" s="54">
        <v>46175</v>
      </c>
      <c r="D983" s="53" t="s">
        <v>2103</v>
      </c>
      <c r="E983" s="53"/>
      <c r="F983" s="53"/>
      <c r="G983" s="54"/>
      <c r="H983" s="53"/>
      <c r="I983" s="59">
        <v>9</v>
      </c>
      <c r="J983" s="59"/>
      <c r="K983" s="59"/>
      <c r="L983" s="59">
        <f t="shared" si="15"/>
        <v>325158.74000000017</v>
      </c>
    </row>
    <row r="984" spans="1:12" x14ac:dyDescent="0.3">
      <c r="A984" s="52"/>
      <c r="B984" s="53" t="s">
        <v>28</v>
      </c>
      <c r="C984" s="54">
        <v>46176</v>
      </c>
      <c r="D984" s="53" t="s">
        <v>1808</v>
      </c>
      <c r="E984" s="53" t="s">
        <v>350</v>
      </c>
      <c r="F984" s="53" t="s">
        <v>351</v>
      </c>
      <c r="G984" s="54">
        <v>46171</v>
      </c>
      <c r="H984" s="53" t="s">
        <v>1809</v>
      </c>
      <c r="I984" s="59">
        <v>63.47</v>
      </c>
      <c r="J984" s="59"/>
      <c r="K984" s="59"/>
      <c r="L984" s="59">
        <f t="shared" si="15"/>
        <v>325222.21000000014</v>
      </c>
    </row>
    <row r="985" spans="1:12" x14ac:dyDescent="0.3">
      <c r="A985" s="52"/>
      <c r="B985" s="53" t="s">
        <v>26</v>
      </c>
      <c r="C985" s="54">
        <v>46176</v>
      </c>
      <c r="D985" s="53" t="s">
        <v>2104</v>
      </c>
      <c r="E985" s="53"/>
      <c r="F985" s="53"/>
      <c r="G985" s="54"/>
      <c r="H985" s="53"/>
      <c r="I985" s="59">
        <v>4.1900000000000004</v>
      </c>
      <c r="J985" s="59"/>
      <c r="K985" s="59"/>
      <c r="L985" s="59">
        <f t="shared" si="15"/>
        <v>325226.40000000014</v>
      </c>
    </row>
    <row r="986" spans="1:12" x14ac:dyDescent="0.3">
      <c r="A986" s="52"/>
      <c r="B986" s="53" t="s">
        <v>26</v>
      </c>
      <c r="C986" s="54">
        <v>46176</v>
      </c>
      <c r="D986" s="53" t="s">
        <v>2105</v>
      </c>
      <c r="E986" s="53"/>
      <c r="F986" s="53"/>
      <c r="G986" s="54"/>
      <c r="H986" s="53"/>
      <c r="I986" s="59">
        <v>5.3</v>
      </c>
      <c r="J986" s="59"/>
      <c r="K986" s="59"/>
      <c r="L986" s="59">
        <f t="shared" si="15"/>
        <v>325231.70000000013</v>
      </c>
    </row>
    <row r="987" spans="1:12" x14ac:dyDescent="0.3">
      <c r="A987" s="52"/>
      <c r="B987" s="53" t="s">
        <v>26</v>
      </c>
      <c r="C987" s="54">
        <v>46176</v>
      </c>
      <c r="D987" s="53" t="s">
        <v>2106</v>
      </c>
      <c r="E987" s="53"/>
      <c r="F987" s="53"/>
      <c r="G987" s="54"/>
      <c r="H987" s="53"/>
      <c r="I987" s="59">
        <v>7</v>
      </c>
      <c r="J987" s="59"/>
      <c r="K987" s="59"/>
      <c r="L987" s="59">
        <f t="shared" si="15"/>
        <v>325238.70000000013</v>
      </c>
    </row>
    <row r="988" spans="1:12" x14ac:dyDescent="0.3">
      <c r="A988" s="52"/>
      <c r="B988" s="53" t="s">
        <v>26</v>
      </c>
      <c r="C988" s="54">
        <v>46176</v>
      </c>
      <c r="D988" s="53" t="s">
        <v>2107</v>
      </c>
      <c r="E988" s="53"/>
      <c r="F988" s="53"/>
      <c r="G988" s="54"/>
      <c r="H988" s="53"/>
      <c r="I988" s="59">
        <v>3.61</v>
      </c>
      <c r="J988" s="59"/>
      <c r="K988" s="59"/>
      <c r="L988" s="59">
        <f t="shared" si="15"/>
        <v>325242.31000000011</v>
      </c>
    </row>
    <row r="989" spans="1:12" x14ac:dyDescent="0.3">
      <c r="A989" s="52"/>
      <c r="B989" s="53" t="s">
        <v>26</v>
      </c>
      <c r="C989" s="54">
        <v>46176</v>
      </c>
      <c r="D989" s="53" t="s">
        <v>2108</v>
      </c>
      <c r="E989" s="53"/>
      <c r="F989" s="53"/>
      <c r="G989" s="54"/>
      <c r="H989" s="53"/>
      <c r="I989" s="59">
        <v>16.399999999999999</v>
      </c>
      <c r="J989" s="59"/>
      <c r="K989" s="59"/>
      <c r="L989" s="59">
        <f t="shared" si="15"/>
        <v>325258.71000000014</v>
      </c>
    </row>
    <row r="990" spans="1:12" x14ac:dyDescent="0.3">
      <c r="A990" s="52"/>
      <c r="B990" s="53" t="s">
        <v>26</v>
      </c>
      <c r="C990" s="54">
        <v>46176</v>
      </c>
      <c r="D990" s="53" t="s">
        <v>2109</v>
      </c>
      <c r="E990" s="53"/>
      <c r="F990" s="53"/>
      <c r="G990" s="54"/>
      <c r="H990" s="53"/>
      <c r="I990" s="59">
        <v>26.8</v>
      </c>
      <c r="J990" s="59"/>
      <c r="K990" s="59"/>
      <c r="L990" s="59">
        <f t="shared" si="15"/>
        <v>325285.51000000013</v>
      </c>
    </row>
    <row r="991" spans="1:12" x14ac:dyDescent="0.3">
      <c r="A991" s="52"/>
      <c r="B991" s="53" t="s">
        <v>26</v>
      </c>
      <c r="C991" s="54">
        <v>46176</v>
      </c>
      <c r="D991" s="53" t="s">
        <v>2110</v>
      </c>
      <c r="E991" s="53"/>
      <c r="F991" s="53"/>
      <c r="G991" s="54"/>
      <c r="H991" s="53"/>
      <c r="I991" s="59">
        <v>26.47</v>
      </c>
      <c r="J991" s="59"/>
      <c r="K991" s="59"/>
      <c r="L991" s="59">
        <f t="shared" si="15"/>
        <v>325311.9800000001</v>
      </c>
    </row>
    <row r="992" spans="1:12" x14ac:dyDescent="0.3">
      <c r="A992" s="52"/>
      <c r="B992" s="53" t="s">
        <v>26</v>
      </c>
      <c r="C992" s="54">
        <v>46176</v>
      </c>
      <c r="D992" s="53" t="s">
        <v>2111</v>
      </c>
      <c r="E992" s="53"/>
      <c r="F992" s="53"/>
      <c r="G992" s="54"/>
      <c r="H992" s="53"/>
      <c r="I992" s="59">
        <v>14</v>
      </c>
      <c r="J992" s="59"/>
      <c r="K992" s="59"/>
      <c r="L992" s="59">
        <f t="shared" si="15"/>
        <v>325325.9800000001</v>
      </c>
    </row>
    <row r="993" spans="1:12" x14ac:dyDescent="0.3">
      <c r="A993" s="52"/>
      <c r="B993" s="53" t="s">
        <v>26</v>
      </c>
      <c r="C993" s="54">
        <v>46176</v>
      </c>
      <c r="D993" s="53" t="s">
        <v>2112</v>
      </c>
      <c r="E993" s="53"/>
      <c r="F993" s="53"/>
      <c r="G993" s="54"/>
      <c r="H993" s="53"/>
      <c r="I993" s="59">
        <v>35.25</v>
      </c>
      <c r="J993" s="59"/>
      <c r="K993" s="59"/>
      <c r="L993" s="59">
        <f t="shared" si="15"/>
        <v>325361.2300000001</v>
      </c>
    </row>
    <row r="994" spans="1:12" x14ac:dyDescent="0.3">
      <c r="A994" s="52"/>
      <c r="B994" s="53" t="s">
        <v>26</v>
      </c>
      <c r="C994" s="54">
        <v>46176</v>
      </c>
      <c r="D994" s="53" t="s">
        <v>2113</v>
      </c>
      <c r="E994" s="53"/>
      <c r="F994" s="53"/>
      <c r="G994" s="54"/>
      <c r="H994" s="53"/>
      <c r="I994" s="59">
        <v>3.61</v>
      </c>
      <c r="J994" s="59"/>
      <c r="K994" s="59"/>
      <c r="L994" s="59">
        <f t="shared" si="15"/>
        <v>325364.84000000008</v>
      </c>
    </row>
    <row r="995" spans="1:12" x14ac:dyDescent="0.3">
      <c r="A995" s="52"/>
      <c r="B995" s="53" t="s">
        <v>26</v>
      </c>
      <c r="C995" s="54">
        <v>46176</v>
      </c>
      <c r="D995" s="53" t="s">
        <v>2114</v>
      </c>
      <c r="E995" s="53"/>
      <c r="F995" s="53"/>
      <c r="G995" s="54"/>
      <c r="H995" s="53"/>
      <c r="I995" s="59">
        <v>47.5</v>
      </c>
      <c r="J995" s="59"/>
      <c r="K995" s="59"/>
      <c r="L995" s="59">
        <f t="shared" si="15"/>
        <v>325412.34000000008</v>
      </c>
    </row>
    <row r="996" spans="1:12" x14ac:dyDescent="0.3">
      <c r="A996" s="52"/>
      <c r="B996" s="53" t="s">
        <v>26</v>
      </c>
      <c r="C996" s="54">
        <v>46176</v>
      </c>
      <c r="D996" s="53" t="s">
        <v>2115</v>
      </c>
      <c r="E996" s="53"/>
      <c r="F996" s="53"/>
      <c r="G996" s="54"/>
      <c r="H996" s="53"/>
      <c r="I996" s="59">
        <v>3.9</v>
      </c>
      <c r="J996" s="59"/>
      <c r="K996" s="59"/>
      <c r="L996" s="59">
        <f t="shared" si="15"/>
        <v>325416.24000000011</v>
      </c>
    </row>
    <row r="997" spans="1:12" x14ac:dyDescent="0.3">
      <c r="A997" s="52"/>
      <c r="B997" s="53" t="s">
        <v>26</v>
      </c>
      <c r="C997" s="54">
        <v>46176</v>
      </c>
      <c r="D997" s="53" t="s">
        <v>2116</v>
      </c>
      <c r="E997" s="53"/>
      <c r="F997" s="53"/>
      <c r="G997" s="54"/>
      <c r="H997" s="53"/>
      <c r="I997" s="59">
        <v>23.25</v>
      </c>
      <c r="J997" s="59"/>
      <c r="K997" s="59"/>
      <c r="L997" s="59">
        <f t="shared" si="15"/>
        <v>325439.49000000011</v>
      </c>
    </row>
    <row r="998" spans="1:12" x14ac:dyDescent="0.3">
      <c r="A998" s="52"/>
      <c r="B998" s="53" t="s">
        <v>28</v>
      </c>
      <c r="C998" s="54">
        <v>46176</v>
      </c>
      <c r="D998" s="53" t="s">
        <v>1810</v>
      </c>
      <c r="E998" s="53" t="s">
        <v>261</v>
      </c>
      <c r="F998" s="53"/>
      <c r="G998" s="54">
        <v>46170</v>
      </c>
      <c r="H998" s="53" t="s">
        <v>1811</v>
      </c>
      <c r="I998" s="59">
        <v>199.7</v>
      </c>
      <c r="J998" s="59"/>
      <c r="K998" s="59"/>
      <c r="L998" s="59">
        <f t="shared" si="15"/>
        <v>325639.19000000012</v>
      </c>
    </row>
    <row r="999" spans="1:12" x14ac:dyDescent="0.3">
      <c r="A999" s="52"/>
      <c r="B999" s="53" t="s">
        <v>26</v>
      </c>
      <c r="C999" s="54">
        <v>46177</v>
      </c>
      <c r="D999" s="53" t="s">
        <v>2117</v>
      </c>
      <c r="E999" s="53"/>
      <c r="F999" s="53"/>
      <c r="G999" s="54"/>
      <c r="H999" s="53"/>
      <c r="I999" s="59">
        <v>4</v>
      </c>
      <c r="J999" s="59"/>
      <c r="K999" s="59"/>
      <c r="L999" s="59">
        <f t="shared" si="15"/>
        <v>325643.19000000012</v>
      </c>
    </row>
    <row r="1000" spans="1:12" x14ac:dyDescent="0.3">
      <c r="A1000" s="52"/>
      <c r="B1000" s="53" t="s">
        <v>26</v>
      </c>
      <c r="C1000" s="54">
        <v>46177</v>
      </c>
      <c r="D1000" s="53" t="s">
        <v>2118</v>
      </c>
      <c r="E1000" s="53"/>
      <c r="F1000" s="53"/>
      <c r="G1000" s="54"/>
      <c r="H1000" s="53"/>
      <c r="I1000" s="59">
        <v>7.1</v>
      </c>
      <c r="J1000" s="59"/>
      <c r="K1000" s="59"/>
      <c r="L1000" s="59">
        <f t="shared" si="15"/>
        <v>325650.2900000001</v>
      </c>
    </row>
    <row r="1001" spans="1:12" x14ac:dyDescent="0.3">
      <c r="A1001" s="52"/>
      <c r="B1001" s="53" t="s">
        <v>26</v>
      </c>
      <c r="C1001" s="54">
        <v>46177</v>
      </c>
      <c r="D1001" s="53" t="s">
        <v>2119</v>
      </c>
      <c r="E1001" s="53"/>
      <c r="F1001" s="53"/>
      <c r="G1001" s="54"/>
      <c r="H1001" s="53"/>
      <c r="I1001" s="59">
        <v>18.8</v>
      </c>
      <c r="J1001" s="59"/>
      <c r="K1001" s="59"/>
      <c r="L1001" s="59">
        <f t="shared" si="15"/>
        <v>325669.09000000008</v>
      </c>
    </row>
    <row r="1002" spans="1:12" x14ac:dyDescent="0.3">
      <c r="A1002" s="52"/>
      <c r="B1002" s="53" t="s">
        <v>26</v>
      </c>
      <c r="C1002" s="54">
        <v>46177</v>
      </c>
      <c r="D1002" s="53" t="s">
        <v>2120</v>
      </c>
      <c r="E1002" s="53"/>
      <c r="F1002" s="53"/>
      <c r="G1002" s="54"/>
      <c r="H1002" s="53"/>
      <c r="I1002" s="59">
        <v>12.8</v>
      </c>
      <c r="J1002" s="59"/>
      <c r="K1002" s="59"/>
      <c r="L1002" s="59">
        <f t="shared" si="15"/>
        <v>325681.89000000007</v>
      </c>
    </row>
    <row r="1003" spans="1:12" x14ac:dyDescent="0.3">
      <c r="A1003" s="52"/>
      <c r="B1003" s="53" t="s">
        <v>26</v>
      </c>
      <c r="C1003" s="54">
        <v>46177</v>
      </c>
      <c r="D1003" s="53" t="s">
        <v>2121</v>
      </c>
      <c r="E1003" s="53"/>
      <c r="F1003" s="53"/>
      <c r="G1003" s="54"/>
      <c r="H1003" s="53"/>
      <c r="I1003" s="59">
        <v>0.43</v>
      </c>
      <c r="J1003" s="59"/>
      <c r="K1003" s="59"/>
      <c r="L1003" s="59">
        <f t="shared" si="15"/>
        <v>325682.32000000007</v>
      </c>
    </row>
    <row r="1004" spans="1:12" x14ac:dyDescent="0.3">
      <c r="A1004" s="52"/>
      <c r="B1004" s="53" t="s">
        <v>26</v>
      </c>
      <c r="C1004" s="54">
        <v>46177</v>
      </c>
      <c r="D1004" s="53" t="s">
        <v>2122</v>
      </c>
      <c r="E1004" s="53"/>
      <c r="F1004" s="53"/>
      <c r="G1004" s="54"/>
      <c r="H1004" s="53"/>
      <c r="I1004" s="59">
        <v>15.4</v>
      </c>
      <c r="J1004" s="59"/>
      <c r="K1004" s="59"/>
      <c r="L1004" s="59">
        <f t="shared" si="15"/>
        <v>325697.72000000009</v>
      </c>
    </row>
    <row r="1005" spans="1:12" x14ac:dyDescent="0.3">
      <c r="A1005" s="52"/>
      <c r="B1005" s="53" t="s">
        <v>26</v>
      </c>
      <c r="C1005" s="54">
        <v>46177</v>
      </c>
      <c r="D1005" s="53" t="s">
        <v>2123</v>
      </c>
      <c r="E1005" s="53"/>
      <c r="F1005" s="53"/>
      <c r="G1005" s="54"/>
      <c r="H1005" s="53"/>
      <c r="I1005" s="59">
        <v>9.4600000000000009</v>
      </c>
      <c r="J1005" s="59"/>
      <c r="K1005" s="59"/>
      <c r="L1005" s="59">
        <f t="shared" si="15"/>
        <v>325707.18000000011</v>
      </c>
    </row>
    <row r="1006" spans="1:12" x14ac:dyDescent="0.3">
      <c r="A1006" s="52"/>
      <c r="B1006" s="53" t="s">
        <v>26</v>
      </c>
      <c r="C1006" s="54">
        <v>46177</v>
      </c>
      <c r="D1006" s="53" t="s">
        <v>2124</v>
      </c>
      <c r="E1006" s="53"/>
      <c r="F1006" s="53"/>
      <c r="G1006" s="54"/>
      <c r="H1006" s="53"/>
      <c r="I1006" s="59">
        <v>3.4</v>
      </c>
      <c r="J1006" s="59"/>
      <c r="K1006" s="59"/>
      <c r="L1006" s="59">
        <f t="shared" si="15"/>
        <v>325710.58000000013</v>
      </c>
    </row>
    <row r="1007" spans="1:12" x14ac:dyDescent="0.3">
      <c r="A1007" s="52"/>
      <c r="B1007" s="53" t="s">
        <v>26</v>
      </c>
      <c r="C1007" s="54">
        <v>46178</v>
      </c>
      <c r="D1007" s="53" t="s">
        <v>2125</v>
      </c>
      <c r="E1007" s="53"/>
      <c r="F1007" s="53"/>
      <c r="G1007" s="54"/>
      <c r="H1007" s="53"/>
      <c r="I1007" s="59">
        <v>4.5</v>
      </c>
      <c r="J1007" s="59"/>
      <c r="K1007" s="59"/>
      <c r="L1007" s="59">
        <f t="shared" si="15"/>
        <v>325715.08000000013</v>
      </c>
    </row>
    <row r="1008" spans="1:12" x14ac:dyDescent="0.3">
      <c r="A1008" s="52"/>
      <c r="B1008" s="53" t="s">
        <v>26</v>
      </c>
      <c r="C1008" s="54">
        <v>46178</v>
      </c>
      <c r="D1008" s="53" t="s">
        <v>2126</v>
      </c>
      <c r="E1008" s="53"/>
      <c r="F1008" s="53"/>
      <c r="G1008" s="54"/>
      <c r="H1008" s="53"/>
      <c r="I1008" s="59">
        <v>4.4000000000000004</v>
      </c>
      <c r="J1008" s="59"/>
      <c r="K1008" s="59"/>
      <c r="L1008" s="59">
        <f t="shared" si="15"/>
        <v>325719.48000000016</v>
      </c>
    </row>
    <row r="1009" spans="1:12" x14ac:dyDescent="0.3">
      <c r="A1009" s="52"/>
      <c r="B1009" s="53" t="s">
        <v>26</v>
      </c>
      <c r="C1009" s="54">
        <v>46178</v>
      </c>
      <c r="D1009" s="53" t="s">
        <v>2127</v>
      </c>
      <c r="E1009" s="53"/>
      <c r="F1009" s="53"/>
      <c r="G1009" s="54"/>
      <c r="H1009" s="53"/>
      <c r="I1009" s="59">
        <v>7.69</v>
      </c>
      <c r="J1009" s="59"/>
      <c r="K1009" s="59"/>
      <c r="L1009" s="59">
        <f t="shared" si="15"/>
        <v>325727.17000000016</v>
      </c>
    </row>
    <row r="1010" spans="1:12" x14ac:dyDescent="0.3">
      <c r="A1010" s="52"/>
      <c r="B1010" s="53" t="s">
        <v>28</v>
      </c>
      <c r="C1010" s="54">
        <v>46178</v>
      </c>
      <c r="D1010" s="53" t="s">
        <v>1812</v>
      </c>
      <c r="E1010" s="53" t="s">
        <v>207</v>
      </c>
      <c r="F1010" s="53"/>
      <c r="G1010" s="54">
        <v>46177</v>
      </c>
      <c r="H1010" s="53" t="s">
        <v>1813</v>
      </c>
      <c r="I1010" s="59">
        <v>51.2</v>
      </c>
      <c r="J1010" s="59"/>
      <c r="K1010" s="59"/>
      <c r="L1010" s="59">
        <f t="shared" si="15"/>
        <v>325778.37000000017</v>
      </c>
    </row>
    <row r="1011" spans="1:12" x14ac:dyDescent="0.3">
      <c r="A1011" s="52"/>
      <c r="B1011" s="53" t="s">
        <v>26</v>
      </c>
      <c r="C1011" s="54">
        <v>46178</v>
      </c>
      <c r="D1011" s="53" t="s">
        <v>2128</v>
      </c>
      <c r="E1011" s="53"/>
      <c r="F1011" s="53"/>
      <c r="G1011" s="54"/>
      <c r="H1011" s="53"/>
      <c r="I1011" s="59">
        <v>5.41</v>
      </c>
      <c r="J1011" s="59"/>
      <c r="K1011" s="59"/>
      <c r="L1011" s="59">
        <f t="shared" si="15"/>
        <v>325783.78000000014</v>
      </c>
    </row>
    <row r="1012" spans="1:12" x14ac:dyDescent="0.3">
      <c r="A1012" s="52"/>
      <c r="B1012" s="53" t="s">
        <v>26</v>
      </c>
      <c r="C1012" s="54">
        <v>46179</v>
      </c>
      <c r="D1012" s="53" t="s">
        <v>2129</v>
      </c>
      <c r="E1012" s="53"/>
      <c r="F1012" s="53"/>
      <c r="G1012" s="54"/>
      <c r="H1012" s="53"/>
      <c r="I1012" s="59">
        <v>6.7</v>
      </c>
      <c r="J1012" s="59"/>
      <c r="K1012" s="59"/>
      <c r="L1012" s="59">
        <f t="shared" si="15"/>
        <v>325790.48000000016</v>
      </c>
    </row>
    <row r="1013" spans="1:12" x14ac:dyDescent="0.3">
      <c r="A1013" s="52"/>
      <c r="B1013" s="53" t="s">
        <v>26</v>
      </c>
      <c r="C1013" s="54">
        <v>46180</v>
      </c>
      <c r="D1013" s="53" t="s">
        <v>2130</v>
      </c>
      <c r="E1013" s="53"/>
      <c r="F1013" s="53"/>
      <c r="G1013" s="54"/>
      <c r="H1013" s="53"/>
      <c r="I1013" s="59">
        <v>28.45</v>
      </c>
      <c r="J1013" s="59"/>
      <c r="K1013" s="59"/>
      <c r="L1013" s="59">
        <f t="shared" si="15"/>
        <v>325818.93000000017</v>
      </c>
    </row>
    <row r="1014" spans="1:12" x14ac:dyDescent="0.3">
      <c r="A1014" s="52"/>
      <c r="B1014" s="53" t="s">
        <v>26</v>
      </c>
      <c r="C1014" s="54">
        <v>46180</v>
      </c>
      <c r="D1014" s="53" t="s">
        <v>2131</v>
      </c>
      <c r="E1014" s="53"/>
      <c r="F1014" s="53"/>
      <c r="G1014" s="54"/>
      <c r="H1014" s="53"/>
      <c r="I1014" s="59">
        <v>86.5</v>
      </c>
      <c r="J1014" s="59"/>
      <c r="K1014" s="59"/>
      <c r="L1014" s="59">
        <f t="shared" si="15"/>
        <v>325905.43000000017</v>
      </c>
    </row>
    <row r="1015" spans="1:12" x14ac:dyDescent="0.3">
      <c r="A1015" s="52"/>
      <c r="B1015" s="53" t="s">
        <v>26</v>
      </c>
      <c r="C1015" s="54">
        <v>46180</v>
      </c>
      <c r="D1015" s="53" t="s">
        <v>2132</v>
      </c>
      <c r="E1015" s="53"/>
      <c r="F1015" s="53"/>
      <c r="G1015" s="54"/>
      <c r="H1015" s="53"/>
      <c r="I1015" s="59">
        <v>6.51</v>
      </c>
      <c r="J1015" s="59"/>
      <c r="K1015" s="59"/>
      <c r="L1015" s="59">
        <f t="shared" si="15"/>
        <v>325911.94000000018</v>
      </c>
    </row>
    <row r="1016" spans="1:12" x14ac:dyDescent="0.3">
      <c r="A1016" s="52"/>
      <c r="B1016" s="53" t="s">
        <v>26</v>
      </c>
      <c r="C1016" s="54">
        <v>46181</v>
      </c>
      <c r="D1016" s="53" t="s">
        <v>2133</v>
      </c>
      <c r="E1016" s="53"/>
      <c r="F1016" s="53"/>
      <c r="G1016" s="54"/>
      <c r="H1016" s="53"/>
      <c r="I1016" s="59">
        <v>45</v>
      </c>
      <c r="J1016" s="59"/>
      <c r="K1016" s="59"/>
      <c r="L1016" s="59">
        <f t="shared" si="15"/>
        <v>325956.94000000018</v>
      </c>
    </row>
    <row r="1017" spans="1:12" x14ac:dyDescent="0.3">
      <c r="A1017" s="52"/>
      <c r="B1017" s="53" t="s">
        <v>26</v>
      </c>
      <c r="C1017" s="54">
        <v>46181</v>
      </c>
      <c r="D1017" s="53" t="s">
        <v>2134</v>
      </c>
      <c r="E1017" s="53"/>
      <c r="F1017" s="53"/>
      <c r="G1017" s="54"/>
      <c r="H1017" s="53"/>
      <c r="I1017" s="59">
        <v>43.7</v>
      </c>
      <c r="J1017" s="59"/>
      <c r="K1017" s="59"/>
      <c r="L1017" s="59">
        <f t="shared" si="15"/>
        <v>326000.64000000019</v>
      </c>
    </row>
    <row r="1018" spans="1:12" x14ac:dyDescent="0.3">
      <c r="A1018" s="52"/>
      <c r="B1018" s="53" t="s">
        <v>26</v>
      </c>
      <c r="C1018" s="54">
        <v>46181</v>
      </c>
      <c r="D1018" s="53" t="s">
        <v>2135</v>
      </c>
      <c r="E1018" s="53"/>
      <c r="F1018" s="53"/>
      <c r="G1018" s="54"/>
      <c r="H1018" s="53"/>
      <c r="I1018" s="59">
        <v>28.4</v>
      </c>
      <c r="J1018" s="59"/>
      <c r="K1018" s="59"/>
      <c r="L1018" s="59">
        <f t="shared" si="15"/>
        <v>326029.04000000021</v>
      </c>
    </row>
    <row r="1019" spans="1:12" x14ac:dyDescent="0.3">
      <c r="A1019" s="52"/>
      <c r="B1019" s="53" t="s">
        <v>28</v>
      </c>
      <c r="C1019" s="54">
        <v>46181</v>
      </c>
      <c r="D1019" s="53" t="s">
        <v>1814</v>
      </c>
      <c r="E1019" s="53" t="s">
        <v>677</v>
      </c>
      <c r="F1019" s="53"/>
      <c r="G1019" s="54">
        <v>46173</v>
      </c>
      <c r="H1019" s="53" t="s">
        <v>1815</v>
      </c>
      <c r="I1019" s="59">
        <v>10.19</v>
      </c>
      <c r="J1019" s="59"/>
      <c r="K1019" s="59"/>
      <c r="L1019" s="59">
        <f t="shared" si="15"/>
        <v>326039.23000000021</v>
      </c>
    </row>
    <row r="1020" spans="1:12" x14ac:dyDescent="0.3">
      <c r="A1020" s="52"/>
      <c r="B1020" s="53" t="s">
        <v>26</v>
      </c>
      <c r="C1020" s="54">
        <v>46182</v>
      </c>
      <c r="D1020" s="53" t="s">
        <v>2136</v>
      </c>
      <c r="E1020" s="53"/>
      <c r="F1020" s="53"/>
      <c r="G1020" s="54"/>
      <c r="H1020" s="53"/>
      <c r="I1020" s="59">
        <v>4.4000000000000004</v>
      </c>
      <c r="J1020" s="59"/>
      <c r="K1020" s="59"/>
      <c r="L1020" s="59">
        <f t="shared" si="15"/>
        <v>326043.63000000024</v>
      </c>
    </row>
    <row r="1021" spans="1:12" x14ac:dyDescent="0.3">
      <c r="A1021" s="52"/>
      <c r="B1021" s="53" t="s">
        <v>26</v>
      </c>
      <c r="C1021" s="54">
        <v>46182</v>
      </c>
      <c r="D1021" s="53" t="s">
        <v>2137</v>
      </c>
      <c r="E1021" s="53"/>
      <c r="F1021" s="53"/>
      <c r="G1021" s="54"/>
      <c r="H1021" s="53"/>
      <c r="I1021" s="59">
        <v>9.3000000000000007</v>
      </c>
      <c r="J1021" s="59"/>
      <c r="K1021" s="59"/>
      <c r="L1021" s="59">
        <f t="shared" si="15"/>
        <v>326052.93000000023</v>
      </c>
    </row>
    <row r="1022" spans="1:12" x14ac:dyDescent="0.3">
      <c r="A1022" s="52"/>
      <c r="B1022" s="53" t="s">
        <v>26</v>
      </c>
      <c r="C1022" s="54">
        <v>46182</v>
      </c>
      <c r="D1022" s="53" t="s">
        <v>2138</v>
      </c>
      <c r="E1022" s="53"/>
      <c r="F1022" s="53"/>
      <c r="G1022" s="54"/>
      <c r="H1022" s="53"/>
      <c r="I1022" s="59">
        <v>15.4</v>
      </c>
      <c r="J1022" s="59"/>
      <c r="K1022" s="59"/>
      <c r="L1022" s="59">
        <f t="shared" si="15"/>
        <v>326068.33000000025</v>
      </c>
    </row>
    <row r="1023" spans="1:12" x14ac:dyDescent="0.3">
      <c r="A1023" s="52"/>
      <c r="B1023" s="53" t="s">
        <v>26</v>
      </c>
      <c r="C1023" s="54">
        <v>46182</v>
      </c>
      <c r="D1023" s="53" t="s">
        <v>2139</v>
      </c>
      <c r="E1023" s="53"/>
      <c r="F1023" s="53"/>
      <c r="G1023" s="54"/>
      <c r="H1023" s="53"/>
      <c r="I1023" s="59">
        <v>15.8</v>
      </c>
      <c r="J1023" s="59"/>
      <c r="K1023" s="59"/>
      <c r="L1023" s="59">
        <f t="shared" si="15"/>
        <v>326084.13000000024</v>
      </c>
    </row>
    <row r="1024" spans="1:12" x14ac:dyDescent="0.3">
      <c r="A1024" s="52"/>
      <c r="B1024" s="53" t="s">
        <v>26</v>
      </c>
      <c r="C1024" s="54">
        <v>46182</v>
      </c>
      <c r="D1024" s="53" t="s">
        <v>2140</v>
      </c>
      <c r="E1024" s="53"/>
      <c r="F1024" s="53"/>
      <c r="G1024" s="54"/>
      <c r="H1024" s="53"/>
      <c r="I1024" s="59">
        <v>12.8</v>
      </c>
      <c r="J1024" s="59"/>
      <c r="K1024" s="59"/>
      <c r="L1024" s="59">
        <f t="shared" si="15"/>
        <v>326096.93000000023</v>
      </c>
    </row>
    <row r="1025" spans="1:12" x14ac:dyDescent="0.3">
      <c r="A1025" s="52"/>
      <c r="B1025" s="53" t="s">
        <v>26</v>
      </c>
      <c r="C1025" s="54">
        <v>46182</v>
      </c>
      <c r="D1025" s="53" t="s">
        <v>2141</v>
      </c>
      <c r="E1025" s="53"/>
      <c r="F1025" s="53"/>
      <c r="G1025" s="54"/>
      <c r="H1025" s="53"/>
      <c r="I1025" s="59">
        <v>10.8</v>
      </c>
      <c r="J1025" s="59"/>
      <c r="K1025" s="59"/>
      <c r="L1025" s="59">
        <f t="shared" si="15"/>
        <v>326107.73000000021</v>
      </c>
    </row>
    <row r="1026" spans="1:12" x14ac:dyDescent="0.3">
      <c r="A1026" s="52"/>
      <c r="B1026" s="53" t="s">
        <v>26</v>
      </c>
      <c r="C1026" s="54">
        <v>46182</v>
      </c>
      <c r="D1026" s="53" t="s">
        <v>2142</v>
      </c>
      <c r="E1026" s="53"/>
      <c r="F1026" s="53"/>
      <c r="G1026" s="54"/>
      <c r="H1026" s="53"/>
      <c r="I1026" s="59">
        <v>8</v>
      </c>
      <c r="J1026" s="59"/>
      <c r="K1026" s="59"/>
      <c r="L1026" s="59">
        <f t="shared" si="15"/>
        <v>326115.73000000021</v>
      </c>
    </row>
    <row r="1027" spans="1:12" x14ac:dyDescent="0.3">
      <c r="A1027" s="52"/>
      <c r="B1027" s="53" t="s">
        <v>26</v>
      </c>
      <c r="C1027" s="54">
        <v>46183</v>
      </c>
      <c r="D1027" s="53" t="s">
        <v>2143</v>
      </c>
      <c r="E1027" s="53"/>
      <c r="F1027" s="53"/>
      <c r="G1027" s="54"/>
      <c r="H1027" s="53"/>
      <c r="I1027" s="59">
        <v>270</v>
      </c>
      <c r="J1027" s="59"/>
      <c r="K1027" s="59"/>
      <c r="L1027" s="59">
        <f t="shared" si="15"/>
        <v>326385.73000000021</v>
      </c>
    </row>
    <row r="1028" spans="1:12" x14ac:dyDescent="0.3">
      <c r="A1028" s="52"/>
      <c r="B1028" s="53" t="s">
        <v>26</v>
      </c>
      <c r="C1028" s="54">
        <v>46183</v>
      </c>
      <c r="D1028" s="53" t="s">
        <v>2144</v>
      </c>
      <c r="E1028" s="53"/>
      <c r="F1028" s="53"/>
      <c r="G1028" s="54"/>
      <c r="H1028" s="53"/>
      <c r="I1028" s="59">
        <v>16</v>
      </c>
      <c r="J1028" s="59"/>
      <c r="K1028" s="59"/>
      <c r="L1028" s="59">
        <f t="shared" si="15"/>
        <v>326401.73000000021</v>
      </c>
    </row>
    <row r="1029" spans="1:12" x14ac:dyDescent="0.3">
      <c r="A1029" s="52"/>
      <c r="B1029" s="53" t="s">
        <v>26</v>
      </c>
      <c r="C1029" s="54">
        <v>46183</v>
      </c>
      <c r="D1029" s="53" t="s">
        <v>2145</v>
      </c>
      <c r="E1029" s="53"/>
      <c r="F1029" s="53"/>
      <c r="G1029" s="54"/>
      <c r="H1029" s="53"/>
      <c r="I1029" s="59">
        <v>2.4</v>
      </c>
      <c r="J1029" s="59"/>
      <c r="K1029" s="59"/>
      <c r="L1029" s="59">
        <f t="shared" si="15"/>
        <v>326404.13000000024</v>
      </c>
    </row>
    <row r="1030" spans="1:12" x14ac:dyDescent="0.3">
      <c r="A1030" s="52"/>
      <c r="B1030" s="53" t="s">
        <v>26</v>
      </c>
      <c r="C1030" s="54">
        <v>46183</v>
      </c>
      <c r="D1030" s="53" t="s">
        <v>2146</v>
      </c>
      <c r="E1030" s="53"/>
      <c r="F1030" s="53"/>
      <c r="G1030" s="54"/>
      <c r="H1030" s="53"/>
      <c r="I1030" s="59">
        <v>3.61</v>
      </c>
      <c r="J1030" s="59"/>
      <c r="K1030" s="59"/>
      <c r="L1030" s="59">
        <f t="shared" si="15"/>
        <v>326407.74000000022</v>
      </c>
    </row>
    <row r="1031" spans="1:12" x14ac:dyDescent="0.3">
      <c r="A1031" s="52"/>
      <c r="B1031" s="53" t="s">
        <v>26</v>
      </c>
      <c r="C1031" s="54">
        <v>46183</v>
      </c>
      <c r="D1031" s="53" t="s">
        <v>2147</v>
      </c>
      <c r="E1031" s="53"/>
      <c r="F1031" s="53"/>
      <c r="G1031" s="54"/>
      <c r="H1031" s="53"/>
      <c r="I1031" s="59">
        <v>15.4</v>
      </c>
      <c r="J1031" s="59"/>
      <c r="K1031" s="59"/>
      <c r="L1031" s="59">
        <f t="shared" si="15"/>
        <v>326423.14000000025</v>
      </c>
    </row>
    <row r="1032" spans="1:12" x14ac:dyDescent="0.3">
      <c r="A1032" s="52"/>
      <c r="B1032" s="53" t="s">
        <v>26</v>
      </c>
      <c r="C1032" s="54">
        <v>46183</v>
      </c>
      <c r="D1032" s="53" t="s">
        <v>2148</v>
      </c>
      <c r="E1032" s="53"/>
      <c r="F1032" s="53"/>
      <c r="G1032" s="54"/>
      <c r="H1032" s="53"/>
      <c r="I1032" s="59">
        <v>98</v>
      </c>
      <c r="J1032" s="59"/>
      <c r="K1032" s="59"/>
      <c r="L1032" s="59">
        <f t="shared" si="15"/>
        <v>326521.14000000025</v>
      </c>
    </row>
    <row r="1033" spans="1:12" x14ac:dyDescent="0.3">
      <c r="A1033" s="52"/>
      <c r="B1033" s="53" t="s">
        <v>26</v>
      </c>
      <c r="C1033" s="54">
        <v>46183</v>
      </c>
      <c r="D1033" s="53" t="s">
        <v>2149</v>
      </c>
      <c r="E1033" s="53"/>
      <c r="F1033" s="53"/>
      <c r="G1033" s="54"/>
      <c r="H1033" s="53"/>
      <c r="I1033" s="59">
        <v>3.61</v>
      </c>
      <c r="J1033" s="59"/>
      <c r="K1033" s="59"/>
      <c r="L1033" s="59">
        <f t="shared" si="15"/>
        <v>326524.75000000023</v>
      </c>
    </row>
    <row r="1034" spans="1:12" x14ac:dyDescent="0.3">
      <c r="A1034" s="52"/>
      <c r="B1034" s="53" t="s">
        <v>28</v>
      </c>
      <c r="C1034" s="54">
        <v>46183</v>
      </c>
      <c r="D1034" s="53" t="s">
        <v>1816</v>
      </c>
      <c r="E1034" s="53" t="s">
        <v>197</v>
      </c>
      <c r="F1034" s="53" t="s">
        <v>1817</v>
      </c>
      <c r="G1034" s="54">
        <v>46182</v>
      </c>
      <c r="H1034" s="53" t="s">
        <v>1818</v>
      </c>
      <c r="I1034" s="59">
        <v>150.51</v>
      </c>
      <c r="J1034" s="59"/>
      <c r="K1034" s="59"/>
      <c r="L1034" s="59">
        <f t="shared" si="15"/>
        <v>326675.26000000024</v>
      </c>
    </row>
    <row r="1035" spans="1:12" x14ac:dyDescent="0.3">
      <c r="A1035" s="52"/>
      <c r="B1035" s="53" t="s">
        <v>26</v>
      </c>
      <c r="C1035" s="54">
        <v>46183</v>
      </c>
      <c r="D1035" s="53" t="s">
        <v>2150</v>
      </c>
      <c r="E1035" s="53"/>
      <c r="F1035" s="53"/>
      <c r="G1035" s="54"/>
      <c r="H1035" s="53"/>
      <c r="I1035" s="59">
        <v>7.1</v>
      </c>
      <c r="J1035" s="59"/>
      <c r="K1035" s="59"/>
      <c r="L1035" s="59">
        <f t="shared" ref="L1035:L1098" si="16">L1034+I1035-K1035</f>
        <v>326682.36000000022</v>
      </c>
    </row>
    <row r="1036" spans="1:12" x14ac:dyDescent="0.3">
      <c r="A1036" s="52"/>
      <c r="B1036" s="53" t="s">
        <v>26</v>
      </c>
      <c r="C1036" s="54">
        <v>46183</v>
      </c>
      <c r="D1036" s="53" t="s">
        <v>2151</v>
      </c>
      <c r="E1036" s="53"/>
      <c r="F1036" s="53"/>
      <c r="G1036" s="54"/>
      <c r="H1036" s="53"/>
      <c r="I1036" s="59">
        <v>24.6</v>
      </c>
      <c r="J1036" s="59"/>
      <c r="K1036" s="59"/>
      <c r="L1036" s="59">
        <f t="shared" si="16"/>
        <v>326706.9600000002</v>
      </c>
    </row>
    <row r="1037" spans="1:12" x14ac:dyDescent="0.3">
      <c r="A1037" s="52"/>
      <c r="B1037" s="53" t="s">
        <v>26</v>
      </c>
      <c r="C1037" s="54">
        <v>46183</v>
      </c>
      <c r="D1037" s="53" t="s">
        <v>2152</v>
      </c>
      <c r="E1037" s="53"/>
      <c r="F1037" s="53"/>
      <c r="G1037" s="54"/>
      <c r="H1037" s="53"/>
      <c r="I1037" s="59">
        <v>11.27</v>
      </c>
      <c r="J1037" s="59"/>
      <c r="K1037" s="59"/>
      <c r="L1037" s="59">
        <f t="shared" si="16"/>
        <v>326718.23000000021</v>
      </c>
    </row>
    <row r="1038" spans="1:12" x14ac:dyDescent="0.3">
      <c r="A1038" s="52"/>
      <c r="B1038" s="53" t="s">
        <v>26</v>
      </c>
      <c r="C1038" s="54">
        <v>46183</v>
      </c>
      <c r="D1038" s="53" t="s">
        <v>2153</v>
      </c>
      <c r="E1038" s="53"/>
      <c r="F1038" s="53"/>
      <c r="G1038" s="54"/>
      <c r="H1038" s="53"/>
      <c r="I1038" s="59">
        <v>11.88</v>
      </c>
      <c r="J1038" s="59"/>
      <c r="K1038" s="59"/>
      <c r="L1038" s="59">
        <f t="shared" si="16"/>
        <v>326730.11000000022</v>
      </c>
    </row>
    <row r="1039" spans="1:12" x14ac:dyDescent="0.3">
      <c r="A1039" s="52"/>
      <c r="B1039" s="53" t="s">
        <v>26</v>
      </c>
      <c r="C1039" s="54">
        <v>46184</v>
      </c>
      <c r="D1039" s="53" t="s">
        <v>2154</v>
      </c>
      <c r="E1039" s="53"/>
      <c r="F1039" s="53"/>
      <c r="G1039" s="54"/>
      <c r="H1039" s="53"/>
      <c r="I1039" s="59">
        <v>3.61</v>
      </c>
      <c r="J1039" s="59"/>
      <c r="K1039" s="59"/>
      <c r="L1039" s="59">
        <f t="shared" si="16"/>
        <v>326733.7200000002</v>
      </c>
    </row>
    <row r="1040" spans="1:12" x14ac:dyDescent="0.3">
      <c r="A1040" s="52"/>
      <c r="B1040" s="53" t="s">
        <v>26</v>
      </c>
      <c r="C1040" s="54">
        <v>46184</v>
      </c>
      <c r="D1040" s="53" t="s">
        <v>2155</v>
      </c>
      <c r="E1040" s="53"/>
      <c r="F1040" s="53"/>
      <c r="G1040" s="54"/>
      <c r="H1040" s="53"/>
      <c r="I1040" s="59">
        <v>15.4</v>
      </c>
      <c r="J1040" s="59"/>
      <c r="K1040" s="59"/>
      <c r="L1040" s="59">
        <f t="shared" si="16"/>
        <v>326749.12000000023</v>
      </c>
    </row>
    <row r="1041" spans="1:12" x14ac:dyDescent="0.3">
      <c r="A1041" s="52"/>
      <c r="B1041" s="53" t="s">
        <v>26</v>
      </c>
      <c r="C1041" s="54">
        <v>46184</v>
      </c>
      <c r="D1041" s="53" t="s">
        <v>2156</v>
      </c>
      <c r="E1041" s="53"/>
      <c r="F1041" s="53"/>
      <c r="G1041" s="54"/>
      <c r="H1041" s="53"/>
      <c r="I1041" s="59">
        <v>3.9</v>
      </c>
      <c r="J1041" s="59"/>
      <c r="K1041" s="59"/>
      <c r="L1041" s="59">
        <f t="shared" si="16"/>
        <v>326753.02000000025</v>
      </c>
    </row>
    <row r="1042" spans="1:12" x14ac:dyDescent="0.3">
      <c r="A1042" s="52"/>
      <c r="B1042" s="53" t="s">
        <v>26</v>
      </c>
      <c r="C1042" s="54">
        <v>46184</v>
      </c>
      <c r="D1042" s="53" t="s">
        <v>2157</v>
      </c>
      <c r="E1042" s="53"/>
      <c r="F1042" s="53"/>
      <c r="G1042" s="54"/>
      <c r="H1042" s="53"/>
      <c r="I1042" s="59">
        <v>12.33</v>
      </c>
      <c r="J1042" s="59"/>
      <c r="K1042" s="59"/>
      <c r="L1042" s="59">
        <f t="shared" si="16"/>
        <v>326765.35000000027</v>
      </c>
    </row>
    <row r="1043" spans="1:12" x14ac:dyDescent="0.3">
      <c r="A1043" s="52"/>
      <c r="B1043" s="53" t="s">
        <v>26</v>
      </c>
      <c r="C1043" s="54">
        <v>46184</v>
      </c>
      <c r="D1043" s="53" t="s">
        <v>2158</v>
      </c>
      <c r="E1043" s="53"/>
      <c r="F1043" s="53"/>
      <c r="G1043" s="54"/>
      <c r="H1043" s="53"/>
      <c r="I1043" s="59">
        <v>11.3</v>
      </c>
      <c r="J1043" s="59"/>
      <c r="K1043" s="59"/>
      <c r="L1043" s="59">
        <f t="shared" si="16"/>
        <v>326776.65000000026</v>
      </c>
    </row>
    <row r="1044" spans="1:12" x14ac:dyDescent="0.3">
      <c r="A1044" s="52"/>
      <c r="B1044" s="53" t="s">
        <v>26</v>
      </c>
      <c r="C1044" s="54">
        <v>46184</v>
      </c>
      <c r="D1044" s="53" t="s">
        <v>2159</v>
      </c>
      <c r="E1044" s="53"/>
      <c r="F1044" s="53"/>
      <c r="G1044" s="54"/>
      <c r="H1044" s="53"/>
      <c r="I1044" s="59">
        <v>13.2</v>
      </c>
      <c r="J1044" s="59"/>
      <c r="K1044" s="59"/>
      <c r="L1044" s="59">
        <f t="shared" si="16"/>
        <v>326789.85000000027</v>
      </c>
    </row>
    <row r="1045" spans="1:12" x14ac:dyDescent="0.3">
      <c r="A1045" s="52"/>
      <c r="B1045" s="53" t="s">
        <v>26</v>
      </c>
      <c r="C1045" s="54">
        <v>46184</v>
      </c>
      <c r="D1045" s="53" t="s">
        <v>2160</v>
      </c>
      <c r="E1045" s="53"/>
      <c r="F1045" s="53"/>
      <c r="G1045" s="54"/>
      <c r="H1045" s="53"/>
      <c r="I1045" s="59">
        <v>2.2000000000000002</v>
      </c>
      <c r="J1045" s="59"/>
      <c r="K1045" s="59"/>
      <c r="L1045" s="59">
        <f t="shared" si="16"/>
        <v>326792.05000000028</v>
      </c>
    </row>
    <row r="1046" spans="1:12" x14ac:dyDescent="0.3">
      <c r="A1046" s="52"/>
      <c r="B1046" s="53" t="s">
        <v>26</v>
      </c>
      <c r="C1046" s="54">
        <v>46184</v>
      </c>
      <c r="D1046" s="53" t="s">
        <v>2161</v>
      </c>
      <c r="E1046" s="53"/>
      <c r="F1046" s="53"/>
      <c r="G1046" s="54"/>
      <c r="H1046" s="53"/>
      <c r="I1046" s="59">
        <v>1.2</v>
      </c>
      <c r="J1046" s="59"/>
      <c r="K1046" s="59"/>
      <c r="L1046" s="59">
        <f t="shared" si="16"/>
        <v>326793.25000000029</v>
      </c>
    </row>
    <row r="1047" spans="1:12" x14ac:dyDescent="0.3">
      <c r="A1047" s="52"/>
      <c r="B1047" s="53" t="s">
        <v>26</v>
      </c>
      <c r="C1047" s="54">
        <v>46184</v>
      </c>
      <c r="D1047" s="53" t="s">
        <v>2162</v>
      </c>
      <c r="E1047" s="53"/>
      <c r="F1047" s="53"/>
      <c r="G1047" s="54"/>
      <c r="H1047" s="53"/>
      <c r="I1047" s="59">
        <v>33.25</v>
      </c>
      <c r="J1047" s="59"/>
      <c r="K1047" s="59"/>
      <c r="L1047" s="59">
        <f t="shared" si="16"/>
        <v>326826.50000000029</v>
      </c>
    </row>
    <row r="1048" spans="1:12" x14ac:dyDescent="0.3">
      <c r="A1048" s="52"/>
      <c r="B1048" s="53" t="s">
        <v>26</v>
      </c>
      <c r="C1048" s="54">
        <v>46185</v>
      </c>
      <c r="D1048" s="53" t="s">
        <v>2163</v>
      </c>
      <c r="E1048" s="53"/>
      <c r="F1048" s="53"/>
      <c r="G1048" s="54"/>
      <c r="H1048" s="53"/>
      <c r="I1048" s="59">
        <v>204.46</v>
      </c>
      <c r="J1048" s="59"/>
      <c r="K1048" s="59"/>
      <c r="L1048" s="59">
        <f t="shared" si="16"/>
        <v>327030.96000000031</v>
      </c>
    </row>
    <row r="1049" spans="1:12" x14ac:dyDescent="0.3">
      <c r="A1049" s="52"/>
      <c r="B1049" s="53" t="s">
        <v>26</v>
      </c>
      <c r="C1049" s="54">
        <v>46185</v>
      </c>
      <c r="D1049" s="53" t="s">
        <v>2164</v>
      </c>
      <c r="E1049" s="53"/>
      <c r="F1049" s="53"/>
      <c r="G1049" s="54"/>
      <c r="H1049" s="53"/>
      <c r="I1049" s="59">
        <v>45</v>
      </c>
      <c r="J1049" s="59"/>
      <c r="K1049" s="59"/>
      <c r="L1049" s="59">
        <f t="shared" si="16"/>
        <v>327075.96000000031</v>
      </c>
    </row>
    <row r="1050" spans="1:12" x14ac:dyDescent="0.3">
      <c r="A1050" s="52"/>
      <c r="B1050" s="53" t="s">
        <v>26</v>
      </c>
      <c r="C1050" s="54">
        <v>46185</v>
      </c>
      <c r="D1050" s="53" t="s">
        <v>2165</v>
      </c>
      <c r="E1050" s="53"/>
      <c r="F1050" s="53"/>
      <c r="G1050" s="54"/>
      <c r="H1050" s="53"/>
      <c r="I1050" s="59">
        <v>62.5</v>
      </c>
      <c r="J1050" s="59"/>
      <c r="K1050" s="59"/>
      <c r="L1050" s="59">
        <f t="shared" si="16"/>
        <v>327138.46000000031</v>
      </c>
    </row>
    <row r="1051" spans="1:12" x14ac:dyDescent="0.3">
      <c r="A1051" s="52"/>
      <c r="B1051" s="53" t="s">
        <v>28</v>
      </c>
      <c r="C1051" s="54">
        <v>46185</v>
      </c>
      <c r="D1051" s="53" t="s">
        <v>1819</v>
      </c>
      <c r="E1051" s="53" t="s">
        <v>207</v>
      </c>
      <c r="F1051" s="53"/>
      <c r="G1051" s="54">
        <v>46184</v>
      </c>
      <c r="H1051" s="53" t="s">
        <v>1820</v>
      </c>
      <c r="I1051" s="59">
        <v>51.2</v>
      </c>
      <c r="J1051" s="59"/>
      <c r="K1051" s="59"/>
      <c r="L1051" s="59">
        <f t="shared" si="16"/>
        <v>327189.66000000032</v>
      </c>
    </row>
    <row r="1052" spans="1:12" x14ac:dyDescent="0.3">
      <c r="A1052" s="52"/>
      <c r="B1052" s="53" t="s">
        <v>26</v>
      </c>
      <c r="C1052" s="54">
        <v>46185</v>
      </c>
      <c r="D1052" s="53" t="s">
        <v>2166</v>
      </c>
      <c r="E1052" s="53"/>
      <c r="F1052" s="53"/>
      <c r="G1052" s="54"/>
      <c r="H1052" s="53"/>
      <c r="I1052" s="59">
        <v>18</v>
      </c>
      <c r="J1052" s="59"/>
      <c r="K1052" s="59"/>
      <c r="L1052" s="59">
        <f t="shared" si="16"/>
        <v>327207.66000000032</v>
      </c>
    </row>
    <row r="1053" spans="1:12" x14ac:dyDescent="0.3">
      <c r="A1053" s="52"/>
      <c r="B1053" s="53" t="s">
        <v>26</v>
      </c>
      <c r="C1053" s="54">
        <v>46185</v>
      </c>
      <c r="D1053" s="53" t="s">
        <v>2167</v>
      </c>
      <c r="E1053" s="53"/>
      <c r="F1053" s="53"/>
      <c r="G1053" s="54"/>
      <c r="H1053" s="53"/>
      <c r="I1053" s="59">
        <v>2.4500000000000002</v>
      </c>
      <c r="J1053" s="59"/>
      <c r="K1053" s="59"/>
      <c r="L1053" s="59">
        <f t="shared" si="16"/>
        <v>327210.11000000034</v>
      </c>
    </row>
    <row r="1054" spans="1:12" x14ac:dyDescent="0.3">
      <c r="A1054" s="52"/>
      <c r="B1054" s="53" t="s">
        <v>26</v>
      </c>
      <c r="C1054" s="54">
        <v>46185</v>
      </c>
      <c r="D1054" s="53" t="s">
        <v>2168</v>
      </c>
      <c r="E1054" s="53"/>
      <c r="F1054" s="53"/>
      <c r="G1054" s="54"/>
      <c r="H1054" s="53"/>
      <c r="I1054" s="59">
        <v>55</v>
      </c>
      <c r="J1054" s="59"/>
      <c r="K1054" s="59"/>
      <c r="L1054" s="59">
        <f t="shared" si="16"/>
        <v>327265.11000000034</v>
      </c>
    </row>
    <row r="1055" spans="1:12" x14ac:dyDescent="0.3">
      <c r="A1055" s="52"/>
      <c r="B1055" s="53" t="s">
        <v>26</v>
      </c>
      <c r="C1055" s="54">
        <v>46185</v>
      </c>
      <c r="D1055" s="53" t="s">
        <v>2169</v>
      </c>
      <c r="E1055" s="53"/>
      <c r="F1055" s="53"/>
      <c r="G1055" s="54"/>
      <c r="H1055" s="53"/>
      <c r="I1055" s="59">
        <v>3.03</v>
      </c>
      <c r="J1055" s="59"/>
      <c r="K1055" s="59"/>
      <c r="L1055" s="59">
        <f t="shared" si="16"/>
        <v>327268.14000000036</v>
      </c>
    </row>
    <row r="1056" spans="1:12" x14ac:dyDescent="0.3">
      <c r="A1056" s="52"/>
      <c r="B1056" s="53" t="s">
        <v>26</v>
      </c>
      <c r="C1056" s="54">
        <v>46185</v>
      </c>
      <c r="D1056" s="53" t="s">
        <v>2170</v>
      </c>
      <c r="E1056" s="53"/>
      <c r="F1056" s="53"/>
      <c r="G1056" s="54"/>
      <c r="H1056" s="53"/>
      <c r="I1056" s="59">
        <v>3.03</v>
      </c>
      <c r="J1056" s="59"/>
      <c r="K1056" s="59"/>
      <c r="L1056" s="59">
        <f t="shared" si="16"/>
        <v>327271.17000000039</v>
      </c>
    </row>
    <row r="1057" spans="1:12" x14ac:dyDescent="0.3">
      <c r="A1057" s="52"/>
      <c r="B1057" s="53" t="s">
        <v>26</v>
      </c>
      <c r="C1057" s="54">
        <v>46186</v>
      </c>
      <c r="D1057" s="53" t="s">
        <v>2171</v>
      </c>
      <c r="E1057" s="53"/>
      <c r="F1057" s="53"/>
      <c r="G1057" s="54"/>
      <c r="H1057" s="53"/>
      <c r="I1057" s="59">
        <v>26</v>
      </c>
      <c r="J1057" s="59"/>
      <c r="K1057" s="59"/>
      <c r="L1057" s="59">
        <f t="shared" si="16"/>
        <v>327297.17000000039</v>
      </c>
    </row>
    <row r="1058" spans="1:12" x14ac:dyDescent="0.3">
      <c r="A1058" s="52"/>
      <c r="B1058" s="53" t="s">
        <v>26</v>
      </c>
      <c r="C1058" s="54">
        <v>46186</v>
      </c>
      <c r="D1058" s="53" t="s">
        <v>2172</v>
      </c>
      <c r="E1058" s="53"/>
      <c r="F1058" s="53"/>
      <c r="G1058" s="54"/>
      <c r="H1058" s="53"/>
      <c r="I1058" s="59">
        <v>16.77</v>
      </c>
      <c r="J1058" s="59"/>
      <c r="K1058" s="59"/>
      <c r="L1058" s="59">
        <f t="shared" si="16"/>
        <v>327313.94000000041</v>
      </c>
    </row>
    <row r="1059" spans="1:12" x14ac:dyDescent="0.3">
      <c r="A1059" s="52"/>
      <c r="B1059" s="53" t="s">
        <v>26</v>
      </c>
      <c r="C1059" s="54">
        <v>46188</v>
      </c>
      <c r="D1059" s="53" t="s">
        <v>2173</v>
      </c>
      <c r="E1059" s="53"/>
      <c r="F1059" s="53"/>
      <c r="G1059" s="54"/>
      <c r="H1059" s="53"/>
      <c r="I1059" s="59">
        <v>3</v>
      </c>
      <c r="J1059" s="59"/>
      <c r="K1059" s="59"/>
      <c r="L1059" s="59">
        <f t="shared" si="16"/>
        <v>327316.94000000041</v>
      </c>
    </row>
    <row r="1060" spans="1:12" x14ac:dyDescent="0.3">
      <c r="A1060" s="52"/>
      <c r="B1060" s="53" t="s">
        <v>26</v>
      </c>
      <c r="C1060" s="54">
        <v>46188</v>
      </c>
      <c r="D1060" s="53" t="s">
        <v>2174</v>
      </c>
      <c r="E1060" s="53"/>
      <c r="F1060" s="53"/>
      <c r="G1060" s="54"/>
      <c r="H1060" s="53"/>
      <c r="I1060" s="59">
        <v>15.6</v>
      </c>
      <c r="J1060" s="59"/>
      <c r="K1060" s="59"/>
      <c r="L1060" s="59">
        <f t="shared" si="16"/>
        <v>327332.54000000039</v>
      </c>
    </row>
    <row r="1061" spans="1:12" x14ac:dyDescent="0.3">
      <c r="A1061" s="52"/>
      <c r="B1061" s="53" t="s">
        <v>28</v>
      </c>
      <c r="C1061" s="54">
        <v>46188</v>
      </c>
      <c r="D1061" s="53" t="s">
        <v>1823</v>
      </c>
      <c r="E1061" s="53" t="s">
        <v>703</v>
      </c>
      <c r="F1061" s="53"/>
      <c r="G1061" s="54">
        <v>46186</v>
      </c>
      <c r="H1061" s="53" t="s">
        <v>1824</v>
      </c>
      <c r="I1061" s="59">
        <v>136.38</v>
      </c>
      <c r="J1061" s="59"/>
      <c r="K1061" s="59"/>
      <c r="L1061" s="59">
        <f t="shared" si="16"/>
        <v>327468.92000000039</v>
      </c>
    </row>
    <row r="1062" spans="1:12" x14ac:dyDescent="0.3">
      <c r="A1062" s="52"/>
      <c r="B1062" s="53" t="s">
        <v>26</v>
      </c>
      <c r="C1062" s="54">
        <v>46188</v>
      </c>
      <c r="D1062" s="53" t="s">
        <v>2175</v>
      </c>
      <c r="E1062" s="53"/>
      <c r="F1062" s="53"/>
      <c r="G1062" s="54"/>
      <c r="H1062" s="53"/>
      <c r="I1062" s="59">
        <v>37.700000000000003</v>
      </c>
      <c r="J1062" s="59"/>
      <c r="K1062" s="59"/>
      <c r="L1062" s="59">
        <f t="shared" si="16"/>
        <v>327506.6200000004</v>
      </c>
    </row>
    <row r="1063" spans="1:12" x14ac:dyDescent="0.3">
      <c r="A1063" s="52"/>
      <c r="B1063" s="53" t="s">
        <v>26</v>
      </c>
      <c r="C1063" s="54">
        <v>46188</v>
      </c>
      <c r="D1063" s="53" t="s">
        <v>2176</v>
      </c>
      <c r="E1063" s="53"/>
      <c r="F1063" s="53"/>
      <c r="G1063" s="54"/>
      <c r="H1063" s="53"/>
      <c r="I1063" s="59">
        <v>69</v>
      </c>
      <c r="J1063" s="59"/>
      <c r="K1063" s="59"/>
      <c r="L1063" s="59">
        <f t="shared" si="16"/>
        <v>327575.6200000004</v>
      </c>
    </row>
    <row r="1064" spans="1:12" x14ac:dyDescent="0.3">
      <c r="A1064" s="52"/>
      <c r="B1064" s="53" t="s">
        <v>26</v>
      </c>
      <c r="C1064" s="54">
        <v>46188</v>
      </c>
      <c r="D1064" s="53" t="s">
        <v>2177</v>
      </c>
      <c r="E1064" s="53"/>
      <c r="F1064" s="53"/>
      <c r="G1064" s="54"/>
      <c r="H1064" s="53"/>
      <c r="I1064" s="59">
        <v>11.94</v>
      </c>
      <c r="J1064" s="59"/>
      <c r="K1064" s="59"/>
      <c r="L1064" s="59">
        <f t="shared" si="16"/>
        <v>327587.56000000041</v>
      </c>
    </row>
    <row r="1065" spans="1:12" x14ac:dyDescent="0.3">
      <c r="A1065" s="52"/>
      <c r="B1065" s="53" t="s">
        <v>28</v>
      </c>
      <c r="C1065" s="54">
        <v>46188</v>
      </c>
      <c r="D1065" s="53" t="s">
        <v>1821</v>
      </c>
      <c r="E1065" s="53" t="s">
        <v>194</v>
      </c>
      <c r="F1065" s="53"/>
      <c r="G1065" s="54">
        <v>46185</v>
      </c>
      <c r="H1065" s="53" t="s">
        <v>1822</v>
      </c>
      <c r="I1065" s="59">
        <v>1782.27</v>
      </c>
      <c r="J1065" s="59"/>
      <c r="K1065" s="59"/>
      <c r="L1065" s="59">
        <f t="shared" si="16"/>
        <v>329369.83000000042</v>
      </c>
    </row>
    <row r="1066" spans="1:12" x14ac:dyDescent="0.3">
      <c r="A1066" s="52"/>
      <c r="B1066" s="53" t="s">
        <v>26</v>
      </c>
      <c r="C1066" s="54">
        <v>46188</v>
      </c>
      <c r="D1066" s="53" t="s">
        <v>2178</v>
      </c>
      <c r="E1066" s="53"/>
      <c r="F1066" s="53"/>
      <c r="G1066" s="54"/>
      <c r="H1066" s="53"/>
      <c r="I1066" s="59">
        <v>6.3</v>
      </c>
      <c r="J1066" s="59"/>
      <c r="K1066" s="59"/>
      <c r="L1066" s="59">
        <f t="shared" si="16"/>
        <v>329376.13000000041</v>
      </c>
    </row>
    <row r="1067" spans="1:12" x14ac:dyDescent="0.3">
      <c r="A1067" s="52"/>
      <c r="B1067" s="53" t="s">
        <v>26</v>
      </c>
      <c r="C1067" s="54">
        <v>46188</v>
      </c>
      <c r="D1067" s="53" t="s">
        <v>2179</v>
      </c>
      <c r="E1067" s="53"/>
      <c r="F1067" s="53"/>
      <c r="G1067" s="54"/>
      <c r="H1067" s="53"/>
      <c r="I1067" s="59">
        <v>7.5</v>
      </c>
      <c r="J1067" s="59"/>
      <c r="K1067" s="59"/>
      <c r="L1067" s="59">
        <f t="shared" si="16"/>
        <v>329383.63000000041</v>
      </c>
    </row>
    <row r="1068" spans="1:12" x14ac:dyDescent="0.3">
      <c r="A1068" s="52"/>
      <c r="B1068" s="53" t="s">
        <v>26</v>
      </c>
      <c r="C1068" s="54">
        <v>46188</v>
      </c>
      <c r="D1068" s="53" t="s">
        <v>2180</v>
      </c>
      <c r="E1068" s="53"/>
      <c r="F1068" s="53"/>
      <c r="G1068" s="54"/>
      <c r="H1068" s="53"/>
      <c r="I1068" s="59">
        <v>6.9</v>
      </c>
      <c r="J1068" s="59"/>
      <c r="K1068" s="59"/>
      <c r="L1068" s="59">
        <f t="shared" si="16"/>
        <v>329390.53000000044</v>
      </c>
    </row>
    <row r="1069" spans="1:12" x14ac:dyDescent="0.3">
      <c r="A1069" s="52"/>
      <c r="B1069" s="53" t="s">
        <v>26</v>
      </c>
      <c r="C1069" s="54">
        <v>46188</v>
      </c>
      <c r="D1069" s="53" t="s">
        <v>2181</v>
      </c>
      <c r="E1069" s="53"/>
      <c r="F1069" s="53"/>
      <c r="G1069" s="54"/>
      <c r="H1069" s="53"/>
      <c r="I1069" s="59">
        <v>15.4</v>
      </c>
      <c r="J1069" s="59"/>
      <c r="K1069" s="59"/>
      <c r="L1069" s="59">
        <f t="shared" si="16"/>
        <v>329405.93000000046</v>
      </c>
    </row>
    <row r="1070" spans="1:12" x14ac:dyDescent="0.3">
      <c r="A1070" s="52"/>
      <c r="B1070" s="53" t="s">
        <v>26</v>
      </c>
      <c r="C1070" s="54">
        <v>46188</v>
      </c>
      <c r="D1070" s="53" t="s">
        <v>2182</v>
      </c>
      <c r="E1070" s="53"/>
      <c r="F1070" s="53"/>
      <c r="G1070" s="54"/>
      <c r="H1070" s="53"/>
      <c r="I1070" s="59">
        <v>10.199999999999999</v>
      </c>
      <c r="J1070" s="59"/>
      <c r="K1070" s="59"/>
      <c r="L1070" s="59">
        <f t="shared" si="16"/>
        <v>329416.13000000047</v>
      </c>
    </row>
    <row r="1071" spans="1:12" x14ac:dyDescent="0.3">
      <c r="A1071" s="52"/>
      <c r="B1071" s="53" t="s">
        <v>28</v>
      </c>
      <c r="C1071" s="54">
        <v>46189</v>
      </c>
      <c r="D1071" s="53" t="s">
        <v>1825</v>
      </c>
      <c r="E1071" s="53" t="s">
        <v>186</v>
      </c>
      <c r="F1071" s="53"/>
      <c r="G1071" s="54">
        <v>46189</v>
      </c>
      <c r="H1071" s="53" t="s">
        <v>1826</v>
      </c>
      <c r="I1071" s="59">
        <v>216.9</v>
      </c>
      <c r="J1071" s="59"/>
      <c r="K1071" s="59"/>
      <c r="L1071" s="59">
        <f t="shared" si="16"/>
        <v>329633.03000000049</v>
      </c>
    </row>
    <row r="1072" spans="1:12" x14ac:dyDescent="0.3">
      <c r="A1072" s="52"/>
      <c r="B1072" s="53" t="s">
        <v>26</v>
      </c>
      <c r="C1072" s="54">
        <v>46189</v>
      </c>
      <c r="D1072" s="53" t="s">
        <v>2183</v>
      </c>
      <c r="E1072" s="53"/>
      <c r="F1072" s="53"/>
      <c r="G1072" s="54"/>
      <c r="H1072" s="53"/>
      <c r="I1072" s="59">
        <v>5</v>
      </c>
      <c r="J1072" s="59"/>
      <c r="K1072" s="59"/>
      <c r="L1072" s="59">
        <f t="shared" si="16"/>
        <v>329638.03000000049</v>
      </c>
    </row>
    <row r="1073" spans="1:12" x14ac:dyDescent="0.3">
      <c r="A1073" s="52"/>
      <c r="B1073" s="53" t="s">
        <v>26</v>
      </c>
      <c r="C1073" s="54">
        <v>46189</v>
      </c>
      <c r="D1073" s="53" t="s">
        <v>2184</v>
      </c>
      <c r="E1073" s="53"/>
      <c r="F1073" s="53"/>
      <c r="G1073" s="54"/>
      <c r="H1073" s="53"/>
      <c r="I1073" s="59">
        <v>12.48</v>
      </c>
      <c r="J1073" s="59"/>
      <c r="K1073" s="59"/>
      <c r="L1073" s="59">
        <f t="shared" si="16"/>
        <v>329650.51000000047</v>
      </c>
    </row>
    <row r="1074" spans="1:12" x14ac:dyDescent="0.3">
      <c r="A1074" s="52"/>
      <c r="B1074" s="53" t="s">
        <v>26</v>
      </c>
      <c r="C1074" s="54">
        <v>46189</v>
      </c>
      <c r="D1074" s="53" t="s">
        <v>2185</v>
      </c>
      <c r="E1074" s="53"/>
      <c r="F1074" s="53"/>
      <c r="G1074" s="54"/>
      <c r="H1074" s="53"/>
      <c r="I1074" s="59">
        <v>1</v>
      </c>
      <c r="J1074" s="59"/>
      <c r="K1074" s="59"/>
      <c r="L1074" s="59">
        <f t="shared" si="16"/>
        <v>329651.51000000047</v>
      </c>
    </row>
    <row r="1075" spans="1:12" x14ac:dyDescent="0.3">
      <c r="A1075" s="52"/>
      <c r="B1075" s="53" t="s">
        <v>28</v>
      </c>
      <c r="C1075" s="54">
        <v>46189</v>
      </c>
      <c r="D1075" s="53" t="s">
        <v>1827</v>
      </c>
      <c r="E1075" s="53" t="s">
        <v>186</v>
      </c>
      <c r="F1075" s="53"/>
      <c r="G1075" s="54">
        <v>46189</v>
      </c>
      <c r="H1075" s="53" t="s">
        <v>1828</v>
      </c>
      <c r="I1075" s="59">
        <v>104.9</v>
      </c>
      <c r="J1075" s="59"/>
      <c r="K1075" s="59"/>
      <c r="L1075" s="59">
        <f t="shared" si="16"/>
        <v>329756.4100000005</v>
      </c>
    </row>
    <row r="1076" spans="1:12" x14ac:dyDescent="0.3">
      <c r="A1076" s="52"/>
      <c r="B1076" s="53" t="s">
        <v>26</v>
      </c>
      <c r="C1076" s="54">
        <v>46189</v>
      </c>
      <c r="D1076" s="53" t="s">
        <v>2186</v>
      </c>
      <c r="E1076" s="53"/>
      <c r="F1076" s="53"/>
      <c r="G1076" s="54"/>
      <c r="H1076" s="53"/>
      <c r="I1076" s="59">
        <v>104.66</v>
      </c>
      <c r="J1076" s="59"/>
      <c r="K1076" s="59"/>
      <c r="L1076" s="59">
        <f t="shared" si="16"/>
        <v>329861.07000000047</v>
      </c>
    </row>
    <row r="1077" spans="1:12" x14ac:dyDescent="0.3">
      <c r="A1077" s="52"/>
      <c r="B1077" s="53" t="s">
        <v>26</v>
      </c>
      <c r="C1077" s="54">
        <v>46189</v>
      </c>
      <c r="D1077" s="53" t="s">
        <v>2187</v>
      </c>
      <c r="E1077" s="53"/>
      <c r="F1077" s="53"/>
      <c r="G1077" s="54"/>
      <c r="H1077" s="53"/>
      <c r="I1077" s="59">
        <v>11</v>
      </c>
      <c r="J1077" s="59"/>
      <c r="K1077" s="59"/>
      <c r="L1077" s="59">
        <f t="shared" si="16"/>
        <v>329872.07000000047</v>
      </c>
    </row>
    <row r="1078" spans="1:12" x14ac:dyDescent="0.3">
      <c r="A1078" s="52"/>
      <c r="B1078" s="53" t="s">
        <v>26</v>
      </c>
      <c r="C1078" s="54">
        <v>46189</v>
      </c>
      <c r="D1078" s="53" t="s">
        <v>2188</v>
      </c>
      <c r="E1078" s="53"/>
      <c r="F1078" s="53"/>
      <c r="G1078" s="54"/>
      <c r="H1078" s="53"/>
      <c r="I1078" s="59">
        <v>21.19</v>
      </c>
      <c r="J1078" s="59"/>
      <c r="K1078" s="59"/>
      <c r="L1078" s="59">
        <f t="shared" si="16"/>
        <v>329893.26000000047</v>
      </c>
    </row>
    <row r="1079" spans="1:12" x14ac:dyDescent="0.3">
      <c r="A1079" s="52"/>
      <c r="B1079" s="53" t="s">
        <v>26</v>
      </c>
      <c r="C1079" s="54">
        <v>46189</v>
      </c>
      <c r="D1079" s="53" t="s">
        <v>2189</v>
      </c>
      <c r="E1079" s="53"/>
      <c r="F1079" s="53"/>
      <c r="G1079" s="54"/>
      <c r="H1079" s="53"/>
      <c r="I1079" s="59">
        <v>159.9</v>
      </c>
      <c r="J1079" s="59"/>
      <c r="K1079" s="59"/>
      <c r="L1079" s="59">
        <f t="shared" si="16"/>
        <v>330053.1600000005</v>
      </c>
    </row>
    <row r="1080" spans="1:12" x14ac:dyDescent="0.3">
      <c r="A1080" s="52"/>
      <c r="B1080" s="53" t="s">
        <v>26</v>
      </c>
      <c r="C1080" s="54">
        <v>46189</v>
      </c>
      <c r="D1080" s="53" t="s">
        <v>2190</v>
      </c>
      <c r="E1080" s="53"/>
      <c r="F1080" s="53"/>
      <c r="G1080" s="54"/>
      <c r="H1080" s="53"/>
      <c r="I1080" s="59">
        <v>2.2000000000000002</v>
      </c>
      <c r="J1080" s="59"/>
      <c r="K1080" s="59"/>
      <c r="L1080" s="59">
        <f t="shared" si="16"/>
        <v>330055.36000000051</v>
      </c>
    </row>
    <row r="1081" spans="1:12" x14ac:dyDescent="0.3">
      <c r="A1081" s="52"/>
      <c r="B1081" s="53" t="s">
        <v>26</v>
      </c>
      <c r="C1081" s="54">
        <v>46189</v>
      </c>
      <c r="D1081" s="53" t="s">
        <v>2191</v>
      </c>
      <c r="E1081" s="53"/>
      <c r="F1081" s="53"/>
      <c r="G1081" s="54"/>
      <c r="H1081" s="53"/>
      <c r="I1081" s="59">
        <v>68.5</v>
      </c>
      <c r="J1081" s="59"/>
      <c r="K1081" s="59"/>
      <c r="L1081" s="59">
        <f t="shared" si="16"/>
        <v>330123.86000000051</v>
      </c>
    </row>
    <row r="1082" spans="1:12" x14ac:dyDescent="0.3">
      <c r="A1082" s="52"/>
      <c r="B1082" s="53" t="s">
        <v>26</v>
      </c>
      <c r="C1082" s="54">
        <v>46189</v>
      </c>
      <c r="D1082" s="53" t="s">
        <v>2192</v>
      </c>
      <c r="E1082" s="53"/>
      <c r="F1082" s="53"/>
      <c r="G1082" s="54"/>
      <c r="H1082" s="53"/>
      <c r="I1082" s="59">
        <v>43.2</v>
      </c>
      <c r="J1082" s="59"/>
      <c r="K1082" s="59"/>
      <c r="L1082" s="59">
        <f t="shared" si="16"/>
        <v>330167.06000000052</v>
      </c>
    </row>
    <row r="1083" spans="1:12" x14ac:dyDescent="0.3">
      <c r="A1083" s="52"/>
      <c r="B1083" s="53" t="s">
        <v>26</v>
      </c>
      <c r="C1083" s="54">
        <v>46189</v>
      </c>
      <c r="D1083" s="53" t="s">
        <v>2193</v>
      </c>
      <c r="E1083" s="53"/>
      <c r="F1083" s="53"/>
      <c r="G1083" s="54"/>
      <c r="H1083" s="53"/>
      <c r="I1083" s="59">
        <v>26.9</v>
      </c>
      <c r="J1083" s="59"/>
      <c r="K1083" s="59"/>
      <c r="L1083" s="59">
        <f t="shared" si="16"/>
        <v>330193.96000000054</v>
      </c>
    </row>
    <row r="1084" spans="1:12" x14ac:dyDescent="0.3">
      <c r="A1084" s="52"/>
      <c r="B1084" s="53" t="s">
        <v>26</v>
      </c>
      <c r="C1084" s="54">
        <v>46189</v>
      </c>
      <c r="D1084" s="53" t="s">
        <v>2194</v>
      </c>
      <c r="E1084" s="53"/>
      <c r="F1084" s="53"/>
      <c r="G1084" s="54"/>
      <c r="H1084" s="53"/>
      <c r="I1084" s="59">
        <v>3.5</v>
      </c>
      <c r="J1084" s="59"/>
      <c r="K1084" s="59"/>
      <c r="L1084" s="59">
        <f t="shared" si="16"/>
        <v>330197.46000000054</v>
      </c>
    </row>
    <row r="1085" spans="1:12" x14ac:dyDescent="0.3">
      <c r="A1085" s="52"/>
      <c r="B1085" s="53" t="s">
        <v>26</v>
      </c>
      <c r="C1085" s="54">
        <v>46190</v>
      </c>
      <c r="D1085" s="53" t="s">
        <v>2195</v>
      </c>
      <c r="E1085" s="53"/>
      <c r="F1085" s="53"/>
      <c r="G1085" s="54"/>
      <c r="H1085" s="53"/>
      <c r="I1085" s="59">
        <v>26.05</v>
      </c>
      <c r="J1085" s="59"/>
      <c r="K1085" s="59"/>
      <c r="L1085" s="59">
        <f t="shared" si="16"/>
        <v>330223.51000000053</v>
      </c>
    </row>
    <row r="1086" spans="1:12" x14ac:dyDescent="0.3">
      <c r="A1086" s="52"/>
      <c r="B1086" s="53" t="s">
        <v>26</v>
      </c>
      <c r="C1086" s="54">
        <v>46190</v>
      </c>
      <c r="D1086" s="53" t="s">
        <v>2196</v>
      </c>
      <c r="E1086" s="53"/>
      <c r="F1086" s="53"/>
      <c r="G1086" s="54"/>
      <c r="H1086" s="53"/>
      <c r="I1086" s="59">
        <v>4</v>
      </c>
      <c r="J1086" s="59"/>
      <c r="K1086" s="59"/>
      <c r="L1086" s="59">
        <f t="shared" si="16"/>
        <v>330227.51000000053</v>
      </c>
    </row>
    <row r="1087" spans="1:12" x14ac:dyDescent="0.3">
      <c r="A1087" s="52"/>
      <c r="B1087" s="53" t="s">
        <v>26</v>
      </c>
      <c r="C1087" s="54">
        <v>46190</v>
      </c>
      <c r="D1087" s="53" t="s">
        <v>2197</v>
      </c>
      <c r="E1087" s="53"/>
      <c r="F1087" s="53"/>
      <c r="G1087" s="54"/>
      <c r="H1087" s="53"/>
      <c r="I1087" s="59">
        <v>3.5</v>
      </c>
      <c r="J1087" s="59"/>
      <c r="K1087" s="59"/>
      <c r="L1087" s="59">
        <f t="shared" si="16"/>
        <v>330231.01000000053</v>
      </c>
    </row>
    <row r="1088" spans="1:12" x14ac:dyDescent="0.3">
      <c r="A1088" s="52"/>
      <c r="B1088" s="53" t="s">
        <v>26</v>
      </c>
      <c r="C1088" s="54">
        <v>46190</v>
      </c>
      <c r="D1088" s="53" t="s">
        <v>2198</v>
      </c>
      <c r="E1088" s="53"/>
      <c r="F1088" s="53"/>
      <c r="G1088" s="54"/>
      <c r="H1088" s="53"/>
      <c r="I1088" s="59">
        <v>15.85</v>
      </c>
      <c r="J1088" s="59"/>
      <c r="K1088" s="59"/>
      <c r="L1088" s="59">
        <f t="shared" si="16"/>
        <v>330246.86000000051</v>
      </c>
    </row>
    <row r="1089" spans="1:12" x14ac:dyDescent="0.3">
      <c r="A1089" s="52"/>
      <c r="B1089" s="53" t="s">
        <v>26</v>
      </c>
      <c r="C1089" s="54">
        <v>46190</v>
      </c>
      <c r="D1089" s="53" t="s">
        <v>2199</v>
      </c>
      <c r="E1089" s="53"/>
      <c r="F1089" s="53"/>
      <c r="G1089" s="54"/>
      <c r="H1089" s="53"/>
      <c r="I1089" s="59">
        <v>22.2</v>
      </c>
      <c r="J1089" s="59"/>
      <c r="K1089" s="59"/>
      <c r="L1089" s="59">
        <f t="shared" si="16"/>
        <v>330269.06000000052</v>
      </c>
    </row>
    <row r="1090" spans="1:12" x14ac:dyDescent="0.3">
      <c r="A1090" s="52"/>
      <c r="B1090" s="53" t="s">
        <v>26</v>
      </c>
      <c r="C1090" s="54">
        <v>46190</v>
      </c>
      <c r="D1090" s="53" t="s">
        <v>2200</v>
      </c>
      <c r="E1090" s="53"/>
      <c r="F1090" s="53"/>
      <c r="G1090" s="54"/>
      <c r="H1090" s="53"/>
      <c r="I1090" s="59">
        <v>8.98</v>
      </c>
      <c r="J1090" s="59"/>
      <c r="K1090" s="59"/>
      <c r="L1090" s="59">
        <f t="shared" si="16"/>
        <v>330278.0400000005</v>
      </c>
    </row>
    <row r="1091" spans="1:12" x14ac:dyDescent="0.3">
      <c r="A1091" s="52"/>
      <c r="B1091" s="53" t="s">
        <v>26</v>
      </c>
      <c r="C1091" s="54">
        <v>46190</v>
      </c>
      <c r="D1091" s="53" t="s">
        <v>2201</v>
      </c>
      <c r="E1091" s="53"/>
      <c r="F1091" s="53"/>
      <c r="G1091" s="54"/>
      <c r="H1091" s="53"/>
      <c r="I1091" s="59">
        <v>115.4</v>
      </c>
      <c r="J1091" s="59"/>
      <c r="K1091" s="59"/>
      <c r="L1091" s="59">
        <f t="shared" si="16"/>
        <v>330393.44000000053</v>
      </c>
    </row>
    <row r="1092" spans="1:12" x14ac:dyDescent="0.3">
      <c r="A1092" s="52"/>
      <c r="B1092" s="53" t="s">
        <v>26</v>
      </c>
      <c r="C1092" s="54">
        <v>46190</v>
      </c>
      <c r="D1092" s="53" t="s">
        <v>2202</v>
      </c>
      <c r="E1092" s="53"/>
      <c r="F1092" s="53"/>
      <c r="G1092" s="54"/>
      <c r="H1092" s="53"/>
      <c r="I1092" s="59">
        <v>3.9</v>
      </c>
      <c r="J1092" s="59"/>
      <c r="K1092" s="59"/>
      <c r="L1092" s="59">
        <f t="shared" si="16"/>
        <v>330397.34000000055</v>
      </c>
    </row>
    <row r="1093" spans="1:12" x14ac:dyDescent="0.3">
      <c r="A1093" s="52"/>
      <c r="B1093" s="53" t="s">
        <v>26</v>
      </c>
      <c r="C1093" s="54">
        <v>46190</v>
      </c>
      <c r="D1093" s="53" t="s">
        <v>2203</v>
      </c>
      <c r="E1093" s="53"/>
      <c r="F1093" s="53"/>
      <c r="G1093" s="54"/>
      <c r="H1093" s="53"/>
      <c r="I1093" s="59">
        <v>75</v>
      </c>
      <c r="J1093" s="59"/>
      <c r="K1093" s="59"/>
      <c r="L1093" s="59">
        <f t="shared" si="16"/>
        <v>330472.34000000055</v>
      </c>
    </row>
    <row r="1094" spans="1:12" x14ac:dyDescent="0.3">
      <c r="A1094" s="52"/>
      <c r="B1094" s="53" t="s">
        <v>26</v>
      </c>
      <c r="C1094" s="54">
        <v>46190</v>
      </c>
      <c r="D1094" s="53" t="s">
        <v>2204</v>
      </c>
      <c r="E1094" s="53"/>
      <c r="F1094" s="53"/>
      <c r="G1094" s="54"/>
      <c r="H1094" s="53"/>
      <c r="I1094" s="59">
        <v>9.5</v>
      </c>
      <c r="J1094" s="59"/>
      <c r="K1094" s="59"/>
      <c r="L1094" s="59">
        <f t="shared" si="16"/>
        <v>330481.84000000055</v>
      </c>
    </row>
    <row r="1095" spans="1:12" x14ac:dyDescent="0.3">
      <c r="A1095" s="52"/>
      <c r="B1095" s="53" t="s">
        <v>26</v>
      </c>
      <c r="C1095" s="54">
        <v>46190</v>
      </c>
      <c r="D1095" s="53" t="s">
        <v>2205</v>
      </c>
      <c r="E1095" s="53"/>
      <c r="F1095" s="53"/>
      <c r="G1095" s="54"/>
      <c r="H1095" s="53"/>
      <c r="I1095" s="59">
        <v>3.9</v>
      </c>
      <c r="J1095" s="59"/>
      <c r="K1095" s="59"/>
      <c r="L1095" s="59">
        <f t="shared" si="16"/>
        <v>330485.74000000057</v>
      </c>
    </row>
    <row r="1096" spans="1:12" x14ac:dyDescent="0.3">
      <c r="A1096" s="52"/>
      <c r="B1096" s="53" t="s">
        <v>26</v>
      </c>
      <c r="C1096" s="54">
        <v>46190</v>
      </c>
      <c r="D1096" s="53" t="s">
        <v>2206</v>
      </c>
      <c r="E1096" s="53"/>
      <c r="F1096" s="53"/>
      <c r="G1096" s="54"/>
      <c r="H1096" s="53"/>
      <c r="I1096" s="59">
        <v>9.2799999999999994</v>
      </c>
      <c r="J1096" s="59"/>
      <c r="K1096" s="59"/>
      <c r="L1096" s="59">
        <f t="shared" si="16"/>
        <v>330495.0200000006</v>
      </c>
    </row>
    <row r="1097" spans="1:12" x14ac:dyDescent="0.3">
      <c r="A1097" s="52"/>
      <c r="B1097" s="53" t="s">
        <v>26</v>
      </c>
      <c r="C1097" s="54">
        <v>46190</v>
      </c>
      <c r="D1097" s="53" t="s">
        <v>2207</v>
      </c>
      <c r="E1097" s="53"/>
      <c r="F1097" s="53"/>
      <c r="G1097" s="54"/>
      <c r="H1097" s="53"/>
      <c r="I1097" s="59">
        <v>2.74</v>
      </c>
      <c r="J1097" s="59"/>
      <c r="K1097" s="59"/>
      <c r="L1097" s="59">
        <f t="shared" si="16"/>
        <v>330497.76000000059</v>
      </c>
    </row>
    <row r="1098" spans="1:12" x14ac:dyDescent="0.3">
      <c r="A1098" s="52"/>
      <c r="B1098" s="53" t="s">
        <v>26</v>
      </c>
      <c r="C1098" s="54">
        <v>46190</v>
      </c>
      <c r="D1098" s="53" t="s">
        <v>2208</v>
      </c>
      <c r="E1098" s="53"/>
      <c r="F1098" s="53"/>
      <c r="G1098" s="54"/>
      <c r="H1098" s="53"/>
      <c r="I1098" s="59">
        <v>19.899999999999999</v>
      </c>
      <c r="J1098" s="59"/>
      <c r="K1098" s="59"/>
      <c r="L1098" s="59">
        <f t="shared" si="16"/>
        <v>330517.66000000061</v>
      </c>
    </row>
    <row r="1099" spans="1:12" x14ac:dyDescent="0.3">
      <c r="A1099" s="52"/>
      <c r="B1099" s="53" t="s">
        <v>28</v>
      </c>
      <c r="C1099" s="54">
        <v>46191</v>
      </c>
      <c r="D1099" s="53" t="s">
        <v>1829</v>
      </c>
      <c r="E1099" s="53" t="s">
        <v>186</v>
      </c>
      <c r="F1099" s="53"/>
      <c r="G1099" s="54">
        <v>46191</v>
      </c>
      <c r="H1099" s="53" t="s">
        <v>1830</v>
      </c>
      <c r="I1099" s="59">
        <v>59</v>
      </c>
      <c r="J1099" s="59"/>
      <c r="K1099" s="59"/>
      <c r="L1099" s="59">
        <f t="shared" ref="L1099:L1162" si="17">L1098+I1099-K1099</f>
        <v>330576.66000000061</v>
      </c>
    </row>
    <row r="1100" spans="1:12" x14ac:dyDescent="0.3">
      <c r="A1100" s="52"/>
      <c r="B1100" s="53" t="s">
        <v>26</v>
      </c>
      <c r="C1100" s="54">
        <v>46191</v>
      </c>
      <c r="D1100" s="53" t="s">
        <v>2209</v>
      </c>
      <c r="E1100" s="53"/>
      <c r="F1100" s="53"/>
      <c r="G1100" s="54"/>
      <c r="H1100" s="53"/>
      <c r="I1100" s="59">
        <v>14.05</v>
      </c>
      <c r="J1100" s="59"/>
      <c r="K1100" s="59"/>
      <c r="L1100" s="59">
        <f t="shared" si="17"/>
        <v>330590.7100000006</v>
      </c>
    </row>
    <row r="1101" spans="1:12" x14ac:dyDescent="0.3">
      <c r="A1101" s="52"/>
      <c r="B1101" s="53" t="s">
        <v>26</v>
      </c>
      <c r="C1101" s="54">
        <v>46191</v>
      </c>
      <c r="D1101" s="53" t="s">
        <v>2210</v>
      </c>
      <c r="E1101" s="53"/>
      <c r="F1101" s="53"/>
      <c r="G1101" s="54"/>
      <c r="H1101" s="53"/>
      <c r="I1101" s="59">
        <v>3.5</v>
      </c>
      <c r="J1101" s="59"/>
      <c r="K1101" s="59"/>
      <c r="L1101" s="59">
        <f t="shared" si="17"/>
        <v>330594.2100000006</v>
      </c>
    </row>
    <row r="1102" spans="1:12" x14ac:dyDescent="0.3">
      <c r="A1102" s="52"/>
      <c r="B1102" s="53" t="s">
        <v>28</v>
      </c>
      <c r="C1102" s="54">
        <v>46191</v>
      </c>
      <c r="D1102" s="53" t="s">
        <v>1831</v>
      </c>
      <c r="E1102" s="53" t="s">
        <v>1051</v>
      </c>
      <c r="F1102" s="53"/>
      <c r="G1102" s="54">
        <v>46191</v>
      </c>
      <c r="H1102" s="53" t="s">
        <v>1832</v>
      </c>
      <c r="I1102" s="59">
        <v>141.09</v>
      </c>
      <c r="J1102" s="59"/>
      <c r="K1102" s="59"/>
      <c r="L1102" s="59">
        <f t="shared" si="17"/>
        <v>330735.30000000063</v>
      </c>
    </row>
    <row r="1103" spans="1:12" x14ac:dyDescent="0.3">
      <c r="A1103" s="52"/>
      <c r="B1103" s="53" t="s">
        <v>26</v>
      </c>
      <c r="C1103" s="54">
        <v>46191</v>
      </c>
      <c r="D1103" s="53" t="s">
        <v>2211</v>
      </c>
      <c r="E1103" s="53"/>
      <c r="F1103" s="53"/>
      <c r="G1103" s="54"/>
      <c r="H1103" s="53"/>
      <c r="I1103" s="59">
        <v>5.2</v>
      </c>
      <c r="J1103" s="59"/>
      <c r="K1103" s="59"/>
      <c r="L1103" s="59">
        <f t="shared" si="17"/>
        <v>330740.50000000064</v>
      </c>
    </row>
    <row r="1104" spans="1:12" x14ac:dyDescent="0.3">
      <c r="A1104" s="52"/>
      <c r="B1104" s="53" t="s">
        <v>26</v>
      </c>
      <c r="C1104" s="54">
        <v>46191</v>
      </c>
      <c r="D1104" s="53" t="s">
        <v>2212</v>
      </c>
      <c r="E1104" s="53"/>
      <c r="F1104" s="53"/>
      <c r="G1104" s="54"/>
      <c r="H1104" s="53"/>
      <c r="I1104" s="59">
        <v>22.8</v>
      </c>
      <c r="J1104" s="59"/>
      <c r="K1104" s="59"/>
      <c r="L1104" s="59">
        <f t="shared" si="17"/>
        <v>330763.30000000063</v>
      </c>
    </row>
    <row r="1105" spans="1:12" x14ac:dyDescent="0.3">
      <c r="A1105" s="52"/>
      <c r="B1105" s="53" t="s">
        <v>26</v>
      </c>
      <c r="C1105" s="54">
        <v>46191</v>
      </c>
      <c r="D1105" s="53" t="s">
        <v>2213</v>
      </c>
      <c r="E1105" s="53"/>
      <c r="F1105" s="53"/>
      <c r="G1105" s="54"/>
      <c r="H1105" s="53"/>
      <c r="I1105" s="59">
        <v>499.84</v>
      </c>
      <c r="J1105" s="59"/>
      <c r="K1105" s="59"/>
      <c r="L1105" s="59">
        <f t="shared" si="17"/>
        <v>331263.14000000065</v>
      </c>
    </row>
    <row r="1106" spans="1:12" x14ac:dyDescent="0.3">
      <c r="A1106" s="52"/>
      <c r="B1106" s="53" t="s">
        <v>26</v>
      </c>
      <c r="C1106" s="54">
        <v>46191</v>
      </c>
      <c r="D1106" s="53" t="s">
        <v>2214</v>
      </c>
      <c r="E1106" s="53"/>
      <c r="F1106" s="53"/>
      <c r="G1106" s="54"/>
      <c r="H1106" s="53"/>
      <c r="I1106" s="59">
        <v>4.4000000000000004</v>
      </c>
      <c r="J1106" s="59"/>
      <c r="K1106" s="59"/>
      <c r="L1106" s="59">
        <f t="shared" si="17"/>
        <v>331267.54000000068</v>
      </c>
    </row>
    <row r="1107" spans="1:12" x14ac:dyDescent="0.3">
      <c r="A1107" s="52"/>
      <c r="B1107" s="53" t="s">
        <v>28</v>
      </c>
      <c r="C1107" s="54">
        <v>46191</v>
      </c>
      <c r="D1107" s="53" t="s">
        <v>1833</v>
      </c>
      <c r="E1107" s="53" t="s">
        <v>186</v>
      </c>
      <c r="F1107" s="53"/>
      <c r="G1107" s="54">
        <v>46191</v>
      </c>
      <c r="H1107" s="53" t="s">
        <v>1834</v>
      </c>
      <c r="I1107" s="59">
        <v>187.8</v>
      </c>
      <c r="J1107" s="59"/>
      <c r="K1107" s="59"/>
      <c r="L1107" s="59">
        <f t="shared" si="17"/>
        <v>331455.34000000067</v>
      </c>
    </row>
    <row r="1108" spans="1:12" x14ac:dyDescent="0.3">
      <c r="A1108" s="52"/>
      <c r="B1108" s="53" t="s">
        <v>28</v>
      </c>
      <c r="C1108" s="54">
        <v>46191</v>
      </c>
      <c r="D1108" s="53" t="s">
        <v>1835</v>
      </c>
      <c r="E1108" s="53" t="s">
        <v>207</v>
      </c>
      <c r="F1108" s="53"/>
      <c r="G1108" s="54">
        <v>46191</v>
      </c>
      <c r="H1108" s="53" t="s">
        <v>1836</v>
      </c>
      <c r="I1108" s="59">
        <v>102.4</v>
      </c>
      <c r="J1108" s="59"/>
      <c r="K1108" s="59"/>
      <c r="L1108" s="59">
        <f t="shared" si="17"/>
        <v>331557.74000000069</v>
      </c>
    </row>
    <row r="1109" spans="1:12" x14ac:dyDescent="0.3">
      <c r="A1109" s="52"/>
      <c r="B1109" s="53" t="s">
        <v>26</v>
      </c>
      <c r="C1109" s="54">
        <v>46191</v>
      </c>
      <c r="D1109" s="53" t="s">
        <v>2215</v>
      </c>
      <c r="E1109" s="53"/>
      <c r="F1109" s="53"/>
      <c r="G1109" s="54"/>
      <c r="H1109" s="53"/>
      <c r="I1109" s="59">
        <v>388</v>
      </c>
      <c r="J1109" s="59"/>
      <c r="K1109" s="59"/>
      <c r="L1109" s="59">
        <f t="shared" si="17"/>
        <v>331945.74000000069</v>
      </c>
    </row>
    <row r="1110" spans="1:12" x14ac:dyDescent="0.3">
      <c r="A1110" s="52"/>
      <c r="B1110" s="53" t="s">
        <v>26</v>
      </c>
      <c r="C1110" s="54">
        <v>46192</v>
      </c>
      <c r="D1110" s="53" t="s">
        <v>2216</v>
      </c>
      <c r="E1110" s="53"/>
      <c r="F1110" s="53"/>
      <c r="G1110" s="54"/>
      <c r="H1110" s="53"/>
      <c r="I1110" s="59">
        <v>7.5</v>
      </c>
      <c r="J1110" s="59"/>
      <c r="K1110" s="59"/>
      <c r="L1110" s="59">
        <f t="shared" si="17"/>
        <v>331953.24000000069</v>
      </c>
    </row>
    <row r="1111" spans="1:12" x14ac:dyDescent="0.3">
      <c r="A1111" s="52"/>
      <c r="B1111" s="53" t="s">
        <v>28</v>
      </c>
      <c r="C1111" s="54">
        <v>46192</v>
      </c>
      <c r="D1111" s="53" t="s">
        <v>1839</v>
      </c>
      <c r="E1111" s="53" t="s">
        <v>1025</v>
      </c>
      <c r="F1111" s="53"/>
      <c r="G1111" s="54">
        <v>46192</v>
      </c>
      <c r="H1111" s="53" t="s">
        <v>1840</v>
      </c>
      <c r="I1111" s="59">
        <v>75.73</v>
      </c>
      <c r="J1111" s="59"/>
      <c r="K1111" s="59"/>
      <c r="L1111" s="59">
        <f t="shared" si="17"/>
        <v>332028.97000000067</v>
      </c>
    </row>
    <row r="1112" spans="1:12" x14ac:dyDescent="0.3">
      <c r="A1112" s="52"/>
      <c r="B1112" s="53" t="s">
        <v>26</v>
      </c>
      <c r="C1112" s="54">
        <v>46192</v>
      </c>
      <c r="D1112" s="53" t="s">
        <v>2217</v>
      </c>
      <c r="E1112" s="53"/>
      <c r="F1112" s="53"/>
      <c r="G1112" s="54"/>
      <c r="H1112" s="53"/>
      <c r="I1112" s="59">
        <v>211</v>
      </c>
      <c r="J1112" s="59"/>
      <c r="K1112" s="59"/>
      <c r="L1112" s="59">
        <f t="shared" si="17"/>
        <v>332239.97000000067</v>
      </c>
    </row>
    <row r="1113" spans="1:12" x14ac:dyDescent="0.3">
      <c r="A1113" s="52"/>
      <c r="B1113" s="53" t="s">
        <v>26</v>
      </c>
      <c r="C1113" s="54">
        <v>46192</v>
      </c>
      <c r="D1113" s="53" t="s">
        <v>2218</v>
      </c>
      <c r="E1113" s="53"/>
      <c r="F1113" s="53"/>
      <c r="G1113" s="54"/>
      <c r="H1113" s="53"/>
      <c r="I1113" s="59">
        <v>5.6</v>
      </c>
      <c r="J1113" s="59"/>
      <c r="K1113" s="59"/>
      <c r="L1113" s="59">
        <f t="shared" si="17"/>
        <v>332245.57000000065</v>
      </c>
    </row>
    <row r="1114" spans="1:12" x14ac:dyDescent="0.3">
      <c r="A1114" s="52"/>
      <c r="B1114" s="53" t="s">
        <v>26</v>
      </c>
      <c r="C1114" s="54">
        <v>46192</v>
      </c>
      <c r="D1114" s="53" t="s">
        <v>2219</v>
      </c>
      <c r="E1114" s="53"/>
      <c r="F1114" s="53"/>
      <c r="G1114" s="54"/>
      <c r="H1114" s="53"/>
      <c r="I1114" s="59">
        <v>18.8</v>
      </c>
      <c r="J1114" s="59"/>
      <c r="K1114" s="59"/>
      <c r="L1114" s="59">
        <f t="shared" si="17"/>
        <v>332264.37000000064</v>
      </c>
    </row>
    <row r="1115" spans="1:12" x14ac:dyDescent="0.3">
      <c r="A1115" s="52"/>
      <c r="B1115" s="53" t="s">
        <v>26</v>
      </c>
      <c r="C1115" s="54">
        <v>46192</v>
      </c>
      <c r="D1115" s="53" t="s">
        <v>2220</v>
      </c>
      <c r="E1115" s="53"/>
      <c r="F1115" s="53"/>
      <c r="G1115" s="54"/>
      <c r="H1115" s="53"/>
      <c r="I1115" s="59">
        <v>60.9</v>
      </c>
      <c r="J1115" s="59"/>
      <c r="K1115" s="59"/>
      <c r="L1115" s="59">
        <f t="shared" si="17"/>
        <v>332325.27000000066</v>
      </c>
    </row>
    <row r="1116" spans="1:12" x14ac:dyDescent="0.3">
      <c r="A1116" s="52"/>
      <c r="B1116" s="53" t="s">
        <v>26</v>
      </c>
      <c r="C1116" s="54">
        <v>46192</v>
      </c>
      <c r="D1116" s="53" t="s">
        <v>2221</v>
      </c>
      <c r="E1116" s="53"/>
      <c r="F1116" s="53"/>
      <c r="G1116" s="54"/>
      <c r="H1116" s="53"/>
      <c r="I1116" s="59">
        <v>2</v>
      </c>
      <c r="J1116" s="59"/>
      <c r="K1116" s="59"/>
      <c r="L1116" s="59">
        <f t="shared" si="17"/>
        <v>332327.27000000066</v>
      </c>
    </row>
    <row r="1117" spans="1:12" x14ac:dyDescent="0.3">
      <c r="A1117" s="52"/>
      <c r="B1117" s="53" t="s">
        <v>75</v>
      </c>
      <c r="C1117" s="54">
        <v>46192</v>
      </c>
      <c r="D1117" s="53" t="s">
        <v>1837</v>
      </c>
      <c r="E1117" s="53" t="s">
        <v>186</v>
      </c>
      <c r="F1117" s="53"/>
      <c r="G1117" s="54">
        <v>46191</v>
      </c>
      <c r="H1117" s="53" t="s">
        <v>1838</v>
      </c>
      <c r="I1117" s="59"/>
      <c r="J1117" s="59"/>
      <c r="K1117" s="59">
        <v>59</v>
      </c>
      <c r="L1117" s="59">
        <f t="shared" si="17"/>
        <v>332268.27000000066</v>
      </c>
    </row>
    <row r="1118" spans="1:12" x14ac:dyDescent="0.3">
      <c r="A1118" s="52"/>
      <c r="B1118" s="53" t="s">
        <v>26</v>
      </c>
      <c r="C1118" s="54">
        <v>46192</v>
      </c>
      <c r="D1118" s="53" t="s">
        <v>2222</v>
      </c>
      <c r="E1118" s="53"/>
      <c r="F1118" s="53"/>
      <c r="G1118" s="54"/>
      <c r="H1118" s="53"/>
      <c r="I1118" s="59">
        <v>31</v>
      </c>
      <c r="J1118" s="59"/>
      <c r="K1118" s="59"/>
      <c r="L1118" s="59">
        <f t="shared" si="17"/>
        <v>332299.27000000066</v>
      </c>
    </row>
    <row r="1119" spans="1:12" x14ac:dyDescent="0.3">
      <c r="A1119" s="52"/>
      <c r="B1119" s="53" t="s">
        <v>26</v>
      </c>
      <c r="C1119" s="54">
        <v>46192</v>
      </c>
      <c r="D1119" s="53" t="s">
        <v>2223</v>
      </c>
      <c r="E1119" s="53"/>
      <c r="F1119" s="53"/>
      <c r="G1119" s="54"/>
      <c r="H1119" s="53"/>
      <c r="I1119" s="59">
        <v>8.89</v>
      </c>
      <c r="J1119" s="59"/>
      <c r="K1119" s="59"/>
      <c r="L1119" s="59">
        <f t="shared" si="17"/>
        <v>332308.16000000067</v>
      </c>
    </row>
    <row r="1120" spans="1:12" x14ac:dyDescent="0.3">
      <c r="A1120" s="52"/>
      <c r="B1120" s="53" t="s">
        <v>26</v>
      </c>
      <c r="C1120" s="54">
        <v>46193</v>
      </c>
      <c r="D1120" s="53" t="s">
        <v>2224</v>
      </c>
      <c r="E1120" s="53"/>
      <c r="F1120" s="53"/>
      <c r="G1120" s="54"/>
      <c r="H1120" s="53"/>
      <c r="I1120" s="59">
        <v>3.4</v>
      </c>
      <c r="J1120" s="59"/>
      <c r="K1120" s="59"/>
      <c r="L1120" s="59">
        <f t="shared" si="17"/>
        <v>332311.5600000007</v>
      </c>
    </row>
    <row r="1121" spans="1:12" x14ac:dyDescent="0.3">
      <c r="A1121" s="52"/>
      <c r="B1121" s="53" t="s">
        <v>26</v>
      </c>
      <c r="C1121" s="54">
        <v>46194</v>
      </c>
      <c r="D1121" s="53" t="s">
        <v>2225</v>
      </c>
      <c r="E1121" s="53"/>
      <c r="F1121" s="53"/>
      <c r="G1121" s="54"/>
      <c r="H1121" s="53"/>
      <c r="I1121" s="59">
        <v>13</v>
      </c>
      <c r="J1121" s="59"/>
      <c r="K1121" s="59"/>
      <c r="L1121" s="59">
        <f t="shared" si="17"/>
        <v>332324.5600000007</v>
      </c>
    </row>
    <row r="1122" spans="1:12" x14ac:dyDescent="0.3">
      <c r="A1122" s="52"/>
      <c r="B1122" s="53" t="s">
        <v>26</v>
      </c>
      <c r="C1122" s="54">
        <v>46194</v>
      </c>
      <c r="D1122" s="53" t="s">
        <v>2226</v>
      </c>
      <c r="E1122" s="53"/>
      <c r="F1122" s="53"/>
      <c r="G1122" s="54"/>
      <c r="H1122" s="53"/>
      <c r="I1122" s="59">
        <v>12.68</v>
      </c>
      <c r="J1122" s="59"/>
      <c r="K1122" s="59"/>
      <c r="L1122" s="59">
        <f t="shared" si="17"/>
        <v>332337.24000000069</v>
      </c>
    </row>
    <row r="1123" spans="1:12" x14ac:dyDescent="0.3">
      <c r="A1123" s="52"/>
      <c r="B1123" s="53" t="s">
        <v>26</v>
      </c>
      <c r="C1123" s="54">
        <v>46195</v>
      </c>
      <c r="D1123" s="53" t="s">
        <v>2227</v>
      </c>
      <c r="E1123" s="53"/>
      <c r="F1123" s="53"/>
      <c r="G1123" s="54"/>
      <c r="H1123" s="53"/>
      <c r="I1123" s="59">
        <v>14.51</v>
      </c>
      <c r="J1123" s="59"/>
      <c r="K1123" s="59"/>
      <c r="L1123" s="59">
        <f t="shared" si="17"/>
        <v>332351.7500000007</v>
      </c>
    </row>
    <row r="1124" spans="1:12" x14ac:dyDescent="0.3">
      <c r="A1124" s="52"/>
      <c r="B1124" s="53" t="s">
        <v>26</v>
      </c>
      <c r="C1124" s="54">
        <v>46195</v>
      </c>
      <c r="D1124" s="53" t="s">
        <v>2228</v>
      </c>
      <c r="E1124" s="53"/>
      <c r="F1124" s="53"/>
      <c r="G1124" s="54"/>
      <c r="H1124" s="53"/>
      <c r="I1124" s="59">
        <v>2.7</v>
      </c>
      <c r="J1124" s="59"/>
      <c r="K1124" s="59"/>
      <c r="L1124" s="59">
        <f t="shared" si="17"/>
        <v>332354.45000000071</v>
      </c>
    </row>
    <row r="1125" spans="1:12" x14ac:dyDescent="0.3">
      <c r="A1125" s="52"/>
      <c r="B1125" s="53" t="s">
        <v>26</v>
      </c>
      <c r="C1125" s="54">
        <v>46195</v>
      </c>
      <c r="D1125" s="53" t="s">
        <v>2229</v>
      </c>
      <c r="E1125" s="53"/>
      <c r="F1125" s="53"/>
      <c r="G1125" s="54"/>
      <c r="H1125" s="53"/>
      <c r="I1125" s="59">
        <v>1.35</v>
      </c>
      <c r="J1125" s="59"/>
      <c r="K1125" s="59"/>
      <c r="L1125" s="59">
        <f t="shared" si="17"/>
        <v>332355.80000000069</v>
      </c>
    </row>
    <row r="1126" spans="1:12" x14ac:dyDescent="0.3">
      <c r="A1126" s="52"/>
      <c r="B1126" s="53" t="s">
        <v>26</v>
      </c>
      <c r="C1126" s="54">
        <v>46195</v>
      </c>
      <c r="D1126" s="53" t="s">
        <v>2230</v>
      </c>
      <c r="E1126" s="53"/>
      <c r="F1126" s="53"/>
      <c r="G1126" s="54"/>
      <c r="H1126" s="53"/>
      <c r="I1126" s="59">
        <v>31</v>
      </c>
      <c r="J1126" s="59"/>
      <c r="K1126" s="59"/>
      <c r="L1126" s="59">
        <f t="shared" si="17"/>
        <v>332386.80000000069</v>
      </c>
    </row>
    <row r="1127" spans="1:12" x14ac:dyDescent="0.3">
      <c r="A1127" s="52"/>
      <c r="B1127" s="53" t="s">
        <v>26</v>
      </c>
      <c r="C1127" s="54">
        <v>46195</v>
      </c>
      <c r="D1127" s="53" t="s">
        <v>2231</v>
      </c>
      <c r="E1127" s="53"/>
      <c r="F1127" s="53"/>
      <c r="G1127" s="54"/>
      <c r="H1127" s="53"/>
      <c r="I1127" s="59">
        <v>15</v>
      </c>
      <c r="J1127" s="59"/>
      <c r="K1127" s="59"/>
      <c r="L1127" s="59">
        <f t="shared" si="17"/>
        <v>332401.80000000069</v>
      </c>
    </row>
    <row r="1128" spans="1:12" x14ac:dyDescent="0.3">
      <c r="A1128" s="52"/>
      <c r="B1128" s="53" t="s">
        <v>26</v>
      </c>
      <c r="C1128" s="54">
        <v>46195</v>
      </c>
      <c r="D1128" s="53" t="s">
        <v>2232</v>
      </c>
      <c r="E1128" s="53"/>
      <c r="F1128" s="53"/>
      <c r="G1128" s="54"/>
      <c r="H1128" s="53"/>
      <c r="I1128" s="59">
        <v>45.95</v>
      </c>
      <c r="J1128" s="59"/>
      <c r="K1128" s="59"/>
      <c r="L1128" s="59">
        <f t="shared" si="17"/>
        <v>332447.7500000007</v>
      </c>
    </row>
    <row r="1129" spans="1:12" x14ac:dyDescent="0.3">
      <c r="A1129" s="52"/>
      <c r="B1129" s="53" t="s">
        <v>26</v>
      </c>
      <c r="C1129" s="54">
        <v>46195</v>
      </c>
      <c r="D1129" s="53" t="s">
        <v>2233</v>
      </c>
      <c r="E1129" s="53"/>
      <c r="F1129" s="53"/>
      <c r="G1129" s="54"/>
      <c r="H1129" s="53"/>
      <c r="I1129" s="59">
        <v>20</v>
      </c>
      <c r="J1129" s="59"/>
      <c r="K1129" s="59"/>
      <c r="L1129" s="59">
        <f t="shared" si="17"/>
        <v>332467.7500000007</v>
      </c>
    </row>
    <row r="1130" spans="1:12" x14ac:dyDescent="0.3">
      <c r="A1130" s="52"/>
      <c r="B1130" s="53" t="s">
        <v>26</v>
      </c>
      <c r="C1130" s="54">
        <v>46195</v>
      </c>
      <c r="D1130" s="53" t="s">
        <v>1841</v>
      </c>
      <c r="E1130" s="53"/>
      <c r="F1130" s="53"/>
      <c r="G1130" s="54"/>
      <c r="H1130" s="53"/>
      <c r="I1130" s="59">
        <v>174</v>
      </c>
      <c r="J1130" s="59"/>
      <c r="K1130" s="59"/>
      <c r="L1130" s="59">
        <f t="shared" si="17"/>
        <v>332641.7500000007</v>
      </c>
    </row>
    <row r="1131" spans="1:12" x14ac:dyDescent="0.3">
      <c r="A1131" s="52"/>
      <c r="B1131" s="53" t="s">
        <v>26</v>
      </c>
      <c r="C1131" s="54">
        <v>46195</v>
      </c>
      <c r="D1131" s="53" t="s">
        <v>2234</v>
      </c>
      <c r="E1131" s="53"/>
      <c r="F1131" s="53"/>
      <c r="G1131" s="54"/>
      <c r="H1131" s="53"/>
      <c r="I1131" s="59">
        <v>11.5</v>
      </c>
      <c r="J1131" s="59"/>
      <c r="K1131" s="59"/>
      <c r="L1131" s="59">
        <f t="shared" si="17"/>
        <v>332653.2500000007</v>
      </c>
    </row>
    <row r="1132" spans="1:12" x14ac:dyDescent="0.3">
      <c r="A1132" s="52"/>
      <c r="B1132" s="53" t="s">
        <v>26</v>
      </c>
      <c r="C1132" s="54">
        <v>46195</v>
      </c>
      <c r="D1132" s="53" t="s">
        <v>2235</v>
      </c>
      <c r="E1132" s="53"/>
      <c r="F1132" s="53"/>
      <c r="G1132" s="54"/>
      <c r="H1132" s="53"/>
      <c r="I1132" s="59">
        <v>105.5</v>
      </c>
      <c r="J1132" s="59"/>
      <c r="K1132" s="59"/>
      <c r="L1132" s="59">
        <f t="shared" si="17"/>
        <v>332758.7500000007</v>
      </c>
    </row>
    <row r="1133" spans="1:12" x14ac:dyDescent="0.3">
      <c r="A1133" s="52"/>
      <c r="B1133" s="53" t="s">
        <v>26</v>
      </c>
      <c r="C1133" s="54">
        <v>46195</v>
      </c>
      <c r="D1133" s="53" t="s">
        <v>2236</v>
      </c>
      <c r="E1133" s="53"/>
      <c r="F1133" s="53"/>
      <c r="G1133" s="54"/>
      <c r="H1133" s="53"/>
      <c r="I1133" s="59">
        <v>9.6999999999999993</v>
      </c>
      <c r="J1133" s="59"/>
      <c r="K1133" s="59"/>
      <c r="L1133" s="59">
        <f t="shared" si="17"/>
        <v>332768.45000000071</v>
      </c>
    </row>
    <row r="1134" spans="1:12" x14ac:dyDescent="0.3">
      <c r="A1134" s="52"/>
      <c r="B1134" s="53" t="s">
        <v>26</v>
      </c>
      <c r="C1134" s="54">
        <v>46196</v>
      </c>
      <c r="D1134" s="53" t="s">
        <v>2237</v>
      </c>
      <c r="E1134" s="53"/>
      <c r="F1134" s="53"/>
      <c r="G1134" s="54"/>
      <c r="H1134" s="53"/>
      <c r="I1134" s="59">
        <v>175.94</v>
      </c>
      <c r="J1134" s="59"/>
      <c r="K1134" s="59"/>
      <c r="L1134" s="59">
        <f t="shared" si="17"/>
        <v>332944.39000000071</v>
      </c>
    </row>
    <row r="1135" spans="1:12" x14ac:dyDescent="0.3">
      <c r="A1135" s="52"/>
      <c r="B1135" s="53" t="s">
        <v>28</v>
      </c>
      <c r="C1135" s="54">
        <v>46196</v>
      </c>
      <c r="D1135" s="53" t="s">
        <v>1844</v>
      </c>
      <c r="E1135" s="53" t="s">
        <v>384</v>
      </c>
      <c r="F1135" s="53" t="s">
        <v>237</v>
      </c>
      <c r="G1135" s="54">
        <v>46196</v>
      </c>
      <c r="H1135" s="53" t="s">
        <v>1845</v>
      </c>
      <c r="I1135" s="59">
        <v>1.02</v>
      </c>
      <c r="J1135" s="59"/>
      <c r="K1135" s="59"/>
      <c r="L1135" s="59">
        <f t="shared" si="17"/>
        <v>332945.41000000073</v>
      </c>
    </row>
    <row r="1136" spans="1:12" x14ac:dyDescent="0.3">
      <c r="A1136" s="52"/>
      <c r="B1136" s="53" t="s">
        <v>26</v>
      </c>
      <c r="C1136" s="54">
        <v>46196</v>
      </c>
      <c r="D1136" s="53" t="s">
        <v>2238</v>
      </c>
      <c r="E1136" s="53"/>
      <c r="F1136" s="53"/>
      <c r="G1136" s="54"/>
      <c r="H1136" s="53"/>
      <c r="I1136" s="59">
        <v>79</v>
      </c>
      <c r="J1136" s="59"/>
      <c r="K1136" s="59"/>
      <c r="L1136" s="59">
        <f t="shared" si="17"/>
        <v>333024.41000000073</v>
      </c>
    </row>
    <row r="1137" spans="1:12" x14ac:dyDescent="0.3">
      <c r="A1137" s="52"/>
      <c r="B1137" s="53" t="s">
        <v>28</v>
      </c>
      <c r="C1137" s="54">
        <v>46196</v>
      </c>
      <c r="D1137" s="53" t="s">
        <v>1846</v>
      </c>
      <c r="E1137" s="53" t="s">
        <v>236</v>
      </c>
      <c r="F1137" s="53" t="s">
        <v>237</v>
      </c>
      <c r="G1137" s="54">
        <v>46196</v>
      </c>
      <c r="H1137" s="53" t="s">
        <v>1847</v>
      </c>
      <c r="I1137" s="59">
        <v>26.91</v>
      </c>
      <c r="J1137" s="59"/>
      <c r="K1137" s="59"/>
      <c r="L1137" s="59">
        <f t="shared" si="17"/>
        <v>333051.32000000071</v>
      </c>
    </row>
    <row r="1138" spans="1:12" x14ac:dyDescent="0.3">
      <c r="A1138" s="52"/>
      <c r="B1138" s="53" t="s">
        <v>26</v>
      </c>
      <c r="C1138" s="54">
        <v>46196</v>
      </c>
      <c r="D1138" s="53" t="s">
        <v>2239</v>
      </c>
      <c r="E1138" s="53"/>
      <c r="F1138" s="53"/>
      <c r="G1138" s="54"/>
      <c r="H1138" s="53"/>
      <c r="I1138" s="59">
        <v>22.68</v>
      </c>
      <c r="J1138" s="59"/>
      <c r="K1138" s="59"/>
      <c r="L1138" s="59">
        <f t="shared" si="17"/>
        <v>333074.0000000007</v>
      </c>
    </row>
    <row r="1139" spans="1:12" x14ac:dyDescent="0.3">
      <c r="A1139" s="52"/>
      <c r="B1139" s="53" t="s">
        <v>28</v>
      </c>
      <c r="C1139" s="54">
        <v>46196</v>
      </c>
      <c r="D1139" s="53" t="s">
        <v>1848</v>
      </c>
      <c r="E1139" s="53" t="s">
        <v>1444</v>
      </c>
      <c r="F1139" s="53" t="s">
        <v>237</v>
      </c>
      <c r="G1139" s="54">
        <v>46196</v>
      </c>
      <c r="H1139" s="53" t="s">
        <v>1849</v>
      </c>
      <c r="I1139" s="59">
        <v>8.82</v>
      </c>
      <c r="J1139" s="59"/>
      <c r="K1139" s="59"/>
      <c r="L1139" s="59">
        <f t="shared" si="17"/>
        <v>333082.82000000071</v>
      </c>
    </row>
    <row r="1140" spans="1:12" x14ac:dyDescent="0.3">
      <c r="A1140" s="52"/>
      <c r="B1140" s="53" t="s">
        <v>26</v>
      </c>
      <c r="C1140" s="54">
        <v>46196</v>
      </c>
      <c r="D1140" s="53" t="s">
        <v>2240</v>
      </c>
      <c r="E1140" s="53"/>
      <c r="F1140" s="53"/>
      <c r="G1140" s="54"/>
      <c r="H1140" s="53"/>
      <c r="I1140" s="59">
        <v>16.600000000000001</v>
      </c>
      <c r="J1140" s="59"/>
      <c r="K1140" s="59"/>
      <c r="L1140" s="59">
        <f t="shared" si="17"/>
        <v>333099.42000000068</v>
      </c>
    </row>
    <row r="1141" spans="1:12" x14ac:dyDescent="0.3">
      <c r="A1141" s="52"/>
      <c r="B1141" s="53" t="s">
        <v>26</v>
      </c>
      <c r="C1141" s="54">
        <v>46196</v>
      </c>
      <c r="D1141" s="53" t="s">
        <v>2241</v>
      </c>
      <c r="E1141" s="53"/>
      <c r="F1141" s="53"/>
      <c r="G1141" s="54"/>
      <c r="H1141" s="53"/>
      <c r="I1141" s="59">
        <v>50</v>
      </c>
      <c r="J1141" s="59"/>
      <c r="K1141" s="59"/>
      <c r="L1141" s="59">
        <f t="shared" si="17"/>
        <v>333149.42000000068</v>
      </c>
    </row>
    <row r="1142" spans="1:12" x14ac:dyDescent="0.3">
      <c r="A1142" s="52"/>
      <c r="B1142" s="53" t="s">
        <v>28</v>
      </c>
      <c r="C1142" s="54">
        <v>46196</v>
      </c>
      <c r="D1142" s="53" t="s">
        <v>1850</v>
      </c>
      <c r="E1142" s="53" t="s">
        <v>387</v>
      </c>
      <c r="F1142" s="53" t="s">
        <v>237</v>
      </c>
      <c r="G1142" s="54">
        <v>46196</v>
      </c>
      <c r="H1142" s="53" t="s">
        <v>1851</v>
      </c>
      <c r="I1142" s="59">
        <v>82.1</v>
      </c>
      <c r="J1142" s="59"/>
      <c r="K1142" s="59"/>
      <c r="L1142" s="59">
        <f t="shared" si="17"/>
        <v>333231.52000000066</v>
      </c>
    </row>
    <row r="1143" spans="1:12" x14ac:dyDescent="0.3">
      <c r="A1143" s="52"/>
      <c r="B1143" s="53" t="s">
        <v>28</v>
      </c>
      <c r="C1143" s="54">
        <v>46196</v>
      </c>
      <c r="D1143" s="53" t="s">
        <v>1852</v>
      </c>
      <c r="E1143" s="53" t="s">
        <v>255</v>
      </c>
      <c r="F1143" s="53" t="s">
        <v>237</v>
      </c>
      <c r="G1143" s="54">
        <v>46196</v>
      </c>
      <c r="H1143" s="53" t="s">
        <v>1853</v>
      </c>
      <c r="I1143" s="59">
        <v>203.76</v>
      </c>
      <c r="J1143" s="59"/>
      <c r="K1143" s="59"/>
      <c r="L1143" s="59">
        <f t="shared" si="17"/>
        <v>333435.28000000067</v>
      </c>
    </row>
    <row r="1144" spans="1:12" x14ac:dyDescent="0.3">
      <c r="A1144" s="52"/>
      <c r="B1144" s="53" t="s">
        <v>28</v>
      </c>
      <c r="C1144" s="54">
        <v>46196</v>
      </c>
      <c r="D1144" s="53" t="s">
        <v>1842</v>
      </c>
      <c r="E1144" s="53" t="s">
        <v>255</v>
      </c>
      <c r="F1144" s="53" t="s">
        <v>237</v>
      </c>
      <c r="G1144" s="54">
        <v>46196</v>
      </c>
      <c r="H1144" s="53" t="s">
        <v>1843</v>
      </c>
      <c r="I1144" s="59">
        <v>90.93</v>
      </c>
      <c r="J1144" s="59"/>
      <c r="K1144" s="59"/>
      <c r="L1144" s="59">
        <f t="shared" si="17"/>
        <v>333526.21000000066</v>
      </c>
    </row>
    <row r="1145" spans="1:12" x14ac:dyDescent="0.3">
      <c r="A1145" s="52"/>
      <c r="B1145" s="53" t="s">
        <v>26</v>
      </c>
      <c r="C1145" s="54">
        <v>46196</v>
      </c>
      <c r="D1145" s="53" t="s">
        <v>2242</v>
      </c>
      <c r="E1145" s="53"/>
      <c r="F1145" s="53"/>
      <c r="G1145" s="54"/>
      <c r="H1145" s="53"/>
      <c r="I1145" s="59">
        <v>3.9</v>
      </c>
      <c r="J1145" s="59"/>
      <c r="K1145" s="59"/>
      <c r="L1145" s="59">
        <f t="shared" si="17"/>
        <v>333530.11000000068</v>
      </c>
    </row>
    <row r="1146" spans="1:12" x14ac:dyDescent="0.3">
      <c r="A1146" s="52"/>
      <c r="B1146" s="53" t="s">
        <v>26</v>
      </c>
      <c r="C1146" s="54">
        <v>46196</v>
      </c>
      <c r="D1146" s="53" t="s">
        <v>2243</v>
      </c>
      <c r="E1146" s="53"/>
      <c r="F1146" s="53"/>
      <c r="G1146" s="54"/>
      <c r="H1146" s="53"/>
      <c r="I1146" s="59">
        <v>12.5</v>
      </c>
      <c r="J1146" s="59"/>
      <c r="K1146" s="59"/>
      <c r="L1146" s="59">
        <f t="shared" si="17"/>
        <v>333542.61000000068</v>
      </c>
    </row>
    <row r="1147" spans="1:12" x14ac:dyDescent="0.3">
      <c r="A1147" s="52"/>
      <c r="B1147" s="53" t="s">
        <v>26</v>
      </c>
      <c r="C1147" s="54">
        <v>46197</v>
      </c>
      <c r="D1147" s="53" t="s">
        <v>2244</v>
      </c>
      <c r="E1147" s="53"/>
      <c r="F1147" s="53"/>
      <c r="G1147" s="54"/>
      <c r="H1147" s="53"/>
      <c r="I1147" s="59">
        <v>18</v>
      </c>
      <c r="J1147" s="59"/>
      <c r="K1147" s="59"/>
      <c r="L1147" s="59">
        <f t="shared" si="17"/>
        <v>333560.61000000068</v>
      </c>
    </row>
    <row r="1148" spans="1:12" x14ac:dyDescent="0.3">
      <c r="A1148" s="52"/>
      <c r="B1148" s="53" t="s">
        <v>26</v>
      </c>
      <c r="C1148" s="54">
        <v>46197</v>
      </c>
      <c r="D1148" s="53" t="s">
        <v>2245</v>
      </c>
      <c r="E1148" s="53"/>
      <c r="F1148" s="53"/>
      <c r="G1148" s="54"/>
      <c r="H1148" s="53"/>
      <c r="I1148" s="59">
        <v>50</v>
      </c>
      <c r="J1148" s="59"/>
      <c r="K1148" s="59"/>
      <c r="L1148" s="59">
        <f t="shared" si="17"/>
        <v>333610.61000000068</v>
      </c>
    </row>
    <row r="1149" spans="1:12" x14ac:dyDescent="0.3">
      <c r="A1149" s="52"/>
      <c r="B1149" s="53" t="s">
        <v>26</v>
      </c>
      <c r="C1149" s="54">
        <v>46197</v>
      </c>
      <c r="D1149" s="53" t="s">
        <v>2246</v>
      </c>
      <c r="E1149" s="53"/>
      <c r="F1149" s="53"/>
      <c r="G1149" s="54"/>
      <c r="H1149" s="53"/>
      <c r="I1149" s="59">
        <v>14</v>
      </c>
      <c r="J1149" s="59"/>
      <c r="K1149" s="59"/>
      <c r="L1149" s="59">
        <f t="shared" si="17"/>
        <v>333624.61000000068</v>
      </c>
    </row>
    <row r="1150" spans="1:12" x14ac:dyDescent="0.3">
      <c r="A1150" s="52"/>
      <c r="B1150" s="53" t="s">
        <v>28</v>
      </c>
      <c r="C1150" s="54">
        <v>46197</v>
      </c>
      <c r="D1150" s="53" t="s">
        <v>1858</v>
      </c>
      <c r="E1150" s="53" t="s">
        <v>289</v>
      </c>
      <c r="F1150" s="53"/>
      <c r="G1150" s="54">
        <v>46197</v>
      </c>
      <c r="H1150" s="53" t="s">
        <v>1859</v>
      </c>
      <c r="I1150" s="59">
        <v>199.98</v>
      </c>
      <c r="J1150" s="59"/>
      <c r="K1150" s="59"/>
      <c r="L1150" s="59">
        <f t="shared" si="17"/>
        <v>333824.59000000067</v>
      </c>
    </row>
    <row r="1151" spans="1:12" x14ac:dyDescent="0.3">
      <c r="A1151" s="52"/>
      <c r="B1151" s="53" t="s">
        <v>26</v>
      </c>
      <c r="C1151" s="54">
        <v>46197</v>
      </c>
      <c r="D1151" s="53" t="s">
        <v>2247</v>
      </c>
      <c r="E1151" s="53"/>
      <c r="F1151" s="53"/>
      <c r="G1151" s="54"/>
      <c r="H1151" s="53"/>
      <c r="I1151" s="59">
        <v>5.3</v>
      </c>
      <c r="J1151" s="59"/>
      <c r="K1151" s="59"/>
      <c r="L1151" s="59">
        <f t="shared" si="17"/>
        <v>333829.89000000065</v>
      </c>
    </row>
    <row r="1152" spans="1:12" x14ac:dyDescent="0.3">
      <c r="A1152" s="52"/>
      <c r="B1152" s="53" t="s">
        <v>26</v>
      </c>
      <c r="C1152" s="54">
        <v>46197</v>
      </c>
      <c r="D1152" s="53" t="s">
        <v>2248</v>
      </c>
      <c r="E1152" s="53"/>
      <c r="F1152" s="53"/>
      <c r="G1152" s="54"/>
      <c r="H1152" s="53"/>
      <c r="I1152" s="59">
        <v>15.8</v>
      </c>
      <c r="J1152" s="59"/>
      <c r="K1152" s="59"/>
      <c r="L1152" s="59">
        <f t="shared" si="17"/>
        <v>333845.69000000064</v>
      </c>
    </row>
    <row r="1153" spans="1:12" x14ac:dyDescent="0.3">
      <c r="A1153" s="52"/>
      <c r="B1153" s="53" t="s">
        <v>26</v>
      </c>
      <c r="C1153" s="54">
        <v>46197</v>
      </c>
      <c r="D1153" s="53" t="s">
        <v>2249</v>
      </c>
      <c r="E1153" s="53"/>
      <c r="F1153" s="53"/>
      <c r="G1153" s="54"/>
      <c r="H1153" s="53"/>
      <c r="I1153" s="59">
        <v>3.5</v>
      </c>
      <c r="J1153" s="59"/>
      <c r="K1153" s="59"/>
      <c r="L1153" s="59">
        <f t="shared" si="17"/>
        <v>333849.19000000064</v>
      </c>
    </row>
    <row r="1154" spans="1:12" x14ac:dyDescent="0.3">
      <c r="A1154" s="52"/>
      <c r="B1154" s="53" t="s">
        <v>28</v>
      </c>
      <c r="C1154" s="54">
        <v>46197</v>
      </c>
      <c r="D1154" s="53" t="s">
        <v>1860</v>
      </c>
      <c r="E1154" s="53" t="s">
        <v>255</v>
      </c>
      <c r="F1154" s="53"/>
      <c r="G1154" s="54">
        <v>46196</v>
      </c>
      <c r="H1154" s="53" t="s">
        <v>1861</v>
      </c>
      <c r="I1154" s="59">
        <v>72.45</v>
      </c>
      <c r="J1154" s="59"/>
      <c r="K1154" s="59"/>
      <c r="L1154" s="59">
        <f t="shared" si="17"/>
        <v>333921.64000000065</v>
      </c>
    </row>
    <row r="1155" spans="1:12" x14ac:dyDescent="0.3">
      <c r="A1155" s="52"/>
      <c r="B1155" s="53" t="s">
        <v>28</v>
      </c>
      <c r="C1155" s="54">
        <v>46197</v>
      </c>
      <c r="D1155" s="53" t="s">
        <v>1854</v>
      </c>
      <c r="E1155" s="53" t="s">
        <v>1855</v>
      </c>
      <c r="F1155" s="53" t="s">
        <v>1856</v>
      </c>
      <c r="G1155" s="54">
        <v>46185</v>
      </c>
      <c r="H1155" s="53" t="s">
        <v>1857</v>
      </c>
      <c r="I1155" s="59">
        <v>1237.5</v>
      </c>
      <c r="J1155" s="5" t="s">
        <v>1887</v>
      </c>
      <c r="K1155" s="59"/>
      <c r="L1155" s="59">
        <f t="shared" si="17"/>
        <v>335159.14000000065</v>
      </c>
    </row>
    <row r="1156" spans="1:12" x14ac:dyDescent="0.3">
      <c r="A1156" s="52"/>
      <c r="B1156" s="53" t="s">
        <v>26</v>
      </c>
      <c r="C1156" s="54">
        <v>46198</v>
      </c>
      <c r="D1156" s="53" t="s">
        <v>2250</v>
      </c>
      <c r="E1156" s="53"/>
      <c r="F1156" s="53"/>
      <c r="G1156" s="54"/>
      <c r="H1156" s="53"/>
      <c r="I1156" s="59">
        <v>14</v>
      </c>
      <c r="J1156" s="59"/>
      <c r="K1156" s="59"/>
      <c r="L1156" s="59">
        <f t="shared" si="17"/>
        <v>335173.14000000065</v>
      </c>
    </row>
    <row r="1157" spans="1:12" x14ac:dyDescent="0.3">
      <c r="A1157" s="52"/>
      <c r="B1157" s="53" t="s">
        <v>26</v>
      </c>
      <c r="C1157" s="54">
        <v>46198</v>
      </c>
      <c r="D1157" s="53" t="s">
        <v>2251</v>
      </c>
      <c r="E1157" s="53"/>
      <c r="F1157" s="53"/>
      <c r="G1157" s="54"/>
      <c r="H1157" s="53"/>
      <c r="I1157" s="59">
        <v>30</v>
      </c>
      <c r="J1157" s="59"/>
      <c r="K1157" s="59"/>
      <c r="L1157" s="59">
        <f t="shared" si="17"/>
        <v>335203.14000000065</v>
      </c>
    </row>
    <row r="1158" spans="1:12" x14ac:dyDescent="0.3">
      <c r="A1158" s="52"/>
      <c r="B1158" s="53" t="s">
        <v>26</v>
      </c>
      <c r="C1158" s="54">
        <v>46198</v>
      </c>
      <c r="D1158" s="53" t="s">
        <v>2252</v>
      </c>
      <c r="E1158" s="53"/>
      <c r="F1158" s="53"/>
      <c r="G1158" s="54"/>
      <c r="H1158" s="53"/>
      <c r="I1158" s="59">
        <v>7.9</v>
      </c>
      <c r="J1158" s="59"/>
      <c r="K1158" s="59"/>
      <c r="L1158" s="59">
        <f t="shared" si="17"/>
        <v>335211.04000000068</v>
      </c>
    </row>
    <row r="1159" spans="1:12" x14ac:dyDescent="0.3">
      <c r="A1159" s="52"/>
      <c r="B1159" s="53" t="s">
        <v>26</v>
      </c>
      <c r="C1159" s="54">
        <v>46198</v>
      </c>
      <c r="D1159" s="53" t="s">
        <v>2253</v>
      </c>
      <c r="E1159" s="53"/>
      <c r="F1159" s="53"/>
      <c r="G1159" s="54"/>
      <c r="H1159" s="53"/>
      <c r="I1159" s="59">
        <v>5</v>
      </c>
      <c r="J1159" s="59"/>
      <c r="K1159" s="59"/>
      <c r="L1159" s="59">
        <f t="shared" si="17"/>
        <v>335216.04000000068</v>
      </c>
    </row>
    <row r="1160" spans="1:12" x14ac:dyDescent="0.3">
      <c r="A1160" s="52"/>
      <c r="B1160" s="53" t="s">
        <v>26</v>
      </c>
      <c r="C1160" s="54">
        <v>46198</v>
      </c>
      <c r="D1160" s="53" t="s">
        <v>2254</v>
      </c>
      <c r="E1160" s="53"/>
      <c r="F1160" s="53"/>
      <c r="G1160" s="54"/>
      <c r="H1160" s="53"/>
      <c r="I1160" s="59">
        <v>4</v>
      </c>
      <c r="J1160" s="59"/>
      <c r="K1160" s="59"/>
      <c r="L1160" s="59">
        <f t="shared" si="17"/>
        <v>335220.04000000068</v>
      </c>
    </row>
    <row r="1161" spans="1:12" x14ac:dyDescent="0.3">
      <c r="A1161" s="52"/>
      <c r="B1161" s="53" t="s">
        <v>26</v>
      </c>
      <c r="C1161" s="54">
        <v>46198</v>
      </c>
      <c r="D1161" s="53" t="s">
        <v>2255</v>
      </c>
      <c r="E1161" s="53"/>
      <c r="F1161" s="53"/>
      <c r="G1161" s="54"/>
      <c r="H1161" s="53"/>
      <c r="I1161" s="59">
        <v>6.5</v>
      </c>
      <c r="J1161" s="59"/>
      <c r="K1161" s="59"/>
      <c r="L1161" s="59">
        <f t="shared" si="17"/>
        <v>335226.54000000068</v>
      </c>
    </row>
    <row r="1162" spans="1:12" x14ac:dyDescent="0.3">
      <c r="A1162" s="52"/>
      <c r="B1162" s="53" t="s">
        <v>28</v>
      </c>
      <c r="C1162" s="54">
        <v>46198</v>
      </c>
      <c r="D1162" s="53" t="s">
        <v>1862</v>
      </c>
      <c r="E1162" s="53" t="s">
        <v>1863</v>
      </c>
      <c r="F1162" s="53"/>
      <c r="G1162" s="54">
        <v>46196</v>
      </c>
      <c r="H1162" s="53" t="s">
        <v>1864</v>
      </c>
      <c r="I1162" s="59">
        <v>352.73</v>
      </c>
      <c r="J1162" s="59"/>
      <c r="K1162" s="59"/>
      <c r="L1162" s="59">
        <f t="shared" si="17"/>
        <v>335579.27000000066</v>
      </c>
    </row>
    <row r="1163" spans="1:12" x14ac:dyDescent="0.3">
      <c r="A1163" s="52"/>
      <c r="B1163" s="53" t="s">
        <v>26</v>
      </c>
      <c r="C1163" s="54">
        <v>46199</v>
      </c>
      <c r="D1163" s="53" t="s">
        <v>2256</v>
      </c>
      <c r="E1163" s="53"/>
      <c r="F1163" s="53"/>
      <c r="G1163" s="54"/>
      <c r="H1163" s="53"/>
      <c r="I1163" s="59">
        <v>35.5</v>
      </c>
      <c r="J1163" s="59"/>
      <c r="K1163" s="59"/>
      <c r="L1163" s="59">
        <f t="shared" ref="L1163:L1226" si="18">L1162+I1163-K1163</f>
        <v>335614.77000000066</v>
      </c>
    </row>
    <row r="1164" spans="1:12" x14ac:dyDescent="0.3">
      <c r="A1164" s="52"/>
      <c r="B1164" s="53" t="s">
        <v>26</v>
      </c>
      <c r="C1164" s="54">
        <v>46199</v>
      </c>
      <c r="D1164" s="53" t="s">
        <v>2257</v>
      </c>
      <c r="E1164" s="53"/>
      <c r="F1164" s="53"/>
      <c r="G1164" s="54"/>
      <c r="H1164" s="53"/>
      <c r="I1164" s="59">
        <v>29.6</v>
      </c>
      <c r="J1164" s="59"/>
      <c r="K1164" s="59"/>
      <c r="L1164" s="59">
        <f t="shared" si="18"/>
        <v>335644.37000000064</v>
      </c>
    </row>
    <row r="1165" spans="1:12" x14ac:dyDescent="0.3">
      <c r="A1165" s="52"/>
      <c r="B1165" s="53" t="s">
        <v>26</v>
      </c>
      <c r="C1165" s="54">
        <v>46199</v>
      </c>
      <c r="D1165" s="53" t="s">
        <v>2258</v>
      </c>
      <c r="E1165" s="53"/>
      <c r="F1165" s="53"/>
      <c r="G1165" s="54"/>
      <c r="H1165" s="53"/>
      <c r="I1165" s="59">
        <v>10.64</v>
      </c>
      <c r="J1165" s="59"/>
      <c r="K1165" s="59"/>
      <c r="L1165" s="59">
        <f t="shared" si="18"/>
        <v>335655.01000000065</v>
      </c>
    </row>
    <row r="1166" spans="1:12" x14ac:dyDescent="0.3">
      <c r="A1166" s="52"/>
      <c r="B1166" s="53" t="s">
        <v>26</v>
      </c>
      <c r="C1166" s="54">
        <v>46199</v>
      </c>
      <c r="D1166" s="53" t="s">
        <v>2259</v>
      </c>
      <c r="E1166" s="53"/>
      <c r="F1166" s="53"/>
      <c r="G1166" s="54"/>
      <c r="H1166" s="53"/>
      <c r="I1166" s="59">
        <v>137</v>
      </c>
      <c r="J1166" s="59"/>
      <c r="K1166" s="59"/>
      <c r="L1166" s="59">
        <f t="shared" si="18"/>
        <v>335792.01000000065</v>
      </c>
    </row>
    <row r="1167" spans="1:12" x14ac:dyDescent="0.3">
      <c r="A1167" s="52"/>
      <c r="B1167" s="53" t="s">
        <v>26</v>
      </c>
      <c r="C1167" s="54">
        <v>46199</v>
      </c>
      <c r="D1167" s="53" t="s">
        <v>2260</v>
      </c>
      <c r="E1167" s="53"/>
      <c r="F1167" s="53"/>
      <c r="G1167" s="54"/>
      <c r="H1167" s="53"/>
      <c r="I1167" s="59">
        <v>0.66</v>
      </c>
      <c r="J1167" s="59"/>
      <c r="K1167" s="59"/>
      <c r="L1167" s="59">
        <f t="shared" si="18"/>
        <v>335792.67000000062</v>
      </c>
    </row>
    <row r="1168" spans="1:12" x14ac:dyDescent="0.3">
      <c r="A1168" s="52"/>
      <c r="B1168" s="53" t="s">
        <v>26</v>
      </c>
      <c r="C1168" s="54">
        <v>46200</v>
      </c>
      <c r="D1168" s="53" t="s">
        <v>2261</v>
      </c>
      <c r="E1168" s="53"/>
      <c r="F1168" s="53"/>
      <c r="G1168" s="54"/>
      <c r="H1168" s="53"/>
      <c r="I1168" s="59">
        <v>14.5</v>
      </c>
      <c r="J1168" s="59"/>
      <c r="K1168" s="59"/>
      <c r="L1168" s="59">
        <f t="shared" si="18"/>
        <v>335807.17000000062</v>
      </c>
    </row>
    <row r="1169" spans="1:12" x14ac:dyDescent="0.3">
      <c r="A1169" s="52"/>
      <c r="B1169" s="53" t="s">
        <v>26</v>
      </c>
      <c r="C1169" s="54">
        <v>46200</v>
      </c>
      <c r="D1169" s="53" t="s">
        <v>2262</v>
      </c>
      <c r="E1169" s="53"/>
      <c r="F1169" s="53"/>
      <c r="G1169" s="54"/>
      <c r="H1169" s="53"/>
      <c r="I1169" s="59">
        <v>101.5</v>
      </c>
      <c r="J1169" s="59"/>
      <c r="K1169" s="59"/>
      <c r="L1169" s="59">
        <f t="shared" si="18"/>
        <v>335908.67000000062</v>
      </c>
    </row>
    <row r="1170" spans="1:12" x14ac:dyDescent="0.3">
      <c r="A1170" s="52"/>
      <c r="B1170" s="53" t="s">
        <v>26</v>
      </c>
      <c r="C1170" s="54">
        <v>46202</v>
      </c>
      <c r="D1170" s="53" t="s">
        <v>2263</v>
      </c>
      <c r="E1170" s="53"/>
      <c r="F1170" s="53"/>
      <c r="G1170" s="54"/>
      <c r="H1170" s="53"/>
      <c r="I1170" s="59">
        <v>15.4</v>
      </c>
      <c r="J1170" s="59"/>
      <c r="K1170" s="59"/>
      <c r="L1170" s="59">
        <f t="shared" si="18"/>
        <v>335924.07000000065</v>
      </c>
    </row>
    <row r="1171" spans="1:12" x14ac:dyDescent="0.3">
      <c r="A1171" s="52"/>
      <c r="B1171" s="53" t="s">
        <v>28</v>
      </c>
      <c r="C1171" s="54">
        <v>46202</v>
      </c>
      <c r="D1171" s="53" t="s">
        <v>1873</v>
      </c>
      <c r="E1171" s="53" t="s">
        <v>1117</v>
      </c>
      <c r="F1171" s="53"/>
      <c r="G1171" s="54">
        <v>46198</v>
      </c>
      <c r="H1171" s="53" t="s">
        <v>1874</v>
      </c>
      <c r="I1171" s="59">
        <v>1454.55</v>
      </c>
      <c r="J1171" s="59"/>
      <c r="K1171" s="59"/>
      <c r="L1171" s="59">
        <f t="shared" si="18"/>
        <v>337378.62000000064</v>
      </c>
    </row>
    <row r="1172" spans="1:12" x14ac:dyDescent="0.3">
      <c r="A1172" s="52"/>
      <c r="B1172" s="53" t="s">
        <v>26</v>
      </c>
      <c r="C1172" s="54">
        <v>46202</v>
      </c>
      <c r="D1172" s="53" t="s">
        <v>2264</v>
      </c>
      <c r="E1172" s="53"/>
      <c r="F1172" s="53"/>
      <c r="G1172" s="54"/>
      <c r="H1172" s="53"/>
      <c r="I1172" s="59">
        <v>5.68</v>
      </c>
      <c r="J1172" s="59"/>
      <c r="K1172" s="59"/>
      <c r="L1172" s="59">
        <f t="shared" si="18"/>
        <v>337384.30000000063</v>
      </c>
    </row>
    <row r="1173" spans="1:12" x14ac:dyDescent="0.3">
      <c r="A1173" s="52"/>
      <c r="B1173" s="53" t="s">
        <v>26</v>
      </c>
      <c r="C1173" s="54">
        <v>46202</v>
      </c>
      <c r="D1173" s="53" t="s">
        <v>2265</v>
      </c>
      <c r="E1173" s="53"/>
      <c r="F1173" s="53"/>
      <c r="G1173" s="54"/>
      <c r="H1173" s="53"/>
      <c r="I1173" s="59">
        <v>13.3</v>
      </c>
      <c r="J1173" s="59"/>
      <c r="K1173" s="59"/>
      <c r="L1173" s="59">
        <f t="shared" si="18"/>
        <v>337397.60000000062</v>
      </c>
    </row>
    <row r="1174" spans="1:12" x14ac:dyDescent="0.3">
      <c r="A1174" s="52"/>
      <c r="B1174" s="53" t="s">
        <v>28</v>
      </c>
      <c r="C1174" s="54">
        <v>46202</v>
      </c>
      <c r="D1174" s="53" t="s">
        <v>1871</v>
      </c>
      <c r="E1174" s="53" t="s">
        <v>194</v>
      </c>
      <c r="F1174" s="53"/>
      <c r="G1174" s="54">
        <v>46198</v>
      </c>
      <c r="H1174" s="53" t="s">
        <v>1872</v>
      </c>
      <c r="I1174" s="59">
        <v>136.36000000000001</v>
      </c>
      <c r="J1174" s="59"/>
      <c r="K1174" s="59"/>
      <c r="L1174" s="59">
        <f t="shared" si="18"/>
        <v>337533.9600000006</v>
      </c>
    </row>
    <row r="1175" spans="1:12" x14ac:dyDescent="0.3">
      <c r="A1175" s="52"/>
      <c r="B1175" s="53" t="s">
        <v>28</v>
      </c>
      <c r="C1175" s="54">
        <v>46202</v>
      </c>
      <c r="D1175" s="53" t="s">
        <v>1867</v>
      </c>
      <c r="E1175" s="53" t="s">
        <v>1868</v>
      </c>
      <c r="F1175" s="53" t="s">
        <v>1869</v>
      </c>
      <c r="G1175" s="54">
        <v>46199</v>
      </c>
      <c r="H1175" s="53" t="s">
        <v>1870</v>
      </c>
      <c r="I1175" s="59">
        <v>394.91</v>
      </c>
      <c r="J1175" s="59"/>
      <c r="K1175" s="59"/>
      <c r="L1175" s="59">
        <f t="shared" si="18"/>
        <v>337928.87000000058</v>
      </c>
    </row>
    <row r="1176" spans="1:12" x14ac:dyDescent="0.3">
      <c r="A1176" s="52"/>
      <c r="B1176" s="53" t="s">
        <v>28</v>
      </c>
      <c r="C1176" s="54">
        <v>46202</v>
      </c>
      <c r="D1176" s="53" t="s">
        <v>1865</v>
      </c>
      <c r="E1176" s="53" t="s">
        <v>1117</v>
      </c>
      <c r="F1176" s="53"/>
      <c r="G1176" s="54">
        <v>46193</v>
      </c>
      <c r="H1176" s="53" t="s">
        <v>1866</v>
      </c>
      <c r="I1176" s="59">
        <v>872.73</v>
      </c>
      <c r="J1176" s="59"/>
      <c r="K1176" s="59"/>
      <c r="L1176" s="59">
        <f t="shared" si="18"/>
        <v>338801.60000000056</v>
      </c>
    </row>
    <row r="1177" spans="1:12" x14ac:dyDescent="0.3">
      <c r="A1177" s="52"/>
      <c r="B1177" s="53" t="s">
        <v>26</v>
      </c>
      <c r="C1177" s="54">
        <v>46202</v>
      </c>
      <c r="D1177" s="53" t="s">
        <v>2266</v>
      </c>
      <c r="E1177" s="53"/>
      <c r="F1177" s="53"/>
      <c r="G1177" s="54"/>
      <c r="H1177" s="53"/>
      <c r="I1177" s="59">
        <v>8.2899999999999991</v>
      </c>
      <c r="J1177" s="59"/>
      <c r="K1177" s="59"/>
      <c r="L1177" s="59">
        <f t="shared" si="18"/>
        <v>338809.89000000054</v>
      </c>
    </row>
    <row r="1178" spans="1:12" x14ac:dyDescent="0.3">
      <c r="A1178" s="52"/>
      <c r="B1178" s="53" t="s">
        <v>26</v>
      </c>
      <c r="C1178" s="54">
        <v>46203</v>
      </c>
      <c r="D1178" s="53" t="s">
        <v>2267</v>
      </c>
      <c r="E1178" s="53"/>
      <c r="F1178" s="53"/>
      <c r="G1178" s="54"/>
      <c r="H1178" s="53"/>
      <c r="I1178" s="59">
        <v>209.98</v>
      </c>
      <c r="J1178" s="59"/>
      <c r="K1178" s="59"/>
      <c r="L1178" s="59">
        <f t="shared" si="18"/>
        <v>339019.87000000052</v>
      </c>
    </row>
    <row r="1179" spans="1:12" x14ac:dyDescent="0.3">
      <c r="A1179" s="52"/>
      <c r="B1179" s="53" t="s">
        <v>26</v>
      </c>
      <c r="C1179" s="54">
        <v>46203</v>
      </c>
      <c r="D1179" s="53" t="s">
        <v>2268</v>
      </c>
      <c r="E1179" s="53"/>
      <c r="F1179" s="53"/>
      <c r="G1179" s="54"/>
      <c r="H1179" s="53"/>
      <c r="I1179" s="59">
        <v>89.5</v>
      </c>
      <c r="J1179" s="59"/>
      <c r="K1179" s="59"/>
      <c r="L1179" s="59">
        <f t="shared" si="18"/>
        <v>339109.37000000052</v>
      </c>
    </row>
    <row r="1180" spans="1:12" x14ac:dyDescent="0.3">
      <c r="A1180" s="52"/>
      <c r="B1180" s="53" t="s">
        <v>26</v>
      </c>
      <c r="C1180" s="54">
        <v>46203</v>
      </c>
      <c r="D1180" s="53" t="s">
        <v>2269</v>
      </c>
      <c r="E1180" s="53"/>
      <c r="F1180" s="53"/>
      <c r="G1180" s="54"/>
      <c r="H1180" s="53"/>
      <c r="I1180" s="59">
        <v>9.35</v>
      </c>
      <c r="J1180" s="59"/>
      <c r="K1180" s="59"/>
      <c r="L1180" s="59">
        <f t="shared" si="18"/>
        <v>339118.7200000005</v>
      </c>
    </row>
    <row r="1181" spans="1:12" x14ac:dyDescent="0.3">
      <c r="A1181" s="52"/>
      <c r="B1181" s="53" t="s">
        <v>26</v>
      </c>
      <c r="C1181" s="54">
        <v>46203</v>
      </c>
      <c r="D1181" s="53" t="s">
        <v>2270</v>
      </c>
      <c r="E1181" s="53"/>
      <c r="F1181" s="53"/>
      <c r="G1181" s="54"/>
      <c r="H1181" s="53"/>
      <c r="I1181" s="59">
        <v>14.5</v>
      </c>
      <c r="J1181" s="59"/>
      <c r="K1181" s="59"/>
      <c r="L1181" s="59">
        <f t="shared" si="18"/>
        <v>339133.2200000005</v>
      </c>
    </row>
    <row r="1182" spans="1:12" x14ac:dyDescent="0.3">
      <c r="A1182" s="52"/>
      <c r="B1182" s="53" t="s">
        <v>26</v>
      </c>
      <c r="C1182" s="54">
        <v>46204</v>
      </c>
      <c r="D1182" s="53" t="s">
        <v>2271</v>
      </c>
      <c r="E1182" s="53"/>
      <c r="F1182" s="53"/>
      <c r="G1182" s="54"/>
      <c r="H1182" s="53"/>
      <c r="I1182" s="59">
        <v>92</v>
      </c>
      <c r="J1182" s="59"/>
      <c r="K1182" s="59"/>
      <c r="L1182" s="59">
        <f t="shared" si="18"/>
        <v>339225.2200000005</v>
      </c>
    </row>
    <row r="1183" spans="1:12" x14ac:dyDescent="0.3">
      <c r="A1183" s="52"/>
      <c r="B1183" s="53" t="s">
        <v>26</v>
      </c>
      <c r="C1183" s="54">
        <v>46204</v>
      </c>
      <c r="D1183" s="53" t="s">
        <v>2272</v>
      </c>
      <c r="E1183" s="53"/>
      <c r="F1183" s="53"/>
      <c r="G1183" s="54"/>
      <c r="H1183" s="53"/>
      <c r="I1183" s="59">
        <v>13.4</v>
      </c>
      <c r="J1183" s="59"/>
      <c r="K1183" s="59"/>
      <c r="L1183" s="59">
        <f t="shared" si="18"/>
        <v>339238.62000000052</v>
      </c>
    </row>
    <row r="1184" spans="1:12" x14ac:dyDescent="0.3">
      <c r="A1184" s="52"/>
      <c r="B1184" s="53" t="s">
        <v>26</v>
      </c>
      <c r="C1184" s="54">
        <v>46204</v>
      </c>
      <c r="D1184" s="53" t="s">
        <v>2273</v>
      </c>
      <c r="E1184" s="53"/>
      <c r="F1184" s="53"/>
      <c r="G1184" s="54"/>
      <c r="H1184" s="53"/>
      <c r="I1184" s="59">
        <v>8</v>
      </c>
      <c r="J1184" s="59"/>
      <c r="K1184" s="59"/>
      <c r="L1184" s="59">
        <f t="shared" si="18"/>
        <v>339246.62000000052</v>
      </c>
    </row>
    <row r="1185" spans="1:12" x14ac:dyDescent="0.3">
      <c r="A1185" s="52"/>
      <c r="B1185" s="53" t="s">
        <v>26</v>
      </c>
      <c r="C1185" s="54">
        <v>46204</v>
      </c>
      <c r="D1185" s="53" t="s">
        <v>2274</v>
      </c>
      <c r="E1185" s="53"/>
      <c r="F1185" s="53"/>
      <c r="G1185" s="54"/>
      <c r="H1185" s="53"/>
      <c r="I1185" s="59">
        <v>8.5</v>
      </c>
      <c r="J1185" s="59"/>
      <c r="K1185" s="59"/>
      <c r="L1185" s="59">
        <f t="shared" si="18"/>
        <v>339255.12000000052</v>
      </c>
    </row>
    <row r="1186" spans="1:12" x14ac:dyDescent="0.3">
      <c r="A1186" s="52"/>
      <c r="B1186" s="53" t="s">
        <v>26</v>
      </c>
      <c r="C1186" s="54">
        <v>46204</v>
      </c>
      <c r="D1186" s="53" t="s">
        <v>2275</v>
      </c>
      <c r="E1186" s="53"/>
      <c r="F1186" s="53"/>
      <c r="G1186" s="54"/>
      <c r="H1186" s="53"/>
      <c r="I1186" s="59">
        <v>3</v>
      </c>
      <c r="J1186" s="59"/>
      <c r="K1186" s="59"/>
      <c r="L1186" s="59">
        <f t="shared" si="18"/>
        <v>339258.12000000052</v>
      </c>
    </row>
    <row r="1187" spans="1:12" x14ac:dyDescent="0.3">
      <c r="A1187" s="52"/>
      <c r="B1187" s="53" t="s">
        <v>26</v>
      </c>
      <c r="C1187" s="54">
        <v>46204</v>
      </c>
      <c r="D1187" s="53" t="s">
        <v>2276</v>
      </c>
      <c r="E1187" s="53"/>
      <c r="F1187" s="53"/>
      <c r="G1187" s="54"/>
      <c r="H1187" s="53"/>
      <c r="I1187" s="59">
        <v>4.2</v>
      </c>
      <c r="J1187" s="59"/>
      <c r="K1187" s="59"/>
      <c r="L1187" s="59">
        <f t="shared" si="18"/>
        <v>339262.32000000053</v>
      </c>
    </row>
    <row r="1188" spans="1:12" x14ac:dyDescent="0.3">
      <c r="A1188" s="52"/>
      <c r="B1188" s="53" t="s">
        <v>26</v>
      </c>
      <c r="C1188" s="54">
        <v>46204</v>
      </c>
      <c r="D1188" s="53" t="s">
        <v>2277</v>
      </c>
      <c r="E1188" s="53"/>
      <c r="F1188" s="53"/>
      <c r="G1188" s="54"/>
      <c r="H1188" s="53"/>
      <c r="I1188" s="59">
        <v>114</v>
      </c>
      <c r="J1188" s="59"/>
      <c r="K1188" s="59"/>
      <c r="L1188" s="59">
        <f t="shared" si="18"/>
        <v>339376.32000000053</v>
      </c>
    </row>
    <row r="1189" spans="1:12" x14ac:dyDescent="0.3">
      <c r="A1189" s="52"/>
      <c r="B1189" s="53" t="s">
        <v>26</v>
      </c>
      <c r="C1189" s="54">
        <v>46204</v>
      </c>
      <c r="D1189" s="53" t="s">
        <v>2278</v>
      </c>
      <c r="E1189" s="53"/>
      <c r="F1189" s="53"/>
      <c r="G1189" s="54"/>
      <c r="H1189" s="53"/>
      <c r="I1189" s="59">
        <v>12.4</v>
      </c>
      <c r="J1189" s="59"/>
      <c r="K1189" s="59"/>
      <c r="L1189" s="59">
        <f t="shared" si="18"/>
        <v>339388.72000000055</v>
      </c>
    </row>
    <row r="1190" spans="1:12" x14ac:dyDescent="0.3">
      <c r="A1190" s="52"/>
      <c r="B1190" s="53" t="s">
        <v>26</v>
      </c>
      <c r="C1190" s="54">
        <v>46204</v>
      </c>
      <c r="D1190" s="53" t="s">
        <v>2279</v>
      </c>
      <c r="E1190" s="53"/>
      <c r="F1190" s="53"/>
      <c r="G1190" s="54"/>
      <c r="H1190" s="53"/>
      <c r="I1190" s="59">
        <v>8.6</v>
      </c>
      <c r="J1190" s="59"/>
      <c r="K1190" s="59"/>
      <c r="L1190" s="59">
        <f t="shared" si="18"/>
        <v>339397.32000000053</v>
      </c>
    </row>
    <row r="1191" spans="1:12" x14ac:dyDescent="0.3">
      <c r="A1191" s="52"/>
      <c r="B1191" s="53" t="s">
        <v>26</v>
      </c>
      <c r="C1191" s="54">
        <v>46204</v>
      </c>
      <c r="D1191" s="53" t="s">
        <v>2280</v>
      </c>
      <c r="E1191" s="53"/>
      <c r="F1191" s="53"/>
      <c r="G1191" s="54"/>
      <c r="H1191" s="53"/>
      <c r="I1191" s="59">
        <v>4.2</v>
      </c>
      <c r="J1191" s="59"/>
      <c r="K1191" s="59"/>
      <c r="L1191" s="59">
        <f t="shared" si="18"/>
        <v>339401.52000000054</v>
      </c>
    </row>
    <row r="1192" spans="1:12" x14ac:dyDescent="0.3">
      <c r="A1192" s="52"/>
      <c r="B1192" s="53" t="s">
        <v>26</v>
      </c>
      <c r="C1192" s="54">
        <v>46204</v>
      </c>
      <c r="D1192" s="53" t="s">
        <v>2281</v>
      </c>
      <c r="E1192" s="53"/>
      <c r="F1192" s="53"/>
      <c r="G1192" s="54"/>
      <c r="H1192" s="53"/>
      <c r="I1192" s="59">
        <v>14</v>
      </c>
      <c r="J1192" s="59"/>
      <c r="K1192" s="59"/>
      <c r="L1192" s="59">
        <f t="shared" si="18"/>
        <v>339415.52000000054</v>
      </c>
    </row>
    <row r="1193" spans="1:12" x14ac:dyDescent="0.3">
      <c r="A1193" s="52"/>
      <c r="B1193" s="53" t="s">
        <v>26</v>
      </c>
      <c r="C1193" s="54">
        <v>46204</v>
      </c>
      <c r="D1193" s="53" t="s">
        <v>2282</v>
      </c>
      <c r="E1193" s="53"/>
      <c r="F1193" s="53"/>
      <c r="G1193" s="54"/>
      <c r="H1193" s="53"/>
      <c r="I1193" s="59">
        <v>11.07</v>
      </c>
      <c r="J1193" s="59"/>
      <c r="K1193" s="59"/>
      <c r="L1193" s="59">
        <f t="shared" si="18"/>
        <v>339426.59000000055</v>
      </c>
    </row>
    <row r="1194" spans="1:12" x14ac:dyDescent="0.3">
      <c r="A1194" s="52"/>
      <c r="B1194" s="53" t="s">
        <v>26</v>
      </c>
      <c r="C1194" s="54">
        <v>46204</v>
      </c>
      <c r="D1194" s="53" t="s">
        <v>2283</v>
      </c>
      <c r="E1194" s="53"/>
      <c r="F1194" s="53"/>
      <c r="G1194" s="54"/>
      <c r="H1194" s="53"/>
      <c r="I1194" s="59">
        <v>2.2000000000000002</v>
      </c>
      <c r="J1194" s="59"/>
      <c r="K1194" s="59"/>
      <c r="L1194" s="59">
        <f t="shared" si="18"/>
        <v>339428.79000000056</v>
      </c>
    </row>
    <row r="1195" spans="1:12" x14ac:dyDescent="0.3">
      <c r="A1195" s="52"/>
      <c r="B1195" s="53" t="s">
        <v>26</v>
      </c>
      <c r="C1195" s="54">
        <v>46204</v>
      </c>
      <c r="D1195" s="53" t="s">
        <v>2284</v>
      </c>
      <c r="E1195" s="53"/>
      <c r="F1195" s="53"/>
      <c r="G1195" s="54"/>
      <c r="H1195" s="53"/>
      <c r="I1195" s="59">
        <v>13.4</v>
      </c>
      <c r="J1195" s="59"/>
      <c r="K1195" s="59"/>
      <c r="L1195" s="59">
        <f t="shared" si="18"/>
        <v>339442.19000000058</v>
      </c>
    </row>
    <row r="1196" spans="1:12" x14ac:dyDescent="0.3">
      <c r="A1196" s="52"/>
      <c r="B1196" s="53" t="s">
        <v>26</v>
      </c>
      <c r="C1196" s="54">
        <v>46204</v>
      </c>
      <c r="D1196" s="53" t="s">
        <v>2285</v>
      </c>
      <c r="E1196" s="53"/>
      <c r="F1196" s="53"/>
      <c r="G1196" s="54"/>
      <c r="H1196" s="53"/>
      <c r="I1196" s="59">
        <v>1.4</v>
      </c>
      <c r="J1196" s="59"/>
      <c r="K1196" s="59"/>
      <c r="L1196" s="59">
        <f t="shared" si="18"/>
        <v>339443.59000000061</v>
      </c>
    </row>
    <row r="1197" spans="1:12" x14ac:dyDescent="0.3">
      <c r="A1197" s="52"/>
      <c r="B1197" s="53" t="s">
        <v>26</v>
      </c>
      <c r="C1197" s="54">
        <v>46204</v>
      </c>
      <c r="D1197" s="53" t="s">
        <v>2286</v>
      </c>
      <c r="E1197" s="53"/>
      <c r="F1197" s="53"/>
      <c r="G1197" s="54"/>
      <c r="H1197" s="53"/>
      <c r="I1197" s="59">
        <v>10.8</v>
      </c>
      <c r="J1197" s="59"/>
      <c r="K1197" s="59"/>
      <c r="L1197" s="59">
        <f t="shared" si="18"/>
        <v>339454.3900000006</v>
      </c>
    </row>
    <row r="1198" spans="1:12" x14ac:dyDescent="0.3">
      <c r="A1198" s="52"/>
      <c r="B1198" s="53" t="s">
        <v>26</v>
      </c>
      <c r="C1198" s="54">
        <v>46204</v>
      </c>
      <c r="D1198" s="53" t="s">
        <v>2287</v>
      </c>
      <c r="E1198" s="53"/>
      <c r="F1198" s="53"/>
      <c r="G1198" s="54"/>
      <c r="H1198" s="53"/>
      <c r="I1198" s="59">
        <v>3.9</v>
      </c>
      <c r="J1198" s="59"/>
      <c r="K1198" s="59"/>
      <c r="L1198" s="59">
        <f t="shared" si="18"/>
        <v>339458.29000000062</v>
      </c>
    </row>
    <row r="1199" spans="1:12" x14ac:dyDescent="0.3">
      <c r="A1199" s="52"/>
      <c r="B1199" s="53" t="s">
        <v>26</v>
      </c>
      <c r="C1199" s="54">
        <v>46206</v>
      </c>
      <c r="D1199" s="53" t="s">
        <v>2288</v>
      </c>
      <c r="E1199" s="53"/>
      <c r="F1199" s="53"/>
      <c r="G1199" s="54"/>
      <c r="H1199" s="53"/>
      <c r="I1199" s="59">
        <v>2.2000000000000002</v>
      </c>
      <c r="J1199" s="59"/>
      <c r="K1199" s="59"/>
      <c r="L1199" s="59">
        <f t="shared" si="18"/>
        <v>339460.49000000063</v>
      </c>
    </row>
    <row r="1200" spans="1:12" x14ac:dyDescent="0.3">
      <c r="A1200" s="52"/>
      <c r="B1200" s="53" t="s">
        <v>26</v>
      </c>
      <c r="C1200" s="54">
        <v>46206</v>
      </c>
      <c r="D1200" s="53" t="s">
        <v>2289</v>
      </c>
      <c r="E1200" s="53"/>
      <c r="F1200" s="53"/>
      <c r="G1200" s="54"/>
      <c r="H1200" s="53"/>
      <c r="I1200" s="59">
        <v>70.599999999999994</v>
      </c>
      <c r="J1200" s="59"/>
      <c r="K1200" s="59"/>
      <c r="L1200" s="59">
        <f t="shared" si="18"/>
        <v>339531.09000000061</v>
      </c>
    </row>
    <row r="1201" spans="1:12" x14ac:dyDescent="0.3">
      <c r="A1201" s="52"/>
      <c r="B1201" s="53" t="s">
        <v>26</v>
      </c>
      <c r="C1201" s="54">
        <v>46206</v>
      </c>
      <c r="D1201" s="53" t="s">
        <v>2290</v>
      </c>
      <c r="E1201" s="53"/>
      <c r="F1201" s="53"/>
      <c r="G1201" s="54"/>
      <c r="H1201" s="53"/>
      <c r="I1201" s="59">
        <v>53</v>
      </c>
      <c r="J1201" s="59"/>
      <c r="K1201" s="59"/>
      <c r="L1201" s="59">
        <f t="shared" si="18"/>
        <v>339584.09000000061</v>
      </c>
    </row>
    <row r="1202" spans="1:12" x14ac:dyDescent="0.3">
      <c r="A1202" s="52"/>
      <c r="B1202" s="53" t="s">
        <v>26</v>
      </c>
      <c r="C1202" s="54">
        <v>46206</v>
      </c>
      <c r="D1202" s="53" t="s">
        <v>2291</v>
      </c>
      <c r="E1202" s="53"/>
      <c r="F1202" s="53"/>
      <c r="G1202" s="54"/>
      <c r="H1202" s="53"/>
      <c r="I1202" s="59">
        <v>224</v>
      </c>
      <c r="J1202" s="59"/>
      <c r="K1202" s="59"/>
      <c r="L1202" s="59">
        <f t="shared" si="18"/>
        <v>339808.09000000061</v>
      </c>
    </row>
    <row r="1203" spans="1:12" x14ac:dyDescent="0.3">
      <c r="A1203" s="52"/>
      <c r="B1203" s="53" t="s">
        <v>26</v>
      </c>
      <c r="C1203" s="54">
        <v>46206</v>
      </c>
      <c r="D1203" s="53" t="s">
        <v>2292</v>
      </c>
      <c r="E1203" s="53"/>
      <c r="F1203" s="53"/>
      <c r="G1203" s="54"/>
      <c r="H1203" s="53"/>
      <c r="I1203" s="59">
        <v>78</v>
      </c>
      <c r="J1203" s="59"/>
      <c r="K1203" s="59"/>
      <c r="L1203" s="59">
        <f t="shared" si="18"/>
        <v>339886.09000000061</v>
      </c>
    </row>
    <row r="1204" spans="1:12" x14ac:dyDescent="0.3">
      <c r="A1204" s="52"/>
      <c r="B1204" s="53" t="s">
        <v>26</v>
      </c>
      <c r="C1204" s="54">
        <v>46209</v>
      </c>
      <c r="D1204" s="53" t="s">
        <v>2293</v>
      </c>
      <c r="E1204" s="53"/>
      <c r="F1204" s="53"/>
      <c r="G1204" s="54"/>
      <c r="H1204" s="53"/>
      <c r="I1204" s="59">
        <v>14.99</v>
      </c>
      <c r="J1204" s="59"/>
      <c r="K1204" s="59"/>
      <c r="L1204" s="59">
        <f t="shared" si="18"/>
        <v>339901.0800000006</v>
      </c>
    </row>
    <row r="1205" spans="1:12" x14ac:dyDescent="0.3">
      <c r="A1205" s="52"/>
      <c r="B1205" s="53" t="s">
        <v>26</v>
      </c>
      <c r="C1205" s="54">
        <v>46209</v>
      </c>
      <c r="D1205" s="53" t="s">
        <v>2294</v>
      </c>
      <c r="E1205" s="53"/>
      <c r="F1205" s="53"/>
      <c r="G1205" s="54"/>
      <c r="H1205" s="53"/>
      <c r="I1205" s="59">
        <v>13.74</v>
      </c>
      <c r="J1205" s="59"/>
      <c r="K1205" s="59"/>
      <c r="L1205" s="59">
        <f t="shared" si="18"/>
        <v>339914.82000000059</v>
      </c>
    </row>
    <row r="1206" spans="1:12" x14ac:dyDescent="0.3">
      <c r="A1206" s="52"/>
      <c r="B1206" s="53" t="s">
        <v>28</v>
      </c>
      <c r="C1206" s="54">
        <v>46209</v>
      </c>
      <c r="D1206" s="53" t="s">
        <v>2295</v>
      </c>
      <c r="E1206" s="53" t="s">
        <v>261</v>
      </c>
      <c r="F1206" s="53"/>
      <c r="G1206" s="54">
        <v>46202</v>
      </c>
      <c r="H1206" s="53" t="s">
        <v>2296</v>
      </c>
      <c r="I1206" s="59">
        <v>33</v>
      </c>
      <c r="J1206" s="59"/>
      <c r="K1206" s="59"/>
      <c r="L1206" s="59">
        <f t="shared" si="18"/>
        <v>339947.82000000059</v>
      </c>
    </row>
    <row r="1207" spans="1:12" x14ac:dyDescent="0.3">
      <c r="A1207" s="52"/>
      <c r="B1207" s="53" t="s">
        <v>26</v>
      </c>
      <c r="C1207" s="54">
        <v>46209</v>
      </c>
      <c r="D1207" s="53" t="s">
        <v>2297</v>
      </c>
      <c r="E1207" s="53"/>
      <c r="F1207" s="53"/>
      <c r="G1207" s="54"/>
      <c r="H1207" s="53"/>
      <c r="I1207" s="59">
        <v>22.5</v>
      </c>
      <c r="J1207" s="59"/>
      <c r="K1207" s="59"/>
      <c r="L1207" s="59">
        <f t="shared" si="18"/>
        <v>339970.32000000059</v>
      </c>
    </row>
    <row r="1208" spans="1:12" x14ac:dyDescent="0.3">
      <c r="A1208" s="52"/>
      <c r="B1208" s="53" t="s">
        <v>26</v>
      </c>
      <c r="C1208" s="54">
        <v>46209</v>
      </c>
      <c r="D1208" s="53" t="s">
        <v>2298</v>
      </c>
      <c r="E1208" s="53"/>
      <c r="F1208" s="53"/>
      <c r="G1208" s="54"/>
      <c r="H1208" s="53"/>
      <c r="I1208" s="59">
        <v>52</v>
      </c>
      <c r="J1208" s="59"/>
      <c r="K1208" s="59"/>
      <c r="L1208" s="59">
        <f t="shared" si="18"/>
        <v>340022.32000000059</v>
      </c>
    </row>
    <row r="1209" spans="1:12" x14ac:dyDescent="0.3">
      <c r="A1209" s="52"/>
      <c r="B1209" s="53" t="s">
        <v>26</v>
      </c>
      <c r="C1209" s="54">
        <v>46210</v>
      </c>
      <c r="D1209" s="53" t="s">
        <v>2299</v>
      </c>
      <c r="E1209" s="53"/>
      <c r="F1209" s="53"/>
      <c r="G1209" s="54"/>
      <c r="H1209" s="53"/>
      <c r="I1209" s="59">
        <v>10.89</v>
      </c>
      <c r="J1209" s="59"/>
      <c r="K1209" s="59"/>
      <c r="L1209" s="59">
        <f t="shared" si="18"/>
        <v>340033.2100000006</v>
      </c>
    </row>
    <row r="1210" spans="1:12" x14ac:dyDescent="0.3">
      <c r="A1210" s="52"/>
      <c r="B1210" s="53" t="s">
        <v>26</v>
      </c>
      <c r="C1210" s="54">
        <v>46210</v>
      </c>
      <c r="D1210" s="53" t="s">
        <v>2300</v>
      </c>
      <c r="E1210" s="53"/>
      <c r="F1210" s="53"/>
      <c r="G1210" s="54"/>
      <c r="H1210" s="53"/>
      <c r="I1210" s="59">
        <v>5.3</v>
      </c>
      <c r="J1210" s="59"/>
      <c r="K1210" s="59"/>
      <c r="L1210" s="59">
        <f t="shared" si="18"/>
        <v>340038.51000000059</v>
      </c>
    </row>
    <row r="1211" spans="1:12" x14ac:dyDescent="0.3">
      <c r="A1211" s="52"/>
      <c r="B1211" s="53" t="s">
        <v>28</v>
      </c>
      <c r="C1211" s="54">
        <v>46210</v>
      </c>
      <c r="D1211" s="53" t="s">
        <v>2301</v>
      </c>
      <c r="E1211" s="53" t="s">
        <v>186</v>
      </c>
      <c r="F1211" s="53"/>
      <c r="G1211" s="54">
        <v>46210</v>
      </c>
      <c r="H1211" s="53" t="s">
        <v>2302</v>
      </c>
      <c r="I1211" s="73">
        <v>302.39999999999998</v>
      </c>
      <c r="J1211" s="59" t="s">
        <v>1887</v>
      </c>
      <c r="K1211" s="59"/>
      <c r="L1211" s="59">
        <f t="shared" si="18"/>
        <v>340340.91000000061</v>
      </c>
    </row>
    <row r="1212" spans="1:12" x14ac:dyDescent="0.3">
      <c r="A1212" s="52"/>
      <c r="B1212" s="53" t="s">
        <v>26</v>
      </c>
      <c r="C1212" s="54">
        <v>46210</v>
      </c>
      <c r="D1212" s="53" t="s">
        <v>2303</v>
      </c>
      <c r="E1212" s="53"/>
      <c r="F1212" s="53"/>
      <c r="G1212" s="54"/>
      <c r="H1212" s="53"/>
      <c r="I1212" s="59">
        <v>31.4</v>
      </c>
      <c r="J1212" s="59"/>
      <c r="K1212" s="59"/>
      <c r="L1212" s="59">
        <f t="shared" si="18"/>
        <v>340372.31000000064</v>
      </c>
    </row>
    <row r="1213" spans="1:12" x14ac:dyDescent="0.3">
      <c r="A1213" s="52"/>
      <c r="B1213" s="53" t="s">
        <v>26</v>
      </c>
      <c r="C1213" s="54">
        <v>46210</v>
      </c>
      <c r="D1213" s="53" t="s">
        <v>2304</v>
      </c>
      <c r="E1213" s="53"/>
      <c r="F1213" s="53"/>
      <c r="G1213" s="54"/>
      <c r="H1213" s="53"/>
      <c r="I1213" s="59">
        <v>15.4</v>
      </c>
      <c r="J1213" s="59"/>
      <c r="K1213" s="59"/>
      <c r="L1213" s="59">
        <f t="shared" si="18"/>
        <v>340387.71000000066</v>
      </c>
    </row>
    <row r="1214" spans="1:12" x14ac:dyDescent="0.3">
      <c r="A1214" s="52"/>
      <c r="B1214" s="53" t="s">
        <v>26</v>
      </c>
      <c r="C1214" s="54">
        <v>46210</v>
      </c>
      <c r="D1214" s="53" t="s">
        <v>2305</v>
      </c>
      <c r="E1214" s="53"/>
      <c r="F1214" s="53"/>
      <c r="G1214" s="54"/>
      <c r="H1214" s="53"/>
      <c r="I1214" s="59">
        <v>49</v>
      </c>
      <c r="J1214" s="59"/>
      <c r="K1214" s="59"/>
      <c r="L1214" s="59">
        <f t="shared" si="18"/>
        <v>340436.71000000066</v>
      </c>
    </row>
    <row r="1215" spans="1:12" x14ac:dyDescent="0.3">
      <c r="A1215" s="52"/>
      <c r="B1215" s="53" t="s">
        <v>26</v>
      </c>
      <c r="C1215" s="54">
        <v>46210</v>
      </c>
      <c r="D1215" s="53" t="s">
        <v>2306</v>
      </c>
      <c r="E1215" s="53"/>
      <c r="F1215" s="53"/>
      <c r="G1215" s="54"/>
      <c r="H1215" s="53"/>
      <c r="I1215" s="59">
        <v>3</v>
      </c>
      <c r="J1215" s="59"/>
      <c r="K1215" s="59"/>
      <c r="L1215" s="59">
        <f t="shared" si="18"/>
        <v>340439.71000000066</v>
      </c>
    </row>
    <row r="1216" spans="1:12" x14ac:dyDescent="0.3">
      <c r="A1216" s="52"/>
      <c r="B1216" s="53" t="s">
        <v>26</v>
      </c>
      <c r="C1216" s="54">
        <v>46211</v>
      </c>
      <c r="D1216" s="53" t="s">
        <v>2307</v>
      </c>
      <c r="E1216" s="53"/>
      <c r="F1216" s="53"/>
      <c r="G1216" s="54"/>
      <c r="H1216" s="53"/>
      <c r="I1216" s="59">
        <v>60.5</v>
      </c>
      <c r="J1216" s="59"/>
      <c r="K1216" s="59"/>
      <c r="L1216" s="59">
        <f t="shared" si="18"/>
        <v>340500.21000000066</v>
      </c>
    </row>
    <row r="1217" spans="1:12" x14ac:dyDescent="0.3">
      <c r="A1217" s="52"/>
      <c r="B1217" s="53" t="s">
        <v>28</v>
      </c>
      <c r="C1217" s="54">
        <v>46211</v>
      </c>
      <c r="D1217" s="53" t="s">
        <v>2308</v>
      </c>
      <c r="E1217" s="53" t="s">
        <v>194</v>
      </c>
      <c r="F1217" s="53"/>
      <c r="G1217" s="54">
        <v>46211</v>
      </c>
      <c r="H1217" s="53" t="s">
        <v>2309</v>
      </c>
      <c r="I1217" s="59">
        <v>136.36000000000001</v>
      </c>
      <c r="J1217" s="59"/>
      <c r="K1217" s="59"/>
      <c r="L1217" s="59">
        <f t="shared" si="18"/>
        <v>340636.57000000065</v>
      </c>
    </row>
    <row r="1218" spans="1:12" x14ac:dyDescent="0.3">
      <c r="A1218" s="52"/>
      <c r="B1218" s="53" t="s">
        <v>26</v>
      </c>
      <c r="C1218" s="54">
        <v>46211</v>
      </c>
      <c r="D1218" s="53" t="s">
        <v>2310</v>
      </c>
      <c r="E1218" s="53"/>
      <c r="F1218" s="53"/>
      <c r="G1218" s="54"/>
      <c r="H1218" s="53"/>
      <c r="I1218" s="59">
        <v>15.85</v>
      </c>
      <c r="J1218" s="59"/>
      <c r="K1218" s="59"/>
      <c r="L1218" s="59">
        <f t="shared" si="18"/>
        <v>340652.42000000062</v>
      </c>
    </row>
    <row r="1219" spans="1:12" x14ac:dyDescent="0.3">
      <c r="A1219" s="52"/>
      <c r="B1219" s="53" t="s">
        <v>26</v>
      </c>
      <c r="C1219" s="54">
        <v>46211</v>
      </c>
      <c r="D1219" s="53" t="s">
        <v>2311</v>
      </c>
      <c r="E1219" s="53"/>
      <c r="F1219" s="53"/>
      <c r="G1219" s="54"/>
      <c r="H1219" s="53"/>
      <c r="I1219" s="59">
        <v>5</v>
      </c>
      <c r="J1219" s="59"/>
      <c r="K1219" s="59"/>
      <c r="L1219" s="59">
        <f t="shared" si="18"/>
        <v>340657.42000000062</v>
      </c>
    </row>
    <row r="1220" spans="1:12" x14ac:dyDescent="0.3">
      <c r="A1220" s="52"/>
      <c r="B1220" s="53" t="s">
        <v>26</v>
      </c>
      <c r="C1220" s="54">
        <v>46211</v>
      </c>
      <c r="D1220" s="53" t="s">
        <v>2312</v>
      </c>
      <c r="E1220" s="53"/>
      <c r="F1220" s="53"/>
      <c r="G1220" s="54"/>
      <c r="H1220" s="53"/>
      <c r="I1220" s="59">
        <v>3.1</v>
      </c>
      <c r="J1220" s="59"/>
      <c r="K1220" s="59"/>
      <c r="L1220" s="59">
        <f t="shared" si="18"/>
        <v>340660.5200000006</v>
      </c>
    </row>
    <row r="1221" spans="1:12" x14ac:dyDescent="0.3">
      <c r="A1221" s="52"/>
      <c r="B1221" s="53" t="s">
        <v>26</v>
      </c>
      <c r="C1221" s="54">
        <v>46211</v>
      </c>
      <c r="D1221" s="53" t="s">
        <v>2313</v>
      </c>
      <c r="E1221" s="53"/>
      <c r="F1221" s="53"/>
      <c r="G1221" s="54"/>
      <c r="H1221" s="53"/>
      <c r="I1221" s="59">
        <v>17.25</v>
      </c>
      <c r="J1221" s="59"/>
      <c r="K1221" s="59"/>
      <c r="L1221" s="59">
        <f t="shared" si="18"/>
        <v>340677.7700000006</v>
      </c>
    </row>
    <row r="1222" spans="1:12" x14ac:dyDescent="0.3">
      <c r="A1222" s="52"/>
      <c r="B1222" s="53" t="s">
        <v>26</v>
      </c>
      <c r="C1222" s="54">
        <v>46211</v>
      </c>
      <c r="D1222" s="53" t="s">
        <v>2314</v>
      </c>
      <c r="E1222" s="53"/>
      <c r="F1222" s="53"/>
      <c r="G1222" s="54"/>
      <c r="H1222" s="53"/>
      <c r="I1222" s="59">
        <v>4</v>
      </c>
      <c r="J1222" s="59"/>
      <c r="K1222" s="59"/>
      <c r="L1222" s="59">
        <f t="shared" si="18"/>
        <v>340681.7700000006</v>
      </c>
    </row>
    <row r="1223" spans="1:12" x14ac:dyDescent="0.3">
      <c r="A1223" s="52"/>
      <c r="B1223" s="53" t="s">
        <v>28</v>
      </c>
      <c r="C1223" s="54">
        <v>46211</v>
      </c>
      <c r="D1223" s="53" t="s">
        <v>2315</v>
      </c>
      <c r="E1223" s="53" t="s">
        <v>186</v>
      </c>
      <c r="F1223" s="53"/>
      <c r="G1223" s="54">
        <v>46211</v>
      </c>
      <c r="H1223" s="53" t="s">
        <v>2316</v>
      </c>
      <c r="I1223" s="73">
        <v>280.8</v>
      </c>
      <c r="J1223" s="59" t="s">
        <v>1887</v>
      </c>
      <c r="K1223" s="59"/>
      <c r="L1223" s="59">
        <f t="shared" si="18"/>
        <v>340962.57000000059</v>
      </c>
    </row>
    <row r="1224" spans="1:12" x14ac:dyDescent="0.3">
      <c r="A1224" s="52"/>
      <c r="B1224" s="53" t="s">
        <v>26</v>
      </c>
      <c r="C1224" s="54">
        <v>46211</v>
      </c>
      <c r="D1224" s="53" t="s">
        <v>2317</v>
      </c>
      <c r="E1224" s="53"/>
      <c r="F1224" s="53"/>
      <c r="G1224" s="54"/>
      <c r="H1224" s="53"/>
      <c r="I1224" s="59">
        <v>50.8</v>
      </c>
      <c r="J1224" s="59"/>
      <c r="K1224" s="59"/>
      <c r="L1224" s="59">
        <f t="shared" si="18"/>
        <v>341013.37000000058</v>
      </c>
    </row>
    <row r="1225" spans="1:12" x14ac:dyDescent="0.3">
      <c r="A1225" s="52"/>
      <c r="B1225" s="53" t="s">
        <v>26</v>
      </c>
      <c r="C1225" s="54">
        <v>46211</v>
      </c>
      <c r="D1225" s="53" t="s">
        <v>2318</v>
      </c>
      <c r="E1225" s="53"/>
      <c r="F1225" s="53"/>
      <c r="G1225" s="54"/>
      <c r="H1225" s="53"/>
      <c r="I1225" s="59">
        <v>15.9</v>
      </c>
      <c r="J1225" s="59"/>
      <c r="K1225" s="59"/>
      <c r="L1225" s="59">
        <f t="shared" si="18"/>
        <v>341029.2700000006</v>
      </c>
    </row>
    <row r="1226" spans="1:12" x14ac:dyDescent="0.3">
      <c r="A1226" s="52"/>
      <c r="B1226" s="53" t="s">
        <v>26</v>
      </c>
      <c r="C1226" s="54">
        <v>46211</v>
      </c>
      <c r="D1226" s="53" t="s">
        <v>2319</v>
      </c>
      <c r="E1226" s="53"/>
      <c r="F1226" s="53"/>
      <c r="G1226" s="54"/>
      <c r="H1226" s="53"/>
      <c r="I1226" s="59">
        <v>47.4</v>
      </c>
      <c r="J1226" s="59"/>
      <c r="K1226" s="59"/>
      <c r="L1226" s="59">
        <f t="shared" si="18"/>
        <v>341076.67000000062</v>
      </c>
    </row>
    <row r="1227" spans="1:12" x14ac:dyDescent="0.3">
      <c r="A1227" s="52"/>
      <c r="B1227" s="53" t="s">
        <v>26</v>
      </c>
      <c r="C1227" s="54">
        <v>46211</v>
      </c>
      <c r="D1227" s="53" t="s">
        <v>2320</v>
      </c>
      <c r="E1227" s="53"/>
      <c r="F1227" s="53"/>
      <c r="G1227" s="54"/>
      <c r="H1227" s="53"/>
      <c r="I1227" s="59"/>
      <c r="J1227" s="59"/>
      <c r="K1227" s="59">
        <v>28.5</v>
      </c>
      <c r="L1227" s="59">
        <f t="shared" ref="L1227:L1290" si="19">L1226+I1227-K1227</f>
        <v>341048.17000000062</v>
      </c>
    </row>
    <row r="1228" spans="1:12" x14ac:dyDescent="0.3">
      <c r="A1228" s="52"/>
      <c r="B1228" s="53" t="s">
        <v>26</v>
      </c>
      <c r="C1228" s="54">
        <v>46211</v>
      </c>
      <c r="D1228" s="53" t="s">
        <v>2321</v>
      </c>
      <c r="E1228" s="53"/>
      <c r="F1228" s="53"/>
      <c r="G1228" s="54"/>
      <c r="H1228" s="53"/>
      <c r="I1228" s="59">
        <v>2.4</v>
      </c>
      <c r="J1228" s="59"/>
      <c r="K1228" s="59"/>
      <c r="L1228" s="59">
        <f t="shared" si="19"/>
        <v>341050.57000000065</v>
      </c>
    </row>
    <row r="1229" spans="1:12" x14ac:dyDescent="0.3">
      <c r="A1229" s="52"/>
      <c r="B1229" s="53" t="s">
        <v>26</v>
      </c>
      <c r="C1229" s="54">
        <v>46212</v>
      </c>
      <c r="D1229" s="53" t="s">
        <v>2322</v>
      </c>
      <c r="E1229" s="53"/>
      <c r="F1229" s="53"/>
      <c r="G1229" s="54"/>
      <c r="H1229" s="53"/>
      <c r="I1229" s="59">
        <v>10</v>
      </c>
      <c r="J1229" s="59"/>
      <c r="K1229" s="59"/>
      <c r="L1229" s="59">
        <f t="shared" si="19"/>
        <v>341060.57000000065</v>
      </c>
    </row>
    <row r="1230" spans="1:12" x14ac:dyDescent="0.3">
      <c r="A1230" s="52"/>
      <c r="B1230" s="53" t="s">
        <v>26</v>
      </c>
      <c r="C1230" s="54">
        <v>46212</v>
      </c>
      <c r="D1230" s="53" t="s">
        <v>2323</v>
      </c>
      <c r="E1230" s="53"/>
      <c r="F1230" s="53"/>
      <c r="G1230" s="54"/>
      <c r="H1230" s="53"/>
      <c r="I1230" s="59">
        <v>10</v>
      </c>
      <c r="J1230" s="59"/>
      <c r="K1230" s="59"/>
      <c r="L1230" s="59">
        <f t="shared" si="19"/>
        <v>341070.57000000065</v>
      </c>
    </row>
    <row r="1231" spans="1:12" x14ac:dyDescent="0.3">
      <c r="A1231" s="52"/>
      <c r="B1231" s="53" t="s">
        <v>28</v>
      </c>
      <c r="C1231" s="54">
        <v>46212</v>
      </c>
      <c r="D1231" s="53" t="s">
        <v>2324</v>
      </c>
      <c r="E1231" s="53" t="s">
        <v>2325</v>
      </c>
      <c r="F1231" s="53"/>
      <c r="G1231" s="54">
        <v>46211</v>
      </c>
      <c r="H1231" s="53" t="s">
        <v>2326</v>
      </c>
      <c r="I1231" s="59">
        <v>180</v>
      </c>
      <c r="J1231" s="59"/>
      <c r="K1231" s="59"/>
      <c r="L1231" s="59">
        <f t="shared" si="19"/>
        <v>341250.57000000065</v>
      </c>
    </row>
    <row r="1232" spans="1:12" x14ac:dyDescent="0.3">
      <c r="A1232" s="52"/>
      <c r="B1232" s="53" t="s">
        <v>26</v>
      </c>
      <c r="C1232" s="54">
        <v>46212</v>
      </c>
      <c r="D1232" s="53" t="s">
        <v>2327</v>
      </c>
      <c r="E1232" s="53"/>
      <c r="F1232" s="53"/>
      <c r="G1232" s="54"/>
      <c r="H1232" s="53"/>
      <c r="I1232" s="59">
        <v>19</v>
      </c>
      <c r="J1232" s="59"/>
      <c r="K1232" s="59"/>
      <c r="L1232" s="59">
        <f t="shared" si="19"/>
        <v>341269.57000000065</v>
      </c>
    </row>
    <row r="1233" spans="1:12" x14ac:dyDescent="0.3">
      <c r="A1233" s="52"/>
      <c r="B1233" s="53" t="s">
        <v>26</v>
      </c>
      <c r="C1233" s="54">
        <v>46212</v>
      </c>
      <c r="D1233" s="53" t="s">
        <v>2328</v>
      </c>
      <c r="E1233" s="53"/>
      <c r="F1233" s="53"/>
      <c r="G1233" s="54"/>
      <c r="H1233" s="53"/>
      <c r="I1233" s="59">
        <v>13.39</v>
      </c>
      <c r="J1233" s="59"/>
      <c r="K1233" s="59"/>
      <c r="L1233" s="59">
        <f t="shared" si="19"/>
        <v>341282.96000000066</v>
      </c>
    </row>
    <row r="1234" spans="1:12" x14ac:dyDescent="0.3">
      <c r="A1234" s="52"/>
      <c r="B1234" s="53" t="s">
        <v>26</v>
      </c>
      <c r="C1234" s="54">
        <v>46212</v>
      </c>
      <c r="D1234" s="53" t="s">
        <v>2329</v>
      </c>
      <c r="E1234" s="53"/>
      <c r="F1234" s="53"/>
      <c r="G1234" s="54"/>
      <c r="H1234" s="53"/>
      <c r="I1234" s="59">
        <v>28</v>
      </c>
      <c r="J1234" s="59"/>
      <c r="K1234" s="59"/>
      <c r="L1234" s="59">
        <f t="shared" si="19"/>
        <v>341310.96000000066</v>
      </c>
    </row>
    <row r="1235" spans="1:12" x14ac:dyDescent="0.3">
      <c r="A1235" s="52"/>
      <c r="B1235" s="53" t="s">
        <v>26</v>
      </c>
      <c r="C1235" s="54">
        <v>46212</v>
      </c>
      <c r="D1235" s="53" t="s">
        <v>2330</v>
      </c>
      <c r="E1235" s="53"/>
      <c r="F1235" s="53"/>
      <c r="G1235" s="54"/>
      <c r="H1235" s="53"/>
      <c r="I1235" s="59">
        <v>3.5</v>
      </c>
      <c r="J1235" s="59"/>
      <c r="K1235" s="59"/>
      <c r="L1235" s="59">
        <f t="shared" si="19"/>
        <v>341314.46000000066</v>
      </c>
    </row>
    <row r="1236" spans="1:12" x14ac:dyDescent="0.3">
      <c r="A1236" s="52"/>
      <c r="B1236" s="53" t="s">
        <v>26</v>
      </c>
      <c r="C1236" s="54">
        <v>46212</v>
      </c>
      <c r="D1236" s="53" t="s">
        <v>2331</v>
      </c>
      <c r="E1236" s="53"/>
      <c r="F1236" s="53"/>
      <c r="G1236" s="54"/>
      <c r="H1236" s="53"/>
      <c r="I1236" s="59">
        <v>70.5</v>
      </c>
      <c r="J1236" s="59"/>
      <c r="K1236" s="59"/>
      <c r="L1236" s="59">
        <f t="shared" si="19"/>
        <v>341384.96000000066</v>
      </c>
    </row>
    <row r="1237" spans="1:12" x14ac:dyDescent="0.3">
      <c r="A1237" s="52"/>
      <c r="B1237" s="53" t="s">
        <v>26</v>
      </c>
      <c r="C1237" s="54">
        <v>46213</v>
      </c>
      <c r="D1237" s="53" t="s">
        <v>2332</v>
      </c>
      <c r="E1237" s="53"/>
      <c r="F1237" s="53"/>
      <c r="G1237" s="54"/>
      <c r="H1237" s="53"/>
      <c r="I1237" s="59">
        <v>8.1999999999999993</v>
      </c>
      <c r="J1237" s="59"/>
      <c r="K1237" s="59"/>
      <c r="L1237" s="59">
        <f t="shared" si="19"/>
        <v>341393.16000000067</v>
      </c>
    </row>
    <row r="1238" spans="1:12" x14ac:dyDescent="0.3">
      <c r="A1238" s="52"/>
      <c r="B1238" s="53" t="s">
        <v>28</v>
      </c>
      <c r="C1238" s="54">
        <v>46213</v>
      </c>
      <c r="D1238" s="53" t="s">
        <v>2333</v>
      </c>
      <c r="E1238" s="53" t="s">
        <v>186</v>
      </c>
      <c r="F1238" s="53"/>
      <c r="G1238" s="54">
        <v>46213</v>
      </c>
      <c r="H1238" s="53" t="s">
        <v>2334</v>
      </c>
      <c r="I1238" s="59">
        <v>162.80000000000001</v>
      </c>
      <c r="J1238" s="59"/>
      <c r="K1238" s="59"/>
      <c r="L1238" s="59">
        <f t="shared" si="19"/>
        <v>341555.96000000066</v>
      </c>
    </row>
    <row r="1239" spans="1:12" x14ac:dyDescent="0.3">
      <c r="A1239" s="52"/>
      <c r="B1239" s="53" t="s">
        <v>26</v>
      </c>
      <c r="C1239" s="54">
        <v>46213</v>
      </c>
      <c r="D1239" s="53" t="s">
        <v>2335</v>
      </c>
      <c r="E1239" s="53"/>
      <c r="F1239" s="53"/>
      <c r="G1239" s="54"/>
      <c r="H1239" s="53"/>
      <c r="I1239" s="59">
        <v>5</v>
      </c>
      <c r="J1239" s="59"/>
      <c r="K1239" s="59"/>
      <c r="L1239" s="59">
        <f t="shared" si="19"/>
        <v>341560.96000000066</v>
      </c>
    </row>
    <row r="1240" spans="1:12" x14ac:dyDescent="0.3">
      <c r="A1240" s="52"/>
      <c r="B1240" s="53" t="s">
        <v>26</v>
      </c>
      <c r="C1240" s="54">
        <v>46213</v>
      </c>
      <c r="D1240" s="53" t="s">
        <v>2336</v>
      </c>
      <c r="E1240" s="53"/>
      <c r="F1240" s="53"/>
      <c r="G1240" s="54"/>
      <c r="H1240" s="53"/>
      <c r="I1240" s="59">
        <v>40</v>
      </c>
      <c r="J1240" s="59"/>
      <c r="K1240" s="59"/>
      <c r="L1240" s="59">
        <f t="shared" si="19"/>
        <v>341600.96000000066</v>
      </c>
    </row>
    <row r="1241" spans="1:12" x14ac:dyDescent="0.3">
      <c r="A1241" s="52"/>
      <c r="B1241" s="53" t="s">
        <v>26</v>
      </c>
      <c r="C1241" s="54">
        <v>46213</v>
      </c>
      <c r="D1241" s="53" t="s">
        <v>2337</v>
      </c>
      <c r="E1241" s="53"/>
      <c r="F1241" s="53"/>
      <c r="G1241" s="54"/>
      <c r="H1241" s="53"/>
      <c r="I1241" s="59">
        <v>60</v>
      </c>
      <c r="J1241" s="59"/>
      <c r="K1241" s="59"/>
      <c r="L1241" s="59">
        <f t="shared" si="19"/>
        <v>341660.96000000066</v>
      </c>
    </row>
    <row r="1242" spans="1:12" x14ac:dyDescent="0.3">
      <c r="A1242" s="52"/>
      <c r="B1242" s="53" t="s">
        <v>26</v>
      </c>
      <c r="C1242" s="54">
        <v>46213</v>
      </c>
      <c r="D1242" s="53" t="s">
        <v>2338</v>
      </c>
      <c r="E1242" s="53"/>
      <c r="F1242" s="53"/>
      <c r="G1242" s="54"/>
      <c r="H1242" s="53"/>
      <c r="I1242" s="59">
        <v>15.5</v>
      </c>
      <c r="J1242" s="59"/>
      <c r="K1242" s="59"/>
      <c r="L1242" s="59">
        <f t="shared" si="19"/>
        <v>341676.46000000066</v>
      </c>
    </row>
    <row r="1243" spans="1:12" x14ac:dyDescent="0.3">
      <c r="A1243" s="52"/>
      <c r="B1243" s="53" t="s">
        <v>26</v>
      </c>
      <c r="C1243" s="54">
        <v>46213</v>
      </c>
      <c r="D1243" s="53" t="s">
        <v>2339</v>
      </c>
      <c r="E1243" s="53"/>
      <c r="F1243" s="53"/>
      <c r="G1243" s="54"/>
      <c r="H1243" s="53"/>
      <c r="I1243" s="59">
        <v>4.7</v>
      </c>
      <c r="J1243" s="59"/>
      <c r="K1243" s="59"/>
      <c r="L1243" s="59">
        <f t="shared" si="19"/>
        <v>341681.16000000067</v>
      </c>
    </row>
    <row r="1244" spans="1:12" x14ac:dyDescent="0.3">
      <c r="A1244" s="52"/>
      <c r="B1244" s="53" t="s">
        <v>28</v>
      </c>
      <c r="C1244" s="54">
        <v>46213</v>
      </c>
      <c r="D1244" s="53" t="s">
        <v>2340</v>
      </c>
      <c r="E1244" s="53" t="s">
        <v>250</v>
      </c>
      <c r="F1244" s="53"/>
      <c r="G1244" s="54">
        <v>46213</v>
      </c>
      <c r="H1244" s="53" t="s">
        <v>2341</v>
      </c>
      <c r="I1244" s="73">
        <v>92.91</v>
      </c>
      <c r="J1244" s="59" t="s">
        <v>2591</v>
      </c>
      <c r="K1244" s="59"/>
      <c r="L1244" s="59">
        <f t="shared" si="19"/>
        <v>341774.07000000065</v>
      </c>
    </row>
    <row r="1245" spans="1:12" x14ac:dyDescent="0.3">
      <c r="A1245" s="52"/>
      <c r="B1245" s="53" t="s">
        <v>26</v>
      </c>
      <c r="C1245" s="54">
        <v>46215</v>
      </c>
      <c r="D1245" s="53" t="s">
        <v>2342</v>
      </c>
      <c r="E1245" s="53"/>
      <c r="F1245" s="53"/>
      <c r="G1245" s="54"/>
      <c r="H1245" s="53"/>
      <c r="I1245" s="59">
        <v>195</v>
      </c>
      <c r="J1245" s="59"/>
      <c r="K1245" s="59"/>
      <c r="L1245" s="59">
        <f t="shared" si="19"/>
        <v>341969.07000000065</v>
      </c>
    </row>
    <row r="1246" spans="1:12" x14ac:dyDescent="0.3">
      <c r="A1246" s="52"/>
      <c r="B1246" s="53" t="s">
        <v>26</v>
      </c>
      <c r="C1246" s="54">
        <v>46215</v>
      </c>
      <c r="D1246" s="53" t="s">
        <v>2343</v>
      </c>
      <c r="E1246" s="53"/>
      <c r="F1246" s="53"/>
      <c r="G1246" s="54"/>
      <c r="H1246" s="53"/>
      <c r="I1246" s="59">
        <v>235</v>
      </c>
      <c r="J1246" s="59"/>
      <c r="K1246" s="59"/>
      <c r="L1246" s="59">
        <f t="shared" si="19"/>
        <v>342204.07000000065</v>
      </c>
    </row>
    <row r="1247" spans="1:12" x14ac:dyDescent="0.3">
      <c r="A1247" s="52"/>
      <c r="B1247" s="53" t="s">
        <v>26</v>
      </c>
      <c r="C1247" s="54">
        <v>46215</v>
      </c>
      <c r="D1247" s="53" t="s">
        <v>2344</v>
      </c>
      <c r="E1247" s="53"/>
      <c r="F1247" s="53"/>
      <c r="G1247" s="54"/>
      <c r="H1247" s="53"/>
      <c r="I1247" s="59">
        <v>2.04</v>
      </c>
      <c r="J1247" s="59"/>
      <c r="K1247" s="59"/>
      <c r="L1247" s="59">
        <f t="shared" si="19"/>
        <v>342206.11000000063</v>
      </c>
    </row>
    <row r="1248" spans="1:12" x14ac:dyDescent="0.3">
      <c r="A1248" s="52"/>
      <c r="B1248" s="53" t="s">
        <v>26</v>
      </c>
      <c r="C1248" s="54">
        <v>46216</v>
      </c>
      <c r="D1248" s="53" t="s">
        <v>2345</v>
      </c>
      <c r="E1248" s="53"/>
      <c r="F1248" s="53"/>
      <c r="G1248" s="54"/>
      <c r="H1248" s="53"/>
      <c r="I1248" s="59">
        <v>39</v>
      </c>
      <c r="J1248" s="59"/>
      <c r="K1248" s="59"/>
      <c r="L1248" s="59">
        <f t="shared" si="19"/>
        <v>342245.11000000063</v>
      </c>
    </row>
    <row r="1249" spans="1:12" x14ac:dyDescent="0.3">
      <c r="A1249" s="52"/>
      <c r="B1249" s="53" t="s">
        <v>26</v>
      </c>
      <c r="C1249" s="54">
        <v>46216</v>
      </c>
      <c r="D1249" s="53" t="s">
        <v>2346</v>
      </c>
      <c r="E1249" s="53"/>
      <c r="F1249" s="53"/>
      <c r="G1249" s="54"/>
      <c r="H1249" s="53"/>
      <c r="I1249" s="59">
        <v>64</v>
      </c>
      <c r="J1249" s="59"/>
      <c r="K1249" s="59"/>
      <c r="L1249" s="59">
        <f t="shared" si="19"/>
        <v>342309.11000000063</v>
      </c>
    </row>
    <row r="1250" spans="1:12" x14ac:dyDescent="0.3">
      <c r="A1250" s="52"/>
      <c r="B1250" s="53" t="s">
        <v>26</v>
      </c>
      <c r="C1250" s="54">
        <v>46216</v>
      </c>
      <c r="D1250" s="53" t="s">
        <v>2347</v>
      </c>
      <c r="E1250" s="53"/>
      <c r="F1250" s="53"/>
      <c r="G1250" s="54"/>
      <c r="H1250" s="53"/>
      <c r="I1250" s="59">
        <v>14.5</v>
      </c>
      <c r="J1250" s="59"/>
      <c r="K1250" s="59"/>
      <c r="L1250" s="59">
        <f t="shared" si="19"/>
        <v>342323.61000000063</v>
      </c>
    </row>
    <row r="1251" spans="1:12" x14ac:dyDescent="0.3">
      <c r="A1251" s="52"/>
      <c r="B1251" s="53" t="s">
        <v>26</v>
      </c>
      <c r="C1251" s="54">
        <v>46216</v>
      </c>
      <c r="D1251" s="53" t="s">
        <v>2348</v>
      </c>
      <c r="E1251" s="53"/>
      <c r="F1251" s="53"/>
      <c r="G1251" s="54"/>
      <c r="H1251" s="53"/>
      <c r="I1251" s="59">
        <v>63</v>
      </c>
      <c r="J1251" s="59"/>
      <c r="K1251" s="59"/>
      <c r="L1251" s="59">
        <f t="shared" si="19"/>
        <v>342386.61000000063</v>
      </c>
    </row>
    <row r="1252" spans="1:12" x14ac:dyDescent="0.3">
      <c r="A1252" s="52"/>
      <c r="B1252" s="53" t="s">
        <v>28</v>
      </c>
      <c r="C1252" s="54">
        <v>46216</v>
      </c>
      <c r="D1252" s="53" t="s">
        <v>2349</v>
      </c>
      <c r="E1252" s="53" t="s">
        <v>2350</v>
      </c>
      <c r="F1252" s="53"/>
      <c r="G1252" s="54">
        <v>46213</v>
      </c>
      <c r="H1252" s="53" t="s">
        <v>2351</v>
      </c>
      <c r="I1252" s="59">
        <v>363.64</v>
      </c>
      <c r="J1252" s="59"/>
      <c r="K1252" s="59"/>
      <c r="L1252" s="59">
        <f t="shared" si="19"/>
        <v>342750.25000000064</v>
      </c>
    </row>
    <row r="1253" spans="1:12" x14ac:dyDescent="0.3">
      <c r="A1253" s="52"/>
      <c r="B1253" s="53" t="s">
        <v>26</v>
      </c>
      <c r="C1253" s="54">
        <v>46216</v>
      </c>
      <c r="D1253" s="53" t="s">
        <v>2352</v>
      </c>
      <c r="E1253" s="53"/>
      <c r="F1253" s="53"/>
      <c r="G1253" s="54"/>
      <c r="H1253" s="53"/>
      <c r="I1253" s="59">
        <v>15.4</v>
      </c>
      <c r="J1253" s="59"/>
      <c r="K1253" s="59"/>
      <c r="L1253" s="59">
        <f t="shared" si="19"/>
        <v>342765.65000000066</v>
      </c>
    </row>
    <row r="1254" spans="1:12" x14ac:dyDescent="0.3">
      <c r="A1254" s="52"/>
      <c r="B1254" s="53" t="s">
        <v>26</v>
      </c>
      <c r="C1254" s="54">
        <v>46216</v>
      </c>
      <c r="D1254" s="53" t="s">
        <v>2353</v>
      </c>
      <c r="E1254" s="53"/>
      <c r="F1254" s="53"/>
      <c r="G1254" s="54"/>
      <c r="H1254" s="53"/>
      <c r="I1254" s="59">
        <v>5</v>
      </c>
      <c r="J1254" s="59"/>
      <c r="K1254" s="59"/>
      <c r="L1254" s="59">
        <f t="shared" si="19"/>
        <v>342770.65000000066</v>
      </c>
    </row>
    <row r="1255" spans="1:12" x14ac:dyDescent="0.3">
      <c r="A1255" s="52"/>
      <c r="B1255" s="53" t="s">
        <v>26</v>
      </c>
      <c r="C1255" s="54">
        <v>46217</v>
      </c>
      <c r="D1255" s="53" t="s">
        <v>2354</v>
      </c>
      <c r="E1255" s="53"/>
      <c r="F1255" s="53"/>
      <c r="G1255" s="54"/>
      <c r="H1255" s="53"/>
      <c r="I1255" s="59">
        <v>329.78</v>
      </c>
      <c r="J1255" s="59"/>
      <c r="K1255" s="59"/>
      <c r="L1255" s="59">
        <f t="shared" si="19"/>
        <v>343100.43000000069</v>
      </c>
    </row>
    <row r="1256" spans="1:12" x14ac:dyDescent="0.3">
      <c r="A1256" s="52"/>
      <c r="B1256" s="53" t="s">
        <v>26</v>
      </c>
      <c r="C1256" s="54">
        <v>46217</v>
      </c>
      <c r="D1256" s="53" t="s">
        <v>2355</v>
      </c>
      <c r="E1256" s="53"/>
      <c r="F1256" s="53"/>
      <c r="G1256" s="54"/>
      <c r="H1256" s="53"/>
      <c r="I1256" s="59">
        <v>94.7</v>
      </c>
      <c r="J1256" s="59"/>
      <c r="K1256" s="59"/>
      <c r="L1256" s="59">
        <f t="shared" si="19"/>
        <v>343195.1300000007</v>
      </c>
    </row>
    <row r="1257" spans="1:12" x14ac:dyDescent="0.3">
      <c r="A1257" s="52"/>
      <c r="B1257" s="53" t="s">
        <v>26</v>
      </c>
      <c r="C1257" s="54">
        <v>46217</v>
      </c>
      <c r="D1257" s="53" t="s">
        <v>2356</v>
      </c>
      <c r="E1257" s="53"/>
      <c r="F1257" s="53"/>
      <c r="G1257" s="54"/>
      <c r="H1257" s="53"/>
      <c r="I1257" s="59">
        <v>20.3</v>
      </c>
      <c r="J1257" s="59"/>
      <c r="K1257" s="59"/>
      <c r="L1257" s="59">
        <f t="shared" si="19"/>
        <v>343215.43000000069</v>
      </c>
    </row>
    <row r="1258" spans="1:12" x14ac:dyDescent="0.3">
      <c r="A1258" s="52"/>
      <c r="B1258" s="53" t="s">
        <v>26</v>
      </c>
      <c r="C1258" s="54">
        <v>46217</v>
      </c>
      <c r="D1258" s="53" t="s">
        <v>2357</v>
      </c>
      <c r="E1258" s="53"/>
      <c r="F1258" s="53"/>
      <c r="G1258" s="54"/>
      <c r="H1258" s="53"/>
      <c r="I1258" s="59">
        <v>1.8</v>
      </c>
      <c r="J1258" s="59"/>
      <c r="K1258" s="59"/>
      <c r="L1258" s="59">
        <f t="shared" si="19"/>
        <v>343217.23000000068</v>
      </c>
    </row>
    <row r="1259" spans="1:12" x14ac:dyDescent="0.3">
      <c r="A1259" s="52"/>
      <c r="B1259" s="53" t="s">
        <v>26</v>
      </c>
      <c r="C1259" s="54">
        <v>46217</v>
      </c>
      <c r="D1259" s="53" t="s">
        <v>2358</v>
      </c>
      <c r="E1259" s="53"/>
      <c r="F1259" s="53"/>
      <c r="G1259" s="54"/>
      <c r="H1259" s="53"/>
      <c r="I1259" s="59">
        <v>12.95</v>
      </c>
      <c r="J1259" s="59"/>
      <c r="K1259" s="59"/>
      <c r="L1259" s="59">
        <f t="shared" si="19"/>
        <v>343230.18000000069</v>
      </c>
    </row>
    <row r="1260" spans="1:12" x14ac:dyDescent="0.3">
      <c r="A1260" s="52"/>
      <c r="B1260" s="53" t="s">
        <v>26</v>
      </c>
      <c r="C1260" s="54">
        <v>46217</v>
      </c>
      <c r="D1260" s="53" t="s">
        <v>2359</v>
      </c>
      <c r="E1260" s="53"/>
      <c r="F1260" s="53"/>
      <c r="G1260" s="54"/>
      <c r="H1260" s="53"/>
      <c r="I1260" s="59">
        <v>45.2</v>
      </c>
      <c r="J1260" s="59"/>
      <c r="K1260" s="59"/>
      <c r="L1260" s="59">
        <f t="shared" si="19"/>
        <v>343275.3800000007</v>
      </c>
    </row>
    <row r="1261" spans="1:12" x14ac:dyDescent="0.3">
      <c r="A1261" s="52"/>
      <c r="B1261" s="53" t="s">
        <v>26</v>
      </c>
      <c r="C1261" s="54">
        <v>46217</v>
      </c>
      <c r="D1261" s="53" t="s">
        <v>2360</v>
      </c>
      <c r="E1261" s="53"/>
      <c r="F1261" s="53"/>
      <c r="G1261" s="54"/>
      <c r="H1261" s="53"/>
      <c r="I1261" s="59">
        <v>73</v>
      </c>
      <c r="J1261" s="59"/>
      <c r="K1261" s="59"/>
      <c r="L1261" s="59">
        <f t="shared" si="19"/>
        <v>343348.3800000007</v>
      </c>
    </row>
    <row r="1262" spans="1:12" x14ac:dyDescent="0.3">
      <c r="A1262" s="52"/>
      <c r="B1262" s="53" t="s">
        <v>26</v>
      </c>
      <c r="C1262" s="54">
        <v>46217</v>
      </c>
      <c r="D1262" s="53" t="s">
        <v>2361</v>
      </c>
      <c r="E1262" s="53"/>
      <c r="F1262" s="53"/>
      <c r="G1262" s="54"/>
      <c r="H1262" s="53"/>
      <c r="I1262" s="59">
        <v>50</v>
      </c>
      <c r="J1262" s="59"/>
      <c r="K1262" s="59"/>
      <c r="L1262" s="59">
        <f t="shared" si="19"/>
        <v>343398.3800000007</v>
      </c>
    </row>
    <row r="1263" spans="1:12" x14ac:dyDescent="0.3">
      <c r="A1263" s="52"/>
      <c r="B1263" s="53" t="s">
        <v>26</v>
      </c>
      <c r="C1263" s="54">
        <v>46217</v>
      </c>
      <c r="D1263" s="53" t="s">
        <v>2362</v>
      </c>
      <c r="E1263" s="53"/>
      <c r="F1263" s="53"/>
      <c r="G1263" s="54"/>
      <c r="H1263" s="53"/>
      <c r="I1263" s="59">
        <v>95.9</v>
      </c>
      <c r="J1263" s="59"/>
      <c r="K1263" s="59"/>
      <c r="L1263" s="59">
        <f t="shared" si="19"/>
        <v>343494.28000000073</v>
      </c>
    </row>
    <row r="1264" spans="1:12" x14ac:dyDescent="0.3">
      <c r="A1264" s="52"/>
      <c r="B1264" s="53" t="s">
        <v>26</v>
      </c>
      <c r="C1264" s="54">
        <v>46217</v>
      </c>
      <c r="D1264" s="53" t="s">
        <v>2363</v>
      </c>
      <c r="E1264" s="53"/>
      <c r="F1264" s="53"/>
      <c r="G1264" s="54"/>
      <c r="H1264" s="53"/>
      <c r="I1264" s="59">
        <v>7.98</v>
      </c>
      <c r="J1264" s="59"/>
      <c r="K1264" s="59"/>
      <c r="L1264" s="59">
        <f t="shared" si="19"/>
        <v>343502.26000000071</v>
      </c>
    </row>
    <row r="1265" spans="1:12" x14ac:dyDescent="0.3">
      <c r="A1265" s="52"/>
      <c r="B1265" s="53" t="s">
        <v>26</v>
      </c>
      <c r="C1265" s="54">
        <v>46217</v>
      </c>
      <c r="D1265" s="53" t="s">
        <v>2364</v>
      </c>
      <c r="E1265" s="53"/>
      <c r="F1265" s="53"/>
      <c r="G1265" s="54"/>
      <c r="H1265" s="53"/>
      <c r="I1265" s="59">
        <v>12.17</v>
      </c>
      <c r="J1265" s="59"/>
      <c r="K1265" s="59"/>
      <c r="L1265" s="59">
        <f t="shared" si="19"/>
        <v>343514.43000000069</v>
      </c>
    </row>
    <row r="1266" spans="1:12" x14ac:dyDescent="0.3">
      <c r="A1266" s="52"/>
      <c r="B1266" s="53" t="s">
        <v>26</v>
      </c>
      <c r="C1266" s="54">
        <v>46217</v>
      </c>
      <c r="D1266" s="53" t="s">
        <v>2365</v>
      </c>
      <c r="E1266" s="53"/>
      <c r="F1266" s="53"/>
      <c r="G1266" s="54"/>
      <c r="H1266" s="53"/>
      <c r="I1266" s="59">
        <v>59.9</v>
      </c>
      <c r="J1266" s="59"/>
      <c r="K1266" s="59"/>
      <c r="L1266" s="59">
        <f t="shared" si="19"/>
        <v>343574.33000000071</v>
      </c>
    </row>
    <row r="1267" spans="1:12" x14ac:dyDescent="0.3">
      <c r="A1267" s="52"/>
      <c r="B1267" s="53" t="s">
        <v>26</v>
      </c>
      <c r="C1267" s="54">
        <v>46217</v>
      </c>
      <c r="D1267" s="53" t="s">
        <v>2366</v>
      </c>
      <c r="E1267" s="53"/>
      <c r="F1267" s="53"/>
      <c r="G1267" s="54"/>
      <c r="H1267" s="53"/>
      <c r="I1267" s="59">
        <v>30.8</v>
      </c>
      <c r="J1267" s="59"/>
      <c r="K1267" s="59"/>
      <c r="L1267" s="59">
        <f t="shared" si="19"/>
        <v>343605.1300000007</v>
      </c>
    </row>
    <row r="1268" spans="1:12" x14ac:dyDescent="0.3">
      <c r="A1268" s="52"/>
      <c r="B1268" s="53" t="s">
        <v>26</v>
      </c>
      <c r="C1268" s="54">
        <v>46218</v>
      </c>
      <c r="D1268" s="53" t="s">
        <v>2367</v>
      </c>
      <c r="E1268" s="53"/>
      <c r="F1268" s="53"/>
      <c r="G1268" s="54"/>
      <c r="H1268" s="53"/>
      <c r="I1268" s="59">
        <v>7.5</v>
      </c>
      <c r="J1268" s="59"/>
      <c r="K1268" s="59"/>
      <c r="L1268" s="59">
        <f t="shared" si="19"/>
        <v>343612.6300000007</v>
      </c>
    </row>
    <row r="1269" spans="1:12" x14ac:dyDescent="0.3">
      <c r="A1269" s="52"/>
      <c r="B1269" s="53" t="s">
        <v>26</v>
      </c>
      <c r="C1269" s="54">
        <v>46218</v>
      </c>
      <c r="D1269" s="53" t="s">
        <v>2368</v>
      </c>
      <c r="E1269" s="53"/>
      <c r="F1269" s="53"/>
      <c r="G1269" s="54"/>
      <c r="H1269" s="53"/>
      <c r="I1269" s="59">
        <v>4</v>
      </c>
      <c r="J1269" s="59"/>
      <c r="K1269" s="59"/>
      <c r="L1269" s="59">
        <f t="shared" si="19"/>
        <v>343616.6300000007</v>
      </c>
    </row>
    <row r="1270" spans="1:12" x14ac:dyDescent="0.3">
      <c r="A1270" s="52"/>
      <c r="B1270" s="53" t="s">
        <v>26</v>
      </c>
      <c r="C1270" s="54">
        <v>46218</v>
      </c>
      <c r="D1270" s="53" t="s">
        <v>2369</v>
      </c>
      <c r="E1270" s="53"/>
      <c r="F1270" s="53"/>
      <c r="G1270" s="54"/>
      <c r="H1270" s="53"/>
      <c r="I1270" s="59">
        <v>11</v>
      </c>
      <c r="J1270" s="59"/>
      <c r="K1270" s="59"/>
      <c r="L1270" s="59">
        <f t="shared" si="19"/>
        <v>343627.6300000007</v>
      </c>
    </row>
    <row r="1271" spans="1:12" x14ac:dyDescent="0.3">
      <c r="A1271" s="52"/>
      <c r="B1271" s="53" t="s">
        <v>26</v>
      </c>
      <c r="C1271" s="54">
        <v>46218</v>
      </c>
      <c r="D1271" s="53" t="s">
        <v>2370</v>
      </c>
      <c r="E1271" s="53" t="s">
        <v>2592</v>
      </c>
      <c r="F1271" s="53"/>
      <c r="G1271" s="54"/>
      <c r="H1271" s="53"/>
      <c r="I1271" s="73">
        <v>628.65</v>
      </c>
      <c r="J1271" s="59" t="s">
        <v>1887</v>
      </c>
      <c r="K1271" s="59"/>
      <c r="L1271" s="59">
        <f t="shared" si="19"/>
        <v>344256.28000000073</v>
      </c>
    </row>
    <row r="1272" spans="1:12" x14ac:dyDescent="0.3">
      <c r="A1272" s="52"/>
      <c r="B1272" s="53" t="s">
        <v>26</v>
      </c>
      <c r="C1272" s="54">
        <v>46218</v>
      </c>
      <c r="D1272" s="53" t="s">
        <v>2371</v>
      </c>
      <c r="E1272" s="53"/>
      <c r="F1272" s="53"/>
      <c r="G1272" s="54"/>
      <c r="H1272" s="53"/>
      <c r="I1272" s="59">
        <v>16.399999999999999</v>
      </c>
      <c r="J1272" s="59"/>
      <c r="K1272" s="59"/>
      <c r="L1272" s="59">
        <f t="shared" si="19"/>
        <v>344272.68000000075</v>
      </c>
    </row>
    <row r="1273" spans="1:12" x14ac:dyDescent="0.3">
      <c r="A1273" s="52"/>
      <c r="B1273" s="53" t="s">
        <v>26</v>
      </c>
      <c r="C1273" s="54">
        <v>46218</v>
      </c>
      <c r="D1273" s="53" t="s">
        <v>2372</v>
      </c>
      <c r="E1273" s="53"/>
      <c r="F1273" s="53"/>
      <c r="G1273" s="54"/>
      <c r="H1273" s="53"/>
      <c r="I1273" s="59">
        <v>6</v>
      </c>
      <c r="J1273" s="59"/>
      <c r="K1273" s="59"/>
      <c r="L1273" s="59">
        <f t="shared" si="19"/>
        <v>344278.68000000075</v>
      </c>
    </row>
    <row r="1274" spans="1:12" x14ac:dyDescent="0.3">
      <c r="A1274" s="52"/>
      <c r="B1274" s="53" t="s">
        <v>26</v>
      </c>
      <c r="C1274" s="54">
        <v>46218</v>
      </c>
      <c r="D1274" s="53" t="s">
        <v>2373</v>
      </c>
      <c r="E1274" s="53"/>
      <c r="F1274" s="53"/>
      <c r="G1274" s="54"/>
      <c r="H1274" s="53"/>
      <c r="I1274" s="59">
        <v>107</v>
      </c>
      <c r="J1274" s="59"/>
      <c r="K1274" s="59"/>
      <c r="L1274" s="59">
        <f t="shared" si="19"/>
        <v>344385.68000000075</v>
      </c>
    </row>
    <row r="1275" spans="1:12" x14ac:dyDescent="0.3">
      <c r="A1275" s="52"/>
      <c r="B1275" s="53" t="s">
        <v>26</v>
      </c>
      <c r="C1275" s="54">
        <v>46218</v>
      </c>
      <c r="D1275" s="53" t="s">
        <v>2374</v>
      </c>
      <c r="E1275" s="53"/>
      <c r="F1275" s="53"/>
      <c r="G1275" s="54"/>
      <c r="H1275" s="53"/>
      <c r="I1275" s="59">
        <v>13</v>
      </c>
      <c r="J1275" s="59"/>
      <c r="K1275" s="59"/>
      <c r="L1275" s="59">
        <f t="shared" si="19"/>
        <v>344398.68000000075</v>
      </c>
    </row>
    <row r="1276" spans="1:12" x14ac:dyDescent="0.3">
      <c r="A1276" s="52"/>
      <c r="B1276" s="53" t="s">
        <v>26</v>
      </c>
      <c r="C1276" s="54">
        <v>46218</v>
      </c>
      <c r="D1276" s="53" t="s">
        <v>2375</v>
      </c>
      <c r="E1276" s="53"/>
      <c r="F1276" s="53"/>
      <c r="G1276" s="54"/>
      <c r="H1276" s="53"/>
      <c r="I1276" s="59">
        <v>13.5</v>
      </c>
      <c r="J1276" s="59"/>
      <c r="K1276" s="59"/>
      <c r="L1276" s="59">
        <f t="shared" si="19"/>
        <v>344412.18000000075</v>
      </c>
    </row>
    <row r="1277" spans="1:12" x14ac:dyDescent="0.3">
      <c r="A1277" s="52"/>
      <c r="B1277" s="53" t="s">
        <v>26</v>
      </c>
      <c r="C1277" s="54">
        <v>46218</v>
      </c>
      <c r="D1277" s="53" t="s">
        <v>2376</v>
      </c>
      <c r="E1277" s="53"/>
      <c r="F1277" s="53"/>
      <c r="G1277" s="54"/>
      <c r="H1277" s="53"/>
      <c r="I1277" s="59">
        <v>4.4000000000000004</v>
      </c>
      <c r="J1277" s="59"/>
      <c r="K1277" s="59"/>
      <c r="L1277" s="59">
        <f t="shared" si="19"/>
        <v>344416.58000000077</v>
      </c>
    </row>
    <row r="1278" spans="1:12" x14ac:dyDescent="0.3">
      <c r="A1278" s="52"/>
      <c r="B1278" s="53" t="s">
        <v>26</v>
      </c>
      <c r="C1278" s="54">
        <v>46218</v>
      </c>
      <c r="D1278" s="53" t="s">
        <v>2377</v>
      </c>
      <c r="E1278" s="53"/>
      <c r="F1278" s="53"/>
      <c r="G1278" s="54"/>
      <c r="H1278" s="53"/>
      <c r="I1278" s="59">
        <v>6</v>
      </c>
      <c r="J1278" s="59"/>
      <c r="K1278" s="59"/>
      <c r="L1278" s="59">
        <f t="shared" si="19"/>
        <v>344422.58000000077</v>
      </c>
    </row>
    <row r="1279" spans="1:12" x14ac:dyDescent="0.3">
      <c r="A1279" s="52"/>
      <c r="B1279" s="53" t="s">
        <v>26</v>
      </c>
      <c r="C1279" s="54">
        <v>46218</v>
      </c>
      <c r="D1279" s="53" t="s">
        <v>2378</v>
      </c>
      <c r="E1279" s="53"/>
      <c r="F1279" s="53"/>
      <c r="G1279" s="54"/>
      <c r="H1279" s="53"/>
      <c r="I1279" s="59">
        <v>15</v>
      </c>
      <c r="J1279" s="59"/>
      <c r="K1279" s="59"/>
      <c r="L1279" s="59">
        <f t="shared" si="19"/>
        <v>344437.58000000077</v>
      </c>
    </row>
    <row r="1280" spans="1:12" x14ac:dyDescent="0.3">
      <c r="A1280" s="52"/>
      <c r="B1280" s="53" t="s">
        <v>26</v>
      </c>
      <c r="C1280" s="54">
        <v>46218</v>
      </c>
      <c r="D1280" s="53" t="s">
        <v>2379</v>
      </c>
      <c r="E1280" s="53"/>
      <c r="F1280" s="53"/>
      <c r="G1280" s="54"/>
      <c r="H1280" s="53"/>
      <c r="I1280" s="59">
        <v>10.8</v>
      </c>
      <c r="J1280" s="59"/>
      <c r="K1280" s="59"/>
      <c r="L1280" s="59">
        <f t="shared" si="19"/>
        <v>344448.38000000076</v>
      </c>
    </row>
    <row r="1281" spans="1:12" x14ac:dyDescent="0.3">
      <c r="A1281" s="52"/>
      <c r="B1281" s="53" t="s">
        <v>26</v>
      </c>
      <c r="C1281" s="54">
        <v>46218</v>
      </c>
      <c r="D1281" s="53" t="s">
        <v>2380</v>
      </c>
      <c r="E1281" s="53"/>
      <c r="F1281" s="53"/>
      <c r="G1281" s="54"/>
      <c r="H1281" s="53"/>
      <c r="I1281" s="59">
        <v>3</v>
      </c>
      <c r="J1281" s="59"/>
      <c r="K1281" s="59"/>
      <c r="L1281" s="59">
        <f t="shared" si="19"/>
        <v>344451.38000000076</v>
      </c>
    </row>
    <row r="1282" spans="1:12" x14ac:dyDescent="0.3">
      <c r="A1282" s="52"/>
      <c r="B1282" s="53" t="s">
        <v>26</v>
      </c>
      <c r="C1282" s="54">
        <v>46218</v>
      </c>
      <c r="D1282" s="53" t="s">
        <v>2381</v>
      </c>
      <c r="E1282" s="53"/>
      <c r="F1282" s="53"/>
      <c r="G1282" s="54"/>
      <c r="H1282" s="53"/>
      <c r="I1282" s="59">
        <v>131.05000000000001</v>
      </c>
      <c r="J1282" s="59"/>
      <c r="K1282" s="59"/>
      <c r="L1282" s="59">
        <f t="shared" si="19"/>
        <v>344582.43000000075</v>
      </c>
    </row>
    <row r="1283" spans="1:12" x14ac:dyDescent="0.3">
      <c r="A1283" s="52"/>
      <c r="B1283" s="53" t="s">
        <v>28</v>
      </c>
      <c r="C1283" s="54">
        <v>46219</v>
      </c>
      <c r="D1283" s="53" t="s">
        <v>2382</v>
      </c>
      <c r="E1283" s="53" t="s">
        <v>194</v>
      </c>
      <c r="F1283" s="53"/>
      <c r="G1283" s="54">
        <v>46219</v>
      </c>
      <c r="H1283" s="53" t="s">
        <v>2383</v>
      </c>
      <c r="I1283" s="59">
        <v>526.73</v>
      </c>
      <c r="J1283" s="59"/>
      <c r="K1283" s="59"/>
      <c r="L1283" s="59">
        <f t="shared" si="19"/>
        <v>345109.16000000073</v>
      </c>
    </row>
    <row r="1284" spans="1:12" x14ac:dyDescent="0.3">
      <c r="A1284" s="52"/>
      <c r="B1284" s="53" t="s">
        <v>26</v>
      </c>
      <c r="C1284" s="54">
        <v>46219</v>
      </c>
      <c r="D1284" s="53" t="s">
        <v>2384</v>
      </c>
      <c r="E1284" s="53"/>
      <c r="F1284" s="53"/>
      <c r="G1284" s="54"/>
      <c r="H1284" s="53"/>
      <c r="I1284" s="59">
        <v>33.83</v>
      </c>
      <c r="J1284" s="59"/>
      <c r="K1284" s="59"/>
      <c r="L1284" s="59">
        <f t="shared" si="19"/>
        <v>345142.99000000075</v>
      </c>
    </row>
    <row r="1285" spans="1:12" x14ac:dyDescent="0.3">
      <c r="A1285" s="52"/>
      <c r="B1285" s="53" t="s">
        <v>26</v>
      </c>
      <c r="C1285" s="54">
        <v>46219</v>
      </c>
      <c r="D1285" s="53" t="s">
        <v>2385</v>
      </c>
      <c r="E1285" s="53"/>
      <c r="F1285" s="53"/>
      <c r="G1285" s="54"/>
      <c r="H1285" s="53"/>
      <c r="I1285" s="59">
        <v>0.54</v>
      </c>
      <c r="J1285" s="59"/>
      <c r="K1285" s="59"/>
      <c r="L1285" s="59">
        <f t="shared" si="19"/>
        <v>345143.53000000073</v>
      </c>
    </row>
    <row r="1286" spans="1:12" x14ac:dyDescent="0.3">
      <c r="A1286" s="52"/>
      <c r="B1286" s="53" t="s">
        <v>26</v>
      </c>
      <c r="C1286" s="54">
        <v>46219</v>
      </c>
      <c r="D1286" s="53" t="s">
        <v>2386</v>
      </c>
      <c r="E1286" s="53"/>
      <c r="F1286" s="53"/>
      <c r="G1286" s="54"/>
      <c r="H1286" s="53"/>
      <c r="I1286" s="59">
        <v>14.2</v>
      </c>
      <c r="J1286" s="59"/>
      <c r="K1286" s="59"/>
      <c r="L1286" s="59">
        <f t="shared" si="19"/>
        <v>345157.73000000074</v>
      </c>
    </row>
    <row r="1287" spans="1:12" x14ac:dyDescent="0.3">
      <c r="A1287" s="52"/>
      <c r="B1287" s="53" t="s">
        <v>26</v>
      </c>
      <c r="C1287" s="54">
        <v>46219</v>
      </c>
      <c r="D1287" s="53" t="s">
        <v>2387</v>
      </c>
      <c r="E1287" s="53"/>
      <c r="F1287" s="53"/>
      <c r="G1287" s="54"/>
      <c r="H1287" s="53"/>
      <c r="I1287" s="59">
        <v>193</v>
      </c>
      <c r="J1287" s="59"/>
      <c r="K1287" s="59"/>
      <c r="L1287" s="59">
        <f t="shared" si="19"/>
        <v>345350.73000000074</v>
      </c>
    </row>
    <row r="1288" spans="1:12" x14ac:dyDescent="0.3">
      <c r="A1288" s="52"/>
      <c r="B1288" s="53" t="s">
        <v>26</v>
      </c>
      <c r="C1288" s="54">
        <v>46219</v>
      </c>
      <c r="D1288" s="53" t="s">
        <v>2388</v>
      </c>
      <c r="E1288" s="53"/>
      <c r="F1288" s="53"/>
      <c r="G1288" s="54"/>
      <c r="H1288" s="53"/>
      <c r="I1288" s="59">
        <v>5</v>
      </c>
      <c r="J1288" s="59"/>
      <c r="K1288" s="59"/>
      <c r="L1288" s="59">
        <f t="shared" si="19"/>
        <v>345355.73000000074</v>
      </c>
    </row>
    <row r="1289" spans="1:12" x14ac:dyDescent="0.3">
      <c r="A1289" s="52"/>
      <c r="B1289" s="53" t="s">
        <v>26</v>
      </c>
      <c r="C1289" s="54">
        <v>46220</v>
      </c>
      <c r="D1289" s="53" t="s">
        <v>2389</v>
      </c>
      <c r="E1289" s="53"/>
      <c r="F1289" s="53"/>
      <c r="G1289" s="54"/>
      <c r="H1289" s="53"/>
      <c r="I1289" s="59">
        <v>30.9</v>
      </c>
      <c r="J1289" s="59"/>
      <c r="K1289" s="59"/>
      <c r="L1289" s="59">
        <f t="shared" si="19"/>
        <v>345386.63000000076</v>
      </c>
    </row>
    <row r="1290" spans="1:12" x14ac:dyDescent="0.3">
      <c r="A1290" s="52"/>
      <c r="B1290" s="53" t="s">
        <v>26</v>
      </c>
      <c r="C1290" s="54">
        <v>46220</v>
      </c>
      <c r="D1290" s="53" t="s">
        <v>2390</v>
      </c>
      <c r="E1290" s="53"/>
      <c r="F1290" s="53"/>
      <c r="G1290" s="54"/>
      <c r="H1290" s="53"/>
      <c r="I1290" s="59">
        <v>10</v>
      </c>
      <c r="J1290" s="59"/>
      <c r="K1290" s="59"/>
      <c r="L1290" s="59">
        <f t="shared" si="19"/>
        <v>345396.63000000076</v>
      </c>
    </row>
    <row r="1291" spans="1:12" x14ac:dyDescent="0.3">
      <c r="A1291" s="52"/>
      <c r="B1291" s="53" t="s">
        <v>26</v>
      </c>
      <c r="C1291" s="54">
        <v>46220</v>
      </c>
      <c r="D1291" s="53" t="s">
        <v>2391</v>
      </c>
      <c r="E1291" s="53"/>
      <c r="F1291" s="53"/>
      <c r="G1291" s="54"/>
      <c r="H1291" s="53"/>
      <c r="I1291" s="59">
        <v>43</v>
      </c>
      <c r="J1291" s="59"/>
      <c r="K1291" s="59"/>
      <c r="L1291" s="59">
        <f t="shared" ref="L1291:L1354" si="20">L1290+I1291-K1291</f>
        <v>345439.63000000076</v>
      </c>
    </row>
    <row r="1292" spans="1:12" x14ac:dyDescent="0.3">
      <c r="A1292" s="52"/>
      <c r="B1292" s="53" t="s">
        <v>26</v>
      </c>
      <c r="C1292" s="54">
        <v>46220</v>
      </c>
      <c r="D1292" s="53" t="s">
        <v>2392</v>
      </c>
      <c r="E1292" s="53"/>
      <c r="F1292" s="53"/>
      <c r="G1292" s="54"/>
      <c r="H1292" s="53"/>
      <c r="I1292" s="59">
        <v>12.4</v>
      </c>
      <c r="J1292" s="59"/>
      <c r="K1292" s="59"/>
      <c r="L1292" s="59">
        <f t="shared" si="20"/>
        <v>345452.03000000078</v>
      </c>
    </row>
    <row r="1293" spans="1:12" x14ac:dyDescent="0.3">
      <c r="A1293" s="52"/>
      <c r="B1293" s="53" t="s">
        <v>26</v>
      </c>
      <c r="C1293" s="54">
        <v>46220</v>
      </c>
      <c r="D1293" s="53" t="s">
        <v>2393</v>
      </c>
      <c r="E1293" s="53"/>
      <c r="F1293" s="53"/>
      <c r="G1293" s="54"/>
      <c r="H1293" s="53"/>
      <c r="I1293" s="59">
        <v>46</v>
      </c>
      <c r="J1293" s="59"/>
      <c r="K1293" s="59"/>
      <c r="L1293" s="59">
        <f t="shared" si="20"/>
        <v>345498.03000000078</v>
      </c>
    </row>
    <row r="1294" spans="1:12" x14ac:dyDescent="0.3">
      <c r="A1294" s="52"/>
      <c r="B1294" s="53" t="s">
        <v>26</v>
      </c>
      <c r="C1294" s="54">
        <v>46220</v>
      </c>
      <c r="D1294" s="53" t="s">
        <v>2394</v>
      </c>
      <c r="E1294" s="53"/>
      <c r="F1294" s="53"/>
      <c r="G1294" s="54"/>
      <c r="H1294" s="53"/>
      <c r="I1294" s="59">
        <v>5.76</v>
      </c>
      <c r="J1294" s="59"/>
      <c r="K1294" s="59"/>
      <c r="L1294" s="59">
        <f t="shared" si="20"/>
        <v>345503.79000000079</v>
      </c>
    </row>
    <row r="1295" spans="1:12" x14ac:dyDescent="0.3">
      <c r="A1295" s="52"/>
      <c r="B1295" s="53" t="s">
        <v>26</v>
      </c>
      <c r="C1295" s="54">
        <v>46221</v>
      </c>
      <c r="D1295" s="53" t="s">
        <v>2395</v>
      </c>
      <c r="E1295" s="53"/>
      <c r="F1295" s="53"/>
      <c r="G1295" s="54"/>
      <c r="H1295" s="53"/>
      <c r="I1295" s="59">
        <v>88</v>
      </c>
      <c r="J1295" s="59"/>
      <c r="K1295" s="59"/>
      <c r="L1295" s="59">
        <f t="shared" si="20"/>
        <v>345591.79000000079</v>
      </c>
    </row>
    <row r="1296" spans="1:12" x14ac:dyDescent="0.3">
      <c r="A1296" s="52"/>
      <c r="B1296" s="53" t="s">
        <v>28</v>
      </c>
      <c r="C1296" s="54">
        <v>46222</v>
      </c>
      <c r="D1296" s="53" t="s">
        <v>2396</v>
      </c>
      <c r="E1296" s="53" t="s">
        <v>261</v>
      </c>
      <c r="F1296" s="53"/>
      <c r="G1296" s="54">
        <v>46216</v>
      </c>
      <c r="H1296" s="53" t="s">
        <v>2397</v>
      </c>
      <c r="I1296" s="59">
        <v>82.57</v>
      </c>
      <c r="J1296" s="59"/>
      <c r="K1296" s="59"/>
      <c r="L1296" s="59">
        <f t="shared" si="20"/>
        <v>345674.3600000008</v>
      </c>
    </row>
    <row r="1297" spans="1:12" x14ac:dyDescent="0.3">
      <c r="A1297" s="52"/>
      <c r="B1297" s="53" t="s">
        <v>28</v>
      </c>
      <c r="C1297" s="54">
        <v>46222</v>
      </c>
      <c r="D1297" s="53" t="s">
        <v>2398</v>
      </c>
      <c r="E1297" s="53" t="s">
        <v>261</v>
      </c>
      <c r="F1297" s="53"/>
      <c r="G1297" s="54">
        <v>46216</v>
      </c>
      <c r="H1297" s="53" t="s">
        <v>2399</v>
      </c>
      <c r="I1297" s="59">
        <v>151.78</v>
      </c>
      <c r="J1297" s="59"/>
      <c r="K1297" s="59"/>
      <c r="L1297" s="59">
        <f t="shared" si="20"/>
        <v>345826.14000000083</v>
      </c>
    </row>
    <row r="1298" spans="1:12" x14ac:dyDescent="0.3">
      <c r="A1298" s="52"/>
      <c r="B1298" s="53" t="s">
        <v>26</v>
      </c>
      <c r="C1298" s="54">
        <v>46222</v>
      </c>
      <c r="D1298" s="53" t="s">
        <v>2400</v>
      </c>
      <c r="E1298" s="53"/>
      <c r="F1298" s="53"/>
      <c r="G1298" s="54"/>
      <c r="H1298" s="53"/>
      <c r="I1298" s="59">
        <v>43.2</v>
      </c>
      <c r="J1298" s="59"/>
      <c r="K1298" s="59"/>
      <c r="L1298" s="59">
        <f t="shared" si="20"/>
        <v>345869.34000000084</v>
      </c>
    </row>
    <row r="1299" spans="1:12" x14ac:dyDescent="0.3">
      <c r="A1299" s="52"/>
      <c r="B1299" s="53" t="s">
        <v>26</v>
      </c>
      <c r="C1299" s="54">
        <v>46223</v>
      </c>
      <c r="D1299" s="53" t="s">
        <v>2401</v>
      </c>
      <c r="E1299" s="53"/>
      <c r="F1299" s="53"/>
      <c r="G1299" s="54"/>
      <c r="H1299" s="53"/>
      <c r="I1299" s="59">
        <v>12</v>
      </c>
      <c r="J1299" s="59"/>
      <c r="K1299" s="59"/>
      <c r="L1299" s="59">
        <f t="shared" si="20"/>
        <v>345881.34000000084</v>
      </c>
    </row>
    <row r="1300" spans="1:12" x14ac:dyDescent="0.3">
      <c r="A1300" s="52"/>
      <c r="B1300" s="53" t="s">
        <v>26</v>
      </c>
      <c r="C1300" s="54">
        <v>46223</v>
      </c>
      <c r="D1300" s="53" t="s">
        <v>2402</v>
      </c>
      <c r="E1300" s="53"/>
      <c r="F1300" s="53"/>
      <c r="G1300" s="54"/>
      <c r="H1300" s="53"/>
      <c r="I1300" s="59">
        <v>17.399999999999999</v>
      </c>
      <c r="J1300" s="59"/>
      <c r="K1300" s="59"/>
      <c r="L1300" s="59">
        <f t="shared" si="20"/>
        <v>345898.74000000086</v>
      </c>
    </row>
    <row r="1301" spans="1:12" x14ac:dyDescent="0.3">
      <c r="A1301" s="52"/>
      <c r="B1301" s="53" t="s">
        <v>26</v>
      </c>
      <c r="C1301" s="54">
        <v>46223</v>
      </c>
      <c r="D1301" s="53" t="s">
        <v>2403</v>
      </c>
      <c r="E1301" s="53"/>
      <c r="F1301" s="53"/>
      <c r="G1301" s="54"/>
      <c r="H1301" s="53"/>
      <c r="I1301" s="59">
        <v>5.2</v>
      </c>
      <c r="J1301" s="59"/>
      <c r="K1301" s="59"/>
      <c r="L1301" s="59">
        <f t="shared" si="20"/>
        <v>345903.94000000088</v>
      </c>
    </row>
    <row r="1302" spans="1:12" x14ac:dyDescent="0.3">
      <c r="A1302" s="52"/>
      <c r="B1302" s="53" t="s">
        <v>26</v>
      </c>
      <c r="C1302" s="54">
        <v>46223</v>
      </c>
      <c r="D1302" s="53" t="s">
        <v>2404</v>
      </c>
      <c r="E1302" s="53"/>
      <c r="F1302" s="53"/>
      <c r="G1302" s="54"/>
      <c r="H1302" s="53"/>
      <c r="I1302" s="59">
        <v>15.6</v>
      </c>
      <c r="J1302" s="59"/>
      <c r="K1302" s="59"/>
      <c r="L1302" s="59">
        <f t="shared" si="20"/>
        <v>345919.54000000085</v>
      </c>
    </row>
    <row r="1303" spans="1:12" x14ac:dyDescent="0.3">
      <c r="A1303" s="52"/>
      <c r="B1303" s="53" t="s">
        <v>26</v>
      </c>
      <c r="C1303" s="54">
        <v>46223</v>
      </c>
      <c r="D1303" s="53" t="s">
        <v>2405</v>
      </c>
      <c r="E1303" s="53"/>
      <c r="F1303" s="53"/>
      <c r="G1303" s="54"/>
      <c r="H1303" s="53"/>
      <c r="I1303" s="59">
        <v>3.5</v>
      </c>
      <c r="J1303" s="59"/>
      <c r="K1303" s="59"/>
      <c r="L1303" s="59">
        <f t="shared" si="20"/>
        <v>345923.04000000085</v>
      </c>
    </row>
    <row r="1304" spans="1:12" x14ac:dyDescent="0.3">
      <c r="A1304" s="52"/>
      <c r="B1304" s="53" t="s">
        <v>28</v>
      </c>
      <c r="C1304" s="54">
        <v>46223</v>
      </c>
      <c r="D1304" s="53" t="s">
        <v>2406</v>
      </c>
      <c r="E1304" s="53" t="s">
        <v>1117</v>
      </c>
      <c r="F1304" s="53"/>
      <c r="G1304" s="54">
        <v>46219</v>
      </c>
      <c r="H1304" s="53" t="s">
        <v>2407</v>
      </c>
      <c r="I1304" s="59">
        <v>1600</v>
      </c>
      <c r="J1304" s="59"/>
      <c r="K1304" s="59"/>
      <c r="L1304" s="59">
        <f t="shared" si="20"/>
        <v>347523.04000000085</v>
      </c>
    </row>
    <row r="1305" spans="1:12" x14ac:dyDescent="0.3">
      <c r="A1305" s="52"/>
      <c r="B1305" s="53" t="s">
        <v>26</v>
      </c>
      <c r="C1305" s="54">
        <v>46223</v>
      </c>
      <c r="D1305" s="53" t="s">
        <v>2408</v>
      </c>
      <c r="E1305" s="53"/>
      <c r="F1305" s="53"/>
      <c r="G1305" s="54"/>
      <c r="H1305" s="53"/>
      <c r="I1305" s="59">
        <v>1.4</v>
      </c>
      <c r="J1305" s="59"/>
      <c r="K1305" s="59"/>
      <c r="L1305" s="59">
        <f t="shared" si="20"/>
        <v>347524.44000000088</v>
      </c>
    </row>
    <row r="1306" spans="1:12" x14ac:dyDescent="0.3">
      <c r="A1306" s="52"/>
      <c r="B1306" s="53" t="s">
        <v>26</v>
      </c>
      <c r="C1306" s="54">
        <v>46223</v>
      </c>
      <c r="D1306" s="53" t="s">
        <v>2409</v>
      </c>
      <c r="E1306" s="53"/>
      <c r="F1306" s="53"/>
      <c r="G1306" s="54"/>
      <c r="H1306" s="53"/>
      <c r="I1306" s="59">
        <v>10.9</v>
      </c>
      <c r="J1306" s="59"/>
      <c r="K1306" s="59"/>
      <c r="L1306" s="59">
        <f t="shared" si="20"/>
        <v>347535.3400000009</v>
      </c>
    </row>
    <row r="1307" spans="1:12" x14ac:dyDescent="0.3">
      <c r="A1307" s="52"/>
      <c r="B1307" s="53" t="s">
        <v>26</v>
      </c>
      <c r="C1307" s="54">
        <v>46224</v>
      </c>
      <c r="D1307" s="53" t="s">
        <v>2410</v>
      </c>
      <c r="E1307" s="53"/>
      <c r="F1307" s="53"/>
      <c r="G1307" s="54"/>
      <c r="H1307" s="53"/>
      <c r="I1307" s="59">
        <v>13.7</v>
      </c>
      <c r="J1307" s="59"/>
      <c r="K1307" s="59"/>
      <c r="L1307" s="59">
        <f t="shared" si="20"/>
        <v>347549.04000000091</v>
      </c>
    </row>
    <row r="1308" spans="1:12" x14ac:dyDescent="0.3">
      <c r="A1308" s="52"/>
      <c r="B1308" s="53" t="s">
        <v>26</v>
      </c>
      <c r="C1308" s="54">
        <v>46224</v>
      </c>
      <c r="D1308" s="53" t="s">
        <v>2411</v>
      </c>
      <c r="E1308" s="53"/>
      <c r="F1308" s="53"/>
      <c r="G1308" s="54"/>
      <c r="H1308" s="53"/>
      <c r="I1308" s="59">
        <v>3.7</v>
      </c>
      <c r="J1308" s="59"/>
      <c r="K1308" s="59"/>
      <c r="L1308" s="59">
        <f t="shared" si="20"/>
        <v>347552.74000000092</v>
      </c>
    </row>
    <row r="1309" spans="1:12" x14ac:dyDescent="0.3">
      <c r="A1309" s="52"/>
      <c r="B1309" s="53" t="s">
        <v>26</v>
      </c>
      <c r="C1309" s="54">
        <v>46224</v>
      </c>
      <c r="D1309" s="53" t="s">
        <v>2412</v>
      </c>
      <c r="E1309" s="53"/>
      <c r="F1309" s="53"/>
      <c r="G1309" s="54"/>
      <c r="H1309" s="53"/>
      <c r="I1309" s="59">
        <v>8.4</v>
      </c>
      <c r="J1309" s="59"/>
      <c r="K1309" s="59"/>
      <c r="L1309" s="59">
        <f t="shared" si="20"/>
        <v>347561.14000000095</v>
      </c>
    </row>
    <row r="1310" spans="1:12" x14ac:dyDescent="0.3">
      <c r="A1310" s="52"/>
      <c r="B1310" s="53" t="s">
        <v>26</v>
      </c>
      <c r="C1310" s="54">
        <v>46224</v>
      </c>
      <c r="D1310" s="53" t="s">
        <v>2413</v>
      </c>
      <c r="E1310" s="53"/>
      <c r="F1310" s="53"/>
      <c r="G1310" s="54"/>
      <c r="H1310" s="53"/>
      <c r="I1310" s="59">
        <v>31</v>
      </c>
      <c r="J1310" s="59"/>
      <c r="K1310" s="59"/>
      <c r="L1310" s="59">
        <f t="shared" si="20"/>
        <v>347592.14000000095</v>
      </c>
    </row>
    <row r="1311" spans="1:12" x14ac:dyDescent="0.3">
      <c r="A1311" s="52"/>
      <c r="B1311" s="53" t="s">
        <v>26</v>
      </c>
      <c r="C1311" s="54">
        <v>46224</v>
      </c>
      <c r="D1311" s="53" t="s">
        <v>2414</v>
      </c>
      <c r="E1311" s="53"/>
      <c r="F1311" s="53"/>
      <c r="G1311" s="54"/>
      <c r="H1311" s="53"/>
      <c r="I1311" s="59">
        <v>3.2</v>
      </c>
      <c r="J1311" s="59"/>
      <c r="K1311" s="59"/>
      <c r="L1311" s="59">
        <f t="shared" si="20"/>
        <v>347595.34000000096</v>
      </c>
    </row>
    <row r="1312" spans="1:12" x14ac:dyDescent="0.3">
      <c r="A1312" s="52"/>
      <c r="B1312" s="53" t="s">
        <v>26</v>
      </c>
      <c r="C1312" s="54">
        <v>46224</v>
      </c>
      <c r="D1312" s="53" t="s">
        <v>2415</v>
      </c>
      <c r="E1312" s="53"/>
      <c r="F1312" s="53"/>
      <c r="G1312" s="54"/>
      <c r="H1312" s="53"/>
      <c r="I1312" s="59">
        <v>16.399999999999999</v>
      </c>
      <c r="J1312" s="59"/>
      <c r="K1312" s="59"/>
      <c r="L1312" s="59">
        <f t="shared" si="20"/>
        <v>347611.74000000098</v>
      </c>
    </row>
    <row r="1313" spans="1:12" x14ac:dyDescent="0.3">
      <c r="A1313" s="52"/>
      <c r="B1313" s="53" t="s">
        <v>26</v>
      </c>
      <c r="C1313" s="54">
        <v>46224</v>
      </c>
      <c r="D1313" s="53" t="s">
        <v>2416</v>
      </c>
      <c r="E1313" s="53"/>
      <c r="F1313" s="53"/>
      <c r="G1313" s="54"/>
      <c r="H1313" s="53"/>
      <c r="I1313" s="59">
        <v>25</v>
      </c>
      <c r="J1313" s="59"/>
      <c r="K1313" s="59"/>
      <c r="L1313" s="59">
        <f t="shared" si="20"/>
        <v>347636.74000000098</v>
      </c>
    </row>
    <row r="1314" spans="1:12" x14ac:dyDescent="0.3">
      <c r="A1314" s="52"/>
      <c r="B1314" s="53" t="s">
        <v>26</v>
      </c>
      <c r="C1314" s="54">
        <v>46224</v>
      </c>
      <c r="D1314" s="53" t="s">
        <v>2417</v>
      </c>
      <c r="E1314" s="53"/>
      <c r="F1314" s="53"/>
      <c r="G1314" s="54"/>
      <c r="H1314" s="53"/>
      <c r="I1314" s="59">
        <v>78.489999999999995</v>
      </c>
      <c r="J1314" s="59"/>
      <c r="K1314" s="59"/>
      <c r="L1314" s="59">
        <f t="shared" si="20"/>
        <v>347715.23000000097</v>
      </c>
    </row>
    <row r="1315" spans="1:12" x14ac:dyDescent="0.3">
      <c r="A1315" s="52"/>
      <c r="B1315" s="53" t="s">
        <v>26</v>
      </c>
      <c r="C1315" s="54">
        <v>46224</v>
      </c>
      <c r="D1315" s="53" t="s">
        <v>2418</v>
      </c>
      <c r="E1315" s="53"/>
      <c r="F1315" s="53"/>
      <c r="G1315" s="54"/>
      <c r="H1315" s="53"/>
      <c r="I1315" s="59">
        <v>3.7</v>
      </c>
      <c r="J1315" s="59"/>
      <c r="K1315" s="59"/>
      <c r="L1315" s="59">
        <f t="shared" si="20"/>
        <v>347718.93000000098</v>
      </c>
    </row>
    <row r="1316" spans="1:12" x14ac:dyDescent="0.3">
      <c r="A1316" s="52"/>
      <c r="B1316" s="53" t="s">
        <v>28</v>
      </c>
      <c r="C1316" s="54">
        <v>46224</v>
      </c>
      <c r="D1316" s="53" t="s">
        <v>2419</v>
      </c>
      <c r="E1316" s="53" t="s">
        <v>2420</v>
      </c>
      <c r="F1316" s="53" t="s">
        <v>2421</v>
      </c>
      <c r="G1316" s="54">
        <v>46223</v>
      </c>
      <c r="H1316" s="53" t="s">
        <v>2422</v>
      </c>
      <c r="I1316" s="59">
        <v>48.86</v>
      </c>
      <c r="J1316" s="59"/>
      <c r="K1316" s="59"/>
      <c r="L1316" s="59">
        <f t="shared" si="20"/>
        <v>347767.79000000097</v>
      </c>
    </row>
    <row r="1317" spans="1:12" x14ac:dyDescent="0.3">
      <c r="A1317" s="52"/>
      <c r="B1317" s="53" t="s">
        <v>28</v>
      </c>
      <c r="C1317" s="54">
        <v>46224</v>
      </c>
      <c r="D1317" s="53" t="s">
        <v>2423</v>
      </c>
      <c r="E1317" s="53" t="s">
        <v>186</v>
      </c>
      <c r="F1317" s="53"/>
      <c r="G1317" s="54">
        <v>46224</v>
      </c>
      <c r="H1317" s="53" t="s">
        <v>2424</v>
      </c>
      <c r="I1317" s="59">
        <v>81.400000000000006</v>
      </c>
      <c r="J1317" s="59"/>
      <c r="K1317" s="59"/>
      <c r="L1317" s="59">
        <f t="shared" si="20"/>
        <v>347849.19000000099</v>
      </c>
    </row>
    <row r="1318" spans="1:12" x14ac:dyDescent="0.3">
      <c r="A1318" s="52"/>
      <c r="B1318" s="53" t="s">
        <v>28</v>
      </c>
      <c r="C1318" s="54">
        <v>46224</v>
      </c>
      <c r="D1318" s="53" t="s">
        <v>2425</v>
      </c>
      <c r="E1318" s="53" t="s">
        <v>186</v>
      </c>
      <c r="F1318" s="53"/>
      <c r="G1318" s="54">
        <v>46224</v>
      </c>
      <c r="H1318" s="53" t="s">
        <v>2426</v>
      </c>
      <c r="I1318" s="59">
        <v>81.400000000000006</v>
      </c>
      <c r="J1318" s="59"/>
      <c r="K1318" s="59"/>
      <c r="L1318" s="59">
        <f t="shared" si="20"/>
        <v>347930.59000000102</v>
      </c>
    </row>
    <row r="1319" spans="1:12" x14ac:dyDescent="0.3">
      <c r="A1319" s="52"/>
      <c r="B1319" s="53" t="s">
        <v>75</v>
      </c>
      <c r="C1319" s="54">
        <v>46224</v>
      </c>
      <c r="D1319" s="53" t="s">
        <v>2427</v>
      </c>
      <c r="E1319" s="53" t="s">
        <v>186</v>
      </c>
      <c r="F1319" s="53"/>
      <c r="G1319" s="54">
        <v>46224</v>
      </c>
      <c r="H1319" s="53" t="s">
        <v>2428</v>
      </c>
      <c r="I1319" s="59"/>
      <c r="J1319" s="59"/>
      <c r="K1319" s="59">
        <v>81.400000000000006</v>
      </c>
      <c r="L1319" s="59">
        <f t="shared" si="20"/>
        <v>347849.19000000099</v>
      </c>
    </row>
    <row r="1320" spans="1:12" x14ac:dyDescent="0.3">
      <c r="A1320" s="52"/>
      <c r="B1320" s="53" t="s">
        <v>26</v>
      </c>
      <c r="C1320" s="54">
        <v>46224</v>
      </c>
      <c r="D1320" s="53" t="s">
        <v>2429</v>
      </c>
      <c r="E1320" s="53"/>
      <c r="F1320" s="53"/>
      <c r="G1320" s="54"/>
      <c r="H1320" s="53"/>
      <c r="I1320" s="59">
        <v>80</v>
      </c>
      <c r="J1320" s="59"/>
      <c r="K1320" s="59"/>
      <c r="L1320" s="59">
        <f t="shared" si="20"/>
        <v>347929.19000000099</v>
      </c>
    </row>
    <row r="1321" spans="1:12" x14ac:dyDescent="0.3">
      <c r="A1321" s="52"/>
      <c r="B1321" s="53" t="s">
        <v>26</v>
      </c>
      <c r="C1321" s="54">
        <v>46224</v>
      </c>
      <c r="D1321" s="53" t="s">
        <v>2430</v>
      </c>
      <c r="E1321" s="53"/>
      <c r="F1321" s="53"/>
      <c r="G1321" s="54"/>
      <c r="H1321" s="53"/>
      <c r="I1321" s="59">
        <v>85</v>
      </c>
      <c r="J1321" s="59"/>
      <c r="K1321" s="59"/>
      <c r="L1321" s="59">
        <f t="shared" si="20"/>
        <v>348014.19000000099</v>
      </c>
    </row>
    <row r="1322" spans="1:12" x14ac:dyDescent="0.3">
      <c r="A1322" s="52"/>
      <c r="B1322" s="53" t="s">
        <v>75</v>
      </c>
      <c r="C1322" s="54">
        <v>46224</v>
      </c>
      <c r="D1322" s="53" t="s">
        <v>2431</v>
      </c>
      <c r="E1322" s="53" t="s">
        <v>186</v>
      </c>
      <c r="F1322" s="53"/>
      <c r="G1322" s="54">
        <v>46224</v>
      </c>
      <c r="H1322" s="53" t="s">
        <v>2432</v>
      </c>
      <c r="I1322" s="59"/>
      <c r="J1322" s="59"/>
      <c r="K1322" s="59">
        <v>81.400000000000006</v>
      </c>
      <c r="L1322" s="59">
        <f t="shared" si="20"/>
        <v>347932.79000000097</v>
      </c>
    </row>
    <row r="1323" spans="1:12" x14ac:dyDescent="0.3">
      <c r="A1323" s="52"/>
      <c r="B1323" s="53" t="s">
        <v>26</v>
      </c>
      <c r="C1323" s="54">
        <v>46224</v>
      </c>
      <c r="D1323" s="53" t="s">
        <v>2433</v>
      </c>
      <c r="E1323" s="53"/>
      <c r="F1323" s="53"/>
      <c r="G1323" s="54"/>
      <c r="H1323" s="53"/>
      <c r="I1323" s="59">
        <v>1.66</v>
      </c>
      <c r="J1323" s="59"/>
      <c r="K1323" s="59"/>
      <c r="L1323" s="59">
        <f t="shared" si="20"/>
        <v>347934.45000000094</v>
      </c>
    </row>
    <row r="1324" spans="1:12" x14ac:dyDescent="0.3">
      <c r="A1324" s="52"/>
      <c r="B1324" s="53" t="s">
        <v>26</v>
      </c>
      <c r="C1324" s="54">
        <v>46225</v>
      </c>
      <c r="D1324" s="53" t="s">
        <v>2434</v>
      </c>
      <c r="E1324" s="53"/>
      <c r="F1324" s="53"/>
      <c r="G1324" s="54"/>
      <c r="H1324" s="53"/>
      <c r="I1324" s="59">
        <v>10.75</v>
      </c>
      <c r="J1324" s="59"/>
      <c r="K1324" s="59"/>
      <c r="L1324" s="59">
        <f t="shared" si="20"/>
        <v>347945.20000000094</v>
      </c>
    </row>
    <row r="1325" spans="1:12" x14ac:dyDescent="0.3">
      <c r="A1325" s="52"/>
      <c r="B1325" s="53" t="s">
        <v>26</v>
      </c>
      <c r="C1325" s="54">
        <v>46225</v>
      </c>
      <c r="D1325" s="53" t="s">
        <v>2435</v>
      </c>
      <c r="E1325" s="53"/>
      <c r="F1325" s="53"/>
      <c r="G1325" s="54"/>
      <c r="H1325" s="53"/>
      <c r="I1325" s="59">
        <v>15.89</v>
      </c>
      <c r="J1325" s="59"/>
      <c r="K1325" s="59"/>
      <c r="L1325" s="59">
        <f t="shared" si="20"/>
        <v>347961.09000000096</v>
      </c>
    </row>
    <row r="1326" spans="1:12" x14ac:dyDescent="0.3">
      <c r="A1326" s="52"/>
      <c r="B1326" s="53" t="s">
        <v>26</v>
      </c>
      <c r="C1326" s="54">
        <v>46225</v>
      </c>
      <c r="D1326" s="53" t="s">
        <v>2436</v>
      </c>
      <c r="E1326" s="53"/>
      <c r="F1326" s="53"/>
      <c r="G1326" s="54"/>
      <c r="H1326" s="53"/>
      <c r="I1326" s="59">
        <v>75</v>
      </c>
      <c r="J1326" s="59"/>
      <c r="K1326" s="59"/>
      <c r="L1326" s="59">
        <f t="shared" si="20"/>
        <v>348036.09000000096</v>
      </c>
    </row>
    <row r="1327" spans="1:12" x14ac:dyDescent="0.3">
      <c r="A1327" s="52"/>
      <c r="B1327" s="53" t="s">
        <v>26</v>
      </c>
      <c r="C1327" s="54">
        <v>46225</v>
      </c>
      <c r="D1327" s="53" t="s">
        <v>2437</v>
      </c>
      <c r="E1327" s="53"/>
      <c r="F1327" s="53"/>
      <c r="G1327" s="54"/>
      <c r="H1327" s="53"/>
      <c r="I1327" s="59">
        <v>14.2</v>
      </c>
      <c r="J1327" s="59"/>
      <c r="K1327" s="59"/>
      <c r="L1327" s="59">
        <f t="shared" si="20"/>
        <v>348050.29000000097</v>
      </c>
    </row>
    <row r="1328" spans="1:12" x14ac:dyDescent="0.3">
      <c r="A1328" s="52"/>
      <c r="B1328" s="53" t="s">
        <v>26</v>
      </c>
      <c r="C1328" s="54">
        <v>46225</v>
      </c>
      <c r="D1328" s="53" t="s">
        <v>2438</v>
      </c>
      <c r="E1328" s="53"/>
      <c r="F1328" s="53"/>
      <c r="G1328" s="54"/>
      <c r="H1328" s="53"/>
      <c r="I1328" s="59">
        <v>2.6</v>
      </c>
      <c r="J1328" s="59"/>
      <c r="K1328" s="59"/>
      <c r="L1328" s="59">
        <f t="shared" si="20"/>
        <v>348052.89000000095</v>
      </c>
    </row>
    <row r="1329" spans="1:12" x14ac:dyDescent="0.3">
      <c r="A1329" s="52"/>
      <c r="B1329" s="53" t="s">
        <v>26</v>
      </c>
      <c r="C1329" s="54">
        <v>46225</v>
      </c>
      <c r="D1329" s="53" t="s">
        <v>2439</v>
      </c>
      <c r="E1329" s="53"/>
      <c r="F1329" s="53"/>
      <c r="G1329" s="54"/>
      <c r="H1329" s="53"/>
      <c r="I1329" s="59">
        <v>3</v>
      </c>
      <c r="J1329" s="59"/>
      <c r="K1329" s="59"/>
      <c r="L1329" s="59">
        <f t="shared" si="20"/>
        <v>348055.89000000095</v>
      </c>
    </row>
    <row r="1330" spans="1:12" x14ac:dyDescent="0.3">
      <c r="A1330" s="52"/>
      <c r="B1330" s="53" t="s">
        <v>26</v>
      </c>
      <c r="C1330" s="54">
        <v>46225</v>
      </c>
      <c r="D1330" s="53" t="s">
        <v>2440</v>
      </c>
      <c r="E1330" s="53"/>
      <c r="F1330" s="53"/>
      <c r="G1330" s="54"/>
      <c r="H1330" s="53"/>
      <c r="I1330" s="59">
        <v>2.8</v>
      </c>
      <c r="J1330" s="59"/>
      <c r="K1330" s="59"/>
      <c r="L1330" s="59">
        <f t="shared" si="20"/>
        <v>348058.69000000093</v>
      </c>
    </row>
    <row r="1331" spans="1:12" x14ac:dyDescent="0.3">
      <c r="A1331" s="52"/>
      <c r="B1331" s="53" t="s">
        <v>26</v>
      </c>
      <c r="C1331" s="54">
        <v>46225</v>
      </c>
      <c r="D1331" s="53" t="s">
        <v>2441</v>
      </c>
      <c r="E1331" s="53"/>
      <c r="F1331" s="53"/>
      <c r="G1331" s="54"/>
      <c r="H1331" s="53"/>
      <c r="I1331" s="59">
        <v>5</v>
      </c>
      <c r="J1331" s="59"/>
      <c r="K1331" s="59"/>
      <c r="L1331" s="59">
        <f t="shared" si="20"/>
        <v>348063.69000000093</v>
      </c>
    </row>
    <row r="1332" spans="1:12" x14ac:dyDescent="0.3">
      <c r="A1332" s="52"/>
      <c r="B1332" s="53" t="s">
        <v>26</v>
      </c>
      <c r="C1332" s="54">
        <v>46225</v>
      </c>
      <c r="D1332" s="53" t="s">
        <v>2442</v>
      </c>
      <c r="E1332" s="53"/>
      <c r="F1332" s="53"/>
      <c r="G1332" s="54"/>
      <c r="H1332" s="53"/>
      <c r="I1332" s="59">
        <v>85</v>
      </c>
      <c r="J1332" s="59"/>
      <c r="K1332" s="59"/>
      <c r="L1332" s="59">
        <f t="shared" si="20"/>
        <v>348148.69000000093</v>
      </c>
    </row>
    <row r="1333" spans="1:12" x14ac:dyDescent="0.3">
      <c r="A1333" s="52"/>
      <c r="B1333" s="53" t="s">
        <v>26</v>
      </c>
      <c r="C1333" s="54">
        <v>46225</v>
      </c>
      <c r="D1333" s="53" t="s">
        <v>2443</v>
      </c>
      <c r="E1333" s="53"/>
      <c r="F1333" s="53"/>
      <c r="G1333" s="54"/>
      <c r="H1333" s="53"/>
      <c r="I1333" s="59">
        <v>4.2</v>
      </c>
      <c r="J1333" s="59"/>
      <c r="K1333" s="59"/>
      <c r="L1333" s="59">
        <f t="shared" si="20"/>
        <v>348152.89000000095</v>
      </c>
    </row>
    <row r="1334" spans="1:12" x14ac:dyDescent="0.3">
      <c r="A1334" s="52"/>
      <c r="B1334" s="53" t="s">
        <v>26</v>
      </c>
      <c r="C1334" s="54">
        <v>46225</v>
      </c>
      <c r="D1334" s="53" t="s">
        <v>2444</v>
      </c>
      <c r="E1334" s="53"/>
      <c r="F1334" s="53"/>
      <c r="G1334" s="54"/>
      <c r="H1334" s="53"/>
      <c r="I1334" s="59">
        <v>2</v>
      </c>
      <c r="J1334" s="59"/>
      <c r="K1334" s="59"/>
      <c r="L1334" s="59">
        <f t="shared" si="20"/>
        <v>348154.89000000095</v>
      </c>
    </row>
    <row r="1335" spans="1:12" x14ac:dyDescent="0.3">
      <c r="A1335" s="52"/>
      <c r="B1335" s="53" t="s">
        <v>26</v>
      </c>
      <c r="C1335" s="54">
        <v>46226</v>
      </c>
      <c r="D1335" s="53" t="s">
        <v>2445</v>
      </c>
      <c r="E1335" s="53"/>
      <c r="F1335" s="53"/>
      <c r="G1335" s="54"/>
      <c r="H1335" s="53"/>
      <c r="I1335" s="59">
        <v>5.3</v>
      </c>
      <c r="J1335" s="59"/>
      <c r="K1335" s="59"/>
      <c r="L1335" s="59">
        <f t="shared" si="20"/>
        <v>348160.19000000093</v>
      </c>
    </row>
    <row r="1336" spans="1:12" x14ac:dyDescent="0.3">
      <c r="A1336" s="52"/>
      <c r="B1336" s="53" t="s">
        <v>26</v>
      </c>
      <c r="C1336" s="54">
        <v>46226</v>
      </c>
      <c r="D1336" s="53" t="s">
        <v>2446</v>
      </c>
      <c r="E1336" s="53"/>
      <c r="F1336" s="53"/>
      <c r="G1336" s="54"/>
      <c r="H1336" s="53"/>
      <c r="I1336" s="59">
        <v>3.4</v>
      </c>
      <c r="J1336" s="59"/>
      <c r="K1336" s="59"/>
      <c r="L1336" s="59">
        <f t="shared" si="20"/>
        <v>348163.59000000096</v>
      </c>
    </row>
    <row r="1337" spans="1:12" x14ac:dyDescent="0.3">
      <c r="A1337" s="52"/>
      <c r="B1337" s="53" t="s">
        <v>28</v>
      </c>
      <c r="C1337" s="54">
        <v>46226</v>
      </c>
      <c r="D1337" s="53" t="s">
        <v>2447</v>
      </c>
      <c r="E1337" s="53" t="s">
        <v>719</v>
      </c>
      <c r="F1337" s="53" t="s">
        <v>237</v>
      </c>
      <c r="G1337" s="54">
        <v>46226</v>
      </c>
      <c r="H1337" s="53" t="s">
        <v>2448</v>
      </c>
      <c r="I1337" s="59">
        <v>111.34</v>
      </c>
      <c r="J1337" s="59"/>
      <c r="K1337" s="59"/>
      <c r="L1337" s="59">
        <f t="shared" si="20"/>
        <v>348274.93000000098</v>
      </c>
    </row>
    <row r="1338" spans="1:12" x14ac:dyDescent="0.3">
      <c r="A1338" s="52"/>
      <c r="B1338" s="53" t="s">
        <v>26</v>
      </c>
      <c r="C1338" s="54">
        <v>46226</v>
      </c>
      <c r="D1338" s="53" t="s">
        <v>2449</v>
      </c>
      <c r="E1338" s="53"/>
      <c r="F1338" s="53"/>
      <c r="G1338" s="54"/>
      <c r="H1338" s="53"/>
      <c r="I1338" s="59">
        <v>27.46</v>
      </c>
      <c r="J1338" s="59"/>
      <c r="K1338" s="59"/>
      <c r="L1338" s="59">
        <f t="shared" si="20"/>
        <v>348302.390000001</v>
      </c>
    </row>
    <row r="1339" spans="1:12" x14ac:dyDescent="0.3">
      <c r="A1339" s="52"/>
      <c r="B1339" s="53" t="s">
        <v>28</v>
      </c>
      <c r="C1339" s="54">
        <v>46226</v>
      </c>
      <c r="D1339" s="53" t="s">
        <v>2450</v>
      </c>
      <c r="E1339" s="53" t="s">
        <v>255</v>
      </c>
      <c r="F1339" s="53" t="s">
        <v>237</v>
      </c>
      <c r="G1339" s="54">
        <v>46226</v>
      </c>
      <c r="H1339" s="53" t="s">
        <v>2451</v>
      </c>
      <c r="I1339" s="59">
        <v>104.76</v>
      </c>
      <c r="J1339" s="59"/>
      <c r="K1339" s="59"/>
      <c r="L1339" s="59">
        <f t="shared" si="20"/>
        <v>348407.15000000101</v>
      </c>
    </row>
    <row r="1340" spans="1:12" x14ac:dyDescent="0.3">
      <c r="A1340" s="52"/>
      <c r="B1340" s="53" t="s">
        <v>26</v>
      </c>
      <c r="C1340" s="54">
        <v>46226</v>
      </c>
      <c r="D1340" s="53" t="s">
        <v>2452</v>
      </c>
      <c r="E1340" s="53"/>
      <c r="F1340" s="53"/>
      <c r="G1340" s="54"/>
      <c r="H1340" s="53"/>
      <c r="I1340" s="59">
        <v>8.67</v>
      </c>
      <c r="J1340" s="59"/>
      <c r="K1340" s="59"/>
      <c r="L1340" s="59">
        <f t="shared" si="20"/>
        <v>348415.820000001</v>
      </c>
    </row>
    <row r="1341" spans="1:12" x14ac:dyDescent="0.3">
      <c r="A1341" s="52"/>
      <c r="B1341" s="53" t="s">
        <v>26</v>
      </c>
      <c r="C1341" s="54">
        <v>46226</v>
      </c>
      <c r="D1341" s="53" t="s">
        <v>2453</v>
      </c>
      <c r="E1341" s="53"/>
      <c r="F1341" s="53"/>
      <c r="G1341" s="54"/>
      <c r="H1341" s="53"/>
      <c r="I1341" s="59">
        <v>9.5</v>
      </c>
      <c r="J1341" s="59"/>
      <c r="K1341" s="59"/>
      <c r="L1341" s="59">
        <f t="shared" si="20"/>
        <v>348425.320000001</v>
      </c>
    </row>
    <row r="1342" spans="1:12" x14ac:dyDescent="0.3">
      <c r="A1342" s="52"/>
      <c r="B1342" s="53" t="s">
        <v>26</v>
      </c>
      <c r="C1342" s="54">
        <v>46226</v>
      </c>
      <c r="D1342" s="53" t="s">
        <v>2454</v>
      </c>
      <c r="E1342" s="53"/>
      <c r="F1342" s="53"/>
      <c r="G1342" s="54"/>
      <c r="H1342" s="53"/>
      <c r="I1342" s="59">
        <v>28</v>
      </c>
      <c r="J1342" s="59"/>
      <c r="K1342" s="59"/>
      <c r="L1342" s="59">
        <f t="shared" si="20"/>
        <v>348453.320000001</v>
      </c>
    </row>
    <row r="1343" spans="1:12" x14ac:dyDescent="0.3">
      <c r="A1343" s="52"/>
      <c r="B1343" s="53" t="s">
        <v>28</v>
      </c>
      <c r="C1343" s="54">
        <v>46226</v>
      </c>
      <c r="D1343" s="53" t="s">
        <v>2455</v>
      </c>
      <c r="E1343" s="53" t="s">
        <v>1084</v>
      </c>
      <c r="F1343" s="53" t="s">
        <v>237</v>
      </c>
      <c r="G1343" s="54">
        <v>46226</v>
      </c>
      <c r="H1343" s="53" t="s">
        <v>2456</v>
      </c>
      <c r="I1343" s="59">
        <v>72.37</v>
      </c>
      <c r="J1343" s="59"/>
      <c r="K1343" s="59"/>
      <c r="L1343" s="59">
        <f t="shared" si="20"/>
        <v>348525.69000000099</v>
      </c>
    </row>
    <row r="1344" spans="1:12" x14ac:dyDescent="0.3">
      <c r="A1344" s="52"/>
      <c r="B1344" s="53" t="s">
        <v>26</v>
      </c>
      <c r="C1344" s="54">
        <v>46226</v>
      </c>
      <c r="D1344" s="53" t="s">
        <v>2457</v>
      </c>
      <c r="E1344" s="53"/>
      <c r="F1344" s="53"/>
      <c r="G1344" s="54"/>
      <c r="H1344" s="53"/>
      <c r="I1344" s="59">
        <v>7</v>
      </c>
      <c r="J1344" s="59"/>
      <c r="K1344" s="59"/>
      <c r="L1344" s="59">
        <f t="shared" si="20"/>
        <v>348532.69000000099</v>
      </c>
    </row>
    <row r="1345" spans="1:12" x14ac:dyDescent="0.3">
      <c r="A1345" s="52"/>
      <c r="B1345" s="53" t="s">
        <v>26</v>
      </c>
      <c r="C1345" s="54">
        <v>46226</v>
      </c>
      <c r="D1345" s="53" t="s">
        <v>2458</v>
      </c>
      <c r="E1345" s="53"/>
      <c r="F1345" s="53"/>
      <c r="G1345" s="54"/>
      <c r="H1345" s="53"/>
      <c r="I1345" s="59">
        <v>3.2</v>
      </c>
      <c r="J1345" s="59"/>
      <c r="K1345" s="59"/>
      <c r="L1345" s="59">
        <f t="shared" si="20"/>
        <v>348535.890000001</v>
      </c>
    </row>
    <row r="1346" spans="1:12" x14ac:dyDescent="0.3">
      <c r="A1346" s="52"/>
      <c r="B1346" s="53" t="s">
        <v>26</v>
      </c>
      <c r="C1346" s="54">
        <v>46226</v>
      </c>
      <c r="D1346" s="53" t="s">
        <v>2459</v>
      </c>
      <c r="E1346" s="53"/>
      <c r="F1346" s="53"/>
      <c r="G1346" s="54"/>
      <c r="H1346" s="53"/>
      <c r="I1346" s="59">
        <v>3</v>
      </c>
      <c r="J1346" s="59"/>
      <c r="K1346" s="59"/>
      <c r="L1346" s="59">
        <f t="shared" si="20"/>
        <v>348538.890000001</v>
      </c>
    </row>
    <row r="1347" spans="1:12" x14ac:dyDescent="0.3">
      <c r="A1347" s="52"/>
      <c r="B1347" s="53" t="s">
        <v>26</v>
      </c>
      <c r="C1347" s="54">
        <v>46227</v>
      </c>
      <c r="D1347" s="53" t="s">
        <v>2460</v>
      </c>
      <c r="E1347" s="53"/>
      <c r="F1347" s="53"/>
      <c r="G1347" s="54"/>
      <c r="H1347" s="53"/>
      <c r="I1347" s="59">
        <v>100</v>
      </c>
      <c r="J1347" s="59"/>
      <c r="K1347" s="59"/>
      <c r="L1347" s="59">
        <f t="shared" si="20"/>
        <v>348638.890000001</v>
      </c>
    </row>
    <row r="1348" spans="1:12" x14ac:dyDescent="0.3">
      <c r="A1348" s="52"/>
      <c r="B1348" s="53" t="s">
        <v>28</v>
      </c>
      <c r="C1348" s="54">
        <v>46227</v>
      </c>
      <c r="D1348" s="53" t="s">
        <v>2461</v>
      </c>
      <c r="E1348" s="53" t="s">
        <v>350</v>
      </c>
      <c r="F1348" s="53" t="s">
        <v>351</v>
      </c>
      <c r="G1348" s="54">
        <v>46216</v>
      </c>
      <c r="H1348" s="53" t="s">
        <v>2462</v>
      </c>
      <c r="I1348" s="59">
        <v>86.45</v>
      </c>
      <c r="J1348" s="59"/>
      <c r="K1348" s="59"/>
      <c r="L1348" s="59">
        <f t="shared" si="20"/>
        <v>348725.34000000102</v>
      </c>
    </row>
    <row r="1349" spans="1:12" x14ac:dyDescent="0.3">
      <c r="A1349" s="52"/>
      <c r="B1349" s="53" t="s">
        <v>26</v>
      </c>
      <c r="C1349" s="54">
        <v>46227</v>
      </c>
      <c r="D1349" s="53" t="s">
        <v>2463</v>
      </c>
      <c r="E1349" s="53"/>
      <c r="F1349" s="53"/>
      <c r="G1349" s="54"/>
      <c r="H1349" s="53"/>
      <c r="I1349" s="59">
        <v>7.66</v>
      </c>
      <c r="J1349" s="59"/>
      <c r="K1349" s="59"/>
      <c r="L1349" s="59">
        <f t="shared" si="20"/>
        <v>348733.00000000099</v>
      </c>
    </row>
    <row r="1350" spans="1:12" x14ac:dyDescent="0.3">
      <c r="A1350" s="52"/>
      <c r="B1350" s="53" t="s">
        <v>28</v>
      </c>
      <c r="C1350" s="54">
        <v>46227</v>
      </c>
      <c r="D1350" s="53" t="s">
        <v>2464</v>
      </c>
      <c r="E1350" s="53" t="s">
        <v>2465</v>
      </c>
      <c r="F1350" s="53"/>
      <c r="G1350" s="54">
        <v>46226</v>
      </c>
      <c r="H1350" s="53" t="s">
        <v>2466</v>
      </c>
      <c r="I1350" s="59">
        <v>80.91</v>
      </c>
      <c r="J1350" s="59"/>
      <c r="K1350" s="59"/>
      <c r="L1350" s="59">
        <f t="shared" si="20"/>
        <v>348813.91000000096</v>
      </c>
    </row>
    <row r="1351" spans="1:12" x14ac:dyDescent="0.3">
      <c r="A1351" s="52"/>
      <c r="B1351" s="53" t="s">
        <v>28</v>
      </c>
      <c r="C1351" s="54">
        <v>46227</v>
      </c>
      <c r="D1351" s="53" t="s">
        <v>2467</v>
      </c>
      <c r="E1351" s="53" t="s">
        <v>250</v>
      </c>
      <c r="F1351" s="53"/>
      <c r="G1351" s="54">
        <v>46226</v>
      </c>
      <c r="H1351" s="53" t="s">
        <v>2468</v>
      </c>
      <c r="I1351" s="73">
        <v>301.45</v>
      </c>
      <c r="J1351" s="59" t="s">
        <v>2593</v>
      </c>
      <c r="K1351" s="59"/>
      <c r="L1351" s="59">
        <f t="shared" si="20"/>
        <v>349115.36000000098</v>
      </c>
    </row>
    <row r="1352" spans="1:12" x14ac:dyDescent="0.3">
      <c r="A1352" s="52"/>
      <c r="B1352" s="53" t="s">
        <v>26</v>
      </c>
      <c r="C1352" s="54">
        <v>46227</v>
      </c>
      <c r="D1352" s="53" t="s">
        <v>2469</v>
      </c>
      <c r="E1352" s="53"/>
      <c r="F1352" s="53"/>
      <c r="G1352" s="54"/>
      <c r="H1352" s="53"/>
      <c r="I1352" s="59">
        <v>14.29</v>
      </c>
      <c r="J1352" s="59"/>
      <c r="K1352" s="59"/>
      <c r="L1352" s="59">
        <f t="shared" si="20"/>
        <v>349129.65000000095</v>
      </c>
    </row>
    <row r="1353" spans="1:12" x14ac:dyDescent="0.3">
      <c r="A1353" s="52"/>
      <c r="B1353" s="53" t="s">
        <v>26</v>
      </c>
      <c r="C1353" s="54">
        <v>46227</v>
      </c>
      <c r="D1353" s="53" t="s">
        <v>2470</v>
      </c>
      <c r="E1353" s="53"/>
      <c r="F1353" s="53"/>
      <c r="G1353" s="54"/>
      <c r="H1353" s="53"/>
      <c r="I1353" s="59">
        <v>13</v>
      </c>
      <c r="J1353" s="59"/>
      <c r="K1353" s="59"/>
      <c r="L1353" s="59">
        <f t="shared" si="20"/>
        <v>349142.65000000095</v>
      </c>
    </row>
    <row r="1354" spans="1:12" x14ac:dyDescent="0.3">
      <c r="A1354" s="52"/>
      <c r="B1354" s="53" t="s">
        <v>28</v>
      </c>
      <c r="C1354" s="54">
        <v>46227</v>
      </c>
      <c r="D1354" s="53" t="s">
        <v>2471</v>
      </c>
      <c r="E1354" s="53" t="s">
        <v>250</v>
      </c>
      <c r="F1354" s="53"/>
      <c r="G1354" s="54">
        <v>46226</v>
      </c>
      <c r="H1354" s="53" t="s">
        <v>2472</v>
      </c>
      <c r="I1354" s="73">
        <v>301.45</v>
      </c>
      <c r="J1354" s="59" t="s">
        <v>2594</v>
      </c>
      <c r="K1354" s="59"/>
      <c r="L1354" s="59">
        <f t="shared" si="20"/>
        <v>349444.10000000097</v>
      </c>
    </row>
    <row r="1355" spans="1:12" x14ac:dyDescent="0.3">
      <c r="A1355" s="52"/>
      <c r="B1355" s="53" t="s">
        <v>26</v>
      </c>
      <c r="C1355" s="54">
        <v>46228</v>
      </c>
      <c r="D1355" s="53" t="s">
        <v>2473</v>
      </c>
      <c r="E1355" s="53"/>
      <c r="F1355" s="53"/>
      <c r="G1355" s="54"/>
      <c r="H1355" s="53"/>
      <c r="I1355" s="59">
        <v>1.5</v>
      </c>
      <c r="J1355" s="59"/>
      <c r="K1355" s="59"/>
      <c r="L1355" s="59">
        <f t="shared" ref="L1355:L1418" si="21">L1354+I1355-K1355</f>
        <v>349445.60000000097</v>
      </c>
    </row>
    <row r="1356" spans="1:12" x14ac:dyDescent="0.3">
      <c r="A1356" s="52"/>
      <c r="B1356" s="53" t="s">
        <v>26</v>
      </c>
      <c r="C1356" s="54">
        <v>46228</v>
      </c>
      <c r="D1356" s="53" t="s">
        <v>2474</v>
      </c>
      <c r="E1356" s="53"/>
      <c r="F1356" s="53"/>
      <c r="G1356" s="54"/>
      <c r="H1356" s="53"/>
      <c r="I1356" s="59">
        <v>20</v>
      </c>
      <c r="J1356" s="59"/>
      <c r="K1356" s="59"/>
      <c r="L1356" s="59">
        <f t="shared" si="21"/>
        <v>349465.60000000097</v>
      </c>
    </row>
    <row r="1357" spans="1:12" x14ac:dyDescent="0.3">
      <c r="A1357" s="52"/>
      <c r="B1357" s="53" t="s">
        <v>26</v>
      </c>
      <c r="C1357" s="54">
        <v>46228</v>
      </c>
      <c r="D1357" s="53" t="s">
        <v>2475</v>
      </c>
      <c r="E1357" s="53"/>
      <c r="F1357" s="53"/>
      <c r="G1357" s="54"/>
      <c r="H1357" s="53"/>
      <c r="I1357" s="59">
        <v>329</v>
      </c>
      <c r="J1357" s="59"/>
      <c r="K1357" s="59"/>
      <c r="L1357" s="59">
        <f t="shared" si="21"/>
        <v>349794.60000000097</v>
      </c>
    </row>
    <row r="1358" spans="1:12" x14ac:dyDescent="0.3">
      <c r="A1358" s="52"/>
      <c r="B1358" s="53" t="s">
        <v>26</v>
      </c>
      <c r="C1358" s="54">
        <v>46229</v>
      </c>
      <c r="D1358" s="53" t="s">
        <v>2476</v>
      </c>
      <c r="E1358" s="53"/>
      <c r="F1358" s="53"/>
      <c r="G1358" s="54"/>
      <c r="H1358" s="53"/>
      <c r="I1358" s="59">
        <v>294</v>
      </c>
      <c r="J1358" s="59"/>
      <c r="K1358" s="59"/>
      <c r="L1358" s="59">
        <f t="shared" si="21"/>
        <v>350088.60000000097</v>
      </c>
    </row>
    <row r="1359" spans="1:12" x14ac:dyDescent="0.3">
      <c r="A1359" s="52"/>
      <c r="B1359" s="53" t="s">
        <v>26</v>
      </c>
      <c r="C1359" s="54">
        <v>46229</v>
      </c>
      <c r="D1359" s="53" t="s">
        <v>2477</v>
      </c>
      <c r="E1359" s="53" t="s">
        <v>2595</v>
      </c>
      <c r="F1359" s="53"/>
      <c r="G1359" s="54"/>
      <c r="H1359" s="53"/>
      <c r="I1359" s="59">
        <v>859.35</v>
      </c>
      <c r="J1359" s="59" t="s">
        <v>2596</v>
      </c>
      <c r="K1359" s="59"/>
      <c r="L1359" s="59">
        <f t="shared" si="21"/>
        <v>350947.95000000094</v>
      </c>
    </row>
    <row r="1360" spans="1:12" x14ac:dyDescent="0.3">
      <c r="A1360" s="52"/>
      <c r="B1360" s="53" t="s">
        <v>26</v>
      </c>
      <c r="C1360" s="54">
        <v>46229</v>
      </c>
      <c r="D1360" s="53" t="s">
        <v>2478</v>
      </c>
      <c r="E1360" s="53"/>
      <c r="F1360" s="53"/>
      <c r="G1360" s="54"/>
      <c r="H1360" s="53"/>
      <c r="I1360" s="59">
        <v>53.57</v>
      </c>
      <c r="J1360" s="59"/>
      <c r="K1360" s="59"/>
      <c r="L1360" s="59">
        <f t="shared" si="21"/>
        <v>351001.52000000095</v>
      </c>
    </row>
    <row r="1361" spans="1:12" x14ac:dyDescent="0.3">
      <c r="A1361" s="52"/>
      <c r="B1361" s="53" t="s">
        <v>26</v>
      </c>
      <c r="C1361" s="54">
        <v>46230</v>
      </c>
      <c r="D1361" s="53" t="s">
        <v>2479</v>
      </c>
      <c r="E1361" s="53"/>
      <c r="F1361" s="53"/>
      <c r="G1361" s="54"/>
      <c r="H1361" s="53"/>
      <c r="I1361" s="59">
        <v>16.309999999999999</v>
      </c>
      <c r="J1361" s="59"/>
      <c r="K1361" s="59"/>
      <c r="L1361" s="59">
        <f t="shared" si="21"/>
        <v>351017.83000000095</v>
      </c>
    </row>
    <row r="1362" spans="1:12" x14ac:dyDescent="0.3">
      <c r="A1362" s="52"/>
      <c r="B1362" s="53" t="s">
        <v>26</v>
      </c>
      <c r="C1362" s="54">
        <v>46230</v>
      </c>
      <c r="D1362" s="53" t="s">
        <v>2480</v>
      </c>
      <c r="E1362" s="53"/>
      <c r="F1362" s="53"/>
      <c r="G1362" s="54"/>
      <c r="H1362" s="53"/>
      <c r="I1362" s="59">
        <v>4.45</v>
      </c>
      <c r="J1362" s="59"/>
      <c r="K1362" s="59"/>
      <c r="L1362" s="59">
        <f t="shared" si="21"/>
        <v>351022.28000000096</v>
      </c>
    </row>
    <row r="1363" spans="1:12" x14ac:dyDescent="0.3">
      <c r="A1363" s="52"/>
      <c r="B1363" s="53" t="s">
        <v>26</v>
      </c>
      <c r="C1363" s="54">
        <v>46230</v>
      </c>
      <c r="D1363" s="53" t="s">
        <v>2481</v>
      </c>
      <c r="E1363" s="53"/>
      <c r="F1363" s="53"/>
      <c r="G1363" s="54"/>
      <c r="H1363" s="53"/>
      <c r="I1363" s="59">
        <v>98</v>
      </c>
      <c r="J1363" s="59"/>
      <c r="K1363" s="59"/>
      <c r="L1363" s="59">
        <f t="shared" si="21"/>
        <v>351120.28000000096</v>
      </c>
    </row>
    <row r="1364" spans="1:12" x14ac:dyDescent="0.3">
      <c r="A1364" s="52"/>
      <c r="B1364" s="53" t="s">
        <v>28</v>
      </c>
      <c r="C1364" s="54">
        <v>46230</v>
      </c>
      <c r="D1364" s="53" t="s">
        <v>2482</v>
      </c>
      <c r="E1364" s="53" t="s">
        <v>261</v>
      </c>
      <c r="F1364" s="53"/>
      <c r="G1364" s="54">
        <v>46226</v>
      </c>
      <c r="H1364" s="53" t="s">
        <v>2483</v>
      </c>
      <c r="I1364" s="59">
        <v>51.5</v>
      </c>
      <c r="J1364" s="59"/>
      <c r="K1364" s="59"/>
      <c r="L1364" s="59">
        <f t="shared" si="21"/>
        <v>351171.78000000096</v>
      </c>
    </row>
    <row r="1365" spans="1:12" x14ac:dyDescent="0.3">
      <c r="A1365" s="52"/>
      <c r="B1365" s="53" t="s">
        <v>28</v>
      </c>
      <c r="C1365" s="54">
        <v>46230</v>
      </c>
      <c r="D1365" s="53" t="s">
        <v>2484</v>
      </c>
      <c r="E1365" s="53" t="s">
        <v>289</v>
      </c>
      <c r="F1365" s="53"/>
      <c r="G1365" s="54">
        <v>46230</v>
      </c>
      <c r="H1365" s="53" t="s">
        <v>2485</v>
      </c>
      <c r="I1365" s="59">
        <v>379.98</v>
      </c>
      <c r="J1365" s="59"/>
      <c r="K1365" s="59"/>
      <c r="L1365" s="59">
        <f t="shared" si="21"/>
        <v>351551.76000000094</v>
      </c>
    </row>
    <row r="1366" spans="1:12" x14ac:dyDescent="0.3">
      <c r="A1366" s="52"/>
      <c r="B1366" s="53" t="s">
        <v>26</v>
      </c>
      <c r="C1366" s="54">
        <v>46230</v>
      </c>
      <c r="D1366" s="53" t="s">
        <v>2486</v>
      </c>
      <c r="E1366" s="53"/>
      <c r="F1366" s="53"/>
      <c r="G1366" s="54"/>
      <c r="H1366" s="53"/>
      <c r="I1366" s="59">
        <v>3.6</v>
      </c>
      <c r="J1366" s="59"/>
      <c r="K1366" s="59"/>
      <c r="L1366" s="59">
        <f t="shared" si="21"/>
        <v>351555.36000000092</v>
      </c>
    </row>
    <row r="1367" spans="1:12" x14ac:dyDescent="0.3">
      <c r="A1367" s="52"/>
      <c r="B1367" s="53" t="s">
        <v>28</v>
      </c>
      <c r="C1367" s="54">
        <v>46230</v>
      </c>
      <c r="D1367" s="53" t="s">
        <v>2487</v>
      </c>
      <c r="E1367" s="53" t="s">
        <v>194</v>
      </c>
      <c r="F1367" s="53"/>
      <c r="G1367" s="54">
        <v>46227</v>
      </c>
      <c r="H1367" s="53" t="s">
        <v>2488</v>
      </c>
      <c r="I1367" s="59">
        <v>2376.4499999999998</v>
      </c>
      <c r="J1367" s="59"/>
      <c r="K1367" s="59"/>
      <c r="L1367" s="59">
        <f t="shared" si="21"/>
        <v>353931.81000000093</v>
      </c>
    </row>
    <row r="1368" spans="1:12" x14ac:dyDescent="0.3">
      <c r="A1368" s="52"/>
      <c r="B1368" s="53" t="s">
        <v>26</v>
      </c>
      <c r="C1368" s="54">
        <v>46230</v>
      </c>
      <c r="D1368" s="53" t="s">
        <v>2489</v>
      </c>
      <c r="E1368" s="53"/>
      <c r="F1368" s="53"/>
      <c r="G1368" s="54"/>
      <c r="H1368" s="53"/>
      <c r="I1368" s="59">
        <v>14</v>
      </c>
      <c r="J1368" s="59"/>
      <c r="K1368" s="59"/>
      <c r="L1368" s="59">
        <f t="shared" si="21"/>
        <v>353945.81000000093</v>
      </c>
    </row>
    <row r="1369" spans="1:12" x14ac:dyDescent="0.3">
      <c r="A1369" s="52"/>
      <c r="B1369" s="53" t="s">
        <v>26</v>
      </c>
      <c r="C1369" s="54">
        <v>46230</v>
      </c>
      <c r="D1369" s="53" t="s">
        <v>2490</v>
      </c>
      <c r="E1369" s="53"/>
      <c r="F1369" s="53"/>
      <c r="G1369" s="54"/>
      <c r="H1369" s="53"/>
      <c r="I1369" s="59">
        <v>8.06</v>
      </c>
      <c r="J1369" s="59"/>
      <c r="K1369" s="59"/>
      <c r="L1369" s="59">
        <f t="shared" si="21"/>
        <v>353953.87000000093</v>
      </c>
    </row>
    <row r="1370" spans="1:12" x14ac:dyDescent="0.3">
      <c r="A1370" s="52"/>
      <c r="B1370" s="53" t="s">
        <v>26</v>
      </c>
      <c r="C1370" s="54">
        <v>46230</v>
      </c>
      <c r="D1370" s="53" t="s">
        <v>2491</v>
      </c>
      <c r="E1370" s="53"/>
      <c r="F1370" s="53"/>
      <c r="G1370" s="54"/>
      <c r="H1370" s="53"/>
      <c r="I1370" s="59">
        <v>18.55</v>
      </c>
      <c r="J1370" s="59"/>
      <c r="K1370" s="59"/>
      <c r="L1370" s="59">
        <f t="shared" si="21"/>
        <v>353972.42000000092</v>
      </c>
    </row>
    <row r="1371" spans="1:12" x14ac:dyDescent="0.3">
      <c r="A1371" s="52"/>
      <c r="B1371" s="53" t="s">
        <v>26</v>
      </c>
      <c r="C1371" s="54">
        <v>46230</v>
      </c>
      <c r="D1371" s="53" t="s">
        <v>2492</v>
      </c>
      <c r="E1371" s="53"/>
      <c r="F1371" s="53"/>
      <c r="G1371" s="54"/>
      <c r="H1371" s="53"/>
      <c r="I1371" s="59">
        <v>75</v>
      </c>
      <c r="J1371" s="59"/>
      <c r="K1371" s="59"/>
      <c r="L1371" s="59">
        <f t="shared" si="21"/>
        <v>354047.42000000092</v>
      </c>
    </row>
    <row r="1372" spans="1:12" x14ac:dyDescent="0.3">
      <c r="A1372" s="52"/>
      <c r="B1372" s="53" t="s">
        <v>26</v>
      </c>
      <c r="C1372" s="54">
        <v>46231</v>
      </c>
      <c r="D1372" s="53" t="s">
        <v>2493</v>
      </c>
      <c r="E1372" s="53"/>
      <c r="F1372" s="53"/>
      <c r="G1372" s="54"/>
      <c r="H1372" s="53"/>
      <c r="I1372" s="59">
        <v>24.85</v>
      </c>
      <c r="J1372" s="59"/>
      <c r="K1372" s="59"/>
      <c r="L1372" s="59">
        <f t="shared" si="21"/>
        <v>354072.27000000089</v>
      </c>
    </row>
    <row r="1373" spans="1:12" x14ac:dyDescent="0.3">
      <c r="A1373" s="52"/>
      <c r="B1373" s="53" t="s">
        <v>26</v>
      </c>
      <c r="C1373" s="54">
        <v>46231</v>
      </c>
      <c r="D1373" s="53" t="s">
        <v>2494</v>
      </c>
      <c r="E1373" s="53"/>
      <c r="F1373" s="53"/>
      <c r="G1373" s="54"/>
      <c r="H1373" s="53"/>
      <c r="I1373" s="59">
        <v>16.5</v>
      </c>
      <c r="J1373" s="59"/>
      <c r="K1373" s="59"/>
      <c r="L1373" s="59">
        <f t="shared" si="21"/>
        <v>354088.77000000089</v>
      </c>
    </row>
    <row r="1374" spans="1:12" x14ac:dyDescent="0.3">
      <c r="A1374" s="52"/>
      <c r="B1374" s="53" t="s">
        <v>26</v>
      </c>
      <c r="C1374" s="54">
        <v>46231</v>
      </c>
      <c r="D1374" s="53" t="s">
        <v>2495</v>
      </c>
      <c r="E1374" s="53"/>
      <c r="F1374" s="53"/>
      <c r="G1374" s="54"/>
      <c r="H1374" s="53"/>
      <c r="I1374" s="59">
        <v>81.3</v>
      </c>
      <c r="J1374" s="59"/>
      <c r="K1374" s="59"/>
      <c r="L1374" s="59">
        <f t="shared" si="21"/>
        <v>354170.07000000088</v>
      </c>
    </row>
    <row r="1375" spans="1:12" x14ac:dyDescent="0.3">
      <c r="A1375" s="52"/>
      <c r="B1375" s="53" t="s">
        <v>26</v>
      </c>
      <c r="C1375" s="54">
        <v>46231</v>
      </c>
      <c r="D1375" s="53" t="s">
        <v>2496</v>
      </c>
      <c r="E1375" s="53"/>
      <c r="F1375" s="53"/>
      <c r="G1375" s="54"/>
      <c r="H1375" s="53"/>
      <c r="I1375" s="59">
        <v>14.69</v>
      </c>
      <c r="J1375" s="59"/>
      <c r="K1375" s="59"/>
      <c r="L1375" s="59">
        <f t="shared" si="21"/>
        <v>354184.76000000088</v>
      </c>
    </row>
    <row r="1376" spans="1:12" x14ac:dyDescent="0.3">
      <c r="A1376" s="52"/>
      <c r="B1376" s="53" t="s">
        <v>26</v>
      </c>
      <c r="C1376" s="54">
        <v>46231</v>
      </c>
      <c r="D1376" s="53" t="s">
        <v>2497</v>
      </c>
      <c r="E1376" s="53"/>
      <c r="F1376" s="53"/>
      <c r="G1376" s="54"/>
      <c r="H1376" s="53"/>
      <c r="I1376" s="59">
        <v>8.69</v>
      </c>
      <c r="J1376" s="59"/>
      <c r="K1376" s="59"/>
      <c r="L1376" s="59">
        <f t="shared" si="21"/>
        <v>354193.45000000088</v>
      </c>
    </row>
    <row r="1377" spans="1:12" x14ac:dyDescent="0.3">
      <c r="A1377" s="52"/>
      <c r="B1377" s="53" t="s">
        <v>26</v>
      </c>
      <c r="C1377" s="54">
        <v>46231</v>
      </c>
      <c r="D1377" s="53" t="s">
        <v>2498</v>
      </c>
      <c r="E1377" s="53"/>
      <c r="F1377" s="53"/>
      <c r="G1377" s="54"/>
      <c r="H1377" s="53"/>
      <c r="I1377" s="59">
        <v>12.1</v>
      </c>
      <c r="J1377" s="59"/>
      <c r="K1377" s="59"/>
      <c r="L1377" s="59">
        <f t="shared" si="21"/>
        <v>354205.55000000086</v>
      </c>
    </row>
    <row r="1378" spans="1:12" x14ac:dyDescent="0.3">
      <c r="A1378" s="52"/>
      <c r="B1378" s="53" t="s">
        <v>26</v>
      </c>
      <c r="C1378" s="54">
        <v>46231</v>
      </c>
      <c r="D1378" s="53" t="s">
        <v>2499</v>
      </c>
      <c r="E1378" s="53"/>
      <c r="F1378" s="53"/>
      <c r="G1378" s="54"/>
      <c r="H1378" s="53"/>
      <c r="I1378" s="59">
        <v>34.1</v>
      </c>
      <c r="J1378" s="59"/>
      <c r="K1378" s="59"/>
      <c r="L1378" s="59">
        <f t="shared" si="21"/>
        <v>354239.65000000084</v>
      </c>
    </row>
    <row r="1379" spans="1:12" x14ac:dyDescent="0.3">
      <c r="A1379" s="52"/>
      <c r="B1379" s="53" t="s">
        <v>26</v>
      </c>
      <c r="C1379" s="54">
        <v>46231</v>
      </c>
      <c r="D1379" s="53" t="s">
        <v>2500</v>
      </c>
      <c r="E1379" s="53"/>
      <c r="F1379" s="53"/>
      <c r="G1379" s="54"/>
      <c r="H1379" s="53"/>
      <c r="I1379" s="59">
        <v>95</v>
      </c>
      <c r="J1379" s="59"/>
      <c r="K1379" s="59"/>
      <c r="L1379" s="59">
        <f t="shared" si="21"/>
        <v>354334.65000000084</v>
      </c>
    </row>
    <row r="1380" spans="1:12" x14ac:dyDescent="0.3">
      <c r="A1380" s="52"/>
      <c r="B1380" s="53" t="s">
        <v>26</v>
      </c>
      <c r="C1380" s="54">
        <v>46231</v>
      </c>
      <c r="D1380" s="53" t="s">
        <v>2501</v>
      </c>
      <c r="E1380" s="53"/>
      <c r="F1380" s="53"/>
      <c r="G1380" s="54"/>
      <c r="H1380" s="53"/>
      <c r="I1380" s="59">
        <v>12</v>
      </c>
      <c r="J1380" s="59"/>
      <c r="K1380" s="59"/>
      <c r="L1380" s="59">
        <f t="shared" si="21"/>
        <v>354346.65000000084</v>
      </c>
    </row>
    <row r="1381" spans="1:12" x14ac:dyDescent="0.3">
      <c r="A1381" s="52"/>
      <c r="B1381" s="53" t="s">
        <v>26</v>
      </c>
      <c r="C1381" s="54">
        <v>46232</v>
      </c>
      <c r="D1381" s="53" t="s">
        <v>2502</v>
      </c>
      <c r="E1381" s="53"/>
      <c r="F1381" s="53"/>
      <c r="G1381" s="54"/>
      <c r="H1381" s="53"/>
      <c r="I1381" s="59">
        <v>3.2</v>
      </c>
      <c r="J1381" s="59"/>
      <c r="K1381" s="59"/>
      <c r="L1381" s="59">
        <f t="shared" si="21"/>
        <v>354349.85000000085</v>
      </c>
    </row>
    <row r="1382" spans="1:12" x14ac:dyDescent="0.3">
      <c r="A1382" s="52"/>
      <c r="B1382" s="53" t="s">
        <v>26</v>
      </c>
      <c r="C1382" s="54">
        <v>46232</v>
      </c>
      <c r="D1382" s="53" t="s">
        <v>2503</v>
      </c>
      <c r="E1382" s="53"/>
      <c r="F1382" s="53"/>
      <c r="G1382" s="54"/>
      <c r="H1382" s="53"/>
      <c r="I1382" s="59">
        <v>6.5</v>
      </c>
      <c r="J1382" s="59"/>
      <c r="K1382" s="59"/>
      <c r="L1382" s="59">
        <f t="shared" si="21"/>
        <v>354356.35000000085</v>
      </c>
    </row>
    <row r="1383" spans="1:12" x14ac:dyDescent="0.3">
      <c r="A1383" s="52"/>
      <c r="B1383" s="53" t="s">
        <v>26</v>
      </c>
      <c r="C1383" s="54">
        <v>46232</v>
      </c>
      <c r="D1383" s="53" t="s">
        <v>2504</v>
      </c>
      <c r="E1383" s="53"/>
      <c r="F1383" s="53"/>
      <c r="G1383" s="54"/>
      <c r="H1383" s="53"/>
      <c r="I1383" s="59">
        <v>25</v>
      </c>
      <c r="J1383" s="59"/>
      <c r="K1383" s="59"/>
      <c r="L1383" s="59">
        <f t="shared" si="21"/>
        <v>354381.35000000085</v>
      </c>
    </row>
    <row r="1384" spans="1:12" x14ac:dyDescent="0.3">
      <c r="A1384" s="52"/>
      <c r="B1384" s="53" t="s">
        <v>26</v>
      </c>
      <c r="C1384" s="54">
        <v>46232</v>
      </c>
      <c r="D1384" s="53" t="s">
        <v>2505</v>
      </c>
      <c r="E1384" s="53"/>
      <c r="F1384" s="53"/>
      <c r="G1384" s="54"/>
      <c r="H1384" s="53"/>
      <c r="I1384" s="59">
        <v>14</v>
      </c>
      <c r="J1384" s="59"/>
      <c r="K1384" s="59"/>
      <c r="L1384" s="59">
        <f t="shared" si="21"/>
        <v>354395.35000000085</v>
      </c>
    </row>
    <row r="1385" spans="1:12" x14ac:dyDescent="0.3">
      <c r="A1385" s="52"/>
      <c r="B1385" s="53" t="s">
        <v>26</v>
      </c>
      <c r="C1385" s="54">
        <v>46232</v>
      </c>
      <c r="D1385" s="53" t="s">
        <v>2506</v>
      </c>
      <c r="E1385" s="53"/>
      <c r="F1385" s="53"/>
      <c r="G1385" s="54"/>
      <c r="H1385" s="53"/>
      <c r="I1385" s="59">
        <v>2</v>
      </c>
      <c r="J1385" s="59"/>
      <c r="K1385" s="59"/>
      <c r="L1385" s="59">
        <f t="shared" si="21"/>
        <v>354397.35000000085</v>
      </c>
    </row>
    <row r="1386" spans="1:12" x14ac:dyDescent="0.3">
      <c r="A1386" s="52"/>
      <c r="B1386" s="53" t="s">
        <v>26</v>
      </c>
      <c r="C1386" s="54">
        <v>46232</v>
      </c>
      <c r="D1386" s="53" t="s">
        <v>2507</v>
      </c>
      <c r="E1386" s="53"/>
      <c r="F1386" s="53"/>
      <c r="G1386" s="54"/>
      <c r="H1386" s="53"/>
      <c r="I1386" s="59">
        <v>20</v>
      </c>
      <c r="J1386" s="59"/>
      <c r="K1386" s="59"/>
      <c r="L1386" s="59">
        <f t="shared" si="21"/>
        <v>354417.35000000085</v>
      </c>
    </row>
    <row r="1387" spans="1:12" x14ac:dyDescent="0.3">
      <c r="A1387" s="52"/>
      <c r="B1387" s="53" t="s">
        <v>26</v>
      </c>
      <c r="C1387" s="54">
        <v>46232</v>
      </c>
      <c r="D1387" s="53" t="s">
        <v>2508</v>
      </c>
      <c r="E1387" s="53"/>
      <c r="F1387" s="53"/>
      <c r="G1387" s="54"/>
      <c r="H1387" s="53"/>
      <c r="I1387" s="59">
        <v>7.5</v>
      </c>
      <c r="J1387" s="59"/>
      <c r="K1387" s="59"/>
      <c r="L1387" s="59">
        <f t="shared" si="21"/>
        <v>354424.85000000085</v>
      </c>
    </row>
    <row r="1388" spans="1:12" x14ac:dyDescent="0.3">
      <c r="A1388" s="52"/>
      <c r="B1388" s="53" t="s">
        <v>26</v>
      </c>
      <c r="C1388" s="54">
        <v>46232</v>
      </c>
      <c r="D1388" s="53" t="s">
        <v>2509</v>
      </c>
      <c r="E1388" s="53"/>
      <c r="F1388" s="53"/>
      <c r="G1388" s="54"/>
      <c r="H1388" s="53"/>
      <c r="I1388" s="59">
        <v>6.48</v>
      </c>
      <c r="J1388" s="59"/>
      <c r="K1388" s="59"/>
      <c r="L1388" s="59">
        <f t="shared" si="21"/>
        <v>354431.33000000083</v>
      </c>
    </row>
    <row r="1389" spans="1:12" x14ac:dyDescent="0.3">
      <c r="A1389" s="52"/>
      <c r="B1389" s="53" t="s">
        <v>26</v>
      </c>
      <c r="C1389" s="54">
        <v>46233</v>
      </c>
      <c r="D1389" s="53" t="s">
        <v>2510</v>
      </c>
      <c r="E1389" s="53"/>
      <c r="F1389" s="53"/>
      <c r="G1389" s="54"/>
      <c r="H1389" s="53"/>
      <c r="I1389" s="59">
        <v>0.34</v>
      </c>
      <c r="J1389" s="59"/>
      <c r="K1389" s="59"/>
      <c r="L1389" s="59">
        <f t="shared" si="21"/>
        <v>354431.67000000086</v>
      </c>
    </row>
    <row r="1390" spans="1:12" x14ac:dyDescent="0.3">
      <c r="A1390" s="52"/>
      <c r="B1390" s="53" t="s">
        <v>26</v>
      </c>
      <c r="C1390" s="54">
        <v>46233</v>
      </c>
      <c r="D1390" s="53" t="s">
        <v>2511</v>
      </c>
      <c r="E1390" s="53"/>
      <c r="F1390" s="53"/>
      <c r="G1390" s="54"/>
      <c r="H1390" s="53"/>
      <c r="I1390" s="59">
        <v>2</v>
      </c>
      <c r="J1390" s="59"/>
      <c r="K1390" s="59"/>
      <c r="L1390" s="59">
        <f t="shared" si="21"/>
        <v>354433.67000000086</v>
      </c>
    </row>
    <row r="1391" spans="1:12" x14ac:dyDescent="0.3">
      <c r="A1391" s="52"/>
      <c r="B1391" s="53" t="s">
        <v>26</v>
      </c>
      <c r="C1391" s="54">
        <v>46233</v>
      </c>
      <c r="D1391" s="53" t="s">
        <v>2512</v>
      </c>
      <c r="E1391" s="53"/>
      <c r="F1391" s="53"/>
      <c r="G1391" s="54"/>
      <c r="H1391" s="53"/>
      <c r="I1391" s="59">
        <v>16.899999999999999</v>
      </c>
      <c r="J1391" s="59"/>
      <c r="K1391" s="59"/>
      <c r="L1391" s="59">
        <f t="shared" si="21"/>
        <v>354450.57000000088</v>
      </c>
    </row>
    <row r="1392" spans="1:12" x14ac:dyDescent="0.3">
      <c r="A1392" s="52"/>
      <c r="B1392" s="53" t="s">
        <v>26</v>
      </c>
      <c r="C1392" s="54">
        <v>46233</v>
      </c>
      <c r="D1392" s="53" t="s">
        <v>2513</v>
      </c>
      <c r="E1392" s="53"/>
      <c r="F1392" s="53"/>
      <c r="G1392" s="54"/>
      <c r="H1392" s="53"/>
      <c r="I1392" s="59">
        <v>0.95</v>
      </c>
      <c r="J1392" s="59"/>
      <c r="K1392" s="59"/>
      <c r="L1392" s="59">
        <f t="shared" si="21"/>
        <v>354451.52000000089</v>
      </c>
    </row>
    <row r="1393" spans="1:12" x14ac:dyDescent="0.3">
      <c r="A1393" s="52"/>
      <c r="B1393" s="53" t="s">
        <v>28</v>
      </c>
      <c r="C1393" s="54">
        <v>46233</v>
      </c>
      <c r="D1393" s="53" t="s">
        <v>2514</v>
      </c>
      <c r="E1393" s="53" t="s">
        <v>2420</v>
      </c>
      <c r="F1393" s="53" t="s">
        <v>2515</v>
      </c>
      <c r="G1393" s="54">
        <v>46231</v>
      </c>
      <c r="H1393" s="53" t="s">
        <v>2516</v>
      </c>
      <c r="I1393" s="59">
        <v>60.68</v>
      </c>
      <c r="J1393" s="59"/>
      <c r="K1393" s="59"/>
      <c r="L1393" s="59">
        <f t="shared" si="21"/>
        <v>354512.20000000088</v>
      </c>
    </row>
    <row r="1394" spans="1:12" x14ac:dyDescent="0.3">
      <c r="A1394" s="52"/>
      <c r="B1394" s="53" t="s">
        <v>28</v>
      </c>
      <c r="C1394" s="54">
        <v>46233</v>
      </c>
      <c r="D1394" s="53" t="s">
        <v>2517</v>
      </c>
      <c r="E1394" s="53" t="s">
        <v>736</v>
      </c>
      <c r="F1394" s="53" t="s">
        <v>2518</v>
      </c>
      <c r="G1394" s="54">
        <v>46233</v>
      </c>
      <c r="H1394" s="53" t="s">
        <v>2519</v>
      </c>
      <c r="I1394" s="59">
        <v>94.23</v>
      </c>
      <c r="J1394" s="59"/>
      <c r="K1394" s="59"/>
      <c r="L1394" s="59">
        <f t="shared" si="21"/>
        <v>354606.43000000087</v>
      </c>
    </row>
    <row r="1395" spans="1:12" x14ac:dyDescent="0.3">
      <c r="A1395" s="52"/>
      <c r="B1395" s="53" t="s">
        <v>26</v>
      </c>
      <c r="C1395" s="54">
        <v>46233</v>
      </c>
      <c r="D1395" s="53" t="s">
        <v>2520</v>
      </c>
      <c r="E1395" s="53" t="s">
        <v>2597</v>
      </c>
      <c r="F1395" s="53"/>
      <c r="G1395" s="54"/>
      <c r="H1395" s="53"/>
      <c r="I1395" s="73">
        <v>1430.33</v>
      </c>
      <c r="J1395" s="59" t="s">
        <v>2598</v>
      </c>
      <c r="K1395" s="59"/>
      <c r="L1395" s="59">
        <f t="shared" si="21"/>
        <v>356036.76000000088</v>
      </c>
    </row>
    <row r="1396" spans="1:12" x14ac:dyDescent="0.3">
      <c r="A1396" s="52"/>
      <c r="B1396" s="53" t="s">
        <v>28</v>
      </c>
      <c r="C1396" s="54">
        <v>46234</v>
      </c>
      <c r="D1396" s="53" t="s">
        <v>2521</v>
      </c>
      <c r="E1396" s="53" t="s">
        <v>194</v>
      </c>
      <c r="F1396" s="53"/>
      <c r="G1396" s="54">
        <v>46234</v>
      </c>
      <c r="H1396" s="53" t="s">
        <v>2522</v>
      </c>
      <c r="I1396" s="59">
        <v>1649.09</v>
      </c>
      <c r="J1396" s="59"/>
      <c r="K1396" s="59"/>
      <c r="L1396" s="59">
        <f t="shared" si="21"/>
        <v>357685.85000000091</v>
      </c>
    </row>
    <row r="1397" spans="1:12" x14ac:dyDescent="0.3">
      <c r="A1397" s="52"/>
      <c r="B1397" s="53" t="s">
        <v>28</v>
      </c>
      <c r="C1397" s="54">
        <v>46237</v>
      </c>
      <c r="D1397" s="53" t="s">
        <v>2523</v>
      </c>
      <c r="E1397" s="53" t="s">
        <v>354</v>
      </c>
      <c r="F1397" s="53"/>
      <c r="G1397" s="54">
        <v>46233</v>
      </c>
      <c r="H1397" s="53" t="s">
        <v>487</v>
      </c>
      <c r="I1397" s="59">
        <v>135</v>
      </c>
      <c r="J1397" s="59"/>
      <c r="K1397" s="59"/>
      <c r="L1397" s="59">
        <f t="shared" si="21"/>
        <v>357820.85000000091</v>
      </c>
    </row>
    <row r="1398" spans="1:12" x14ac:dyDescent="0.3">
      <c r="A1398" s="52"/>
      <c r="B1398" s="53" t="s">
        <v>26</v>
      </c>
      <c r="C1398" s="54">
        <v>46237</v>
      </c>
      <c r="D1398" s="53" t="s">
        <v>2524</v>
      </c>
      <c r="E1398" s="53"/>
      <c r="F1398" s="53"/>
      <c r="G1398" s="54"/>
      <c r="H1398" s="53"/>
      <c r="I1398" s="59">
        <v>0.7</v>
      </c>
      <c r="J1398" s="59"/>
      <c r="K1398" s="59"/>
      <c r="L1398" s="59">
        <f t="shared" si="21"/>
        <v>357821.55000000092</v>
      </c>
    </row>
    <row r="1399" spans="1:12" x14ac:dyDescent="0.3">
      <c r="A1399" s="52"/>
      <c r="B1399" s="53" t="s">
        <v>28</v>
      </c>
      <c r="C1399" s="54">
        <v>46237</v>
      </c>
      <c r="D1399" s="53" t="s">
        <v>2525</v>
      </c>
      <c r="E1399" s="53" t="s">
        <v>2526</v>
      </c>
      <c r="F1399" s="53" t="s">
        <v>2527</v>
      </c>
      <c r="G1399" s="54">
        <v>46234</v>
      </c>
      <c r="H1399" s="53" t="s">
        <v>2528</v>
      </c>
      <c r="I1399" s="59">
        <v>420.55</v>
      </c>
      <c r="J1399" s="59"/>
      <c r="K1399" s="59"/>
      <c r="L1399" s="59">
        <f t="shared" si="21"/>
        <v>358242.10000000091</v>
      </c>
    </row>
    <row r="1400" spans="1:12" x14ac:dyDescent="0.3">
      <c r="A1400" s="52"/>
      <c r="B1400" s="53" t="s">
        <v>28</v>
      </c>
      <c r="C1400" s="54">
        <v>46238</v>
      </c>
      <c r="D1400" s="53" t="s">
        <v>2529</v>
      </c>
      <c r="E1400" s="53" t="s">
        <v>677</v>
      </c>
      <c r="F1400" s="53"/>
      <c r="G1400" s="54">
        <v>46234</v>
      </c>
      <c r="H1400" s="53" t="s">
        <v>2530</v>
      </c>
      <c r="I1400" s="59">
        <v>0.03</v>
      </c>
      <c r="J1400" s="59"/>
      <c r="K1400" s="59"/>
      <c r="L1400" s="59">
        <f t="shared" si="21"/>
        <v>358242.13000000094</v>
      </c>
    </row>
    <row r="1401" spans="1:12" x14ac:dyDescent="0.3">
      <c r="A1401" s="52"/>
      <c r="B1401" s="53" t="s">
        <v>28</v>
      </c>
      <c r="C1401" s="54">
        <v>46240</v>
      </c>
      <c r="D1401" s="53" t="s">
        <v>2531</v>
      </c>
      <c r="E1401" s="53" t="s">
        <v>186</v>
      </c>
      <c r="F1401" s="53"/>
      <c r="G1401" s="54">
        <v>46240</v>
      </c>
      <c r="H1401" s="53" t="s">
        <v>2532</v>
      </c>
      <c r="I1401" s="59">
        <v>104</v>
      </c>
      <c r="J1401" s="59"/>
      <c r="K1401" s="59"/>
      <c r="L1401" s="59">
        <f t="shared" si="21"/>
        <v>358346.13000000094</v>
      </c>
    </row>
    <row r="1402" spans="1:12" x14ac:dyDescent="0.3">
      <c r="A1402" s="52"/>
      <c r="B1402" s="53" t="s">
        <v>28</v>
      </c>
      <c r="C1402" s="54">
        <v>46241</v>
      </c>
      <c r="D1402" s="53" t="s">
        <v>2533</v>
      </c>
      <c r="E1402" s="53" t="s">
        <v>2420</v>
      </c>
      <c r="F1402" s="53" t="s">
        <v>2534</v>
      </c>
      <c r="G1402" s="54">
        <v>46240</v>
      </c>
      <c r="H1402" s="53" t="s">
        <v>2535</v>
      </c>
      <c r="I1402" s="59">
        <v>52.5</v>
      </c>
      <c r="J1402" s="59"/>
      <c r="K1402" s="59"/>
      <c r="L1402" s="59">
        <f t="shared" si="21"/>
        <v>358398.63000000094</v>
      </c>
    </row>
    <row r="1403" spans="1:12" x14ac:dyDescent="0.3">
      <c r="A1403" s="52"/>
      <c r="B1403" s="53" t="s">
        <v>28</v>
      </c>
      <c r="C1403" s="54">
        <v>46254</v>
      </c>
      <c r="D1403" s="53" t="s">
        <v>2536</v>
      </c>
      <c r="E1403" s="53" t="s">
        <v>250</v>
      </c>
      <c r="F1403" s="53"/>
      <c r="G1403" s="54">
        <v>46242</v>
      </c>
      <c r="H1403" s="53" t="s">
        <v>2537</v>
      </c>
      <c r="I1403" s="59">
        <v>858.18</v>
      </c>
      <c r="J1403" s="59" t="s">
        <v>2599</v>
      </c>
      <c r="K1403" s="59"/>
      <c r="L1403" s="59">
        <f t="shared" si="21"/>
        <v>359256.81000000093</v>
      </c>
    </row>
    <row r="1404" spans="1:12" x14ac:dyDescent="0.3">
      <c r="A1404" s="52"/>
      <c r="B1404" s="53" t="s">
        <v>28</v>
      </c>
      <c r="C1404" s="54">
        <v>46254</v>
      </c>
      <c r="D1404" s="53" t="s">
        <v>2538</v>
      </c>
      <c r="E1404" s="53" t="s">
        <v>186</v>
      </c>
      <c r="F1404" s="53"/>
      <c r="G1404" s="54">
        <v>46254</v>
      </c>
      <c r="H1404" s="53" t="s">
        <v>2539</v>
      </c>
      <c r="I1404" s="59">
        <v>97</v>
      </c>
      <c r="J1404" s="59"/>
      <c r="K1404" s="59"/>
      <c r="L1404" s="59">
        <f t="shared" si="21"/>
        <v>359353.81000000093</v>
      </c>
    </row>
    <row r="1405" spans="1:12" x14ac:dyDescent="0.3">
      <c r="A1405" s="52"/>
      <c r="B1405" s="53" t="s">
        <v>28</v>
      </c>
      <c r="C1405" s="54">
        <v>46254</v>
      </c>
      <c r="D1405" s="53" t="s">
        <v>2540</v>
      </c>
      <c r="E1405" s="53" t="s">
        <v>186</v>
      </c>
      <c r="F1405" s="53"/>
      <c r="G1405" s="54">
        <v>46254</v>
      </c>
      <c r="H1405" s="53" t="s">
        <v>2541</v>
      </c>
      <c r="I1405" s="59">
        <v>97</v>
      </c>
      <c r="J1405" s="59"/>
      <c r="K1405" s="59"/>
      <c r="L1405" s="59">
        <f t="shared" si="21"/>
        <v>359450.81000000093</v>
      </c>
    </row>
    <row r="1406" spans="1:12" x14ac:dyDescent="0.3">
      <c r="A1406" s="52"/>
      <c r="B1406" s="53" t="s">
        <v>75</v>
      </c>
      <c r="C1406" s="54">
        <v>46254</v>
      </c>
      <c r="D1406" s="53" t="s">
        <v>2542</v>
      </c>
      <c r="E1406" s="53" t="s">
        <v>186</v>
      </c>
      <c r="F1406" s="53"/>
      <c r="G1406" s="54">
        <v>46254</v>
      </c>
      <c r="H1406" s="53" t="s">
        <v>2543</v>
      </c>
      <c r="I1406" s="59"/>
      <c r="J1406" s="59"/>
      <c r="K1406" s="59">
        <v>97</v>
      </c>
      <c r="L1406" s="59">
        <f t="shared" si="21"/>
        <v>359353.81000000093</v>
      </c>
    </row>
    <row r="1407" spans="1:12" x14ac:dyDescent="0.3">
      <c r="A1407" s="52"/>
      <c r="B1407" s="53" t="s">
        <v>28</v>
      </c>
      <c r="C1407" s="54">
        <v>46254</v>
      </c>
      <c r="D1407" s="53" t="s">
        <v>2544</v>
      </c>
      <c r="E1407" s="53" t="s">
        <v>186</v>
      </c>
      <c r="F1407" s="53"/>
      <c r="G1407" s="54">
        <v>46241</v>
      </c>
      <c r="H1407" s="53" t="s">
        <v>2545</v>
      </c>
      <c r="I1407" s="59">
        <v>104</v>
      </c>
      <c r="J1407" s="59"/>
      <c r="K1407" s="59"/>
      <c r="L1407" s="59">
        <f t="shared" si="21"/>
        <v>359457.81000000093</v>
      </c>
    </row>
    <row r="1408" spans="1:12" x14ac:dyDescent="0.3">
      <c r="A1408" s="52"/>
      <c r="B1408" s="53" t="s">
        <v>28</v>
      </c>
      <c r="C1408" s="54">
        <v>46254</v>
      </c>
      <c r="D1408" s="53" t="s">
        <v>2546</v>
      </c>
      <c r="E1408" s="53" t="s">
        <v>261</v>
      </c>
      <c r="F1408" s="53"/>
      <c r="G1408" s="54">
        <v>46240</v>
      </c>
      <c r="H1408" s="53" t="s">
        <v>2547</v>
      </c>
      <c r="I1408" s="59">
        <v>206.96</v>
      </c>
      <c r="J1408" s="59"/>
      <c r="K1408" s="59"/>
      <c r="L1408" s="59">
        <f t="shared" si="21"/>
        <v>359664.77000000095</v>
      </c>
    </row>
    <row r="1409" spans="1:12" x14ac:dyDescent="0.3">
      <c r="A1409" s="52"/>
      <c r="B1409" s="53" t="s">
        <v>28</v>
      </c>
      <c r="C1409" s="54">
        <v>46254</v>
      </c>
      <c r="D1409" s="53" t="s">
        <v>2548</v>
      </c>
      <c r="E1409" s="53" t="s">
        <v>186</v>
      </c>
      <c r="F1409" s="53"/>
      <c r="G1409" s="54">
        <v>46253</v>
      </c>
      <c r="H1409" s="53" t="s">
        <v>2549</v>
      </c>
      <c r="I1409" s="59">
        <v>177</v>
      </c>
      <c r="J1409" s="59"/>
      <c r="K1409" s="59"/>
      <c r="L1409" s="59">
        <f t="shared" si="21"/>
        <v>359841.77000000095</v>
      </c>
    </row>
    <row r="1410" spans="1:12" x14ac:dyDescent="0.3">
      <c r="A1410" s="52"/>
      <c r="B1410" s="53" t="s">
        <v>28</v>
      </c>
      <c r="C1410" s="54">
        <v>46254</v>
      </c>
      <c r="D1410" s="53" t="s">
        <v>2550</v>
      </c>
      <c r="E1410" s="53" t="s">
        <v>261</v>
      </c>
      <c r="F1410" s="53"/>
      <c r="G1410" s="54">
        <v>46240</v>
      </c>
      <c r="H1410" s="53" t="s">
        <v>2551</v>
      </c>
      <c r="I1410" s="59">
        <v>30.68</v>
      </c>
      <c r="J1410" s="59"/>
      <c r="K1410" s="59"/>
      <c r="L1410" s="59">
        <f t="shared" si="21"/>
        <v>359872.45000000094</v>
      </c>
    </row>
    <row r="1411" spans="1:12" x14ac:dyDescent="0.3">
      <c r="A1411" s="52"/>
      <c r="B1411" s="53" t="s">
        <v>75</v>
      </c>
      <c r="C1411" s="54">
        <v>46255</v>
      </c>
      <c r="D1411" s="53" t="s">
        <v>2552</v>
      </c>
      <c r="E1411" s="53" t="s">
        <v>186</v>
      </c>
      <c r="F1411" s="53"/>
      <c r="G1411" s="54">
        <v>46254</v>
      </c>
      <c r="H1411" s="53" t="s">
        <v>2553</v>
      </c>
      <c r="I1411" s="59"/>
      <c r="J1411" s="59"/>
      <c r="K1411" s="59">
        <v>97</v>
      </c>
      <c r="L1411" s="59">
        <f t="shared" si="21"/>
        <v>359775.45000000094</v>
      </c>
    </row>
    <row r="1412" spans="1:12" x14ac:dyDescent="0.3">
      <c r="A1412" s="52"/>
      <c r="B1412" s="53" t="s">
        <v>28</v>
      </c>
      <c r="C1412" s="54">
        <v>46258</v>
      </c>
      <c r="D1412" s="53" t="s">
        <v>2554</v>
      </c>
      <c r="E1412" s="53" t="s">
        <v>719</v>
      </c>
      <c r="F1412" s="53" t="s">
        <v>237</v>
      </c>
      <c r="G1412" s="54">
        <v>46257</v>
      </c>
      <c r="H1412" s="53" t="s">
        <v>2555</v>
      </c>
      <c r="I1412" s="59">
        <v>31.55</v>
      </c>
      <c r="J1412" s="59"/>
      <c r="K1412" s="59"/>
      <c r="L1412" s="59">
        <f t="shared" si="21"/>
        <v>359807.00000000093</v>
      </c>
    </row>
    <row r="1413" spans="1:12" x14ac:dyDescent="0.3">
      <c r="A1413" s="52"/>
      <c r="B1413" s="53" t="s">
        <v>28</v>
      </c>
      <c r="C1413" s="54">
        <v>46258</v>
      </c>
      <c r="D1413" s="53" t="s">
        <v>2556</v>
      </c>
      <c r="E1413" s="53" t="s">
        <v>1084</v>
      </c>
      <c r="F1413" s="53" t="s">
        <v>237</v>
      </c>
      <c r="G1413" s="54">
        <v>46257</v>
      </c>
      <c r="H1413" s="53" t="s">
        <v>2557</v>
      </c>
      <c r="I1413" s="59">
        <v>72.37</v>
      </c>
      <c r="J1413" s="59"/>
      <c r="K1413" s="59"/>
      <c r="L1413" s="59">
        <f t="shared" si="21"/>
        <v>359879.37000000093</v>
      </c>
    </row>
    <row r="1414" spans="1:12" x14ac:dyDescent="0.3">
      <c r="A1414" s="52"/>
      <c r="B1414" s="53" t="s">
        <v>28</v>
      </c>
      <c r="C1414" s="54">
        <v>46258</v>
      </c>
      <c r="D1414" s="53" t="s">
        <v>2558</v>
      </c>
      <c r="E1414" s="53" t="s">
        <v>255</v>
      </c>
      <c r="F1414" s="53" t="s">
        <v>237</v>
      </c>
      <c r="G1414" s="54">
        <v>46257</v>
      </c>
      <c r="H1414" s="53" t="s">
        <v>2559</v>
      </c>
      <c r="I1414" s="59">
        <v>245.32</v>
      </c>
      <c r="J1414" s="59"/>
      <c r="K1414" s="59"/>
      <c r="L1414" s="59">
        <f t="shared" si="21"/>
        <v>360124.69000000093</v>
      </c>
    </row>
    <row r="1415" spans="1:12" x14ac:dyDescent="0.3">
      <c r="A1415" s="52"/>
      <c r="B1415" s="53" t="s">
        <v>28</v>
      </c>
      <c r="C1415" s="54">
        <v>46258</v>
      </c>
      <c r="D1415" s="53" t="s">
        <v>2560</v>
      </c>
      <c r="E1415" s="53" t="s">
        <v>387</v>
      </c>
      <c r="F1415" s="53" t="s">
        <v>237</v>
      </c>
      <c r="G1415" s="54">
        <v>46257</v>
      </c>
      <c r="H1415" s="53" t="s">
        <v>2561</v>
      </c>
      <c r="I1415" s="59">
        <v>131.24</v>
      </c>
      <c r="J1415" s="59"/>
      <c r="K1415" s="59"/>
      <c r="L1415" s="59">
        <f t="shared" si="21"/>
        <v>360255.93000000092</v>
      </c>
    </row>
    <row r="1416" spans="1:12" x14ac:dyDescent="0.3">
      <c r="A1416" s="52"/>
      <c r="B1416" s="53" t="s">
        <v>28</v>
      </c>
      <c r="C1416" s="54">
        <v>46259</v>
      </c>
      <c r="D1416" s="53" t="s">
        <v>2562</v>
      </c>
      <c r="E1416" s="53" t="s">
        <v>189</v>
      </c>
      <c r="F1416" s="53" t="s">
        <v>190</v>
      </c>
      <c r="G1416" s="54">
        <v>46250</v>
      </c>
      <c r="H1416" s="53" t="s">
        <v>2563</v>
      </c>
      <c r="I1416" s="59">
        <v>7.2</v>
      </c>
      <c r="J1416" s="59"/>
      <c r="K1416" s="59"/>
      <c r="L1416" s="59">
        <f t="shared" si="21"/>
        <v>360263.13000000094</v>
      </c>
    </row>
    <row r="1417" spans="1:12" x14ac:dyDescent="0.3">
      <c r="A1417" s="52"/>
      <c r="B1417" s="53" t="s">
        <v>28</v>
      </c>
      <c r="C1417" s="54">
        <v>46259</v>
      </c>
      <c r="D1417" s="53" t="s">
        <v>2564</v>
      </c>
      <c r="E1417" s="53" t="s">
        <v>2420</v>
      </c>
      <c r="F1417" s="53" t="s">
        <v>2565</v>
      </c>
      <c r="G1417" s="54">
        <v>46258</v>
      </c>
      <c r="H1417" s="53" t="s">
        <v>2566</v>
      </c>
      <c r="I1417" s="59">
        <v>52.5</v>
      </c>
      <c r="J1417" s="59"/>
      <c r="K1417" s="59"/>
      <c r="L1417" s="59">
        <f t="shared" si="21"/>
        <v>360315.63000000094</v>
      </c>
    </row>
    <row r="1418" spans="1:12" x14ac:dyDescent="0.3">
      <c r="A1418" s="52"/>
      <c r="B1418" s="53" t="s">
        <v>28</v>
      </c>
      <c r="C1418" s="54">
        <v>46260</v>
      </c>
      <c r="D1418" s="53" t="s">
        <v>2567</v>
      </c>
      <c r="E1418" s="53" t="s">
        <v>2568</v>
      </c>
      <c r="F1418" s="53"/>
      <c r="G1418" s="54">
        <v>46260</v>
      </c>
      <c r="H1418" s="53" t="s">
        <v>2569</v>
      </c>
      <c r="I1418" s="59">
        <v>65.739999999999995</v>
      </c>
      <c r="J1418" s="59"/>
      <c r="K1418" s="59"/>
      <c r="L1418" s="59">
        <f t="shared" si="21"/>
        <v>360381.37000000093</v>
      </c>
    </row>
    <row r="1419" spans="1:12" x14ac:dyDescent="0.3">
      <c r="A1419" s="52"/>
      <c r="B1419" s="53" t="s">
        <v>28</v>
      </c>
      <c r="C1419" s="54">
        <v>46261</v>
      </c>
      <c r="D1419" s="53" t="s">
        <v>2570</v>
      </c>
      <c r="E1419" s="53" t="s">
        <v>2420</v>
      </c>
      <c r="F1419" s="53" t="s">
        <v>2571</v>
      </c>
      <c r="G1419" s="54">
        <v>46260</v>
      </c>
      <c r="H1419" s="53" t="s">
        <v>2572</v>
      </c>
      <c r="I1419" s="59">
        <v>107.73</v>
      </c>
      <c r="J1419" s="59"/>
      <c r="K1419" s="59"/>
      <c r="L1419" s="59">
        <f t="shared" ref="L1419:L1420" si="22">L1418+I1419-K1419</f>
        <v>360489.10000000091</v>
      </c>
    </row>
    <row r="1420" spans="1:12" x14ac:dyDescent="0.3">
      <c r="A1420" s="52"/>
      <c r="B1420" s="53" t="s">
        <v>28</v>
      </c>
      <c r="C1420" s="54">
        <v>46262</v>
      </c>
      <c r="D1420" s="53" t="s">
        <v>2573</v>
      </c>
      <c r="E1420" s="53" t="s">
        <v>186</v>
      </c>
      <c r="F1420" s="53"/>
      <c r="G1420" s="54">
        <v>46262</v>
      </c>
      <c r="H1420" s="53" t="s">
        <v>2574</v>
      </c>
      <c r="I1420" s="59">
        <v>125.9</v>
      </c>
      <c r="J1420" s="59"/>
      <c r="K1420" s="59"/>
      <c r="L1420" s="59">
        <f t="shared" si="22"/>
        <v>360615.00000000093</v>
      </c>
    </row>
    <row r="1421" spans="1:12" x14ac:dyDescent="0.3">
      <c r="A1421" s="55" t="s">
        <v>402</v>
      </c>
      <c r="B1421" s="56"/>
      <c r="C1421" s="57"/>
      <c r="D1421" s="56"/>
      <c r="E1421" s="56"/>
      <c r="F1421" s="56"/>
      <c r="G1421" s="57"/>
      <c r="H1421" s="56"/>
      <c r="I1421" s="60">
        <f>SUM(I10:I1420)</f>
        <v>113565.39999999964</v>
      </c>
      <c r="J1421" s="60"/>
      <c r="K1421" s="60">
        <f>SUM(K10:K1420)</f>
        <v>2212.59</v>
      </c>
      <c r="L1421" s="60">
        <f>L1420</f>
        <v>360615.00000000093</v>
      </c>
    </row>
    <row r="1422" spans="1:12" x14ac:dyDescent="0.3">
      <c r="A1422" s="58" t="s">
        <v>403</v>
      </c>
      <c r="B1422" s="56"/>
      <c r="C1422" s="57"/>
      <c r="D1422" s="56"/>
      <c r="E1422" s="56"/>
      <c r="F1422" s="56"/>
      <c r="G1422" s="57"/>
      <c r="H1422" s="56"/>
      <c r="I1422" s="60">
        <f>SUM(I9,I1421)</f>
        <v>113565.39999999964</v>
      </c>
      <c r="J1422" s="60"/>
      <c r="K1422" s="60">
        <f>SUM(K9,K1421)</f>
        <v>2212.59</v>
      </c>
      <c r="L1422" s="60">
        <f>L9+L1421</f>
        <v>360615.00000000093</v>
      </c>
    </row>
    <row r="1423" spans="1:12" x14ac:dyDescent="0.3">
      <c r="A1423" s="56" t="s">
        <v>45</v>
      </c>
      <c r="B1423" s="56"/>
      <c r="C1423" s="57"/>
      <c r="D1423" s="56"/>
      <c r="E1423" s="56"/>
      <c r="F1423" s="56"/>
      <c r="G1423" s="57"/>
      <c r="H1423" s="56"/>
      <c r="I1423" s="60">
        <f>SUM(I8,I1422)</f>
        <v>113565.39999999964</v>
      </c>
      <c r="J1423" s="60"/>
      <c r="K1423" s="60">
        <f>SUM(K8,K1422)</f>
        <v>2212.59</v>
      </c>
      <c r="L1423" s="60">
        <f>L8+L1422</f>
        <v>360615.00000000093</v>
      </c>
    </row>
  </sheetData>
  <pageMargins left="0.7" right="0.7" top="0.75" bottom="0.75" header="0.3" footer="0.3"/>
  <pageSetup paperSize="9"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D78D4A29D3D45842B44FAED1AAC439B1" ma:contentTypeVersion="3" ma:contentTypeDescription="Creare un nuovo documento." ma:contentTypeScope="" ma:versionID="0cc1a2f0fdecc834e7558ba0e7a1d85c">
  <xsd:schema xmlns:xsd="http://www.w3.org/2001/XMLSchema" xmlns:xs="http://www.w3.org/2001/XMLSchema" xmlns:p="http://schemas.microsoft.com/office/2006/metadata/properties" xmlns:ns2="1b5ffcd3-4ccc-457b-be3a-1b839281403e" targetNamespace="http://schemas.microsoft.com/office/2006/metadata/properties" ma:root="true" ma:fieldsID="6be16466061a7c4b03b887c3be9e4e07" ns2:_="">
    <xsd:import namespace="1b5ffcd3-4ccc-457b-be3a-1b839281403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5ffcd3-4ccc-457b-be3a-1b83928140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workbookData xmlns="https://www.arixcel.com/schemas/workbookData" version="9.0.9623">
  <sheet name="Riepilogo Non Recurring">
    <highlights>
      <block r="9 6 1 1" o="1 -4142 0" h="2 0 16751103"/>
    </highlights>
  </sheet>
  <sheet name="702001">
    <highlights>
      <block r="9 112 1 3" o="1 -4142 0" h="2 0 16764006"/>
      <block r="9 120 1 2" o="1 -4142 0" h="2 0 16764006"/>
    </highlights>
  </sheet>
</workbookData>
</file>

<file path=customXml/itemProps1.xml><?xml version="1.0" encoding="utf-8"?>
<ds:datastoreItem xmlns:ds="http://schemas.openxmlformats.org/officeDocument/2006/customXml" ds:itemID="{3B50752B-47C8-439A-A185-D7206B6D83ED}">
  <ds:schemaRefs>
    <ds:schemaRef ds:uri="http://schemas.microsoft.com/sharepoint/v3/contenttype/forms"/>
  </ds:schemaRefs>
</ds:datastoreItem>
</file>

<file path=customXml/itemProps2.xml><?xml version="1.0" encoding="utf-8"?>
<ds:datastoreItem xmlns:ds="http://schemas.openxmlformats.org/officeDocument/2006/customXml" ds:itemID="{262BC2D0-4AB8-4A50-BB45-CBB3845A44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5ffcd3-4ccc-457b-be3a-1b83928140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C0BC5DC-1611-45C8-9C0A-5298746D7E30}">
  <ds:schemaRefs>
    <ds:schemaRef ds:uri="http://schemas.microsoft.com/office/2006/metadata/properties"/>
    <ds:schemaRef ds:uri="http://schemas.microsoft.com/office/infopath/2007/PartnerControls"/>
    <ds:schemaRef ds:uri="631d7e27-0744-4b50-a889-36c20ac851ed"/>
    <ds:schemaRef ds:uri="52113b14-18e2-4be3-b0f8-8ad1e8834aa2"/>
  </ds:schemaRefs>
</ds:datastoreItem>
</file>

<file path=customXml/itemProps4.xml><?xml version="1.0" encoding="utf-8"?>
<ds:datastoreItem xmlns:ds="http://schemas.openxmlformats.org/officeDocument/2006/customXml" ds:itemID="{9A12672B-58D2-4684-9227-A89C8FEF0F11}">
  <ds:schemaRefs>
    <ds:schemaRef ds:uri="https://www.arixcel.com/schemas/workbookData"/>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Riepilogo Non Recurring</vt:lpstr>
      <vt:lpstr>Costi di Prog.one</vt:lpstr>
      <vt:lpstr>700405</vt:lpstr>
      <vt:lpstr>700407</vt:lpstr>
      <vt:lpstr>700409</vt:lpstr>
      <vt:lpstr>702001</vt:lpstr>
      <vt:lpstr>700815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Gianmarco Grieco</dc:creator>
  <cp:lastModifiedBy>Enrico Molena</cp:lastModifiedBy>
  <dcterms:created xsi:type="dcterms:W3CDTF">2025-04-18T09:17:50Z</dcterms:created>
  <dcterms:modified xsi:type="dcterms:W3CDTF">2026-09-02T13:32:28Z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0x010100D78D4A29D3D45842B44FAED1AAC439B1</vt:lpwstr>
  </property>
  <property fmtid="{D5CDD505-2E9C-101B-9397-08002B2CF9AE}" pid="3" name="Order">
    <vt:r8>9300</vt:r8>
  </property>
  <property fmtid="{D5CDD505-2E9C-101B-9397-08002B2CF9AE}" pid="4" name="MigrationSourceID">
    <vt:lpwstr>1eNrH0EXbb4IXLaDJ8Ht4PvpKJQDxPydZ</vt:lpwstr>
  </property>
  <property fmtid="{D5CDD505-2E9C-101B-9397-08002B2CF9AE}" pid="5" name="MediaServiceImageTags">
    <vt:lpwstr/>
  </property>
  <property fmtid="{D5CDD505-2E9C-101B-9397-08002B2CF9AE}" pid="6" name="SV_QUERY_LIST_4F35BF76-6C0D-4D9B-82B2-816C12CF3733">
    <vt:lpwstr>empty_477D106A-C0D6-4607-AEBD-E2C9D60EA279</vt:lpwstr>
  </property>
  <property fmtid="{D5CDD505-2E9C-101B-9397-08002B2CF9AE}" pid="7" name="SV_HIDDEN_GRID_QUERY_LIST_4F35BF76-6C0D-4D9B-82B2-816C12CF3733">
    <vt:lpwstr>empty_477D106A-C0D6-4607-AEBD-E2C9D60EA279</vt:lpwstr>
  </property>
</Properties>
</file>